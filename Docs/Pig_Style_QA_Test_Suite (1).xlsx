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 Summary" sheetId="1" state="visible" r:id="rId3"/>
    <sheet name="Functional Testing" sheetId="2" state="visible" r:id="rId4"/>
    <sheet name="Math Validation" sheetId="3" state="visible" r:id="rId5"/>
    <sheet name="Feature Testing" sheetId="4" state="visible" r:id="rId6"/>
    <sheet name="Edge &amp; Boundary Cases" sheetId="5" state="visible" r:id="rId7"/>
    <sheet name="Regression Suite" sheetId="6" state="visible" r:id="rId8"/>
    <sheet name="UI-UX Testing" sheetId="7" state="visible" r:id="rId9"/>
    <sheet name="Compatibility Testing" sheetId="8" state="visible" r:id="rId10"/>
    <sheet name="Interruption &amp; Recovery" sheetId="9" state="visible" r:id="rId11"/>
    <sheet name="STR - Transaction Testing" sheetId="10" state="visible" r:id="rId12"/>
    <sheet name="Error Handling" sheetId="11" state="visible" r:id="rId13"/>
    <sheet name="Traceability Matrix" sheetId="12" state="visible" r:id="rId14"/>
    <sheet name="Defect-Observation Log" sheetId="13" state="visible" r:id="rId15"/>
    <sheet name="Test Execution Summary" sheetId="14" state="visible" r:id="rId16"/>
    <sheet name="Math Reference" sheetId="15" state="visible" r:id="rId17"/>
  </sheets>
  <definedNames>
    <definedName function="false" hidden="true" localSheetId="7" name="_xlnm._FilterDatabase" vbProcedure="false">'Compatibility Testing'!$A$1:$S$22</definedName>
    <definedName function="false" hidden="true" localSheetId="12" name="_xlnm._FilterDatabase" vbProcedure="false">'Defect-Observation Log'!$A$1:$P$55</definedName>
    <definedName function="false" hidden="true" localSheetId="4" name="_xlnm._FilterDatabase" vbProcedure="false">'Edge &amp; Boundary Cases'!$A$1:$S$43</definedName>
    <definedName function="false" hidden="true" localSheetId="10" name="_xlnm._FilterDatabase" vbProcedure="false">'Error Handling'!$A$1:$S$21</definedName>
    <definedName function="false" hidden="true" localSheetId="3" name="_xlnm._FilterDatabase" vbProcedure="false">'Feature Testing'!$A$1:$S$60</definedName>
    <definedName function="false" hidden="true" localSheetId="1" name="_xlnm._FilterDatabase" vbProcedure="false">'Functional Testing'!$A$1:$S$91</definedName>
    <definedName function="false" hidden="true" localSheetId="8" name="_xlnm._FilterDatabase" vbProcedure="false">'Interruption &amp; Recovery'!$A$1:$S$31</definedName>
    <definedName function="false" hidden="true" localSheetId="2" name="_xlnm._FilterDatabase" vbProcedure="false">'Math Validation'!$A$1:$S$64</definedName>
    <definedName function="false" hidden="true" localSheetId="5" name="_xlnm._FilterDatabase" vbProcedure="false">'Regression Suite'!$A$1:$S$163</definedName>
    <definedName function="false" hidden="true" localSheetId="9" name="_xlnm._FilterDatabase" vbProcedure="false">'STR - Transaction Testing'!$A$1:$S$28</definedName>
    <definedName function="false" hidden="true" localSheetId="11" name="_xlnm._FilterDatabase" vbProcedure="false">'Traceability Matrix'!$A$3:$I$82</definedName>
    <definedName function="false" hidden="true" localSheetId="6" name="_xlnm._FilterDatabase" vbProcedure="false">'UI-UX Testing'!$A$1:$S$48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<sst xmlns="http://schemas.openxmlformats.org/spreadsheetml/2006/main" count="10843" uniqueCount="3595">
  <si>
    <t xml:space="preserve">Pig Style (Megaways) - QA Test Suite</t>
  </si>
  <si>
    <t xml:space="preserve">Client</t>
  </si>
  <si>
    <t xml:space="preserve">FEG (Fortuna Entertainment Group)</t>
  </si>
  <si>
    <t xml:space="preserve">Game</t>
  </si>
  <si>
    <t xml:space="preserve">Pig Style - 6-reel Megaways, up to 117,649 ways</t>
  </si>
  <si>
    <t xml:space="preserve">Source: Game Rules</t>
  </si>
  <si>
    <t xml:space="preserve">Pig_Style_GR_Eng_2.docx</t>
  </si>
  <si>
    <t xml:space="preserve">Source: Math File</t>
  </si>
  <si>
    <t xml:space="preserve">pig_style_R7_1.xlsx (R7.1)</t>
  </si>
  <si>
    <t xml:space="preserve">Prepared by</t>
  </si>
  <si>
    <t xml:space="preserve">Pixentech QA</t>
  </si>
  <si>
    <t xml:space="preserve">Prepared on</t>
  </si>
  <si>
    <t xml:space="preserve">23 Oct 2026</t>
  </si>
  <si>
    <t xml:space="preserve">Test case ID format</t>
  </si>
  <si>
    <t xml:space="preserve">PS-&lt;AREA&gt;-NNN</t>
  </si>
  <si>
    <t xml:space="preserve">Bet convention</t>
  </si>
  <si>
    <t xml:space="preserve">Math pays are credits at total bet 20. Win = Bet x Pay / 20 x Ways x product of wild multipliers</t>
  </si>
  <si>
    <t xml:space="preserve">Sheet</t>
  </si>
  <si>
    <t xml:space="preserve">Total TCs</t>
  </si>
  <si>
    <t xml:space="preserve">P0</t>
  </si>
  <si>
    <t xml:space="preserve">P1</t>
  </si>
  <si>
    <t xml:space="preserve">P2</t>
  </si>
  <si>
    <t xml:space="preserve">P3</t>
  </si>
  <si>
    <t xml:space="preserve">Automation: Yes</t>
  </si>
  <si>
    <t xml:space="preserve">Automation: Partial</t>
  </si>
  <si>
    <t xml:space="preserve">Requires Spec/Confirmation</t>
  </si>
  <si>
    <t xml:space="preserve">Functional Testing</t>
  </si>
  <si>
    <t xml:space="preserve">Math Validation</t>
  </si>
  <si>
    <t xml:space="preserve">Feature Testing</t>
  </si>
  <si>
    <t xml:space="preserve">Edge &amp; Boundary Cases</t>
  </si>
  <si>
    <t xml:space="preserve">Regression Suite</t>
  </si>
  <si>
    <t xml:space="preserve">UI-UX Testing</t>
  </si>
  <si>
    <t xml:space="preserve">Compatibility Testing</t>
  </si>
  <si>
    <t xml:space="preserve">Interruption &amp; Recovery</t>
  </si>
  <si>
    <t xml:space="preserve">STR - Transaction Testing</t>
  </si>
  <si>
    <t xml:space="preserve">Error Handling</t>
  </si>
  <si>
    <t xml:space="preserve">Total (incl. Regression)</t>
  </si>
  <si>
    <t xml:space="preserve">Total unique (excl. Regression)</t>
  </si>
  <si>
    <t xml:space="preserve">Legend</t>
  </si>
  <si>
    <t xml:space="preserve">Release blocker: money, math, compliance, state integrity</t>
  </si>
  <si>
    <t xml:space="preserve">Major functionality; must pass before client release</t>
  </si>
  <si>
    <t xml:space="preserve">Important but has workaround / cosmetic with impact</t>
  </si>
  <si>
    <t xml:space="preserve">Minor / cosmetic</t>
  </si>
  <si>
    <t xml:space="preserve">Yellow cells</t>
  </si>
  <si>
    <t xml:space="preserve">Columns to fill during execution: Actual Result, Status, Defect ID</t>
  </si>
  <si>
    <t xml:space="preserve">Orange Expected Result</t>
  </si>
  <si>
    <t xml:space="preserve">Case depends on a spec item marked 'Requires Specification/Confirmation' (see Defect-Observation Log)</t>
  </si>
  <si>
    <t xml:space="preserve">Status values</t>
  </si>
  <si>
    <t xml:space="preserve">Not Run, Pass, Fail, Blocked, N/A, Spec Confirmation</t>
  </si>
  <si>
    <t xml:space="preserve">Regression Suite priority</t>
  </si>
  <si>
    <t xml:space="preserve">Execution order: P0 = Smoke (every build), P1 = Core (money, math, features, state), P2 = Extended. Source priority kept in Remarks</t>
  </si>
  <si>
    <t xml:space="preserve">Math Reference sheet</t>
  </si>
  <si>
    <t xml:space="preserve">Paytable and weights extracted from the math file, with x-bet values as formulas</t>
  </si>
  <si>
    <t xml:space="preserve">Example of a completed row (for format reference only)</t>
  </si>
  <si>
    <t xml:space="preserve">Test Case ID</t>
  </si>
  <si>
    <t xml:space="preserve">PS-FUN-021</t>
  </si>
  <si>
    <t xml:space="preserve">Actual Result</t>
  </si>
  <si>
    <t xml:space="preserve">Win field 0.75; balance 99.75 from 100.00 at bet 1.00</t>
  </si>
  <si>
    <t xml:space="preserve">Status</t>
  </si>
  <si>
    <t xml:space="preserve">Pass</t>
  </si>
  <si>
    <t xml:space="preserve">Defect ID</t>
  </si>
  <si>
    <t xml:space="preserve">(blank when passed, e.g. PS-DEF-012 when failed)</t>
  </si>
  <si>
    <t xml:space="preserve">Module</t>
  </si>
  <si>
    <t xml:space="preserve">Feature</t>
  </si>
  <si>
    <t xml:space="preserve">Sub-Feature</t>
  </si>
  <si>
    <t xml:space="preserve">Test Scenario</t>
  </si>
  <si>
    <t xml:space="preserve">Preconditions</t>
  </si>
  <si>
    <t xml:space="preserve">Test Data</t>
  </si>
  <si>
    <t xml:space="preserve">Detailed Test Steps</t>
  </si>
  <si>
    <t xml:space="preserve">Expected Result</t>
  </si>
  <si>
    <t xml:space="preserve">Priority</t>
  </si>
  <si>
    <t xml:space="preserve">Severity</t>
  </si>
  <si>
    <t xml:space="preserve">Test Type</t>
  </si>
  <si>
    <t xml:space="preserve">Automation Candidate</t>
  </si>
  <si>
    <t xml:space="preserve">Environment</t>
  </si>
  <si>
    <t xml:space="preserve">Browser/Device</t>
  </si>
  <si>
    <t xml:space="preserve">Remarks</t>
  </si>
  <si>
    <t xml:space="preserve">PS-FUN-001</t>
  </si>
  <si>
    <t xml:space="preserve">Functional</t>
  </si>
  <si>
    <t xml:space="preserve">Game Launch</t>
  </si>
  <si>
    <t xml:space="preserve">Initial load</t>
  </si>
  <si>
    <t xml:space="preserve">Verify the game launches from the operator lobby in real-money mode and lands on the base game with correct initial state</t>
  </si>
  <si>
    <t xml:space="preserve">Valid player session with funded wallet; game enabled for operator</t>
  </si>
  <si>
    <t xml:space="preserve">Balance: 500.00 EUR; default bet as configured</t>
  </si>
  <si>
    <t xml:space="preserve">1. Log in to the operator lobby
2. Launch Pig Style
3. Wait for the loader to complete
4. Observe reels, bet field, balance field and win field</t>
  </si>
  <si>
    <t xml:space="preserve">Loader completes without error; 6 reels displayed; balance equals wallet balance (500.00); bet field shows configured default bet; win field shows 0.00 or blank; Play button enabled</t>
  </si>
  <si>
    <t xml:space="preserve">Critical</t>
  </si>
  <si>
    <t xml:space="preserve">Yes</t>
  </si>
  <si>
    <t xml:space="preserve">QA / Staging (Game Client + RGS)</t>
  </si>
  <si>
    <t xml:space="preserve">Desktop + Mobile (all supported)</t>
  </si>
  <si>
    <t xml:space="preserve">Not Run</t>
  </si>
  <si>
    <t xml:space="preserve">Ref: GR-01, GR-19, GR-21</t>
  </si>
  <si>
    <t xml:space="preserve">PS-FUN-002</t>
  </si>
  <si>
    <t xml:space="preserve">Splash screen</t>
  </si>
  <si>
    <t xml:space="preserve">Verify the splash/intro screen displays on first launch and can be dismissed to reach the base game</t>
  </si>
  <si>
    <t xml:space="preserve">First launch for the player (no prior splash preference)</t>
  </si>
  <si>
    <t xml:space="preserve">N/A</t>
  </si>
  <si>
    <t xml:space="preserve">1. Launch the game
2. Observe splash screen
3. Press Continue/Play on the splash
4. Reopen game after enabling 'do not show' option in Splash Screen Settings (if present)</t>
  </si>
  <si>
    <t xml:space="preserve">Splash shown on first launch and dismisses to base game; when disabled via Splash Screen Settings the game opens directly to base game on next launch</t>
  </si>
  <si>
    <t xml:space="preserve">Medium</t>
  </si>
  <si>
    <t xml:space="preserve">Ref: GR-46</t>
  </si>
  <si>
    <t xml:space="preserve">PS-FUN-003</t>
  </si>
  <si>
    <t xml:space="preserve">Currency</t>
  </si>
  <si>
    <t xml:space="preserve">Verify all monetary fields render in the session currency</t>
  </si>
  <si>
    <t xml:space="preserve">Sessions available in EUR, RON and one non-decimal currency if supported</t>
  </si>
  <si>
    <t xml:space="preserve">Currencies: EUR, RON</t>
  </si>
  <si>
    <t xml:space="preserve">1. Launch the game with EUR session
2. Check bet, balance, win, paytable and Buy cost values
3. Repeat with RON session</t>
  </si>
  <si>
    <t xml:space="preserve">All monetary values show the session currency symbol/code with correct decimal precision; no mixing of currencies; paytable values recalculated in session currency</t>
  </si>
  <si>
    <t xml:space="preserve">High</t>
  </si>
  <si>
    <t xml:space="preserve">Partial</t>
  </si>
  <si>
    <t xml:space="preserve">Ref: GR-19</t>
  </si>
  <si>
    <t xml:space="preserve">PS-FUN-004</t>
  </si>
  <si>
    <t xml:space="preserve">Demo / Fun mode</t>
  </si>
  <si>
    <t xml:space="preserve">Verify the game launches in fun mode with virtual balance and no wallet transactions</t>
  </si>
  <si>
    <t xml:space="preserve">Fun mode URL available from operator</t>
  </si>
  <si>
    <t xml:space="preserve">Fun balance as configured by RGS</t>
  </si>
  <si>
    <t xml:space="preserve">1. Launch game in fun mode
2. Place 5 spins
3. Check RGS/wallet logs</t>
  </si>
  <si>
    <t xml:space="preserve">Game playable with virtual balance; no debit/credit calls to the real-money wallet; fun mode indicator shown if required by operator</t>
  </si>
  <si>
    <t xml:space="preserve">PS-FUN-005</t>
  </si>
  <si>
    <t xml:space="preserve">Base Game</t>
  </si>
  <si>
    <t xml:space="preserve">Reel layout</t>
  </si>
  <si>
    <t xml:space="preserve">Verify the base game shows 6 reels and each reel displays between 2 and 7 symbols per spin</t>
  </si>
  <si>
    <t xml:space="preserve">Base game loaded</t>
  </si>
  <si>
    <t xml:space="preserve">Observe 50 spins</t>
  </si>
  <si>
    <t xml:space="preserve">1. Spin 50 times at any bet
2. For each spin, count visible symbol rows on every reel
3. Record min and max per reel</t>
  </si>
  <si>
    <t xml:space="preserve">Every reel shows a symbol count in the range 2..7 on every spin; no reel shows 1 or 8+ positions; reel heights vary independently per reel</t>
  </si>
  <si>
    <t xml:space="preserve">Ref: GR-01, GR-02, M-06</t>
  </si>
  <si>
    <t xml:space="preserve">PS-FUN-006</t>
  </si>
  <si>
    <t xml:space="preserve">Ways counter</t>
  </si>
  <si>
    <t xml:space="preserve">Verify the ways-to-win counter equals the product of the symbol counts on all 6 reels</t>
  </si>
  <si>
    <t xml:space="preserve">Base game loaded; ways counter visible</t>
  </si>
  <si>
    <t xml:space="preserve">Example rows [2,3,4,5,6,7] =&gt; 2x3x4x5x6x7 = 5,040 ways</t>
  </si>
  <si>
    <t xml:space="preserve">1. Spin until a result is observed
2. Count rows on each reel
3. Multiply counts
4. Compare to on-screen ways counter</t>
  </si>
  <si>
    <t xml:space="preserve">Ways counter equals product of reel heights for every spin (e.g. 5,040 for [2,3,4,5,6,7]); counter updates when the reels stop</t>
  </si>
  <si>
    <t xml:space="preserve">PS-FUN-007</t>
  </si>
  <si>
    <t xml:space="preserve">Verify the maximum ways value 117,649 is displayed when all reels show 7 symbols</t>
  </si>
  <si>
    <t xml:space="preserve">Test tool / forced outcome to set all reel heights to 7</t>
  </si>
  <si>
    <t xml:space="preserve">Rows [7,7,7,7,7,7] =&gt; 7^6 = 117,649</t>
  </si>
  <si>
    <t xml:space="preserve">1. Force reel heights 7 on all reels
2. Spin
3. Read ways counter</t>
  </si>
  <si>
    <t xml:space="preserve">Ways counter shows 117,649 formatted with thousands separator; no truncation</t>
  </si>
  <si>
    <t xml:space="preserve">Desktop Chrome (latest)</t>
  </si>
  <si>
    <t xml:space="preserve">Ref: GR-01, M-06</t>
  </si>
  <si>
    <t xml:space="preserve">PS-FUN-008</t>
  </si>
  <si>
    <t xml:space="preserve">Verify the minimum ways value 64 is displayed when all reels show 2 symbols</t>
  </si>
  <si>
    <t xml:space="preserve">Test tool / forced outcome</t>
  </si>
  <si>
    <t xml:space="preserve">Rows [2,2,2,2,2,2] =&gt; 2^6 = 64</t>
  </si>
  <si>
    <t xml:space="preserve">1. Force reel heights 2 on all reels
2. Spin
3. Read ways counter</t>
  </si>
  <si>
    <t xml:space="preserve">Ways counter shows 64</t>
  </si>
  <si>
    <t xml:space="preserve">PS-FUN-009</t>
  </si>
  <si>
    <t xml:space="preserve">Spin</t>
  </si>
  <si>
    <t xml:space="preserve">Start spin</t>
  </si>
  <si>
    <t xml:space="preserve">Verify pressing the Play button starts exactly one game round at the selected bet</t>
  </si>
  <si>
    <t xml:space="preserve">Balance &gt;= selected bet</t>
  </si>
  <si>
    <t xml:space="preserve">Bet: 1.00; Balance: 100.00</t>
  </si>
  <si>
    <t xml:space="preserve">1. Note balance
2. Press Play once
3. Wait for round to complete</t>
  </si>
  <si>
    <t xml:space="preserve">One round starts; balance reduces by exactly 1.00 at spin start; one bet transaction in RGS; reels spin and stop; any win added after evaluation</t>
  </si>
  <si>
    <t xml:space="preserve">Ref: GR-22</t>
  </si>
  <si>
    <t xml:space="preserve">PS-FUN-010</t>
  </si>
  <si>
    <t xml:space="preserve">Space bar</t>
  </si>
  <si>
    <t xml:space="preserve">Verify pressing the space bar starts a game round on desktop</t>
  </si>
  <si>
    <t xml:space="preserve">Desktop browser; game canvas focused; no popup open</t>
  </si>
  <si>
    <t xml:space="preserve">Bet: 1.00</t>
  </si>
  <si>
    <t xml:space="preserve">1. Click on the game area to focus
2. Press space bar once
3. Observe round</t>
  </si>
  <si>
    <t xml:space="preserve">One round starts exactly as with the Play button; balance debited once</t>
  </si>
  <si>
    <t xml:space="preserve">Ref: GR-44</t>
  </si>
  <si>
    <t xml:space="preserve">PS-FUN-011</t>
  </si>
  <si>
    <t xml:space="preserve">Verify the space bar does not start a spin while a menu, bet panel, paytable or Buy Feature interface is open</t>
  </si>
  <si>
    <t xml:space="preserve">Desktop</t>
  </si>
  <si>
    <t xml:space="preserve">1. Open bet panel and press space
2. Open Menu and press space
3. Open Game Info and press space
4. Open Buy Feature interface and press space</t>
  </si>
  <si>
    <t xml:space="preserve">No spin starts and no balance change in any case; open panel remains stable</t>
  </si>
  <si>
    <t xml:space="preserve">Negative</t>
  </si>
  <si>
    <t xml:space="preserve">PS-FUN-012</t>
  </si>
  <si>
    <t xml:space="preserve">Quick Stop</t>
  </si>
  <si>
    <t xml:space="preserve">Verify pressing the spin button again during reel spin stops the reels early without changing the outcome</t>
  </si>
  <si>
    <t xml:space="preserve">Quick Stop available in jurisdiction</t>
  </si>
  <si>
    <t xml:space="preserve">Bet: 1.00; compare result with RGS response</t>
  </si>
  <si>
    <t xml:space="preserve">1. Press Play
2. Immediately press the spin button again
3. Compare final reel result and win with RGS round response</t>
  </si>
  <si>
    <t xml:space="preserve">Reels stop early; displayed symbols and win identical to RGS outcome; no second round started; no extra debit</t>
  </si>
  <si>
    <t xml:space="preserve">Ref: GR-31</t>
  </si>
  <si>
    <t xml:space="preserve">PS-FUN-013</t>
  </si>
  <si>
    <t xml:space="preserve">Verify Quick Stop is not available when disabled by jurisdiction configuration</t>
  </si>
  <si>
    <t xml:space="preserve">Operator/jurisdiction config with Quick Stop disabled</t>
  </si>
  <si>
    <t xml:space="preserve">Jurisdiction flag: quickStop=false</t>
  </si>
  <si>
    <t xml:space="preserve">1. Launch game with Quick Stop disabled
2. Press Play
3. Press spin button again while reels spin</t>
  </si>
  <si>
    <t xml:space="preserve">Reels complete full spin duration; second press ignored; no second round started</t>
  </si>
  <si>
    <t xml:space="preserve">PS-FUN-014</t>
  </si>
  <si>
    <t xml:space="preserve">Bet</t>
  </si>
  <si>
    <t xml:space="preserve">Bet panel</t>
  </si>
  <si>
    <t xml:space="preserve">Verify the Bet button opens the bet panel showing available bet options and the current bet</t>
  </si>
  <si>
    <t xml:space="preserve">Base game idle</t>
  </si>
  <si>
    <t xml:space="preserve">Bet ladder as configured (values TBC, see OBS-09)</t>
  </si>
  <si>
    <t xml:space="preserve">1. Press Bet button
2. Observe options
3. Close panel</t>
  </si>
  <si>
    <t xml:space="preserve">Bet panel opens; all configured bet levels listed or reachable via +/-; current bet highlighted; closing returns to base game with unchanged bet</t>
  </si>
  <si>
    <t xml:space="preserve">Ref: GR-20, GR-45, GR-52</t>
  </si>
  <si>
    <t xml:space="preserve">PS-FUN-015</t>
  </si>
  <si>
    <t xml:space="preserve">Increase/Decrease</t>
  </si>
  <si>
    <t xml:space="preserve">Verify bet increase and decrease controls step through every configured bet level in order</t>
  </si>
  <si>
    <t xml:space="preserve">Bet panel open</t>
  </si>
  <si>
    <t xml:space="preserve">Full bet ladder from config</t>
  </si>
  <si>
    <t xml:space="preserve">1. Set bet to minimum
2. Press increase repeatedly until maximum, recording each value
3. Press decrease until minimum</t>
  </si>
  <si>
    <t xml:space="preserve">Each press moves exactly one level; sequence matches config ladder in both directions; bet field updates immediately</t>
  </si>
  <si>
    <t xml:space="preserve">Ref: GR-20, GR-28</t>
  </si>
  <si>
    <t xml:space="preserve">PS-FUN-016</t>
  </si>
  <si>
    <t xml:space="preserve">Limits</t>
  </si>
  <si>
    <t xml:space="preserve">Verify the increase control is disabled at maximum bet and decrease control disabled at minimum bet</t>
  </si>
  <si>
    <t xml:space="preserve">Min Bet / Max Bet: Requires Specification/Confirmation: values are {{text1}} in rules</t>
  </si>
  <si>
    <t xml:space="preserve">1. Set bet to max; try increase
2. Set bet to min; try decrease</t>
  </si>
  <si>
    <t xml:space="preserve">Increase disabled/no effect at max; decrease disabled/no effect at min; bet never leaves configured range</t>
  </si>
  <si>
    <t xml:space="preserve">Boundary</t>
  </si>
  <si>
    <t xml:space="preserve">Ref: GR-20, GR-28 | OBS-09</t>
  </si>
  <si>
    <t xml:space="preserve">PS-FUN-017</t>
  </si>
  <si>
    <t xml:space="preserve">Bet persistence</t>
  </si>
  <si>
    <t xml:space="preserve">Verify the selected bet is retained after closing the bet panel and between consecutive spins</t>
  </si>
  <si>
    <t xml:space="preserve">Bet changed from 1.00 to 2.00</t>
  </si>
  <si>
    <t xml:space="preserve">1. Change bet to 2.00
2. Close panel
3. Spin 3 times</t>
  </si>
  <si>
    <t xml:space="preserve">All 3 rounds debited 2.00; bet field shows 2.00 throughout</t>
  </si>
  <si>
    <t xml:space="preserve">Ref: GR-20, GR-21</t>
  </si>
  <si>
    <t xml:space="preserve">PS-FUN-018</t>
  </si>
  <si>
    <t xml:space="preserve">Bet lock</t>
  </si>
  <si>
    <t xml:space="preserve">Verify bet controls are disabled while reels are spinning and during win presentation</t>
  </si>
  <si>
    <t xml:space="preserve">Base game</t>
  </si>
  <si>
    <t xml:space="preserve">1. Press Play
2. While reels spin, attempt to open bet panel / change bet
3. During win presentation attempt to change bet</t>
  </si>
  <si>
    <t xml:space="preserve">Bet controls disabled or ignored during spin; bet of current round unchanged in RGS record</t>
  </si>
  <si>
    <t xml:space="preserve">Ref: GR-20, GR-22</t>
  </si>
  <si>
    <t xml:space="preserve">PS-FUN-019</t>
  </si>
  <si>
    <t xml:space="preserve">Bet lock in Free Spins</t>
  </si>
  <si>
    <t xml:space="preserve">Verify bet cannot be changed during Free Spins</t>
  </si>
  <si>
    <t xml:space="preserve">Free Spins in progress (forced trigger)</t>
  </si>
  <si>
    <t xml:space="preserve">Trigger bet: 1.00</t>
  </si>
  <si>
    <t xml:space="preserve">1. Trigger Free Spins
2. During feature attempt to open bet panel</t>
  </si>
  <si>
    <t xml:space="preserve">Bet controls disabled for the whole feature; all Free Spins evaluated at 1.00</t>
  </si>
  <si>
    <t xml:space="preserve">Ref: GR-15</t>
  </si>
  <si>
    <t xml:space="preserve">PS-FUN-020</t>
  </si>
  <si>
    <t xml:space="preserve">Balance</t>
  </si>
  <si>
    <t xml:space="preserve">Debit</t>
  </si>
  <si>
    <t xml:space="preserve">Verify the balance is debited by exactly the bet amount once per paid spin</t>
  </si>
  <si>
    <t xml:space="preserve">Funded balance</t>
  </si>
  <si>
    <t xml:space="preserve">Balance 100.00; Bet 0.20 (or min configured)</t>
  </si>
  <si>
    <t xml:space="preserve">1. Note balance
2. Spin once with a losing result (forced)
3. Note balance</t>
  </si>
  <si>
    <t xml:space="preserve">Balance = 100.00 - 0.20 = 99.80; one debit transaction</t>
  </si>
  <si>
    <t xml:space="preserve">Credit</t>
  </si>
  <si>
    <t xml:space="preserve">Verify a base game win is credited to the balance and shown in the win field</t>
  </si>
  <si>
    <t xml:space="preserve">Forced winning outcome</t>
  </si>
  <si>
    <t xml:space="preserve">Bet 1.00; outcome AA on reels 1-3 (1 way) =&gt; win 1.00 x 15/20 = 0.75</t>
  </si>
  <si>
    <t xml:space="preserve">1. Note balance B0
2. Spin with forced outcome
3. Read win field and balance</t>
  </si>
  <si>
    <t xml:space="preserve">Win field 0.75; final balance = B0 - 1.00 + 0.75; RGS win transaction amount 0.75</t>
  </si>
  <si>
    <t xml:space="preserve">Ref: GR-04, GR-25, M-05, M-19</t>
  </si>
  <si>
    <t xml:space="preserve">PS-FUN-022</t>
  </si>
  <si>
    <t xml:space="preserve">Display sync</t>
  </si>
  <si>
    <t xml:space="preserve">Verify displayed balance matches the wallet balance after each round</t>
  </si>
  <si>
    <t xml:space="preserve">Wallet admin access</t>
  </si>
  <si>
    <t xml:space="preserve">10 consecutive rounds</t>
  </si>
  <si>
    <t xml:space="preserve">1. Play 10 rounds
2. After each round compare in-game balance with wallet backend balance</t>
  </si>
  <si>
    <t xml:space="preserve">Values match to the cent after every round</t>
  </si>
  <si>
    <t xml:space="preserve">Integration</t>
  </si>
  <si>
    <t xml:space="preserve">PS-FUN-023</t>
  </si>
  <si>
    <t xml:space="preserve">Paytable</t>
  </si>
  <si>
    <t xml:space="preserve">Symbol AA</t>
  </si>
  <si>
    <t xml:space="preserve">Verify paytable values for symbol AA for 3, 4, 5 and 6 of a kind at the current bet</t>
  </si>
  <si>
    <t xml:space="preserve">Game Info / paytable open</t>
  </si>
  <si>
    <t xml:space="preserve">Math pays (credits @ bet 20): 6=150, 5=60, 4=40, 3=15. At bet 1.00 =&gt; 6=7.50, 5=3.00, 4=2.00, 3=0.75</t>
  </si>
  <si>
    <t xml:space="preserve">1. Set bet 1.00
2. Open paytable
3. Read values for AA
4. Change bet to 2.00 and re-read</t>
  </si>
  <si>
    <t xml:space="preserve">At 1.00: 6x=7.50, 5x=3.00, 4x=2.00, 3x=0.75; at 2.00 all values double; no value shown for 2-of-a-kind (math has no 2oak pay, see OBS-03)</t>
  </si>
  <si>
    <t xml:space="preserve">Ref: GR-50, M-05, M-19 | OBS-03, OBS-15</t>
  </si>
  <si>
    <t xml:space="preserve">PS-FUN-024</t>
  </si>
  <si>
    <t xml:space="preserve">Symbol BB</t>
  </si>
  <si>
    <t xml:space="preserve">Verify paytable values for symbol BB for 3, 4, 5 and 6 of a kind at the current bet</t>
  </si>
  <si>
    <t xml:space="preserve">Math pays (credits @ bet 20): 6=60, 5=30, 4=20, 3=10. At bet 1.00 =&gt; 6=3.00, 5=1.50, 4=1.00, 3=0.50</t>
  </si>
  <si>
    <t xml:space="preserve">1. Set bet 1.00
2. Open paytable
3. Read values for BB
4. Change bet to 2.00 and re-read</t>
  </si>
  <si>
    <t xml:space="preserve">At 1.00: 6x=3.00, 5x=1.50, 4x=1.00, 3x=0.50; at 2.00 all values double; no value shown for 2-of-a-kind (math has no 2oak pay, see OBS-03)</t>
  </si>
  <si>
    <t xml:space="preserve">PS-FUN-025</t>
  </si>
  <si>
    <t xml:space="preserve">Symbol CC</t>
  </si>
  <si>
    <t xml:space="preserve">Verify paytable values for symbol CC for 3, 4, 5 and 6 of a kind at the current bet</t>
  </si>
  <si>
    <t xml:space="preserve">Math pays (credits @ bet 20): 6=40, 5=20, 4=15, 3=7. At bet 1.00 =&gt; 6=2.00, 5=1.00, 4=0.75, 3=0.35</t>
  </si>
  <si>
    <t xml:space="preserve">1. Set bet 1.00
2. Open paytable
3. Read values for CC
4. Change bet to 2.00 and re-read</t>
  </si>
  <si>
    <t xml:space="preserve">At 1.00: 6x=2.00, 5x=1.00, 4x=0.75, 3x=0.35; at 2.00 all values double; no value shown for 2-of-a-kind (math has no 2oak pay, see OBS-03)</t>
  </si>
  <si>
    <t xml:space="preserve">PS-FUN-026</t>
  </si>
  <si>
    <t xml:space="preserve">Symbol DD</t>
  </si>
  <si>
    <t xml:space="preserve">Verify paytable values for symbol DD for 3, 4, 5 and 6 of a kind at the current bet</t>
  </si>
  <si>
    <t xml:space="preserve">Math pays (credits @ bet 20): 6=30, 5=15, 4=10, 3=4. At bet 1.00 =&gt; 6=1.50, 5=0.75, 4=0.50, 3=0.20</t>
  </si>
  <si>
    <t xml:space="preserve">1. Set bet 1.00
2. Open paytable
3. Read values for DD
4. Change bet to 2.00 and re-read</t>
  </si>
  <si>
    <t xml:space="preserve">At 1.00: 6x=1.50, 5x=0.75, 4x=0.50, 3x=0.20; at 2.00 all values double; no value shown for 2-of-a-kind (math has no 2oak pay, see OBS-03)</t>
  </si>
  <si>
    <t xml:space="preserve">PS-FUN-027</t>
  </si>
  <si>
    <t xml:space="preserve">Symbol EE</t>
  </si>
  <si>
    <t xml:space="preserve">Verify paytable values for symbol EE for 3, 4, 5 and 6 of a kind at the current bet</t>
  </si>
  <si>
    <t xml:space="preserve">Math pays (credits @ bet 20): 6=30, 5=10, 4=8, 3=3. At bet 1.00 =&gt; 6=1.50, 5=0.50, 4=0.40, 3=0.15</t>
  </si>
  <si>
    <t xml:space="preserve">1. Set bet 1.00
2. Open paytable
3. Read values for EE
4. Change bet to 2.00 and re-read</t>
  </si>
  <si>
    <t xml:space="preserve">At 1.00: 6x=1.50, 5x=0.50, 4x=0.40, 3x=0.15; at 2.00 all values double; no value shown for 2-of-a-kind (math has no 2oak pay, see OBS-03)</t>
  </si>
  <si>
    <t xml:space="preserve">PS-FUN-028</t>
  </si>
  <si>
    <t xml:space="preserve">Symbol FF</t>
  </si>
  <si>
    <t xml:space="preserve">Verify paytable values for symbol FF for 3, 4, 5 and 6 of a kind at the current bet</t>
  </si>
  <si>
    <t xml:space="preserve">1. Set bet 1.00
2. Open paytable
3. Read values for FF
4. Change bet to 2.00 and re-read</t>
  </si>
  <si>
    <t xml:space="preserve">PS-FUN-029</t>
  </si>
  <si>
    <t xml:space="preserve">Symbol GG</t>
  </si>
  <si>
    <t xml:space="preserve">Verify paytable values for symbol GG for 3, 4, 5 and 6 of a kind at the current bet</t>
  </si>
  <si>
    <t xml:space="preserve">Math pays (credits @ bet 20): 6=20, 5=6, 4=4, 3=2. At bet 1.00 =&gt; 6=1.00, 5=0.30, 4=0.20, 3=0.10</t>
  </si>
  <si>
    <t xml:space="preserve">1. Set bet 1.00
2. Open paytable
3. Read values for GG
4. Change bet to 2.00 and re-read</t>
  </si>
  <si>
    <t xml:space="preserve">At 1.00: 6x=1.00, 5x=0.30, 4x=0.20, 3x=0.10; at 2.00 all values double; no value shown for 2-of-a-kind (math has no 2oak pay, see OBS-03)</t>
  </si>
  <si>
    <t xml:space="preserve">PS-FUN-030</t>
  </si>
  <si>
    <t xml:space="preserve">Symbol HH</t>
  </si>
  <si>
    <t xml:space="preserve">Verify paytable values for symbol HH for 3, 4, 5 and 6 of a kind at the current bet</t>
  </si>
  <si>
    <t xml:space="preserve">1. Set bet 1.00
2. Open paytable
3. Read values for HH
4. Change bet to 2.00 and re-read</t>
  </si>
  <si>
    <t xml:space="preserve">PS-FUN-031</t>
  </si>
  <si>
    <t xml:space="preserve">Symbol JJ</t>
  </si>
  <si>
    <t xml:space="preserve">Verify paytable values for symbol JJ for 3, 4, 5 and 6 of a kind at the current bet</t>
  </si>
  <si>
    <t xml:space="preserve">1. Set bet 1.00
2. Open paytable
3. Read values for JJ
4. Change bet to 2.00 and re-read</t>
  </si>
  <si>
    <t xml:space="preserve">PS-FUN-032</t>
  </si>
  <si>
    <t xml:space="preserve">Symbol KK</t>
  </si>
  <si>
    <t xml:space="preserve">Verify paytable values for symbol KK for 3, 4, 5 and 6 of a kind at the current bet</t>
  </si>
  <si>
    <t xml:space="preserve">Math pays (credits @ bet 20): 6=10, 5=4, 4=2, 3=1. At bet 1.00 =&gt; 6=0.50, 5=0.20, 4=0.10, 3=0.05</t>
  </si>
  <si>
    <t xml:space="preserve">1. Set bet 1.00
2. Open paytable
3. Read values for KK
4. Change bet to 2.00 and re-read</t>
  </si>
  <si>
    <t xml:space="preserve">At 1.00: 6x=0.50, 5x=0.20, 4x=0.10, 3x=0.05; at 2.00 all values double; no value shown for 2-of-a-kind (math has no 2oak pay, see OBS-03)</t>
  </si>
  <si>
    <t xml:space="preserve">PS-FUN-033</t>
  </si>
  <si>
    <t xml:space="preserve">Symbol LL</t>
  </si>
  <si>
    <t xml:space="preserve">Verify paytable values for symbol LL for 3, 4, 5 and 6 of a kind at the current bet</t>
  </si>
  <si>
    <t xml:space="preserve">1. Set bet 1.00
2. Open paytable
3. Read values for LL
4. Change bet to 2.00 and re-read</t>
  </si>
  <si>
    <t xml:space="preserve">PS-FUN-034</t>
  </si>
  <si>
    <t xml:space="preserve">Bet scaling</t>
  </si>
  <si>
    <t xml:space="preserve">Verify all paytable values scale linearly when bet changes</t>
  </si>
  <si>
    <t xml:space="preserve">Paytable open</t>
  </si>
  <si>
    <t xml:space="preserve">Bets: min, 1.00, max</t>
  </si>
  <si>
    <t xml:space="preserve">1. Open paytable at min bet and record all values
2. Repeat at 1.00 and at max</t>
  </si>
  <si>
    <t xml:space="preserve">Each value = bet x pay(credits)/20; ratios between bets exactly equal bet ratios; rounding per currency precision</t>
  </si>
  <si>
    <t xml:space="preserve">Ref: GR-04, GR-50, M-19</t>
  </si>
  <si>
    <t xml:space="preserve">PS-FUN-035</t>
  </si>
  <si>
    <t xml:space="preserve">Symbol tap</t>
  </si>
  <si>
    <t xml:space="preserve">Verify selecting a symbol on the reels shows that symbol's paytable information</t>
  </si>
  <si>
    <t xml:space="preserve">Base game idle, reels stopped</t>
  </si>
  <si>
    <t xml:space="preserve">Any visible symbol</t>
  </si>
  <si>
    <t xml:space="preserve">1. Tap/click a symbol on the reels
2. Read popup
3. Tap a Wild and a Bonus symbol</t>
  </si>
  <si>
    <t xml:space="preserve">Popup shows the correct symbol and its 3-6 OAK payouts at current bet; Wild/Bonus show their description; popup closes on tap outside/close</t>
  </si>
  <si>
    <t xml:space="preserve">Ref: GR-51</t>
  </si>
  <si>
    <t xml:space="preserve">PS-FUN-036</t>
  </si>
  <si>
    <t xml:space="preserve">Symbol tap lock</t>
  </si>
  <si>
    <t xml:space="preserve">Verify symbol paytable popup cannot be opened while reels are spinning or during feature transitions</t>
  </si>
  <si>
    <t xml:space="preserve">Spin in progress</t>
  </si>
  <si>
    <t xml:space="preserve">1. Press Play
2. Tap a reel symbol while spinning</t>
  </si>
  <si>
    <t xml:space="preserve">No popup opens; spin unaffected</t>
  </si>
  <si>
    <t xml:space="preserve">Low</t>
  </si>
  <si>
    <t xml:space="preserve">PS-FUN-037</t>
  </si>
  <si>
    <t xml:space="preserve">Content</t>
  </si>
  <si>
    <t xml:space="preserve">Verify paytable content describes Wild, Bonus, both Free Spins options, Buy Free Spins and Megaways mechanics consistent with game behaviour</t>
  </si>
  <si>
    <t xml:space="preserve">Game Info open</t>
  </si>
  <si>
    <t xml:space="preserve">Approved game rules document</t>
  </si>
  <si>
    <t xml:space="preserve">1. Open Game Info
2. Compare every section against approved rules
3. Compare against observed behaviour</t>
  </si>
  <si>
    <t xml:space="preserve">Content matches approved rules; no placeholder text ({{text1}}); no reference to paylines if game is ways-based</t>
  </si>
  <si>
    <t xml:space="preserve">No</t>
  </si>
  <si>
    <t xml:space="preserve">Ref: GR-48, GR-59 | OBS-04, OBS-09</t>
  </si>
  <si>
    <t xml:space="preserve">PS-FUN-038</t>
  </si>
  <si>
    <t xml:space="preserve">Win Evaluation</t>
  </si>
  <si>
    <t xml:space="preserve">Left to right</t>
  </si>
  <si>
    <t xml:space="preserve">Verify wins pay only for matching symbols on adjacent reels starting from reel 1</t>
  </si>
  <si>
    <t xml:space="preserve">Forced outcomes</t>
  </si>
  <si>
    <t xml:space="preserve">Case A: BB on R1,R2,R3 =&gt; pays. Case B: BB on R2,R3,R4 (not R1) =&gt; no pay</t>
  </si>
  <si>
    <t xml:space="preserve">1. Force Case A and spin
2. Force Case B and spin</t>
  </si>
  <si>
    <t xml:space="preserve">Case A pays 1.00 x 10/20 = 0.50 at bet 1.00; Case B pays 0.00</t>
  </si>
  <si>
    <t xml:space="preserve">Ref: GR-03, GR-24</t>
  </si>
  <si>
    <t xml:space="preserve">PS-FUN-039</t>
  </si>
  <si>
    <t xml:space="preserve">Adjacency break</t>
  </si>
  <si>
    <t xml:space="preserve">Verify a combination stops at the first reel without the symbol (or substituting Wild)</t>
  </si>
  <si>
    <t xml:space="preserve">Forced outcome</t>
  </si>
  <si>
    <t xml:space="preserve">AA on R1,R2,R3, no AA/WC on R4, AA on R5,R6</t>
  </si>
  <si>
    <t xml:space="preserve">1. Force outcome
2. Spin</t>
  </si>
  <si>
    <t xml:space="preserve">Paid as 3 OAK only: 0.75 at bet 1.00; reels 5-6 not counted</t>
  </si>
  <si>
    <t xml:space="preserve">Ref: GR-03</t>
  </si>
  <si>
    <t xml:space="preserve">PS-FUN-040</t>
  </si>
  <si>
    <t xml:space="preserve">Ways multiplication</t>
  </si>
  <si>
    <t xml:space="preserve">Verify a win is multiplied by the number of ways (count of symbol on each contributing reel)</t>
  </si>
  <si>
    <t xml:space="preserve">KK x2 on R1, x1 on R2, x3 on R3, none on R4 =&gt; 2x1x3 = 6 ways x 3oak KK (1 cr) =&gt; 6 x 1.00 x 1/20 = 0.30</t>
  </si>
  <si>
    <t xml:space="preserve">1. Force outcome
2. Spin at bet 1.00
3. Read win</t>
  </si>
  <si>
    <t xml:space="preserve">Total win 0.30; win presentation highlights all 6 KK positions</t>
  </si>
  <si>
    <t xml:space="preserve">Ref: GR-01, GR-03, M-05 | OBS-04</t>
  </si>
  <si>
    <t xml:space="preserve">PS-FUN-041</t>
  </si>
  <si>
    <t xml:space="preserve">Minimum combination</t>
  </si>
  <si>
    <t xml:space="preserve">Verify 2 matching symbols from reel 1 do not pay for any symbol</t>
  </si>
  <si>
    <t xml:space="preserve">AA on R1,R2 only (highest symbol)</t>
  </si>
  <si>
    <t xml:space="preserve">Requires Specification/Confirmation: Math pays 3 OAK minimum for all symbols (no 2 OAK pay). Rules state 2+ high-value symbols pay. Expected per math: win 0.00. Raise discrepancy OBS-03</t>
  </si>
  <si>
    <t xml:space="preserve">Ref: GR-23, M-05 | OBS-03</t>
  </si>
  <si>
    <t xml:space="preserve">PS-FUN-042</t>
  </si>
  <si>
    <t xml:space="preserve">Multiple symbol wins</t>
  </si>
  <si>
    <t xml:space="preserve">Verify multiple different symbol wins in one spin are summed</t>
  </si>
  <si>
    <t xml:space="preserve">AA 3oak (1 way) + KK 3oak (2 ways) at bet 1.00 =&gt; 0.75 + 2 x 0.05 = 0.85</t>
  </si>
  <si>
    <t xml:space="preserve">Total win 0.85; each combination presented; win field shows total</t>
  </si>
  <si>
    <t xml:space="preserve">Ref: GR-25, M-05</t>
  </si>
  <si>
    <t xml:space="preserve">PS-FUN-043</t>
  </si>
  <si>
    <t xml:space="preserve">Highest combination</t>
  </si>
  <si>
    <t xml:space="preserve">Verify only the longest combination for a given symbol/way is paid (no double pay of 3oak inside a 4oak)</t>
  </si>
  <si>
    <t xml:space="preserve">CC on R1-R4 (1 way)</t>
  </si>
  <si>
    <t xml:space="preserve">1. Force outcome
2. Spin at bet 1.00</t>
  </si>
  <si>
    <t xml:space="preserve">Paid as 4 OAK only: 15/20 = 0.75; not 0.75 + 0.35</t>
  </si>
  <si>
    <t xml:space="preserve">Ref: GR-26, GR-27, M-05</t>
  </si>
  <si>
    <t xml:space="preserve">PS-FUN-044</t>
  </si>
  <si>
    <t xml:space="preserve">Higher match pays more</t>
  </si>
  <si>
    <t xml:space="preserve">Verify for every symbol that pay(n+1 OAK) &gt; pay(n OAK)</t>
  </si>
  <si>
    <t xml:space="preserve">Math paytable</t>
  </si>
  <si>
    <t xml:space="preserve">Paytable from M-05</t>
  </si>
  <si>
    <t xml:space="preserve">1. For each symbol compare 3/4/5/6 OAK pays in paytable</t>
  </si>
  <si>
    <t xml:space="preserve">Strictly increasing for all symbols (e.g. KK 1&lt;2&lt;4&lt;10)</t>
  </si>
  <si>
    <t xml:space="preserve">N/A (RGS / Simulation)</t>
  </si>
  <si>
    <t xml:space="preserve">Ref: GR-27, M-05</t>
  </si>
  <si>
    <t xml:space="preserve">PS-FUN-045</t>
  </si>
  <si>
    <t xml:space="preserve">Wild</t>
  </si>
  <si>
    <t xml:space="preserve">Base game wild presence</t>
  </si>
  <si>
    <t xml:space="preserve">Verify Wild symbols can appear in the base game only on reels 2, 3, 4 and 5</t>
  </si>
  <si>
    <t xml:space="preserve">Log/replay access over a large sample (or reel strip review)</t>
  </si>
  <si>
    <t xml:space="preserve">BG reel strips: WC count 0 on R1 and R6</t>
  </si>
  <si>
    <t xml:space="preserve">1. Review BG1-BG9 reel strips
2. Play 500 spins and log Wild positions</t>
  </si>
  <si>
    <t xml:space="preserve">No Wild ever lands on reel 1 or reel 6 in base game</t>
  </si>
  <si>
    <t xml:space="preserve">Ref: M-07 | OBS-02</t>
  </si>
  <si>
    <t xml:space="preserve">PS-FUN-046</t>
  </si>
  <si>
    <t xml:space="preserve">Substitution</t>
  </si>
  <si>
    <t xml:space="preserve">Verify Wild substitutes for all paying symbols to complete a combination</t>
  </si>
  <si>
    <t xml:space="preserve">AA R1, WC(x1) R2, AA R3 at bet 1.00 =&gt; 0.75</t>
  </si>
  <si>
    <t xml:space="preserve">Requires Specification/Confirmation: Rules do not describe the base game Wild or what it substitutes for. Expected per math: AA 3oak paid 0.75 (x1)</t>
  </si>
  <si>
    <t xml:space="preserve">PS-FUN-047</t>
  </si>
  <si>
    <t xml:space="preserve">Bonus not substituted</t>
  </si>
  <si>
    <t xml:space="preserve">Verify Wild does not substitute for the Bonus symbol</t>
  </si>
  <si>
    <t xml:space="preserve">2 BN + 1 WC in view</t>
  </si>
  <si>
    <t xml:space="preserve">Requires Specification/Confirmation: Expected (industry default, math BN pay 0): Free Spins NOT triggered; confirm rule wording</t>
  </si>
  <si>
    <t xml:space="preserve">Ref: GR-14, M-08 | OBS-02</t>
  </si>
  <si>
    <t xml:space="preserve">PS-FUN-048</t>
  </si>
  <si>
    <t xml:space="preserve">Base game multiplier</t>
  </si>
  <si>
    <t xml:space="preserve">Verify base game Wild multipliers are applied to the way they participate in</t>
  </si>
  <si>
    <t xml:space="preserve">AA R1, WC x2 R2, AA R3 at bet 1.00 =&gt; 0.75 x 2 = 1.50</t>
  </si>
  <si>
    <t xml:space="preserve">1. Force outcome with WC x2
2. Spin</t>
  </si>
  <si>
    <t xml:space="preserve">Requires Specification/Confirmation: Math defines base game Wild multiplier x1/x2/x3 (weights 10/5/2); rules silent. Expected per math: 1.50</t>
  </si>
  <si>
    <t xml:space="preserve">Ref: M-07, GR-13 | OBS-02</t>
  </si>
  <si>
    <t xml:space="preserve">PS-FUN-049</t>
  </si>
  <si>
    <t xml:space="preserve">Only wilds</t>
  </si>
  <si>
    <t xml:space="preserve">Verify a line of only Wilds (no paying symbol from reel 1) does not pay</t>
  </si>
  <si>
    <t xml:space="preserve">Reel 1 has no match; WC on R2-R5</t>
  </si>
  <si>
    <t xml:space="preserve">No win awarded from Wilds alone (Wild cannot appear on reel 1, so a wild-only combination is impossible); win 0.00 for that way</t>
  </si>
  <si>
    <t xml:space="preserve">PS-FUN-050</t>
  </si>
  <si>
    <t xml:space="preserve">Bonus Symbol</t>
  </si>
  <si>
    <t xml:space="preserve">Trigger</t>
  </si>
  <si>
    <t xml:space="preserve">Verify 3 Bonus symbols anywhere on the reels trigger Free Spins</t>
  </si>
  <si>
    <t xml:space="preserve">3 BN on R1, R4, R6 (non-adjacent)</t>
  </si>
  <si>
    <t xml:space="preserve">Free Spins triggered; FS type selection screen shown</t>
  </si>
  <si>
    <t xml:space="preserve">Ref: GR-14, GR-16</t>
  </si>
  <si>
    <t xml:space="preserve">PS-FUN-051</t>
  </si>
  <si>
    <t xml:space="preserve">Non-trigger</t>
  </si>
  <si>
    <t xml:space="preserve">Verify 2 Bonus symbols do not trigger Free Spins</t>
  </si>
  <si>
    <t xml:space="preserve">2 BN on R1 and R2</t>
  </si>
  <si>
    <t xml:space="preserve">No feature triggered; normal round result; no FS selection screen</t>
  </si>
  <si>
    <t xml:space="preserve">Ref: GR-14</t>
  </si>
  <si>
    <t xml:space="preserve">PS-FUN-052</t>
  </si>
  <si>
    <t xml:space="preserve">Reels</t>
  </si>
  <si>
    <t xml:space="preserve">Verify Bonus symbol can land on all 6 reels in the base game</t>
  </si>
  <si>
    <t xml:space="preserve">Reel strip review / log sample</t>
  </si>
  <si>
    <t xml:space="preserve">BG reel strips: BN present on R1-R6</t>
  </si>
  <si>
    <t xml:space="preserve">1. Review BG reel strips
2. Log BN landing reels over sample</t>
  </si>
  <si>
    <t xml:space="preserve">BN observed on each of reels 1-6</t>
  </si>
  <si>
    <t xml:space="preserve">Ref: M-08</t>
  </si>
  <si>
    <t xml:space="preserve">PS-FUN-053</t>
  </si>
  <si>
    <t xml:space="preserve">No pay</t>
  </si>
  <si>
    <t xml:space="preserve">Verify Bonus symbols do not award a line/ways pay</t>
  </si>
  <si>
    <t xml:space="preserve">2 BN on R1-R2 with no other win</t>
  </si>
  <si>
    <t xml:space="preserve">Win 0.00 (BN pay is 0 in math)</t>
  </si>
  <si>
    <t xml:space="preserve">PS-FUN-054</t>
  </si>
  <si>
    <t xml:space="preserve">Free Spins</t>
  </si>
  <si>
    <t xml:space="preserve">Choice screen</t>
  </si>
  <si>
    <t xml:space="preserve">Verify the player can choose Sticky Wilds Free Spins or Raining Wilds Free Spins after trigger</t>
  </si>
  <si>
    <t xml:space="preserve">3+ BN trigger</t>
  </si>
  <si>
    <t xml:space="preserve">3 BN</t>
  </si>
  <si>
    <t xml:space="preserve">1. Trigger FS
2. Observe choice screen
3. Select Sticky Wilds</t>
  </si>
  <si>
    <t xml:space="preserve">Both options displayed with correct number of spins for the BN count (3 BN: Sticky 7, Raining 15); selection starts the chosen feature</t>
  </si>
  <si>
    <t xml:space="preserve">Ref: GR-16, GR-17, GR-05, GR-09</t>
  </si>
  <si>
    <t xml:space="preserve">PS-FUN-055</t>
  </si>
  <si>
    <t xml:space="preserve">Choice screen no timeout</t>
  </si>
  <si>
    <t xml:space="preserve">Verify the choice screen waits for player input and does not auto-select</t>
  </si>
  <si>
    <t xml:space="preserve">Choice screen open</t>
  </si>
  <si>
    <t xml:space="preserve">Wait 5 minutes</t>
  </si>
  <si>
    <t xml:space="preserve">1. Trigger FS
2. Do not select for 5 minutes</t>
  </si>
  <si>
    <t xml:space="preserve">Requires Specification/Confirmation: Rules do not define auto-selection/timeout. Expected: screen remains awaiting input; no auto selection unless specified</t>
  </si>
  <si>
    <t xml:space="preserve">Ref: GR-16</t>
  </si>
  <si>
    <t xml:space="preserve">PS-FUN-056</t>
  </si>
  <si>
    <t xml:space="preserve">Same bet</t>
  </si>
  <si>
    <t xml:space="preserve">Verify Free Spins are played at the same bet as the triggering spin and no bet is debited per Free Spin</t>
  </si>
  <si>
    <t xml:space="preserve">Trigger at bet 2.00</t>
  </si>
  <si>
    <t xml:space="preserve">Bet 2.00</t>
  </si>
  <si>
    <t xml:space="preserve">1. Trigger FS at 2.00
2. Play all FS
3. Check RGS records and balance</t>
  </si>
  <si>
    <t xml:space="preserve">All FS evaluated at 2.00; no debit during FS; paytable/wins scaled to 2.00</t>
  </si>
  <si>
    <t xml:space="preserve">PS-FUN-057</t>
  </si>
  <si>
    <t xml:space="preserve">Buy Free Spins</t>
  </si>
  <si>
    <t xml:space="preserve">Open interface</t>
  </si>
  <si>
    <t xml:space="preserve">Verify selecting Buy Feature opens the Buy Feature interface showing cost and available settings</t>
  </si>
  <si>
    <t xml:space="preserve">Buy Feature enabled for jurisdiction; base game idle</t>
  </si>
  <si>
    <t xml:space="preserve">Bet 1.00 =&gt; cost 100.00</t>
  </si>
  <si>
    <t xml:space="preserve">1. Press Buy Feature
2. Observe interface</t>
  </si>
  <si>
    <t xml:space="preserve">Interface opens; cost shown as 100 x total bet = 100.00; available options displayed (FS type selection if offered, see OBS-10); Confirm and Cancel present</t>
  </si>
  <si>
    <t xml:space="preserve">Ref: GR-32, GR-36, M-14 | OBS-10</t>
  </si>
  <si>
    <t xml:space="preserve">PS-FUN-058</t>
  </si>
  <si>
    <t xml:space="preserve">Cost</t>
  </si>
  <si>
    <t xml:space="preserve">Verify Buy cost is exactly 100x the total bet for every bet level</t>
  </si>
  <si>
    <t xml:space="preserve">Buy interface</t>
  </si>
  <si>
    <t xml:space="preserve">1. Open Buy at min bet
2. Read cost
3. Repeat at 1.00 and max</t>
  </si>
  <si>
    <t xml:space="preserve">Cost = 100 x bet in every case (e.g. 0.20 =&gt; 20.00; 1.00 =&gt; 100.00)</t>
  </si>
  <si>
    <t xml:space="preserve">Ref: GR-36, M-14</t>
  </si>
  <si>
    <t xml:space="preserve">PS-FUN-059</t>
  </si>
  <si>
    <t xml:space="preserve">Confirm</t>
  </si>
  <si>
    <t xml:space="preserve">Verify confirming the purchase debits 100x bet once and starts the feature-triggering spin</t>
  </si>
  <si>
    <t xml:space="preserve">Balance &gt;= 100 x bet</t>
  </si>
  <si>
    <t xml:space="preserve">Bet 1.00; balance 500.00</t>
  </si>
  <si>
    <t xml:space="preserve">1. Open Buy
2. Confirm
3. Observe spin and balance</t>
  </si>
  <si>
    <t xml:space="preserve">Balance debited 100.00 once; triggering spin lands 3+ BN; FS starts; RGS shows one buy transaction</t>
  </si>
  <si>
    <t xml:space="preserve">Ref: GR-33, GR-36</t>
  </si>
  <si>
    <t xml:space="preserve">PS-FUN-060</t>
  </si>
  <si>
    <t xml:space="preserve">Cancel</t>
  </si>
  <si>
    <t xml:space="preserve">Verify cancelling the Buy interface makes no debit and returns to base game</t>
  </si>
  <si>
    <t xml:space="preserve">Buy interface open</t>
  </si>
  <si>
    <t xml:space="preserve">Bet 1.00</t>
  </si>
  <si>
    <t xml:space="preserve">1. Open Buy
2. Press Cancel/Close</t>
  </si>
  <si>
    <t xml:space="preserve">No debit; base game idle; bet unchanged</t>
  </si>
  <si>
    <t xml:space="preserve">Ref: GR-32, GR-52</t>
  </si>
  <si>
    <t xml:space="preserve">PS-FUN-061</t>
  </si>
  <si>
    <t xml:space="preserve">Triggering spin win</t>
  </si>
  <si>
    <t xml:space="preserve">Verify the feature-triggering spin pays any symbol wins on that spin</t>
  </si>
  <si>
    <t xml:space="preserve">Forced buy outcome containing a win</t>
  </si>
  <si>
    <t xml:space="preserve">Triggering spin with AA 3oak (1 way) at bet 1.00 =&gt; 0.75</t>
  </si>
  <si>
    <t xml:space="preserve">1. Buy feature with forced outcome
2. Observe triggering spin win</t>
  </si>
  <si>
    <t xml:space="preserve">0.75 awarded from the triggering spin in addition to FS feature winnings</t>
  </si>
  <si>
    <t xml:space="preserve">Ref: GR-34</t>
  </si>
  <si>
    <t xml:space="preserve">PS-FUN-062</t>
  </si>
  <si>
    <t xml:space="preserve">Bet revert</t>
  </si>
  <si>
    <t xml:space="preserve">Verify after the bought feature ends the bet reverts to the value selected before purchase</t>
  </si>
  <si>
    <t xml:space="preserve">Bet 1.00 before purchase; any bet setting inside Buy interface if supported</t>
  </si>
  <si>
    <t xml:space="preserve">Pre-buy bet 1.00</t>
  </si>
  <si>
    <t xml:space="preserve">1. Set bet 1.00
2. Open Buy and choose bet 2.00 if interface allows
3. Complete feature
4. Check bet field</t>
  </si>
  <si>
    <t xml:space="preserve">Bet field returns to 1.00 after feature end</t>
  </si>
  <si>
    <t xml:space="preserve">Ref: GR-35</t>
  </si>
  <si>
    <t xml:space="preserve">PS-FUN-063</t>
  </si>
  <si>
    <t xml:space="preserve">Insufficient balance</t>
  </si>
  <si>
    <t xml:space="preserve">Verify Buy Feature is disabled or rejected when balance is below 100x bet</t>
  </si>
  <si>
    <t xml:space="preserve">Balance 99.99 at bet 1.00</t>
  </si>
  <si>
    <t xml:space="preserve">Balance 99.99</t>
  </si>
  <si>
    <t xml:space="preserve">1. Open Buy
2. Try to confirm</t>
  </si>
  <si>
    <t xml:space="preserve">Confirm disabled or insufficient funds message; no debit; no FS</t>
  </si>
  <si>
    <t xml:space="preserve">Ref: GR-36</t>
  </si>
  <si>
    <t xml:space="preserve">PS-FUN-064</t>
  </si>
  <si>
    <t xml:space="preserve">Jurisdiction</t>
  </si>
  <si>
    <t xml:space="preserve">Verify Buy Feature is hidden in jurisdictions where it is not permitted</t>
  </si>
  <si>
    <t xml:space="preserve">Jurisdiction config with buy disabled (e.g. UKGC)</t>
  </si>
  <si>
    <t xml:space="preserve">Flag buyFeature=false</t>
  </si>
  <si>
    <t xml:space="preserve">1. Launch game</t>
  </si>
  <si>
    <t xml:space="preserve">Buy Feature button not displayed; no route to purchase</t>
  </si>
  <si>
    <t xml:space="preserve">Compliance</t>
  </si>
  <si>
    <t xml:space="preserve">Ref: GR-32</t>
  </si>
  <si>
    <t xml:space="preserve">PS-FUN-065</t>
  </si>
  <si>
    <t xml:space="preserve">Turbo Spin</t>
  </si>
  <si>
    <t xml:space="preserve">Toggle</t>
  </si>
  <si>
    <t xml:space="preserve">Verify the Turbo button toggles Turbo Spin on and off and the button state reflects the mode</t>
  </si>
  <si>
    <t xml:space="preserve">1. Press Turbo
2. Spin
3. Press Turbo again
4. Spin</t>
  </si>
  <si>
    <t xml:space="preserve">Turbo on: shorter reel spin and faster win animations; button shows enabled state. Turbo off: normal speed; button shows disabled state</t>
  </si>
  <si>
    <t xml:space="preserve">Ref: GR-37, GR-52</t>
  </si>
  <si>
    <t xml:space="preserve">PS-FUN-066</t>
  </si>
  <si>
    <t xml:space="preserve">Outcome integrity</t>
  </si>
  <si>
    <t xml:space="preserve">Verify Turbo Spin does not change results, wins or balance</t>
  </si>
  <si>
    <t xml:space="preserve">Turbo on</t>
  </si>
  <si>
    <t xml:space="preserve">20 spins</t>
  </si>
  <si>
    <t xml:space="preserve">1. Play 20 spins in Turbo
2. Compare outcomes with RGS logs</t>
  </si>
  <si>
    <t xml:space="preserve">Displayed results and wins match RGS; balance correct</t>
  </si>
  <si>
    <t xml:space="preserve">Ref: GR-37</t>
  </si>
  <si>
    <t xml:space="preserve">PS-FUN-067</t>
  </si>
  <si>
    <t xml:space="preserve">Quick Spin</t>
  </si>
  <si>
    <t xml:space="preserve">Verify Quick Spin can be enabled and speeds up gameplay where available</t>
  </si>
  <si>
    <t xml:space="preserve">Jurisdiction allowing Quick Spin</t>
  </si>
  <si>
    <t xml:space="preserve">1. Enable Quick Spin in settings
2. Spin 5 times
3. Disable</t>
  </si>
  <si>
    <t xml:space="preserve">Requires Specification/Confirmation: Rules list both Quick Spin and Turbo Spin; confirm whether they are the same control (OBS-18). Expected: faster spins when enabled</t>
  </si>
  <si>
    <t xml:space="preserve">Ref: GR-30 | OBS-18</t>
  </si>
  <si>
    <t xml:space="preserve">PS-FUN-068</t>
  </si>
  <si>
    <t xml:space="preserve">Verify Quick Spin/Turbo is unavailable where disallowed</t>
  </si>
  <si>
    <t xml:space="preserve">Jurisdiction with minimum spin duration rule</t>
  </si>
  <si>
    <t xml:space="preserve">Flag quickSpin=false</t>
  </si>
  <si>
    <t xml:space="preserve">1. Launch game
2. Look for Quick Spin/Turbo</t>
  </si>
  <si>
    <t xml:space="preserve">Controls hidden or disabled; spin duration meets jurisdiction minimum</t>
  </si>
  <si>
    <t xml:space="preserve">Ref: GR-30</t>
  </si>
  <si>
    <t xml:space="preserve">PS-FUN-069</t>
  </si>
  <si>
    <t xml:space="preserve">Auto Spin</t>
  </si>
  <si>
    <t xml:space="preserve">Open desktop</t>
  </si>
  <si>
    <t xml:space="preserve">Verify clicking and holding Play for 2 seconds opens the Auto Spin menu on desktop</t>
  </si>
  <si>
    <t xml:space="preserve">Hold 2.0s</t>
  </si>
  <si>
    <t xml:space="preserve">1. Click and hold Play for 2 seconds
2. Release</t>
  </si>
  <si>
    <t xml:space="preserve">Auto Spin menu opens; no spin started by the hold</t>
  </si>
  <si>
    <t xml:space="preserve">Ref: GR-38, GR-52</t>
  </si>
  <si>
    <t xml:space="preserve">PS-FUN-070</t>
  </si>
  <si>
    <t xml:space="preserve">Short press</t>
  </si>
  <si>
    <t xml:space="preserve">Verify a press shorter than 2 seconds starts a normal spin and does not open Auto Spin</t>
  </si>
  <si>
    <t xml:space="preserve">Desktop and mobile</t>
  </si>
  <si>
    <t xml:space="preserve">Hold ~0.5s</t>
  </si>
  <si>
    <t xml:space="preserve">1. Press and release Play quickly</t>
  </si>
  <si>
    <t xml:space="preserve">Single spin starts; Auto Spin menu does not open</t>
  </si>
  <si>
    <t xml:space="preserve">Ref: GR-38</t>
  </si>
  <si>
    <t xml:space="preserve">PS-FUN-071</t>
  </si>
  <si>
    <t xml:space="preserve">Open mobile</t>
  </si>
  <si>
    <t xml:space="preserve">Verify tap and hold Play for 2 seconds opens Auto Spin on mobile and Start begins the session</t>
  </si>
  <si>
    <t xml:space="preserve">Mobile device</t>
  </si>
  <si>
    <t xml:space="preserve">10 spins</t>
  </si>
  <si>
    <t xml:space="preserve">1. Tap and hold Play 2s
2. Select 10
3. Tap Start</t>
  </si>
  <si>
    <t xml:space="preserve">Menu opens on hold; auto spins start only after Start is tapped</t>
  </si>
  <si>
    <t xml:space="preserve">Mobile (iOS Safari / Android Chrome)</t>
  </si>
  <si>
    <t xml:space="preserve">Ref: GR-39</t>
  </si>
  <si>
    <t xml:space="preserve">PS-FUN-072</t>
  </si>
  <si>
    <t xml:space="preserve">Count completion</t>
  </si>
  <si>
    <t xml:space="preserve">Verify Auto Spin plays exactly the selected number of spins and then stops</t>
  </si>
  <si>
    <t xml:space="preserve">Balance sufficient</t>
  </si>
  <si>
    <t xml:space="preserve">10 spins at bet 1.00</t>
  </si>
  <si>
    <t xml:space="preserve">1. Start 10 auto spins
2. Count rounds</t>
  </si>
  <si>
    <t xml:space="preserve">Exactly 10 rounds, 10 debits of 1.00; Auto Spin ends automatically</t>
  </si>
  <si>
    <t xml:space="preserve">Ref: GR-43</t>
  </si>
  <si>
    <t xml:space="preserve">PS-FUN-073</t>
  </si>
  <si>
    <t xml:space="preserve">Panel counters</t>
  </si>
  <si>
    <t xml:space="preserve">Verify the Auto Spin panel shows total selected spins, remaining spins and total win for the session</t>
  </si>
  <si>
    <t xml:space="preserve">Auto Spin running</t>
  </si>
  <si>
    <t xml:space="preserve">1. Start 10 auto spins
2. Observe panel after each spin</t>
  </si>
  <si>
    <t xml:space="preserve">Total = 10; remaining decrements by 1 per completed round; total win equals sum of round wins</t>
  </si>
  <si>
    <t xml:space="preserve">Ref: GR-41</t>
  </si>
  <si>
    <t xml:space="preserve">PS-FUN-074</t>
  </si>
  <si>
    <t xml:space="preserve">Stop</t>
  </si>
  <si>
    <t xml:space="preserve">Verify pressing Stop ends Auto Spin after the current round completes</t>
  </si>
  <si>
    <t xml:space="preserve">Auto Spin with 50 spins running</t>
  </si>
  <si>
    <t xml:space="preserve">1. Start 50 auto spins
2. Press Stop after spin 3</t>
  </si>
  <si>
    <t xml:space="preserve">Current round completes normally; no further rounds start; remaining counter cleared</t>
  </si>
  <si>
    <t xml:space="preserve">Ref: GR-43, GR-52</t>
  </si>
  <si>
    <t xml:space="preserve">PS-FUN-075</t>
  </si>
  <si>
    <t xml:space="preserve">Verify Cancel in Auto Spin menu closes the menu without starting spins</t>
  </si>
  <si>
    <t xml:space="preserve">Auto Spin menu open</t>
  </si>
  <si>
    <t xml:space="preserve">Select 25</t>
  </si>
  <si>
    <t xml:space="preserve">1. Select 25
2. Press Cancel</t>
  </si>
  <si>
    <t xml:space="preserve">Menu closes; no spin starts; no debit</t>
  </si>
  <si>
    <t xml:space="preserve">Ref: GR-42</t>
  </si>
  <si>
    <t xml:space="preserve">PS-FUN-076</t>
  </si>
  <si>
    <t xml:space="preserve">Spend limit</t>
  </si>
  <si>
    <t xml:space="preserve">Verify Auto Spin stops when the selected spend limit is reached</t>
  </si>
  <si>
    <t xml:space="preserve">Auto Spin menu supports spend limit</t>
  </si>
  <si>
    <t xml:space="preserve">Bet 1.00; 100 spins; spend limit 5.00</t>
  </si>
  <si>
    <t xml:space="preserve">1. Set 100 spins with spend limit 5.00
2. Start
3. Force losing outcomes</t>
  </si>
  <si>
    <t xml:space="preserve">Requires Specification/Confirmation: Definition of spend (gross stake vs net loss) not specified. Expected: Auto Spin stops before exceeding 5.00 spend; remaining spins cancelled</t>
  </si>
  <si>
    <t xml:space="preserve">Ref: GR-40 | OBS-21</t>
  </si>
  <si>
    <t xml:space="preserve">PS-FUN-077</t>
  </si>
  <si>
    <t xml:space="preserve">Feature trigger</t>
  </si>
  <si>
    <t xml:space="preserve">Verify Auto Spin pauses at the Free Spins choice screen and requires player selection</t>
  </si>
  <si>
    <t xml:space="preserve">Auto Spin running; forced FS trigger on spin 2</t>
  </si>
  <si>
    <t xml:space="preserve">1. Start 10 auto spins
2. Force trigger on spin 2
3. Observe</t>
  </si>
  <si>
    <t xml:space="preserve">Requires Specification/Confirmation: Rules do not state auto-play behaviour on feature trigger. Expected: auto play pauses for choice (player decision); after feature completes Auto Spin resumes or stops as specified</t>
  </si>
  <si>
    <t xml:space="preserve">Ref: GR-16, GR-43 | OBS-24</t>
  </si>
  <si>
    <t xml:space="preserve">PS-FUN-078</t>
  </si>
  <si>
    <t xml:space="preserve">Verify Auto Spin stops when balance is insufficient for the next spin</t>
  </si>
  <si>
    <t xml:space="preserve">Balance 2.50; bet 1.00</t>
  </si>
  <si>
    <t xml:space="preserve">10 spins, forced losses</t>
  </si>
  <si>
    <t xml:space="preserve">1. Start 10 auto spins</t>
  </si>
  <si>
    <t xml:space="preserve">2 rounds play; Auto Spin stops; insufficient funds message; balance 0.50; no negative balance</t>
  </si>
  <si>
    <t xml:space="preserve">PS-FUN-079</t>
  </si>
  <si>
    <t xml:space="preserve">Verify bet cannot be changed during Auto Spin</t>
  </si>
  <si>
    <t xml:space="preserve">1. Start Auto Spin
2. Try to open bet panel</t>
  </si>
  <si>
    <t xml:space="preserve">Bet controls disabled; all auto rounds at the original bet</t>
  </si>
  <si>
    <t xml:space="preserve">Ref: GR-20</t>
  </si>
  <si>
    <t xml:space="preserve">PS-FUN-080</t>
  </si>
  <si>
    <t xml:space="preserve">Menu</t>
  </si>
  <si>
    <t xml:space="preserve">Menu items</t>
  </si>
  <si>
    <t xml:space="preserve">Verify the Menu/Settings shows only available options among Lobby, Transaction History, Sound Settings, Game Rules, Splash Screen Settings, Game History, Deposit, Promotions</t>
  </si>
  <si>
    <t xml:space="preserve">Operator configuration known</t>
  </si>
  <si>
    <t xml:space="preserve">Operator config</t>
  </si>
  <si>
    <t xml:space="preserve">1. Open Menu
2. Compare listed options with operator config</t>
  </si>
  <si>
    <t xml:space="preserve">Options present per configuration; each opens the correct destination; unavailable ones hidden (not broken)</t>
  </si>
  <si>
    <t xml:space="preserve">Ref: GR-46, GR-52</t>
  </si>
  <si>
    <t xml:space="preserve">PS-FUN-081</t>
  </si>
  <si>
    <t xml:space="preserve">Lobby</t>
  </si>
  <si>
    <t xml:space="preserve">Verify the Lobby option returns the player to the operator lobby without losing an unfinished feature</t>
  </si>
  <si>
    <t xml:space="preserve">Free Spins in progress</t>
  </si>
  <si>
    <t xml:space="preserve">FS remaining 5</t>
  </si>
  <si>
    <t xml:space="preserve">1. Open Menu during FS (if allowed)
2. Press Lobby
3. Relaunch game</t>
  </si>
  <si>
    <t xml:space="preserve">Player returned to lobby; on relaunch unfinished FS resumes with 5 spins remaining</t>
  </si>
  <si>
    <t xml:space="preserve">Ref: GR-46, GR-56</t>
  </si>
  <si>
    <t xml:space="preserve">PS-FUN-082</t>
  </si>
  <si>
    <t xml:space="preserve">History</t>
  </si>
  <si>
    <t xml:space="preserve">Round details</t>
  </si>
  <si>
    <t xml:space="preserve">Verify Game History shows spin result, bet, win, date/time and any triggered feature for recent rounds</t>
  </si>
  <si>
    <t xml:space="preserve">At least 5 rounds played incl. one FS trigger</t>
  </si>
  <si>
    <t xml:space="preserve">1. Open History
2. Inspect last 5 rounds</t>
  </si>
  <si>
    <t xml:space="preserve">Each round shows reel result, bet, win, timestamp (correct timezone); FS round shows feature type and per-spin results; values match RGS</t>
  </si>
  <si>
    <t xml:space="preserve">Ref: GR-47</t>
  </si>
  <si>
    <t xml:space="preserve">PS-FUN-083</t>
  </si>
  <si>
    <t xml:space="preserve">Buy round</t>
  </si>
  <si>
    <t xml:space="preserve">Verify a Buy Feature round is recorded in History with purchase cost and total feature win</t>
  </si>
  <si>
    <t xml:space="preserve">One completed Buy round</t>
  </si>
  <si>
    <t xml:space="preserve">1. Open History
2. Locate Buy round</t>
  </si>
  <si>
    <t xml:space="preserve">Entry shows cost 100.00, feature type, total win; identifiable as purchased feature</t>
  </si>
  <si>
    <t xml:space="preserve">Ref: GR-47, GR-36</t>
  </si>
  <si>
    <t xml:space="preserve">PS-FUN-084</t>
  </si>
  <si>
    <t xml:space="preserve">Game Info</t>
  </si>
  <si>
    <t xml:space="preserve">Open/close</t>
  </si>
  <si>
    <t xml:space="preserve">Verify the Information button opens game rules and paytable and Close returns to the game</t>
  </si>
  <si>
    <t xml:space="preserve">1. Press Info
2. Scroll all pages
3. Press Close</t>
  </si>
  <si>
    <t xml:space="preserve">Rules and paytable display fully; Close returns to the previous screen with state unchanged</t>
  </si>
  <si>
    <t xml:space="preserve">Ref: GR-48, GR-52</t>
  </si>
  <si>
    <t xml:space="preserve">PS-FUN-085</t>
  </si>
  <si>
    <t xml:space="preserve">RTP disclosure</t>
  </si>
  <si>
    <t xml:space="preserve">Verify the RTP values in game rules match the certified math</t>
  </si>
  <si>
    <t xml:space="preserve">Math: base game RTP 96.99% (96.98864%); Buy FG1 97.08%; Buy FG2 97.11%</t>
  </si>
  <si>
    <t xml:space="preserve">1. Read RTP statements</t>
  </si>
  <si>
    <t xml:space="preserve">Displayed RTP equals certified value for the deployed configuration; separate Buy values shown or rule clarified (OBS-10); no {{text1}} placeholders</t>
  </si>
  <si>
    <t xml:space="preserve">Ref: GR-54, GR-55, M-01, M-15, M-16 | OBS-09, OBS-10</t>
  </si>
  <si>
    <t xml:space="preserve">PS-FUN-086</t>
  </si>
  <si>
    <t xml:space="preserve">Max win disclosure</t>
  </si>
  <si>
    <t xml:space="preserve">Verify maximum win statement shows a concrete value consistent with configured cap</t>
  </si>
  <si>
    <t xml:space="preserve">Math max exposure base 50,454.55x bet; Buy FG2 83,745.6x bet</t>
  </si>
  <si>
    <t xml:space="preserve">1. Read Bet and Max Win section</t>
  </si>
  <si>
    <t xml:space="preserve">Requires Specification/Confirmation: Cap value is {{text1}} in rules. Expected: concrete cap value matching server configuration</t>
  </si>
  <si>
    <t xml:space="preserve">Ref: GR-29, M-04 | OBS-09, OBS-12</t>
  </si>
  <si>
    <t xml:space="preserve">PS-FUN-087</t>
  </si>
  <si>
    <t xml:space="preserve">Sound</t>
  </si>
  <si>
    <t xml:space="preserve">Verify the sound icon enables and disables all game audio</t>
  </si>
  <si>
    <t xml:space="preserve">Audio on</t>
  </si>
  <si>
    <t xml:space="preserve">1. Press sound icon
2. Spin
3. Press again
4. Spin</t>
  </si>
  <si>
    <t xml:space="preserve">Audio muted then restored; icon state reflects setting</t>
  </si>
  <si>
    <t xml:space="preserve">Ref: GR-49, GR-52</t>
  </si>
  <si>
    <t xml:space="preserve">PS-FUN-088</t>
  </si>
  <si>
    <t xml:space="preserve">Ambient vs effects</t>
  </si>
  <si>
    <t xml:space="preserve">Verify ambient sound and sound effects can be toggled independently where available</t>
  </si>
  <si>
    <t xml:space="preserve">Sound settings available</t>
  </si>
  <si>
    <t xml:space="preserve">1. Disable ambient only; spin
2. Enable ambient, disable SFX; spin</t>
  </si>
  <si>
    <t xml:space="preserve">Only the selected category is muted in each case</t>
  </si>
  <si>
    <t xml:space="preserve">Ref: GR-49</t>
  </si>
  <si>
    <t xml:space="preserve">PS-FUN-089</t>
  </si>
  <si>
    <t xml:space="preserve">Malfunction statement</t>
  </si>
  <si>
    <t xml:space="preserve">Verify 'Malfunction voids all pays and plays' is displayed in rules</t>
  </si>
  <si>
    <t xml:space="preserve">1. Open rules, Additional Information</t>
  </si>
  <si>
    <t xml:space="preserve">Statement present and legible</t>
  </si>
  <si>
    <t xml:space="preserve">Ref: GR-53</t>
  </si>
  <si>
    <t xml:space="preserve">PS-FUN-090</t>
  </si>
  <si>
    <t xml:space="preserve">Pay table ID</t>
  </si>
  <si>
    <t xml:space="preserve">Verify the Pay table ID shown in rules matches the deployed math/config identifier</t>
  </si>
  <si>
    <t xml:space="preserve">Game Info open; deployed config ID known</t>
  </si>
  <si>
    <t xml:space="preserve">Rules: 'Pig Style'; math file game name: 'DogHouseMegaways9700'</t>
  </si>
  <si>
    <t xml:space="preserve">1. Read Pay table ID
2. Compare with RGS math configuration ID</t>
  </si>
  <si>
    <t xml:space="preserve">Requires Specification/Confirmation: Math summary carries game name 'DogHouseMegaways9700'. Expected: identifier consistent between rules, math file and deployed config</t>
  </si>
  <si>
    <t xml:space="preserve">Ref: GR-59, M-20 | OBS-13</t>
  </si>
  <si>
    <t xml:space="preserve">PS-MTH-001</t>
  </si>
  <si>
    <t xml:space="preserve">Math</t>
  </si>
  <si>
    <t xml:space="preserve">RTP</t>
  </si>
  <si>
    <t xml:space="preserve">Total RTP</t>
  </si>
  <si>
    <t xml:space="preserve">Verify total game RTP from a large simulation matches the math file</t>
  </si>
  <si>
    <t xml:space="preserve">Math simulation harness / RGS bulk-play tool (certified RNG, production math R7.1)</t>
  </si>
  <si>
    <t xml:space="preserve">Math: total RTP 96.98864% (1e9 sims); SD 16.80 x bet. 99% CI half-width = 2.576 x 16.80 / sqrt(N): N=1e8 =&gt; +/-0.433%; N=1e9 =&gt; +/-0.137%</t>
  </si>
  <si>
    <t xml:space="preserve">1. Run N=1e9 base-game spins at bet 20 credits with random FS choice policy as used in math (see OBS-14)
2. Compute RTP = total win / total bet</t>
  </si>
  <si>
    <t xml:space="preserve">Simulated RTP within 96.98864% +/- 0.137% (99% CI). Fail outside the interval</t>
  </si>
  <si>
    <t xml:space="preserve">Ref: M-01, M-03, GR-54 | OBS-14</t>
  </si>
  <si>
    <t xml:space="preserve">PS-MTH-002</t>
  </si>
  <si>
    <t xml:space="preserve">Base game RTP component</t>
  </si>
  <si>
    <t xml:space="preserve">Verify base game (non-FS) RTP contribution</t>
  </si>
  <si>
    <t xml:space="preserve">Math: base game RTP 68.92386%</t>
  </si>
  <si>
    <t xml:space="preserve">1. From the same simulation sum base-game wins only
2. Divide by total bet</t>
  </si>
  <si>
    <t xml:space="preserve">Base RTP within 68.924% +/- statistical tolerance</t>
  </si>
  <si>
    <t xml:space="preserve">Ref: M-01</t>
  </si>
  <si>
    <t xml:space="preserve">PS-MTH-003</t>
  </si>
  <si>
    <t xml:space="preserve">FS RTP component</t>
  </si>
  <si>
    <t xml:space="preserve">Verify Free Spins RTP contribution</t>
  </si>
  <si>
    <t xml:space="preserve">Math: FS RTP 28.06479%; avg FS win per trigger = 75.46x bet (E5)</t>
  </si>
  <si>
    <t xml:space="preserve">1. Sum FS wins / total bet
2. Compute mean FS win per trigger / bet</t>
  </si>
  <si>
    <t xml:space="preserve">FS RTP ~28.065%; mean FS win ~75.46x bet within tolerance</t>
  </si>
  <si>
    <t xml:space="preserve">Ref: M-01, M-18</t>
  </si>
  <si>
    <t xml:space="preserve">PS-MTH-004</t>
  </si>
  <si>
    <t xml:space="preserve">Per FS option RTP</t>
  </si>
  <si>
    <t xml:space="preserve">Verify RTP of Sticky Wilds FS and Raining Wilds FS when chosen at natural trigger</t>
  </si>
  <si>
    <t xml:space="preserve">Math file does not publish separate natural-trigger RTP per FS option</t>
  </si>
  <si>
    <t xml:space="preserve">1. Simulate always-Sticky policy
2. Simulate always-Raining policy
3. Compute RTP for each</t>
  </si>
  <si>
    <t xml:space="preserve">Requires Specification/Confirmation: Expected per-option RTP values must be supplied by math provider. Both options must meet jurisdiction minimum RTP</t>
  </si>
  <si>
    <t xml:space="preserve">Ref: M-01, GR-16 | OBS-14</t>
  </si>
  <si>
    <t xml:space="preserve">PS-MTH-005</t>
  </si>
  <si>
    <t xml:space="preserve">Buy FG1 RTP (Raining Wilds)</t>
  </si>
  <si>
    <t xml:space="preserve">Verify RTP of Buy Feature for FG1 (Raining Wilds: 15/18/25/30 FS)</t>
  </si>
  <si>
    <t xml:space="preserve">Math: Buy FG1 RTP 97.08362% (1e7 sims), SD 1.618 per buy (x cost). Cost 100x bet</t>
  </si>
  <si>
    <t xml:space="preserve">1. Simulate 1e7 buys at bet 20 (cost 2000)
2. RTP = total win / total cost</t>
  </si>
  <si>
    <t xml:space="preserve">RTP within 97.084% +/- 2.576 x 1.618/sqrt(1e7) = +/-0.13%</t>
  </si>
  <si>
    <t xml:space="preserve">Ref: M-15, GR-55</t>
  </si>
  <si>
    <t xml:space="preserve">PS-MTH-006</t>
  </si>
  <si>
    <t xml:space="preserve">Buy FG2 RTP (Sticky Wilds)</t>
  </si>
  <si>
    <t xml:space="preserve">Verify RTP of Buy Feature for FG2 (Sticky Wilds: 7/12/15/20 FS)</t>
  </si>
  <si>
    <t xml:space="preserve">Math: Buy FG2 RTP 97.10962%, SD 3.711 per buy</t>
  </si>
  <si>
    <t xml:space="preserve">1. Simulate 1e7 buys
2. Compute RTP</t>
  </si>
  <si>
    <t xml:space="preserve">RTP within 97.110% +/- 2.576 x 3.711/sqrt(1e7) = +/-0.30%</t>
  </si>
  <si>
    <t xml:space="preserve">Ref: M-16, GR-55</t>
  </si>
  <si>
    <t xml:space="preserve">PS-MTH-007</t>
  </si>
  <si>
    <t xml:space="preserve">Buy RTP &gt;= base</t>
  </si>
  <si>
    <t xml:space="preserve">Verify Buy Feature RTP is not lower than base game RTP where jurisdiction requires</t>
  </si>
  <si>
    <t xml:space="preserve">Math summary</t>
  </si>
  <si>
    <t xml:space="preserve">Base 96.99%; Buy FG1 97.08%; Buy FG2 97.11%</t>
  </si>
  <si>
    <t xml:space="preserve">1. Compare values</t>
  </si>
  <si>
    <t xml:space="preserve">Both Buy RTPs &gt;= base RTP (97.08 and 97.11 &gt;= 96.99): Pass</t>
  </si>
  <si>
    <t xml:space="preserve">Ref: M-01, M-15, M-16</t>
  </si>
  <si>
    <t xml:space="preserve">PS-MTH-008</t>
  </si>
  <si>
    <t xml:space="preserve">Hit Frequency</t>
  </si>
  <si>
    <t xml:space="preserve">Base hit frequency</t>
  </si>
  <si>
    <t xml:space="preserve">Verify hit frequency of winning base rounds</t>
  </si>
  <si>
    <t xml:space="preserve">Math: 31.6018% (1 in 3.164). 99% CI at N=1e7: +/-0.038%</t>
  </si>
  <si>
    <t xml:space="preserve">1. Simulate 1e7 base spins
2. Count rounds with win &gt; 0</t>
  </si>
  <si>
    <t xml:space="preserve">Hit frequency within 31.602% +/- 0.038%</t>
  </si>
  <si>
    <t xml:space="preserve">Ref: M-02</t>
  </si>
  <si>
    <t xml:space="preserve">PS-MTH-009</t>
  </si>
  <si>
    <t xml:space="preserve">Buy hit frequency</t>
  </si>
  <si>
    <t xml:space="preserve">Verify hit frequency of bought features</t>
  </si>
  <si>
    <t xml:space="preserve">Math: Buy FG1 99.99702%; Buy FG2 97.41966%</t>
  </si>
  <si>
    <t xml:space="preserve">1. Simulate 1e7 buys per option
2. Count features with total win &gt; 0</t>
  </si>
  <si>
    <t xml:space="preserve">Values within statistical tolerance of math</t>
  </si>
  <si>
    <t xml:space="preserve">Ref: M-15, M-16</t>
  </si>
  <si>
    <t xml:space="preserve">PS-MTH-010</t>
  </si>
  <si>
    <t xml:space="preserve">Volatility</t>
  </si>
  <si>
    <t xml:space="preserve">Volatility index</t>
  </si>
  <si>
    <t xml:space="preserve">Verify volatility index / SD from simulation</t>
  </si>
  <si>
    <t xml:space="preserve">Math: SD 16.80; VI 90%=27.64, 95%=32.93, 99%=43.28</t>
  </si>
  <si>
    <t xml:space="preserve">1. Compute SD of round win (x bet)</t>
  </si>
  <si>
    <t xml:space="preserve">SD within +/-5% of 16.80; volatility classification in marketing material consistent (high volatility)</t>
  </si>
  <si>
    <t xml:space="preserve">Ref: M-03</t>
  </si>
  <si>
    <t xml:space="preserve">PS-MTH-011</t>
  </si>
  <si>
    <t xml:space="preserve">FS Trigger</t>
  </si>
  <si>
    <t xml:space="preserve">Trigger frequency</t>
  </si>
  <si>
    <t xml:space="preserve">Verify base game Free Spins trigger frequency</t>
  </si>
  <si>
    <t xml:space="preserve">Math: 1 in 268.89 spins (p = 0.003719). N=1e8 =&gt; expected 371,897 triggers; 99% CI +/- 1,571</t>
  </si>
  <si>
    <t xml:space="preserve">1. Simulate 1e8 spins
2. Count triggers</t>
  </si>
  <si>
    <t xml:space="preserve">Trigger count within expected +/- 99% CI</t>
  </si>
  <si>
    <t xml:space="preserve">Ref: M-10, GR-14</t>
  </si>
  <si>
    <t xml:space="preserve">PS-MTH-012</t>
  </si>
  <si>
    <t xml:space="preserve">Trigger by reel set</t>
  </si>
  <si>
    <t xml:space="preserve">Verify only reel sets BG1 and BG6 can produce a Free Spins trigger</t>
  </si>
  <si>
    <t xml:space="preserve">Math: FG trigger odds BG1 1 in 57.10, BG6 1 in 2.44, BG2-5/7-9 infinite</t>
  </si>
  <si>
    <t xml:space="preserve">1. Log reel set ID per spin
2. Cross-tab triggers by reel set</t>
  </si>
  <si>
    <t xml:space="preserve">All triggers come from BG1 or BG6; observed odds within tolerance of 57.10 and 2.44</t>
  </si>
  <si>
    <t xml:space="preserve">Ref: M-09, M-10</t>
  </si>
  <si>
    <t xml:space="preserve">PS-MTH-013</t>
  </si>
  <si>
    <t xml:space="preserve">Reel Sets</t>
  </si>
  <si>
    <t xml:space="preserve">Reel set weights</t>
  </si>
  <si>
    <t xml:space="preserve">Verify base game reel set selection frequencies</t>
  </si>
  <si>
    <t xml:space="preserve">Weights BG1..BG9 = 23,50,60,2000,475,33,50,50,1000 (total 3741). E.g. BG4 = 53.46%, BG9 = 26.73%, BG1 = 0.615%</t>
  </si>
  <si>
    <t xml:space="preserve">1. Log reel set per spin over 1e7 spins
2. Compute frequencies</t>
  </si>
  <si>
    <t xml:space="preserve">Each frequency within tolerance of weight/3741</t>
  </si>
  <si>
    <t xml:space="preserve">Ref: M-09</t>
  </si>
  <si>
    <t xml:space="preserve">PS-MTH-014</t>
  </si>
  <si>
    <t xml:space="preserve">Reel strips</t>
  </si>
  <si>
    <t xml:space="preserve">Verify deployed reel strips for BG1-BG9, FG1, FG2, Buy FG1, Buy FG2 match math file exactly</t>
  </si>
  <si>
    <t xml:space="preserve">Access to deployed math config</t>
  </si>
  <si>
    <t xml:space="preserve">Math file sheets *Reel</t>
  </si>
  <si>
    <t xml:space="preserve">1. Export deployed strips
2. Diff against math file symbol by symbol</t>
  </si>
  <si>
    <t xml:space="preserve">Zero differences in length, order and symbols for every strip</t>
  </si>
  <si>
    <t xml:space="preserve">Ref: M-06, M-09</t>
  </si>
  <si>
    <t xml:space="preserve">PS-MTH-015</t>
  </si>
  <si>
    <t xml:space="preserve">Reel Heights</t>
  </si>
  <si>
    <t xml:space="preserve">Row distribution</t>
  </si>
  <si>
    <t xml:space="preserve">Verify per-reel height distribution (2..7) matches configured weights</t>
  </si>
  <si>
    <t xml:space="preserve">Opt0 weights rows2..7 = 100,200,75,50,15,10; Opt1 = 25,75,75,75,75,75; pattern table selects option per reel</t>
  </si>
  <si>
    <t xml:space="preserve">1. Log reel heights per spin over 1e7 spins
2. Compare distributions per pattern</t>
  </si>
  <si>
    <t xml:space="preserve">Distributions match weights within tolerance; heights never outside 2..7</t>
  </si>
  <si>
    <t xml:space="preserve">Ref: M-06, GR-02</t>
  </si>
  <si>
    <t xml:space="preserve">PS-MTH-016</t>
  </si>
  <si>
    <t xml:space="preserve">Max Ways</t>
  </si>
  <si>
    <t xml:space="preserve">Ways calculation</t>
  </si>
  <si>
    <t xml:space="preserve">Verify ways = product of reel heights for all spins in simulation</t>
  </si>
  <si>
    <t xml:space="preserve">Range 64..117,649</t>
  </si>
  <si>
    <t xml:space="preserve">1. Recompute ways from logged heights
2. Compare with server value</t>
  </si>
  <si>
    <t xml:space="preserve">100% match; max observed &lt;= 117,649; min &gt;= 64</t>
  </si>
  <si>
    <t xml:space="preserve">PS-MTH-017</t>
  </si>
  <si>
    <t xml:space="preserve">Win calculation</t>
  </si>
  <si>
    <t xml:space="preserve">Verify win amount for AA 6 OAK single way</t>
  </si>
  <si>
    <t xml:space="preserve">Forced outcome tool</t>
  </si>
  <si>
    <t xml:space="preserve">AA on R1-R6, 1 per reel, no wilds, bet 1.00. Formula: Win = Bet x Pay(credits)/20 x Ways</t>
  </si>
  <si>
    <t xml:space="preserve">1. Force outcome
2. Spin
3. Read win field and RGS win amount</t>
  </si>
  <si>
    <t xml:space="preserve">Win = 1.00 x 150 / 20 x 1 = 7.50; client and RGS amounts equal</t>
  </si>
  <si>
    <t xml:space="preserve">Ref: M-05, M-19, GR-04</t>
  </si>
  <si>
    <t xml:space="preserve">PS-MTH-018</t>
  </si>
  <si>
    <t xml:space="preserve">Verify win amount for BB 5 OAK with 2 on R3</t>
  </si>
  <si>
    <t xml:space="preserve">BB R1-R5 (R3 has 2 BB), bet 1.00. Formula: Win = Bet x Pay(credits)/20 x Ways</t>
  </si>
  <si>
    <t xml:space="preserve">Win = 1.00 x 30/20 x 2 ways = 3.00; client and RGS amounts equal</t>
  </si>
  <si>
    <t xml:space="preserve">PS-MTH-019</t>
  </si>
  <si>
    <t xml:space="preserve">Verify win amount for CC 4 OAK, bet 0.20</t>
  </si>
  <si>
    <t xml:space="preserve">CC R1-R4 (1 each), bet 0.20. Formula: Win = Bet x Pay(credits)/20 x Ways</t>
  </si>
  <si>
    <t xml:space="preserve">Win = 0.20 x 15/20 = 0.15; client and RGS amounts equal</t>
  </si>
  <si>
    <t xml:space="preserve">PS-MTH-020</t>
  </si>
  <si>
    <t xml:space="preserve">Verify win amount for DD 3 OAK, ways 2x2x2</t>
  </si>
  <si>
    <t xml:space="preserve">DD 2 per reel on R1-R3. Formula: Win = Bet x Pay(credits)/20 x Ways</t>
  </si>
  <si>
    <t xml:space="preserve">Win = 1.00 x 4/20 x 8 = 1.60; client and RGS amounts equal</t>
  </si>
  <si>
    <t xml:space="preserve">PS-MTH-021</t>
  </si>
  <si>
    <t xml:space="preserve">Verify win amount for EE 6 OAK</t>
  </si>
  <si>
    <t xml:space="preserve">EE R1-R6 single. Formula: Win = Bet x Pay(credits)/20 x Ways</t>
  </si>
  <si>
    <t xml:space="preserve">Win = 1.00 x 30/20 = 1.50; client and RGS amounts equal</t>
  </si>
  <si>
    <t xml:space="preserve">PS-MTH-022</t>
  </si>
  <si>
    <t xml:space="preserve">Verify win amount for FF 4 OAK</t>
  </si>
  <si>
    <t xml:space="preserve">FF R1-R4 single. Formula: Win = Bet x Pay(credits)/20 x Ways</t>
  </si>
  <si>
    <t xml:space="preserve">Win = 1.00 x 8/20 = 0.40; client and RGS amounts equal</t>
  </si>
  <si>
    <t xml:space="preserve">PS-MTH-023</t>
  </si>
  <si>
    <t xml:space="preserve">Verify win amount for GG/HH/JJ 5 OAK</t>
  </si>
  <si>
    <t xml:space="preserve">GG R1-R5 single. Formula: Win = Bet x Pay(credits)/20 x Ways</t>
  </si>
  <si>
    <t xml:space="preserve">Win = 1.00 x 6/20 = 0.30; client and RGS amounts equal</t>
  </si>
  <si>
    <t xml:space="preserve">PS-MTH-024</t>
  </si>
  <si>
    <t xml:space="preserve">Verify win amount for LL 3 OAK minimum pay</t>
  </si>
  <si>
    <t xml:space="preserve">LL R1-R3 single, bet 1.00. Formula: Win = Bet x Pay(credits)/20 x Ways</t>
  </si>
  <si>
    <t xml:space="preserve">Win = 1.00 x 1/20 = 0.05; client and RGS amounts equal</t>
  </si>
  <si>
    <t xml:space="preserve">PS-MTH-025</t>
  </si>
  <si>
    <t xml:space="preserve">Verify win amount for KK 3 OAK at min bet rounding</t>
  </si>
  <si>
    <t xml:space="preserve">KK R1-R3 single, min bet (e.g. 0.10). Formula: Win = Bet x Pay(credits)/20 x Ways</t>
  </si>
  <si>
    <t xml:space="preserve">Win = 0.10 x 1/20 = 0.005 =&gt; rounding rule (Requires Specification/Confirmation); client and RGS amounts equal</t>
  </si>
  <si>
    <t xml:space="preserve">PS-MTH-026</t>
  </si>
  <si>
    <t xml:space="preserve">Fractional rounding</t>
  </si>
  <si>
    <t xml:space="preserve">Verify rounding rule for wins that are not whole currency units</t>
  </si>
  <si>
    <t xml:space="preserve">See previous case (0.005)</t>
  </si>
  <si>
    <t xml:space="preserve">1. Force sub-cent win
2. Check RGS amount, displayed amount, wallet credit</t>
  </si>
  <si>
    <t xml:space="preserve">Requires Specification/Confirmation: Rounding/truncation rule and smallest bet not defined. Expected: consistent rule across RGS, client and wallet; no rounding drift between rounds</t>
  </si>
  <si>
    <t xml:space="preserve">Ref: M-19 | OBS-09</t>
  </si>
  <si>
    <t xml:space="preserve">PS-MTH-027</t>
  </si>
  <si>
    <t xml:space="preserve">Wild Multiplier</t>
  </si>
  <si>
    <t xml:space="preserve">Verify wild multiplier win calculation: Base: single WC x2</t>
  </si>
  <si>
    <t xml:space="preserve">AA R1, WC x2 R2, AA R3; bet 1.00. Formula: Bet x Pay/20 x product of wild multipliers on the way, summed over ways</t>
  </si>
  <si>
    <t xml:space="preserve">1. Force outcome
2. Spin
3. Read win</t>
  </si>
  <si>
    <t xml:space="preserve">Requires Specification/Confirmation (base game wild multipliers not in rules). Expected per math: 0.75 x 2 = 1.50</t>
  </si>
  <si>
    <t xml:space="preserve">PS-MTH-028</t>
  </si>
  <si>
    <t xml:space="preserve">Verify wild multiplier win calculation: Base: single WC x3</t>
  </si>
  <si>
    <t xml:space="preserve">BB R1, WC x3 R2, BB R3, BB R4; bet 1.00. Formula: Bet x Pay/20 x product of wild multipliers on the way, summed over ways</t>
  </si>
  <si>
    <t xml:space="preserve">Requires Specification/Confirmation (base game wild multipliers not in rules). Expected per math: 1.00 x 20/20 x 3 = 3.00</t>
  </si>
  <si>
    <t xml:space="preserve">PS-MTH-029</t>
  </si>
  <si>
    <t xml:space="preserve">Verify wild multiplier win calculation: Base: two WC on same way</t>
  </si>
  <si>
    <t xml:space="preserve">AA R1, WC x2 R2, WC x3 R3, AA R4; bet 1.00. Formula: Bet x Pay/20 x product of wild multipliers on the way, summed over ways</t>
  </si>
  <si>
    <t xml:space="preserve">Requires Specification/Confirmation (base game wild multipliers not in rules). Expected per math: 1.00 x 40/20 x (2 x 3) = 12.00</t>
  </si>
  <si>
    <t xml:space="preserve">PS-MTH-030</t>
  </si>
  <si>
    <t xml:space="preserve">Verify wild multiplier win calculation: Base: WC and symbol on same reel</t>
  </si>
  <si>
    <t xml:space="preserve">AA R1; R2 = {AA, WC x3}; AA R3; bet 1.00. Formula: Bet x Pay/20 x product of wild multipliers on the way, summed over ways</t>
  </si>
  <si>
    <t xml:space="preserve">Requires Specification/Confirmation (base game wild multipliers not in rules). Expected per math: Way 1 (AA): 0.75 x 1 = 0.75; Way 2 (WC x3): 0.75 x 3 = 2.25; total 3.00</t>
  </si>
  <si>
    <t xml:space="preserve">PS-MTH-031</t>
  </si>
  <si>
    <t xml:space="preserve">Verify wild multiplier win calculation: Base: WC x1</t>
  </si>
  <si>
    <t xml:space="preserve">AA R1, WC x1 R2, AA R3; bet 1.00. Formula: Bet x Pay/20 x product of wild multipliers on the way, summed over ways</t>
  </si>
  <si>
    <t xml:space="preserve">Requires Specification/Confirmation (base game wild multipliers not in rules). Expected per math: 0.75 x 1 = 0.75</t>
  </si>
  <si>
    <t xml:space="preserve">Ref: M-07, GR-13 | OBS-02, OBS-01</t>
  </si>
  <si>
    <t xml:space="preserve">PS-MTH-032</t>
  </si>
  <si>
    <t xml:space="preserve">Base distribution</t>
  </si>
  <si>
    <t xml:space="preserve">Verify base game Wild multiplier distribution</t>
  </si>
  <si>
    <t xml:space="preserve">Weights x1:10, x2:5, x3:2 =&gt; 58.82% / 29.41% / 11.76%</t>
  </si>
  <si>
    <t xml:space="preserve">1. Log multiplier of each base game Wild over 1e7 spins</t>
  </si>
  <si>
    <t xml:space="preserve">Observed shares within tolerance</t>
  </si>
  <si>
    <t xml:space="preserve">PS-MTH-033</t>
  </si>
  <si>
    <t xml:space="preserve">FG1 Raining distribution</t>
  </si>
  <si>
    <t xml:space="preserve">Verify Raining Wilds multiplier distribution</t>
  </si>
  <si>
    <t xml:space="preserve">FG1 weights x1:1000, x2:500, x3:189 =&gt; 59.21% / 29.60% / 11.19%</t>
  </si>
  <si>
    <t xml:space="preserve">1. Log multipliers of all Raining Wilds</t>
  </si>
  <si>
    <t xml:space="preserve">Observed shares within tolerance. NOTE: rules state x2 or x3 only; math includes x1 (OBS-01)</t>
  </si>
  <si>
    <t xml:space="preserve">Ref: M-11, GR-11 | OBS-01</t>
  </si>
  <si>
    <t xml:space="preserve">PS-MTH-034</t>
  </si>
  <si>
    <t xml:space="preserve">FG2 Sticky distribution</t>
  </si>
  <si>
    <t xml:space="preserve">Verify Sticky Wilds multiplier distribution</t>
  </si>
  <si>
    <t xml:space="preserve">FG2 weights x1:8, x2:2, x3:1 =&gt; 72.73% / 18.18% / 9.09%</t>
  </si>
  <si>
    <t xml:space="preserve">1. Log multipliers of all Sticky Wilds</t>
  </si>
  <si>
    <t xml:space="preserve">Ref: M-12, GR-07 | OBS-01</t>
  </si>
  <si>
    <t xml:space="preserve">PS-MTH-035</t>
  </si>
  <si>
    <t xml:space="preserve">Buy FG2 distribution</t>
  </si>
  <si>
    <t xml:space="preserve">Verify Buy FG2 Sticky Wild multiplier distribution</t>
  </si>
  <si>
    <t xml:space="preserve">Buy FG2 weights x1:875, x2:200, x3:100 =&gt; 74.47% / 17.02% / 8.51%</t>
  </si>
  <si>
    <t xml:space="preserve">1. Log multipliers in bought FG2</t>
  </si>
  <si>
    <t xml:space="preserve">Observed shares within tolerance; differs from natural FG2 (OBS-11)</t>
  </si>
  <si>
    <t xml:space="preserve">Ref: M-17 | OBS-01, OBS-11</t>
  </si>
  <si>
    <t xml:space="preserve">PS-MTH-036</t>
  </si>
  <si>
    <t xml:space="preserve">FS formula</t>
  </si>
  <si>
    <t xml:space="preserve">Verify FS win formula with Sticky/Raining Wilds: Win = (Bet x Pay/20) x product of wild multipliers</t>
  </si>
  <si>
    <t xml:space="preserve">Forced FS outcome</t>
  </si>
  <si>
    <t xml:space="preserve">Bet 1.00; AA R1, Sticky WC x2 R2, Sticky WC x3 R3, AA R4, AA R5 (1 way) =&gt; (1.00 x 60/20) x 6 = 18.00</t>
  </si>
  <si>
    <t xml:space="preserve">1. Force FS spin outcome
2. Read spin win</t>
  </si>
  <si>
    <t xml:space="preserve">Spin win 18.00 in both client and RGS</t>
  </si>
  <si>
    <t xml:space="preserve">Ref: GR-13, M-11, M-12 | OBS-17</t>
  </si>
  <si>
    <t xml:space="preserve">PS-MTH-037</t>
  </si>
  <si>
    <t xml:space="preserve">FS multiple ways with wilds</t>
  </si>
  <si>
    <t xml:space="preserve">Verify FS win with multiple ways where wilds participate in some ways only</t>
  </si>
  <si>
    <t xml:space="preserve">Bet 1.00; R1 AA; R2 {AA, WC x3}; R3 {AA, AA}; =&gt; ways: AA-AA-AA x2 (x1) and AA-WC-AA x2 (x3) =&gt; 0.75 x (2 + 6) = 6.00</t>
  </si>
  <si>
    <t xml:space="preserve">1. Force
2. Spin</t>
  </si>
  <si>
    <t xml:space="preserve">Win 6.00</t>
  </si>
  <si>
    <t xml:space="preserve">Ref: GR-13 | OBS-04</t>
  </si>
  <si>
    <t xml:space="preserve">PS-MTH-038</t>
  </si>
  <si>
    <t xml:space="preserve">FS Award</t>
  </si>
  <si>
    <t xml:space="preserve">Sticky Wilds (FG2)</t>
  </si>
  <si>
    <t xml:space="preserve">Verify 3 Bonus symbols award 7 Free Spins when Sticky Wilds is chosen</t>
  </si>
  <si>
    <t xml:space="preserve">Forced trigger</t>
  </si>
  <si>
    <t xml:space="preserve">3 BN on reels; choose Sticky Wilds</t>
  </si>
  <si>
    <t xml:space="preserve">1. Force trigger with 3 BN
2. Choose option
3. Read FS counter
4. Play to end counting spins</t>
  </si>
  <si>
    <t xml:space="preserve">Counter starts at 7; exactly 7 spins played; RGS records 7</t>
  </si>
  <si>
    <t xml:space="preserve">Ref: GR-05, M-12, GR-17</t>
  </si>
  <si>
    <t xml:space="preserve">PS-MTH-039</t>
  </si>
  <si>
    <t xml:space="preserve">Verify 4 Bonus symbols award 12 Free Spins when Sticky Wilds is chosen</t>
  </si>
  <si>
    <t xml:space="preserve">4 BN on reels; choose Sticky Wilds</t>
  </si>
  <si>
    <t xml:space="preserve">1. Force trigger with 4 BN
2. Choose option
3. Read FS counter
4. Play to end counting spins</t>
  </si>
  <si>
    <t xml:space="preserve">Counter starts at 12; exactly 12 spins played; RGS records 12</t>
  </si>
  <si>
    <t xml:space="preserve">PS-MTH-040</t>
  </si>
  <si>
    <t xml:space="preserve">Verify 5 Bonus symbols award 15 Free Spins when Sticky Wilds is chosen</t>
  </si>
  <si>
    <t xml:space="preserve">5 BN on reels; choose Sticky Wilds</t>
  </si>
  <si>
    <t xml:space="preserve">1. Force trigger with 5 BN
2. Choose option
3. Read FS counter
4. Play to end counting spins</t>
  </si>
  <si>
    <t xml:space="preserve">Counter starts at 15; exactly 15 spins played; RGS records 15</t>
  </si>
  <si>
    <t xml:space="preserve">PS-MTH-041</t>
  </si>
  <si>
    <t xml:space="preserve">Verify 6 Bonus symbols award 20 Free Spins when Sticky Wilds is chosen</t>
  </si>
  <si>
    <t xml:space="preserve">6 BN on reels; choose Sticky Wilds</t>
  </si>
  <si>
    <t xml:space="preserve">1. Force trigger with 6 BN
2. Choose option
3. Read FS counter
4. Play to end counting spins</t>
  </si>
  <si>
    <t xml:space="preserve">Counter starts at 20; exactly 20 spins played; RGS records 20</t>
  </si>
  <si>
    <t xml:space="preserve">PS-MTH-042</t>
  </si>
  <si>
    <t xml:space="preserve">Raining Wilds (FG1)</t>
  </si>
  <si>
    <t xml:space="preserve">Verify 3 Bonus symbols award 15 Free Spins when Raining Wilds is chosen</t>
  </si>
  <si>
    <t xml:space="preserve">3 BN on reels; choose Raining Wilds</t>
  </si>
  <si>
    <t xml:space="preserve">Ref: GR-09, M-11, GR-17</t>
  </si>
  <si>
    <t xml:space="preserve">PS-MTH-043</t>
  </si>
  <si>
    <t xml:space="preserve">Verify 4 Bonus symbols award 18 Free Spins when Raining Wilds is chosen</t>
  </si>
  <si>
    <t xml:space="preserve">4 BN on reels; choose Raining Wilds</t>
  </si>
  <si>
    <t xml:space="preserve">Counter starts at 18; exactly 18 spins played; RGS records 18</t>
  </si>
  <si>
    <t xml:space="preserve">PS-MTH-044</t>
  </si>
  <si>
    <t xml:space="preserve">Verify 5 Bonus symbols award 25 Free Spins when Raining Wilds is chosen</t>
  </si>
  <si>
    <t xml:space="preserve">5 BN on reels; choose Raining Wilds</t>
  </si>
  <si>
    <t xml:space="preserve">Counter starts at 25; exactly 25 spins played; RGS records 25</t>
  </si>
  <si>
    <t xml:space="preserve">PS-MTH-045</t>
  </si>
  <si>
    <t xml:space="preserve">Verify 6 Bonus symbols award 30 Free Spins when Raining Wilds is chosen</t>
  </si>
  <si>
    <t xml:space="preserve">6 BN on reels; choose Raining Wilds</t>
  </si>
  <si>
    <t xml:space="preserve">Counter starts at 30; exactly 30 spins played; RGS records 30</t>
  </si>
  <si>
    <t xml:space="preserve">PS-MTH-046</t>
  </si>
  <si>
    <t xml:space="preserve">Average FS</t>
  </si>
  <si>
    <t xml:space="preserve">Verify average number of Free Spins per trigger</t>
  </si>
  <si>
    <t xml:space="preserve">Math: natural 12.372; Buy FG1 16.158; Buy FG2 8.590</t>
  </si>
  <si>
    <t xml:space="preserve">1. Compute mean FS awarded over simulation</t>
  </si>
  <si>
    <t xml:space="preserve">Within tolerance; Buy averages consistent with BN distribution in buy triggering spin</t>
  </si>
  <si>
    <t xml:space="preserve">Ref: M-18</t>
  </si>
  <si>
    <t xml:space="preserve">PS-MTH-047</t>
  </si>
  <si>
    <t xml:space="preserve">BN count distribution</t>
  </si>
  <si>
    <t xml:space="preserve">Verify distribution of Bonus symbol count (3/4/5/6) on triggering spins</t>
  </si>
  <si>
    <t xml:space="preserve">Derived from BG1/BG6 BN combinatorics (BN max 1 per reel implied)</t>
  </si>
  <si>
    <t xml:space="preserve">1. Tabulate BN count on all triggers</t>
  </si>
  <si>
    <t xml:space="preserve">Requires Specification/Confirmation: Math file does not publish BN count distribution summary; obtain from provider. Verify no trigger with 7+ BN</t>
  </si>
  <si>
    <t xml:space="preserve">Ref: M-08 | OBS-16</t>
  </si>
  <si>
    <t xml:space="preserve">PS-MTH-048</t>
  </si>
  <si>
    <t xml:space="preserve">Raining Wilds</t>
  </si>
  <si>
    <t xml:space="preserve">Wild count per spin</t>
  </si>
  <si>
    <t xml:space="preserve">Verify number of Raining Wilds per FG1 spin follows math weights</t>
  </si>
  <si>
    <t xml:space="preserve">FG1 weights for 0..6 wilds: 838,200,500,200,50,25,10 (total 1823). Buy FG1: 433,200,500,200,50,25,10</t>
  </si>
  <si>
    <t xml:space="preserve">1. Log wild count per FG1 spin (natural and buy separately)</t>
  </si>
  <si>
    <t xml:space="preserve">Natural: P(0)=45.97%, P(6)=0.55%; Buy: P(0)=30.52%; never &gt;6</t>
  </si>
  <si>
    <t xml:space="preserve">Ref: M-11, M-17, GR-10 | OBS-11</t>
  </si>
  <si>
    <t xml:space="preserve">PS-MTH-049</t>
  </si>
  <si>
    <t xml:space="preserve">Verify Raining Wilds are placed only on reels 2-5</t>
  </si>
  <si>
    <t xml:space="preserve">Math note: only reels 2,3,4,5 available for bursting of Wild (weight 1 each)</t>
  </si>
  <si>
    <t xml:space="preserve">1. Log reel of every Raining Wild</t>
  </si>
  <si>
    <t xml:space="preserve">Reel 1 and 6 never receive a Raining Wild; reels 2-5 approximately equal. Rules say 'random positions on the reels' (OBS-05)</t>
  </si>
  <si>
    <t xml:space="preserve">Ref: M-11, GR-10 | OBS-05</t>
  </si>
  <si>
    <t xml:space="preserve">PS-MTH-050</t>
  </si>
  <si>
    <t xml:space="preserve">Sticky Wilds</t>
  </si>
  <si>
    <t xml:space="preserve">Verify number of new Sticky Wilds per FG2 spin follows math weights</t>
  </si>
  <si>
    <t xml:space="preserve">FG2 weights for 0..3 new wilds: 500,126,50,10 (total 686); Buy FG2: 424,126,50,10</t>
  </si>
  <si>
    <t xml:space="preserve">1. Log new sticky wild count per spin</t>
  </si>
  <si>
    <t xml:space="preserve">Natural P(0)=72.89%, P(3)=1.46%; never &gt;3 new per spin</t>
  </si>
  <si>
    <t xml:space="preserve">Ref: M-12, M-17, GR-06 | OBS-06, OBS-11</t>
  </si>
  <si>
    <t xml:space="preserve">PS-MTH-051</t>
  </si>
  <si>
    <t xml:space="preserve">Reel height with stickies</t>
  </si>
  <si>
    <t xml:space="preserve">Verify reel height distribution conditional on number of sticky wilds on a reel</t>
  </si>
  <si>
    <t xml:space="preserve">FG2 tables: 2 sticky rows2..7 = 200,50,20,10,5,1; 3 sticky rows3..7 = 200,30,10,5,1; 4 sticky rows4..7 = 100,10,5,1; 5 sticky rows5..7 = 50,5,1; 6 sticky rows 6..7 = 10,1</t>
  </si>
  <si>
    <t xml:space="preserve">1. Log reel height and sticky count per reel per spin</t>
  </si>
  <si>
    <t xml:space="preserve">Reel height never below sticky count; distributions within tolerance</t>
  </si>
  <si>
    <t xml:space="preserve">Ref: M-12, M-13, GR-08 | OBS-07</t>
  </si>
  <si>
    <t xml:space="preserve">PS-MTH-052</t>
  </si>
  <si>
    <t xml:space="preserve">Average stickies</t>
  </si>
  <si>
    <t xml:space="preserve">Verify average number of Sticky Wilds at end of FG2</t>
  </si>
  <si>
    <t xml:space="preserve">Math: Buy FG2 3.593; whole game 1.601 (mixed policy)</t>
  </si>
  <si>
    <t xml:space="preserve">1. Count sticky wilds at final spin</t>
  </si>
  <si>
    <t xml:space="preserve">Within tolerance</t>
  </si>
  <si>
    <t xml:space="preserve">Ref: M-12</t>
  </si>
  <si>
    <t xml:space="preserve">PS-MTH-053</t>
  </si>
  <si>
    <t xml:space="preserve">Max Win</t>
  </si>
  <si>
    <t xml:space="preserve">Max exposure base</t>
  </si>
  <si>
    <t xml:space="preserve">Verify maximum exposure of base game + FS</t>
  </si>
  <si>
    <t xml:space="preserve">Math: 1,009,091 credits at bet 20 = 50,454.55x bet; observed 1 in 1e9</t>
  </si>
  <si>
    <t xml:space="preserve">1. Review provider max exposure report
2. Confirm server cap configuration</t>
  </si>
  <si>
    <t xml:space="preserve">Requires Specification/Confirmation: Max win cap value is {{text1}}. Expected: configured cap &lt;= jurisdiction limit; any outcome above cap truncated to cap</t>
  </si>
  <si>
    <t xml:space="preserve">Ref: M-04, GR-29 | OBS-09, OBS-12</t>
  </si>
  <si>
    <t xml:space="preserve">PS-MTH-054</t>
  </si>
  <si>
    <t xml:space="preserve">Max exposure Buy</t>
  </si>
  <si>
    <t xml:space="preserve">Verify maximum exposure of bought features</t>
  </si>
  <si>
    <t xml:space="preserve">Buy FG1: 487,402 cr at cost 2000 (24,370.1x bet); Buy FG2: 1,674,912 cr (83,745.6x bet)</t>
  </si>
  <si>
    <t xml:space="preserve">1. Review
2. Compare with cap</t>
  </si>
  <si>
    <t xml:space="preserve">Requires Specification/Confirmation: Buy FG2 exposure exceeds base game max. Expected: cap enforced identically in Buy</t>
  </si>
  <si>
    <t xml:space="preserve">Ref: M-15, M-16, GR-29 | OBS-12</t>
  </si>
  <si>
    <t xml:space="preserve">PS-MTH-055</t>
  </si>
  <si>
    <t xml:space="preserve">Cap enforcement</t>
  </si>
  <si>
    <t xml:space="preserve">Verify a forced outcome exceeding the max win cap is credited at exactly the cap and the feature ends</t>
  </si>
  <si>
    <t xml:space="preserve">Forced FS outcome exceeding cap</t>
  </si>
  <si>
    <t xml:space="preserve">Cap = configured value (TBC)</t>
  </si>
  <si>
    <t xml:space="preserve">1. Force FS where cumulative win exceeds cap mid-feature
2. Observe</t>
  </si>
  <si>
    <t xml:space="preserve">Total credited = cap exactly; remaining FS terminated; message shown; balance correct; RGS round closed</t>
  </si>
  <si>
    <t xml:space="preserve">Ref: GR-29 | OBS-09</t>
  </si>
  <si>
    <t xml:space="preserve">PS-MTH-056</t>
  </si>
  <si>
    <t xml:space="preserve">Cap base game</t>
  </si>
  <si>
    <t xml:space="preserve">Verify cap applies to base game single spin win</t>
  </si>
  <si>
    <t xml:space="preserve">Forced base outcome exceeding cap</t>
  </si>
  <si>
    <t xml:space="preserve">Cap TBC</t>
  </si>
  <si>
    <t xml:space="preserve">Win credited = cap; no excess</t>
  </si>
  <si>
    <t xml:space="preserve">PS-MTH-057</t>
  </si>
  <si>
    <t xml:space="preserve">Bet denominator</t>
  </si>
  <si>
    <t xml:space="preserve">Verify server evaluates wins with bet denominator 20 (math 'Number of Lines Played: 20')</t>
  </si>
  <si>
    <t xml:space="preserve">RGS config review</t>
  </si>
  <si>
    <t xml:space="preserve">Total bet 20 credits</t>
  </si>
  <si>
    <t xml:space="preserve">1. Review config
2. Force 3 outcomes and verify win = bet x pay/20</t>
  </si>
  <si>
    <t xml:space="preserve">Denominator 20 used in all modes; win values match</t>
  </si>
  <si>
    <t xml:space="preserve">Ref: M-19, GR-13</t>
  </si>
  <si>
    <t xml:space="preserve">PS-MTH-058</t>
  </si>
  <si>
    <t xml:space="preserve">Min/Max bet config</t>
  </si>
  <si>
    <t xml:space="preserve">Verify configured min and max bet match approved values</t>
  </si>
  <si>
    <t xml:space="preserve">RGS/operator config</t>
  </si>
  <si>
    <t xml:space="preserve">Rules values {{text1}}</t>
  </si>
  <si>
    <t xml:space="preserve">1. Read config
2. Compare to approved bet ladder</t>
  </si>
  <si>
    <t xml:space="preserve">Requires Specification/Confirmation: Approved min/max bet not stated in rules</t>
  </si>
  <si>
    <t xml:space="preserve">Ref: GR-28 | OBS-09</t>
  </si>
  <si>
    <t xml:space="preserve">PS-MTH-059</t>
  </si>
  <si>
    <t xml:space="preserve">Buy</t>
  </si>
  <si>
    <t xml:space="preserve">Buy EV</t>
  </si>
  <si>
    <t xml:space="preserve">Verify expected return per buy</t>
  </si>
  <si>
    <t xml:space="preserve">Math EV: FG1 97.08 credits per 100 credits cost; FG2 97.11</t>
  </si>
  <si>
    <t xml:space="preserve">1. Compute mean win/cost</t>
  </si>
  <si>
    <t xml:space="preserve">Matches RTP checks</t>
  </si>
  <si>
    <t xml:space="preserve">PS-MTH-060</t>
  </si>
  <si>
    <t xml:space="preserve">Buy base component</t>
  </si>
  <si>
    <t xml:space="preserve">Verify Buy RTP base-game component (triggering spin wins)</t>
  </si>
  <si>
    <t xml:space="preserve">Buy FG1 base component 2.131%; Buy FG2 2.130%; trigger from BG1/BG6 only</t>
  </si>
  <si>
    <t xml:space="preserve">1. Separate triggering spin wins from FS wins</t>
  </si>
  <si>
    <t xml:space="preserve">PS-MTH-061</t>
  </si>
  <si>
    <t xml:space="preserve">Math File</t>
  </si>
  <si>
    <t xml:space="preserve">Metadata</t>
  </si>
  <si>
    <t xml:space="preserve">Verify the math file supplied is the correct version for Pig Style</t>
  </si>
  <si>
    <t xml:space="preserve">Math file pig_style_R7_1</t>
  </si>
  <si>
    <t xml:space="preserve">Summary: Game Name 'DogHouseMegaways9700'; label 'Wheel Bonus' for FS</t>
  </si>
  <si>
    <t xml:space="preserve">1. Review summary sheet metadata
2. Confirm with math provider</t>
  </si>
  <si>
    <t xml:space="preserve">Requires Specification/Confirmation: Expected: provider confirms R7.1 is Pig Style certified math and updates labels</t>
  </si>
  <si>
    <t xml:space="preserve">Ref: M-20 | OBS-13</t>
  </si>
  <si>
    <t xml:space="preserve">PS-MTH-062</t>
  </si>
  <si>
    <t xml:space="preserve">FS</t>
  </si>
  <si>
    <t xml:space="preserve">No retrigger (math)</t>
  </si>
  <si>
    <t xml:space="preserve">Verify Bonus symbol cannot appear during Free Spins</t>
  </si>
  <si>
    <t xml:space="preserve">FG1/FG2 reel strips</t>
  </si>
  <si>
    <t xml:space="preserve">BN weight 0 on all FG strips</t>
  </si>
  <si>
    <t xml:space="preserve">1. Review strips
2. Log BN occurrences in 1e6 FS</t>
  </si>
  <si>
    <t xml:space="preserve">Zero BN in FS; no retrigger</t>
  </si>
  <si>
    <t xml:space="preserve">Ref: GR-18, M-08</t>
  </si>
  <si>
    <t xml:space="preserve">PS-MTH-063</t>
  </si>
  <si>
    <t xml:space="preserve">No natural wild on FS strips</t>
  </si>
  <si>
    <t xml:space="preserve">Verify Wilds in FS come only from feature placement (FS reel strips contain no WC)</t>
  </si>
  <si>
    <t xml:space="preserve">FG strips</t>
  </si>
  <si>
    <t xml:space="preserve">WC weight 0 on FG1/FG2 strips</t>
  </si>
  <si>
    <t xml:space="preserve">1. Review strips</t>
  </si>
  <si>
    <t xml:space="preserve">No WC on FS strips</t>
  </si>
  <si>
    <t xml:space="preserve">Ref: M-11, M-12</t>
  </si>
  <si>
    <t xml:space="preserve">PS-FEA-001</t>
  </si>
  <si>
    <t xml:space="preserve">Sticky Wilds FS</t>
  </si>
  <si>
    <t xml:space="preserve">Min trigger</t>
  </si>
  <si>
    <t xml:space="preserve">Verify minimum trigger (3 BN) starts Sticky Wilds FS with 7 spins</t>
  </si>
  <si>
    <t xml:space="preserve">Forced 3 BN trigger</t>
  </si>
  <si>
    <t xml:space="preserve">1. Trigger
2. Select Sticky Wilds</t>
  </si>
  <si>
    <t xml:space="preserve">FS intro shown; counter 7; feature UI (counter, total win) visible</t>
  </si>
  <si>
    <t xml:space="preserve">Positive</t>
  </si>
  <si>
    <t xml:space="preserve">Ref: GR-05, GR-17, M-12</t>
  </si>
  <si>
    <t xml:space="preserve">PS-FEA-002</t>
  </si>
  <si>
    <t xml:space="preserve">Max trigger</t>
  </si>
  <si>
    <t xml:space="preserve">Verify maximum trigger (6 BN) starts Sticky Wilds FS with 20 spins</t>
  </si>
  <si>
    <t xml:space="preserve">Forced 6 BN trigger (1 on each reel)</t>
  </si>
  <si>
    <t xml:space="preserve">6 BN</t>
  </si>
  <si>
    <t xml:space="preserve">1. Trigger
2. Select option</t>
  </si>
  <si>
    <t xml:space="preserve">Counter 20</t>
  </si>
  <si>
    <t xml:space="preserve">Ref: GR-05, GR-17, M-12 | OBS-16</t>
  </si>
  <si>
    <t xml:space="preserve">PS-FEA-003</t>
  </si>
  <si>
    <t xml:space="preserve">Completion</t>
  </si>
  <si>
    <t xml:space="preserve">Verify Sticky Wilds FS ends after the last spin and shows total feature win, then returns to base game</t>
  </si>
  <si>
    <t xml:space="preserve">Feature in progress</t>
  </si>
  <si>
    <t xml:space="preserve">Any</t>
  </si>
  <si>
    <t xml:space="preserve">1. Play all spins
2. Observe end screen
3. Dismiss</t>
  </si>
  <si>
    <t xml:space="preserve">Counter reaches 0; summary shows total FS win = sum of spin wins; balance credited; base game restored at same bet</t>
  </si>
  <si>
    <t xml:space="preserve">Ref: GR-05, GR-17, GR-12</t>
  </si>
  <si>
    <t xml:space="preserve">PS-FEA-004</t>
  </si>
  <si>
    <t xml:space="preserve">Counter</t>
  </si>
  <si>
    <t xml:space="preserve">Verify the Free Spins counter decrements by exactly 1 per spin in Sticky Wilds FS</t>
  </si>
  <si>
    <t xml:space="preserve">Award 7</t>
  </si>
  <si>
    <t xml:space="preserve">1. Observe counter before and after each spin</t>
  </si>
  <si>
    <t xml:space="preserve">Counter decrements by 1 each spin; never skips or repeats; no negative values</t>
  </si>
  <si>
    <t xml:space="preserve">Ref: GR-05, GR-17</t>
  </si>
  <si>
    <t xml:space="preserve">PS-FEA-005</t>
  </si>
  <si>
    <t xml:space="preserve">Zero win feature</t>
  </si>
  <si>
    <t xml:space="preserve">Verify Sticky Wilds FS with no wins completes correctly showing total 0.00</t>
  </si>
  <si>
    <t xml:space="preserve">Forced all-losing FS</t>
  </si>
  <si>
    <t xml:space="preserve">1. Play feature</t>
  </si>
  <si>
    <t xml:space="preserve">Feature ends with total 0.00; no credit transaction or 0.00 credit per RGS spec; base game restored</t>
  </si>
  <si>
    <t xml:space="preserve">PS-FEA-006</t>
  </si>
  <si>
    <t xml:space="preserve">No retrigger</t>
  </si>
  <si>
    <t xml:space="preserve">Verify Bonus symbols do not appear and feature cannot retrigger in Sticky Wilds FS</t>
  </si>
  <si>
    <t xml:space="preserve">Award 20</t>
  </si>
  <si>
    <t xml:space="preserve">1. Play full feature observing reels</t>
  </si>
  <si>
    <t xml:space="preserve">No BN lands; no additional spins awarded</t>
  </si>
  <si>
    <t xml:space="preserve">PS-FEA-007</t>
  </si>
  <si>
    <t xml:space="preserve">Verify Sticky Wilds FS plays at trigger bet with no per-spin debit</t>
  </si>
  <si>
    <t xml:space="preserve">Trigger at max bet</t>
  </si>
  <si>
    <t xml:space="preserve">Max bet</t>
  </si>
  <si>
    <t xml:space="preserve">1. Trigger at max bet
2. Play feature
3. Check balance during feature</t>
  </si>
  <si>
    <t xml:space="preserve">No debits; wins scaled to max bet</t>
  </si>
  <si>
    <t xml:space="preserve">PS-FEA-008</t>
  </si>
  <si>
    <t xml:space="preserve">Win accumulation</t>
  </si>
  <si>
    <t xml:space="preserve">Verify total win meter accumulates each spin win during Sticky Wilds FS</t>
  </si>
  <si>
    <t xml:space="preserve">Forced wins on spins 1 and 3</t>
  </si>
  <si>
    <t xml:space="preserve">Spin1 1.50, Spin3 3.00</t>
  </si>
  <si>
    <t xml:space="preserve">1. Play
2. Observe total meter</t>
  </si>
  <si>
    <t xml:space="preserve">Meter 1.50 after spin 1, 4.50 after spin 3; final summary 4.50</t>
  </si>
  <si>
    <t xml:space="preserve">Ref: GR-12</t>
  </si>
  <si>
    <t xml:space="preserve">PS-FEA-009</t>
  </si>
  <si>
    <t xml:space="preserve">Crediting timing</t>
  </si>
  <si>
    <t xml:space="preserve">Verify when Sticky Wilds FS winnings reach the player balance</t>
  </si>
  <si>
    <t xml:space="preserve">Forced wins</t>
  </si>
  <si>
    <t xml:space="preserve">1. Note balance before feature
2. Observe balance during and after</t>
  </si>
  <si>
    <t xml:space="preserve">Requires Specification/Confirmation: Rules state 'All Free Spins winnings are awarded when the feature ends' under Raining Wilds only (OBS-08). Expected: balance unchanged during feature; credited once at end</t>
  </si>
  <si>
    <t xml:space="preserve">Ref: GR-12 | OBS-08</t>
  </si>
  <si>
    <t xml:space="preserve">PS-FEA-010</t>
  </si>
  <si>
    <t xml:space="preserve">Refresh mid-feature</t>
  </si>
  <si>
    <t xml:space="preserve">Verify Sticky Wilds FS resumes after browser refresh with same remaining spins, wilds and total win</t>
  </si>
  <si>
    <t xml:space="preserve">Feature at spin 3 of 7</t>
  </si>
  <si>
    <t xml:space="preserve">1. Refresh page after spin 3 completes
2. Reload game</t>
  </si>
  <si>
    <t xml:space="preserve">Feature resumes at spin 4; remaining count, accumulated win and (for Sticky) all sticky wilds with multipliers restored</t>
  </si>
  <si>
    <t xml:space="preserve">Recovery</t>
  </si>
  <si>
    <t xml:space="preserve">Ref: GR-56</t>
  </si>
  <si>
    <t xml:space="preserve">PS-FEA-011</t>
  </si>
  <si>
    <t xml:space="preserve">Refresh during spin</t>
  </si>
  <si>
    <t xml:space="preserve">Verify refresh while a Sticky Wilds FS spin is animating restores the already-determined result</t>
  </si>
  <si>
    <t xml:space="preserve">Feature spin in progress</t>
  </si>
  <si>
    <t xml:space="preserve">1. Start FS spin
2. Refresh before reels stop
3. Reload</t>
  </si>
  <si>
    <t xml:space="preserve">Result of that spin shown once (not replayed as new); counter reflects consumed spin; no duplicate win</t>
  </si>
  <si>
    <t xml:space="preserve">PS-FEA-012</t>
  </si>
  <si>
    <t xml:space="preserve">Max win in feature</t>
  </si>
  <si>
    <t xml:space="preserve">Verify reaching max win cap during Sticky Wilds FS ends the feature immediately</t>
  </si>
  <si>
    <t xml:space="preserve">Forced outcome exceeding cap</t>
  </si>
  <si>
    <t xml:space="preserve">1. Force
2. Play</t>
  </si>
  <si>
    <t xml:space="preserve">Feature ends at cap; summary shows cap amount; remaining spins forfeited per rules</t>
  </si>
  <si>
    <t xml:space="preserve">PS-FEA-013</t>
  </si>
  <si>
    <t xml:space="preserve">Raining Wilds FS</t>
  </si>
  <si>
    <t xml:space="preserve">Verify minimum trigger (3 BN) starts Raining Wilds FS with 15 spins</t>
  </si>
  <si>
    <t xml:space="preserve">1. Trigger
2. Select Raining Wilds</t>
  </si>
  <si>
    <t xml:space="preserve">FS intro shown; counter 15; feature UI (counter, total win) visible</t>
  </si>
  <si>
    <t xml:space="preserve">Ref: GR-09, GR-17, M-11</t>
  </si>
  <si>
    <t xml:space="preserve">PS-FEA-014</t>
  </si>
  <si>
    <t xml:space="preserve">Verify maximum trigger (6 BN) starts Raining Wilds FS with 30 spins</t>
  </si>
  <si>
    <t xml:space="preserve">Counter 30</t>
  </si>
  <si>
    <t xml:space="preserve">Ref: GR-09, GR-17, M-11 | OBS-16</t>
  </si>
  <si>
    <t xml:space="preserve">PS-FEA-015</t>
  </si>
  <si>
    <t xml:space="preserve">Verify Raining Wilds FS ends after the last spin and shows total feature win, then returns to base game</t>
  </si>
  <si>
    <t xml:space="preserve">Ref: GR-09, GR-17, GR-12</t>
  </si>
  <si>
    <t xml:space="preserve">PS-FEA-016</t>
  </si>
  <si>
    <t xml:space="preserve">Verify the Free Spins counter decrements by exactly 1 per spin in Raining Wilds FS</t>
  </si>
  <si>
    <t xml:space="preserve">Award 15</t>
  </si>
  <si>
    <t xml:space="preserve">Ref: GR-09, GR-17</t>
  </si>
  <si>
    <t xml:space="preserve">PS-FEA-017</t>
  </si>
  <si>
    <t xml:space="preserve">Verify Raining Wilds FS with no wins completes correctly showing total 0.00</t>
  </si>
  <si>
    <t xml:space="preserve">PS-FEA-018</t>
  </si>
  <si>
    <t xml:space="preserve">Verify Bonus symbols do not appear and feature cannot retrigger in Raining Wilds FS</t>
  </si>
  <si>
    <t xml:space="preserve">Award 30</t>
  </si>
  <si>
    <t xml:space="preserve">PS-FEA-019</t>
  </si>
  <si>
    <t xml:space="preserve">Verify Raining Wilds FS plays at trigger bet with no per-spin debit</t>
  </si>
  <si>
    <t xml:space="preserve">PS-FEA-020</t>
  </si>
  <si>
    <t xml:space="preserve">Verify total win meter accumulates each spin win during Raining Wilds FS</t>
  </si>
  <si>
    <t xml:space="preserve">PS-FEA-021</t>
  </si>
  <si>
    <t xml:space="preserve">Verify when Raining Wilds FS winnings reach the player balance</t>
  </si>
  <si>
    <t xml:space="preserve">PS-FEA-022</t>
  </si>
  <si>
    <t xml:space="preserve">Verify Raining Wilds FS resumes after browser refresh with same remaining spins, wilds and total win</t>
  </si>
  <si>
    <t xml:space="preserve">Feature at spin 3 of 15</t>
  </si>
  <si>
    <t xml:space="preserve">PS-FEA-023</t>
  </si>
  <si>
    <t xml:space="preserve">Verify refresh while a Raining Wilds FS spin is animating restores the already-determined result</t>
  </si>
  <si>
    <t xml:space="preserve">PS-FEA-024</t>
  </si>
  <si>
    <t xml:space="preserve">Verify reaching max win cap during Raining Wilds FS ends the feature immediately</t>
  </si>
  <si>
    <t xml:space="preserve">PS-FEA-025</t>
  </si>
  <si>
    <t xml:space="preserve">Sticky persistence</t>
  </si>
  <si>
    <t xml:space="preserve">Verify a Sticky Wild remains in its reel for all remaining Free Spins</t>
  </si>
  <si>
    <t xml:space="preserve">Forced sticky on spin 1 on reel 3</t>
  </si>
  <si>
    <t xml:space="preserve">1 WC on R3</t>
  </si>
  <si>
    <t xml:space="preserve">1. Land sticky on spin 1
2. Play remaining spins</t>
  </si>
  <si>
    <t xml:space="preserve">Wild remains on R3 every subsequent spin until feature end; multiplier unchanged</t>
  </si>
  <si>
    <t xml:space="preserve">Ref: GR-08, M-12, M-13</t>
  </si>
  <si>
    <t xml:space="preserve">PS-FEA-026</t>
  </si>
  <si>
    <t xml:space="preserve">Multiplier persistence</t>
  </si>
  <si>
    <t xml:space="preserve">Verify a Sticky Wild keeps its assigned multiplier for the rest of the feature</t>
  </si>
  <si>
    <t xml:space="preserve">Sticky x3 on spin 1</t>
  </si>
  <si>
    <t xml:space="preserve">x3</t>
  </si>
  <si>
    <t xml:space="preserve">1. Play remaining spins
2. Inspect multiplier label each spin</t>
  </si>
  <si>
    <t xml:space="preserve">Label x3 persists; wins with it multiplied by 3 every spin</t>
  </si>
  <si>
    <t xml:space="preserve">Ref: GR-07, GR-08</t>
  </si>
  <si>
    <t xml:space="preserve">PS-FEA-027</t>
  </si>
  <si>
    <t xml:space="preserve">Multiplier values</t>
  </si>
  <si>
    <t xml:space="preserve">Verify each landing Sticky Wild shows its assigned multiplier</t>
  </si>
  <si>
    <t xml:space="preserve">Feature with several wilds</t>
  </si>
  <si>
    <t xml:space="preserve">1. Observe each new sticky</t>
  </si>
  <si>
    <t xml:space="preserve">Requires Specification/Confirmation: Rules: x2 or x3; math: x1, x2, x3 (OBS-01). Expected per math: label x1/x2/x3 consistent with RGS</t>
  </si>
  <si>
    <t xml:space="preserve">Ref: GR-07, M-12 | OBS-01</t>
  </si>
  <si>
    <t xml:space="preserve">PS-FEA-028</t>
  </si>
  <si>
    <t xml:space="preserve">Reel restriction</t>
  </si>
  <si>
    <t xml:space="preserve">Verify Sticky Wilds land only on reels 2-5</t>
  </si>
  <si>
    <t xml:space="preserve">Feature sample</t>
  </si>
  <si>
    <t xml:space="preserve">Math: reels 2-5 only</t>
  </si>
  <si>
    <t xml:space="preserve">1. Observe 100 FS spins</t>
  </si>
  <si>
    <t xml:space="preserve">No sticky on reels 1 or 6</t>
  </si>
  <si>
    <t xml:space="preserve">Ref: M-12, GR-06 | OBS-06</t>
  </si>
  <si>
    <t xml:space="preserve">PS-FEA-029</t>
  </si>
  <si>
    <t xml:space="preserve">Resize on expansion</t>
  </si>
  <si>
    <t xml:space="preserve">Verify Sticky Wilds adjust in size when reel height changes</t>
  </si>
  <si>
    <t xml:space="preserve">Sticky on reel with 3 rows; next spin 6 rows</t>
  </si>
  <si>
    <t xml:space="preserve">1. Land sticky
2. Next spin with taller reel</t>
  </si>
  <si>
    <t xml:space="preserve">Sticky resizes to new geometry and remains on same reel; no overlap or gap; multiplier preserved</t>
  </si>
  <si>
    <t xml:space="preserve">Ref: GR-08, M-13</t>
  </si>
  <si>
    <t xml:space="preserve">PS-FEA-030</t>
  </si>
  <si>
    <t xml:space="preserve">Reel shrink</t>
  </si>
  <si>
    <t xml:space="preserve">Verify Sticky Wild behaviour when the reel height decreases on a later spin</t>
  </si>
  <si>
    <t xml:space="preserve">Sticky on reel with 4 rows; next spin 2 rows</t>
  </si>
  <si>
    <t xml:space="preserve">Math StickyWildMovement includes transitions to fewer rows</t>
  </si>
  <si>
    <t xml:space="preserve">1. Land sticky
2. Next spin with shorter reel</t>
  </si>
  <si>
    <t xml:space="preserve">Requires Specification/Confirmation: Rules only describe expansion (OBS-07). Expected per math: sticky repositioned per StickyWildMovement table, not lost</t>
  </si>
  <si>
    <t xml:space="preserve">Ref: GR-08, M-13 | OBS-07</t>
  </si>
  <si>
    <t xml:space="preserve">PS-FEA-031</t>
  </si>
  <si>
    <t xml:space="preserve">Max stickies on reel</t>
  </si>
  <si>
    <t xml:space="preserve">Verify a reel fully covered by Sticky Wilds (7 rows) evaluates correctly</t>
  </si>
  <si>
    <t xml:space="preserve">Forced: reel 3 fully sticky, 7 rows</t>
  </si>
  <si>
    <t xml:space="preserve">7 WC on R3</t>
  </si>
  <si>
    <t xml:space="preserve">All positions wild; ways = 7 via that reel; wins multiplied per wild per way</t>
  </si>
  <si>
    <t xml:space="preserve">Ref: GR-06, M-12</t>
  </si>
  <si>
    <t xml:space="preserve">PS-FEA-032</t>
  </si>
  <si>
    <t xml:space="preserve">New stickies per spin</t>
  </si>
  <si>
    <t xml:space="preserve">Verify at most 3 new Sticky Wilds land on a single Free Spin</t>
  </si>
  <si>
    <t xml:space="preserve">Observation over 200 FS spins</t>
  </si>
  <si>
    <t xml:space="preserve">Math: 0..3 new per spin</t>
  </si>
  <si>
    <t xml:space="preserve">1. Count new stickies per spin</t>
  </si>
  <si>
    <t xml:space="preserve">Requires Specification/Confirmation: Rules: 'up to 7 Sticky Wilds can land on each reel' (OBS-06). Expected per math: max 3 new per spin</t>
  </si>
  <si>
    <t xml:space="preserve">Ref: GR-06, M-12 | OBS-06</t>
  </si>
  <si>
    <t xml:space="preserve">PS-FEA-033</t>
  </si>
  <si>
    <t xml:space="preserve">Sticky + new wild</t>
  </si>
  <si>
    <t xml:space="preserve">Verify a new wild landing on a reel that already has a sticky is added without replacing the existing one</t>
  </si>
  <si>
    <t xml:space="preserve">Sticky x2 on R2</t>
  </si>
  <si>
    <t xml:space="preserve">New x3 on R2</t>
  </si>
  <si>
    <t xml:space="preserve">1. Force</t>
  </si>
  <si>
    <t xml:space="preserve">Both wilds present with own multipliers; ways through each counted separately</t>
  </si>
  <si>
    <t xml:space="preserve">PS-FEA-034</t>
  </si>
  <si>
    <t xml:space="preserve">Win presentation</t>
  </si>
  <si>
    <t xml:space="preserve">Verify wins involving sticky wilds highlight the wilds and show multiplied amount</t>
  </si>
  <si>
    <t xml:space="preserve">Forced win with sticky x2</t>
  </si>
  <si>
    <t xml:space="preserve">AA 3oak via sticky x2, bet 1.00 =&gt; 1.50</t>
  </si>
  <si>
    <t xml:space="preserve">Wild highlighted; win 1.50 shown</t>
  </si>
  <si>
    <t xml:space="preserve">Ref: GR-13</t>
  </si>
  <si>
    <t xml:space="preserve">PS-FEA-035</t>
  </si>
  <si>
    <t xml:space="preserve">Wild drop</t>
  </si>
  <si>
    <t xml:space="preserve">Verify 0 to 6 Raining Wilds can appear on a Free Spin</t>
  </si>
  <si>
    <t xml:space="preserve">Math weights 0..6</t>
  </si>
  <si>
    <t xml:space="preserve">1. Observe 200 spins</t>
  </si>
  <si>
    <t xml:space="preserve">Counts in range 0..6; never more than 6</t>
  </si>
  <si>
    <t xml:space="preserve">Ref: GR-10, M-11</t>
  </si>
  <si>
    <t xml:space="preserve">PS-FEA-036</t>
  </si>
  <si>
    <t xml:space="preserve">Not sticky</t>
  </si>
  <si>
    <t xml:space="preserve">Verify Raining Wilds do not persist to the next spin</t>
  </si>
  <si>
    <t xml:space="preserve">Spin with 2 raining wilds</t>
  </si>
  <si>
    <t xml:space="preserve">1. Play next spin</t>
  </si>
  <si>
    <t xml:space="preserve">Previous raining wilds removed; new placement random</t>
  </si>
  <si>
    <t xml:space="preserve">Ref: GR-10</t>
  </si>
  <si>
    <t xml:space="preserve">PS-FEA-037</t>
  </si>
  <si>
    <t xml:space="preserve">Verify each Raining Wild shows its multiplier</t>
  </si>
  <si>
    <t xml:space="preserve">1. Observe wild labels</t>
  </si>
  <si>
    <t xml:space="preserve">Requires Specification/Confirmation: Rules x2/x3; math x1/x2/x3 (OBS-01)</t>
  </si>
  <si>
    <t xml:space="preserve">Ref: GR-11, M-11 | OBS-01</t>
  </si>
  <si>
    <t xml:space="preserve">PS-FEA-038</t>
  </si>
  <si>
    <t xml:space="preserve">Wild size</t>
  </si>
  <si>
    <t xml:space="preserve">Verify Raining Wild sizes</t>
  </si>
  <si>
    <t xml:space="preserve">Rules: 'of any size'</t>
  </si>
  <si>
    <t xml:space="preserve">1. Observe sizes of raining wilds</t>
  </si>
  <si>
    <t xml:space="preserve">Requires Specification/Confirmation: Math FG1 has no size table (OBS-05). Expected: size behaviour confirmed by provider</t>
  </si>
  <si>
    <t xml:space="preserve">Ref: GR-10 | OBS-05</t>
  </si>
  <si>
    <t xml:space="preserve">PS-FEA-039</t>
  </si>
  <si>
    <t xml:space="preserve">Verify Raining Wilds land only on reels 2-5</t>
  </si>
  <si>
    <t xml:space="preserve">Math note: reels 2-5</t>
  </si>
  <si>
    <t xml:space="preserve">No raining wild on reels 1 or 6 (rules say random positions: OBS-05)</t>
  </si>
  <si>
    <t xml:space="preserve">Ref: GR-10, M-11 | OBS-05</t>
  </si>
  <si>
    <t xml:space="preserve">PS-FEA-040</t>
  </si>
  <si>
    <t xml:space="preserve">Wild over Bonus/symbol</t>
  </si>
  <si>
    <t xml:space="preserve">Verify a Raining Wild replaces the underlying symbol and position is evaluated as Wild</t>
  </si>
  <si>
    <t xml:space="preserve">Forced</t>
  </si>
  <si>
    <t xml:space="preserve">WC dropped on R2 position over KK</t>
  </si>
  <si>
    <t xml:space="preserve">Position evaluates as WC; KK not counted at that position</t>
  </si>
  <si>
    <t xml:space="preserve">PS-FEA-041</t>
  </si>
  <si>
    <t xml:space="preserve">FS Selection</t>
  </si>
  <si>
    <t xml:space="preserve">Choose Sticky</t>
  </si>
  <si>
    <t xml:space="preserve">Verify choosing Sticky Wilds starts Sticky Wilds FS and RGS logs choice</t>
  </si>
  <si>
    <t xml:space="preserve">4 BN</t>
  </si>
  <si>
    <t xml:space="preserve">1. Select Sticky</t>
  </si>
  <si>
    <t xml:space="preserve">Sticky FS with 12 spins; RGS stores choice=Sticky</t>
  </si>
  <si>
    <t xml:space="preserve">Ref: GR-16, GR-05</t>
  </si>
  <si>
    <t xml:space="preserve">PS-FEA-042</t>
  </si>
  <si>
    <t xml:space="preserve">Choose Raining</t>
  </si>
  <si>
    <t xml:space="preserve">Verify choosing Raining Wilds starts Raining Wilds FS and RGS logs choice</t>
  </si>
  <si>
    <t xml:space="preserve">1. Select Raining</t>
  </si>
  <si>
    <t xml:space="preserve">Raining FS with 18 spins; RGS stores choice=Raining</t>
  </si>
  <si>
    <t xml:space="preserve">Ref: GR-16, GR-09</t>
  </si>
  <si>
    <t xml:space="preserve">PS-FEA-043</t>
  </si>
  <si>
    <t xml:space="preserve">Double select</t>
  </si>
  <si>
    <t xml:space="preserve">Verify rapid double tap on both options only starts one feature</t>
  </si>
  <si>
    <t xml:space="preserve">1. Tap Sticky and Raining within 100 ms</t>
  </si>
  <si>
    <t xml:space="preserve">Only the first choice accepted; single feature; single RGS choice request</t>
  </si>
  <si>
    <t xml:space="preserve">PS-FEA-044</t>
  </si>
  <si>
    <t xml:space="preserve">Refresh on choice</t>
  </si>
  <si>
    <t xml:space="preserve">Verify refresh while choice screen is open returns to choice screen</t>
  </si>
  <si>
    <t xml:space="preserve">1. Refresh
2. Reload</t>
  </si>
  <si>
    <t xml:space="preserve">Choice screen restored with same BN count and spin numbers; no default selection made</t>
  </si>
  <si>
    <t xml:space="preserve">Ref: GR-16, GR-56</t>
  </si>
  <si>
    <t xml:space="preserve">PS-FEA-045</t>
  </si>
  <si>
    <t xml:space="preserve">Displayed values</t>
  </si>
  <si>
    <t xml:space="preserve">Verify the choice screen shows correct spin counts for each BN count</t>
  </si>
  <si>
    <t xml:space="preserve">Forced triggers 3,4,5,6 BN</t>
  </si>
  <si>
    <t xml:space="preserve">Sticky 7/12/15/20; Raining 15/18/25/30</t>
  </si>
  <si>
    <t xml:space="preserve">1. Trigger each</t>
  </si>
  <si>
    <t xml:space="preserve">Values match per BN count</t>
  </si>
  <si>
    <t xml:space="preserve">Ref: GR-05, GR-09, GR-17</t>
  </si>
  <si>
    <t xml:space="preserve">PS-FEA-046</t>
  </si>
  <si>
    <t xml:space="preserve">Feature Transition</t>
  </si>
  <si>
    <t xml:space="preserve">Intro/Outro</t>
  </si>
  <si>
    <t xml:space="preserve">Verify transition from base to FS and back preserves balance, bet and settings (sound, turbo)</t>
  </si>
  <si>
    <t xml:space="preserve">Turbo on, sound off</t>
  </si>
  <si>
    <t xml:space="preserve">1. Trigger FS
2. Complete feature</t>
  </si>
  <si>
    <t xml:space="preserve">Settings preserved through transition; balance consistent</t>
  </si>
  <si>
    <t xml:space="preserve">Ref: GR-37, GR-49</t>
  </si>
  <si>
    <t xml:space="preserve">PS-FEA-047</t>
  </si>
  <si>
    <t xml:space="preserve">Trigger spin wins</t>
  </si>
  <si>
    <t xml:space="preserve">Verify triggering spin pays line wins before entering FS</t>
  </si>
  <si>
    <t xml:space="preserve">Forced trigger with win</t>
  </si>
  <si>
    <t xml:space="preserve">AA 3oak + 3 BN</t>
  </si>
  <si>
    <t xml:space="preserve">1. Spin</t>
  </si>
  <si>
    <t xml:space="preserve">Base win 0.75 (bet 1.00) awarded and shown before choice screen</t>
  </si>
  <si>
    <t xml:space="preserve">Ref: GR-34, GR-14</t>
  </si>
  <si>
    <t xml:space="preserve">PS-FEA-048</t>
  </si>
  <si>
    <t xml:space="preserve">Choice in buy</t>
  </si>
  <si>
    <t xml:space="preserve">Verify which FS type is awarded for a bought feature</t>
  </si>
  <si>
    <t xml:space="preserve">Math has separate Buy FG1 and Buy FG2 configs</t>
  </si>
  <si>
    <t xml:space="preserve">1. Open Buy
2. Check options
3. Confirm</t>
  </si>
  <si>
    <t xml:space="preserve">Requires Specification/Confirmation: Rules do not state whether player selects FS type in Buy interface or after trigger (OBS-10)</t>
  </si>
  <si>
    <t xml:space="preserve">Ref: GR-32, M-15, M-16 | OBS-10</t>
  </si>
  <si>
    <t xml:space="preserve">PS-FEA-049</t>
  </si>
  <si>
    <t xml:space="preserve">Guaranteed trigger</t>
  </si>
  <si>
    <t xml:space="preserve">Verify a bought feature always lands at least 3 BN on the triggering spin</t>
  </si>
  <si>
    <t xml:space="preserve">100 buys (test env)</t>
  </si>
  <si>
    <t xml:space="preserve">Bet min</t>
  </si>
  <si>
    <t xml:space="preserve">1. Buy 100 times</t>
  </si>
  <si>
    <t xml:space="preserve">Every buy triggers FS</t>
  </si>
  <si>
    <t xml:space="preserve">Ref: GR-33, M-15, M-16</t>
  </si>
  <si>
    <t xml:space="preserve">PS-FEA-050</t>
  </si>
  <si>
    <t xml:space="preserve">Double confirm</t>
  </si>
  <si>
    <t xml:space="preserve">Verify double tapping Confirm debits only once</t>
  </si>
  <si>
    <t xml:space="preserve">1. Tap Confirm twice rapidly</t>
  </si>
  <si>
    <t xml:space="preserve">Single debit 100.00; single feature</t>
  </si>
  <si>
    <t xml:space="preserve">Ref: GR-33</t>
  </si>
  <si>
    <t xml:space="preserve">PS-FEA-051</t>
  </si>
  <si>
    <t xml:space="preserve">Refresh after confirm</t>
  </si>
  <si>
    <t xml:space="preserve">Verify refresh immediately after Buy confirm recovers the purchased feature</t>
  </si>
  <si>
    <t xml:space="preserve">Buy confirmed</t>
  </si>
  <si>
    <t xml:space="preserve">1. Confirm
2. Refresh within 1s</t>
  </si>
  <si>
    <t xml:space="preserve">Feature restored; no second debit; no lost purchase</t>
  </si>
  <si>
    <t xml:space="preserve">Ref: GR-33, GR-56</t>
  </si>
  <si>
    <t xml:space="preserve">PS-FEA-052</t>
  </si>
  <si>
    <t xml:space="preserve">Auto spin</t>
  </si>
  <si>
    <t xml:space="preserve">Verify Buy Feature not available while Auto Spin active</t>
  </si>
  <si>
    <t xml:space="preserve">1. Try opening Buy</t>
  </si>
  <si>
    <t xml:space="preserve">Buy disabled during Auto Spin</t>
  </si>
  <si>
    <t xml:space="preserve">PS-FEA-053</t>
  </si>
  <si>
    <t xml:space="preserve">Bet change in interface</t>
  </si>
  <si>
    <t xml:space="preserve">Verify bet adjustments inside the Buy interface update the cost live</t>
  </si>
  <si>
    <t xml:space="preserve">Buy interface supports bet change</t>
  </si>
  <si>
    <t xml:space="preserve">1.00 -&gt; 2.00</t>
  </si>
  <si>
    <t xml:space="preserve">1. Change bet in interface</t>
  </si>
  <si>
    <t xml:space="preserve">Requires Specification/Confirmation: Interface settings not detailed. Expected: cost 100.00 -&gt; 200.00 updates immediately</t>
  </si>
  <si>
    <t xml:space="preserve">Ref: GR-32, GR-36</t>
  </si>
  <si>
    <t xml:space="preserve">PS-FEA-054</t>
  </si>
  <si>
    <t xml:space="preserve">Feature Recovery</t>
  </si>
  <si>
    <t xml:space="preserve">Close and reopen</t>
  </si>
  <si>
    <t xml:space="preserve">Verify closing the browser mid-FS and relaunching restores the feature</t>
  </si>
  <si>
    <t xml:space="preserve">FS at spin 5 of 12</t>
  </si>
  <si>
    <t xml:space="preserve">1. Close browser tab
2. Relaunch from lobby</t>
  </si>
  <si>
    <t xml:space="preserve">Feature resumes at spin 6 with correct total and stickies</t>
  </si>
  <si>
    <t xml:space="preserve">PS-FEA-055</t>
  </si>
  <si>
    <t xml:space="preserve">Different device</t>
  </si>
  <si>
    <t xml:space="preserve">Verify an unfinished feature resumes on another device for the same player</t>
  </si>
  <si>
    <t xml:space="preserve">FS started on desktop</t>
  </si>
  <si>
    <t xml:space="preserve">1. Leave feature unfinished
2. Log in on mobile and launch game</t>
  </si>
  <si>
    <t xml:space="preserve">Feature resumes on mobile from last recorded state</t>
  </si>
  <si>
    <t xml:space="preserve">Desktop -&gt; Mobile</t>
  </si>
  <si>
    <t xml:space="preserve">PS-FEA-056</t>
  </si>
  <si>
    <t xml:space="preserve">7-day inactivity</t>
  </si>
  <si>
    <t xml:space="preserve">Verify behaviour of an unfinished feature left for 7+ days</t>
  </si>
  <si>
    <t xml:space="preserve">Test env with time-shift capability</t>
  </si>
  <si>
    <t xml:space="preserve">Inactivity 7 days + 1 minute</t>
  </si>
  <si>
    <t xml:space="preserve">1. Leave FS unfinished
2. Shift time
3. Relaunch</t>
  </si>
  <si>
    <t xml:space="preserve">Requires Specification/Confirmation: Rules state unfinished FS 'may be forfeited'. Expected behaviour (auto-complete and credit vs forfeit) must be confirmed; forfeiting player winnings conflicts with many jurisdictions</t>
  </si>
  <si>
    <t xml:space="preserve">Ref: GR-58 | OBS-23</t>
  </si>
  <si>
    <t xml:space="preserve">PS-FEA-057</t>
  </si>
  <si>
    <t xml:space="preserve">Before 7 days</t>
  </si>
  <si>
    <t xml:space="preserve">Verify unfinished feature is restored after 6 days 23 hours inactivity</t>
  </si>
  <si>
    <t xml:space="preserve">Time-shift</t>
  </si>
  <si>
    <t xml:space="preserve">6d 23h</t>
  </si>
  <si>
    <t xml:space="preserve">Feature restored intact</t>
  </si>
  <si>
    <t xml:space="preserve">Ref: GR-58</t>
  </si>
  <si>
    <t xml:space="preserve">PS-FEA-058</t>
  </si>
  <si>
    <t xml:space="preserve">Network loss mid-FS</t>
  </si>
  <si>
    <t xml:space="preserve">Verify network drop during FS spin request is recovered without spin loss</t>
  </si>
  <si>
    <t xml:space="preserve">FS in progress</t>
  </si>
  <si>
    <t xml:space="preserve">Disconnect 30 s</t>
  </si>
  <si>
    <t xml:space="preserve">1. Disable network as spin pressed
2. Restore</t>
  </si>
  <si>
    <t xml:space="preserve">Reconnect message; on restore spin result displayed once; counter correct</t>
  </si>
  <si>
    <t xml:space="preserve">PS-FEA-059</t>
  </si>
  <si>
    <t xml:space="preserve">Feature end screen refresh</t>
  </si>
  <si>
    <t xml:space="preserve">Verify refresh on FS summary screen does not credit twice</t>
  </si>
  <si>
    <t xml:space="preserve">Summary screen visible</t>
  </si>
  <si>
    <t xml:space="preserve">Total 25.00</t>
  </si>
  <si>
    <t xml:space="preserve">Balance credited once; game returns to base idle or summary shown once</t>
  </si>
  <si>
    <t xml:space="preserve">Ref: GR-12, GR-56</t>
  </si>
  <si>
    <t xml:space="preserve">PS-EDG-001</t>
  </si>
  <si>
    <t xml:space="preserve">Edge/Boundary</t>
  </si>
  <si>
    <t xml:space="preserve">Min bet exact balance</t>
  </si>
  <si>
    <t xml:space="preserve">Verify spin is accepted at minimum bet when balance equals exactly the minimum bet and balance becomes 0.00 on loss</t>
  </si>
  <si>
    <t xml:space="preserve">Balance = min bet</t>
  </si>
  <si>
    <t xml:space="preserve">Min bet (TBC, e.g. 0.20); balance 0.20</t>
  </si>
  <si>
    <t xml:space="preserve">1. Set min bet
2. Spin (forced loss)</t>
  </si>
  <si>
    <t xml:space="preserve">Spin accepted; debit 0.20 once; balance 0.00; Play disabled or insufficient funds on next attempt</t>
  </si>
  <si>
    <t xml:space="preserve">Ref: GR-28, GR-22 | OBS-09</t>
  </si>
  <si>
    <t xml:space="preserve">PS-EDG-002</t>
  </si>
  <si>
    <t xml:space="preserve">Max bet exact balance</t>
  </si>
  <si>
    <t xml:space="preserve">Verify spin at maximum bet with balance exactly equal to max bet</t>
  </si>
  <si>
    <t xml:space="preserve">Balance = max bet</t>
  </si>
  <si>
    <t xml:space="preserve">Max bet (TBC)</t>
  </si>
  <si>
    <t xml:space="preserve">1. Set max bet
2. Spin</t>
  </si>
  <si>
    <t xml:space="preserve">Accepted; single debit; balance updated with any win</t>
  </si>
  <si>
    <t xml:space="preserve">PS-EDG-003</t>
  </si>
  <si>
    <t xml:space="preserve">Below min bet</t>
  </si>
  <si>
    <t xml:space="preserve">Verify spin is blocked when balance is 0.01 below the selected bet</t>
  </si>
  <si>
    <t xml:space="preserve">Balance = bet - 0.01</t>
  </si>
  <si>
    <t xml:space="preserve">Bet 1.00; balance 0.99</t>
  </si>
  <si>
    <t xml:space="preserve">Spin rejected; insufficient funds message; no debit</t>
  </si>
  <si>
    <t xml:space="preserve">PS-EDG-004</t>
  </si>
  <si>
    <t xml:space="preserve">Zero balance</t>
  </si>
  <si>
    <t xml:space="preserve">Verify game behaviour with zero balance on launch</t>
  </si>
  <si>
    <t xml:space="preserve">Wallet 0.00</t>
  </si>
  <si>
    <t xml:space="preserve">0.00</t>
  </si>
  <si>
    <t xml:space="preserve">1. Launch
2. Press Play</t>
  </si>
  <si>
    <t xml:space="preserve">Game loads; Play rejected with insufficient funds and deposit link if configured; no RGS bet</t>
  </si>
  <si>
    <t xml:space="preserve">PS-EDG-005</t>
  </si>
  <si>
    <t xml:space="preserve">Balance below bet, lower bet allowed</t>
  </si>
  <si>
    <t xml:space="preserve">Verify player can lower bet to continue playing when balance below current bet</t>
  </si>
  <si>
    <t xml:space="preserve">Balance 0.50, bet 1.00</t>
  </si>
  <si>
    <t xml:space="preserve">Min bet 0.20</t>
  </si>
  <si>
    <t xml:space="preserve">1. Lower bet to 0.20
2. Spin</t>
  </si>
  <si>
    <t xml:space="preserve">Spin accepted at 0.20</t>
  </si>
  <si>
    <t xml:space="preserve">PS-EDG-006</t>
  </si>
  <si>
    <t xml:space="preserve">Exact buy balance</t>
  </si>
  <si>
    <t xml:space="preserve">Verify Buy accepted when balance equals exactly 100x bet</t>
  </si>
  <si>
    <t xml:space="preserve">Balance 100.00, bet 1.00</t>
  </si>
  <si>
    <t xml:space="preserve">1. Buy</t>
  </si>
  <si>
    <t xml:space="preserve">Accepted; balance 0.00 before feature wins</t>
  </si>
  <si>
    <t xml:space="preserve">PS-EDG-007</t>
  </si>
  <si>
    <t xml:space="preserve">Min bet buy</t>
  </si>
  <si>
    <t xml:space="preserve">Verify Buy at minimum bet costs 100 x min bet</t>
  </si>
  <si>
    <t xml:space="preserve">Min bet</t>
  </si>
  <si>
    <t xml:space="preserve">1. Open Buy at min bet</t>
  </si>
  <si>
    <t xml:space="preserve">Cost = 100 x min bet</t>
  </si>
  <si>
    <t xml:space="preserve">Ref: GR-36, GR-28 | OBS-09</t>
  </si>
  <si>
    <t xml:space="preserve">PS-EDG-008</t>
  </si>
  <si>
    <t xml:space="preserve">Max bet buy</t>
  </si>
  <si>
    <t xml:space="preserve">Verify Buy at maximum bet and display of large cost</t>
  </si>
  <si>
    <t xml:space="preserve">Max bet; sufficient balance</t>
  </si>
  <si>
    <t xml:space="preserve">1. Open Buy at max bet
2. Confirm</t>
  </si>
  <si>
    <t xml:space="preserve">Cost = 100 x max bet shown fully formatted; single debit</t>
  </si>
  <si>
    <t xml:space="preserve">Ref: GR-36, GR-28</t>
  </si>
  <si>
    <t xml:space="preserve">PS-EDG-009</t>
  </si>
  <si>
    <t xml:space="preserve">Win</t>
  </si>
  <si>
    <t xml:space="preserve">Large win display</t>
  </si>
  <si>
    <t xml:space="preserve">Verify display of a large win (&gt;= 10,000x bet) with full digits and separators</t>
  </si>
  <si>
    <t xml:space="preserve">Forced large FS win</t>
  </si>
  <si>
    <t xml:space="preserve">Bet max; win 10,000x bet</t>
  </si>
  <si>
    <t xml:space="preserve">Win and balance shown fully; no overflow or scientific notation; Big Win sequence plays</t>
  </si>
  <si>
    <t xml:space="preserve">Ref: GR-25</t>
  </si>
  <si>
    <t xml:space="preserve">PS-EDG-010</t>
  </si>
  <si>
    <t xml:space="preserve">Max win exact</t>
  </si>
  <si>
    <t xml:space="preserve">Verify win equal to the cap exactly is paid in full without truncation message error</t>
  </si>
  <si>
    <t xml:space="preserve">Forced win = cap</t>
  </si>
  <si>
    <t xml:space="preserve">Win credited = cap; max win message per spec</t>
  </si>
  <si>
    <t xml:space="preserve">PS-EDG-011</t>
  </si>
  <si>
    <t xml:space="preserve">Max win +0.01</t>
  </si>
  <si>
    <t xml:space="preserve">Verify win of cap + 0.01 is truncated to cap</t>
  </si>
  <si>
    <t xml:space="preserve">Cap + 0.01</t>
  </si>
  <si>
    <t xml:space="preserve">Credited amount = cap</t>
  </si>
  <si>
    <t xml:space="preserve">PS-EDG-012</t>
  </si>
  <si>
    <t xml:space="preserve">Cap reached on triggering spin</t>
  </si>
  <si>
    <t xml:space="preserve">Verify base spin hitting cap while also landing 3 BN</t>
  </si>
  <si>
    <t xml:space="preserve">Base win &gt;= cap with 3 BN</t>
  </si>
  <si>
    <t xml:space="preserve">Requires Specification/Confirmation: Expected: cap credited, FS not played (round ends)</t>
  </si>
  <si>
    <t xml:space="preserve">PS-EDG-013</t>
  </si>
  <si>
    <t xml:space="preserve">Many simultaneous wins</t>
  </si>
  <si>
    <t xml:space="preserve">Verify a spin with wins on 5+ symbols and thousands of ways evaluates and presents correctly</t>
  </si>
  <si>
    <t xml:space="preserve">7 rows all reels, mixed symbols</t>
  </si>
  <si>
    <t xml:space="preserve">Total equals server; presentation cycles all wins; no freeze</t>
  </si>
  <si>
    <t xml:space="preserve">Ref: GR-25, GR-01</t>
  </si>
  <si>
    <t xml:space="preserve">PS-EDG-014</t>
  </si>
  <si>
    <t xml:space="preserve">Max ways all same symbol</t>
  </si>
  <si>
    <t xml:space="preserve">Verify 117,649 ways of AA 6oak with no wilds</t>
  </si>
  <si>
    <t xml:space="preserve">All 42 positions AA, bet 1.00 =&gt; 117,649 x 7.50 = 882,367.50</t>
  </si>
  <si>
    <t xml:space="preserve">Win 882,367.50 before cap; cap applied if configured lower</t>
  </si>
  <si>
    <t xml:space="preserve">Ref: GR-01, M-05, GR-29</t>
  </si>
  <si>
    <t xml:space="preserve">PS-EDG-015</t>
  </si>
  <si>
    <t xml:space="preserve">Max multiplier product</t>
  </si>
  <si>
    <t xml:space="preserve">Verify extreme multiplier product in Sticky FS (e.g. 28 stickies x3) is computed without overflow</t>
  </si>
  <si>
    <t xml:space="preserve">Forced FS</t>
  </si>
  <si>
    <t xml:space="preserve">Reels 2-5 all sticky x3 (7 rows) =&gt; product per way 3^4 = 81 per way; ways 7^6</t>
  </si>
  <si>
    <t xml:space="preserve">Server computes exact value; cap applied; no overflow/NaN</t>
  </si>
  <si>
    <t xml:space="preserve">Ref: GR-13, GR-29</t>
  </si>
  <si>
    <t xml:space="preserve">PS-EDG-016</t>
  </si>
  <si>
    <t xml:space="preserve">Bonus</t>
  </si>
  <si>
    <t xml:space="preserve">Exactly 3 BN at max rows</t>
  </si>
  <si>
    <t xml:space="preserve">Verify 3 BN trigger when reels are at 7 rows</t>
  </si>
  <si>
    <t xml:space="preserve">3 BN, rows all 7</t>
  </si>
  <si>
    <t xml:space="preserve">PS-EDG-017</t>
  </si>
  <si>
    <t xml:space="preserve">BN with min rows</t>
  </si>
  <si>
    <t xml:space="preserve">Verify 6 BN trigger with all reels at 2 rows</t>
  </si>
  <si>
    <t xml:space="preserve">6 BN, rows all 2</t>
  </si>
  <si>
    <t xml:space="preserve">Trigger with 6 BN award</t>
  </si>
  <si>
    <t xml:space="preserve">Ref: GR-14, GR-17</t>
  </si>
  <si>
    <t xml:space="preserve">PS-EDG-018</t>
  </si>
  <si>
    <t xml:space="preserve">Two BN on same reel</t>
  </si>
  <si>
    <t xml:space="preserve">Verify whether two Bonus symbols can appear on one reel</t>
  </si>
  <si>
    <t xml:space="preserve">Strip review / forced</t>
  </si>
  <si>
    <t xml:space="preserve">1. Review strips for adjacent BN
2. Try force</t>
  </si>
  <si>
    <t xml:space="preserve">Requires Specification/Confirmation: Max BN per reel not defined (OBS-16). Expected per math: max 1 per reel visible</t>
  </si>
  <si>
    <t xml:space="preserve">Ref: GR-14 | OBS-16</t>
  </si>
  <si>
    <t xml:space="preserve">PS-EDG-019</t>
  </si>
  <si>
    <t xml:space="preserve">Spam Play</t>
  </si>
  <si>
    <t xml:space="preserve">Verify spam clicking Play (10 clicks/sec for 3s) starts only sequential rounds</t>
  </si>
  <si>
    <t xml:space="preserve">1. Click Play repeatedly</t>
  </si>
  <si>
    <t xml:space="preserve">No overlapping rounds; each round debited once; no duplicate RGS requests</t>
  </si>
  <si>
    <t xml:space="preserve">PS-EDG-020</t>
  </si>
  <si>
    <t xml:space="preserve">Space + click</t>
  </si>
  <si>
    <t xml:space="preserve">Verify pressing space and clicking Play simultaneously starts one round</t>
  </si>
  <si>
    <t xml:space="preserve">1. Press space and click Play at same time</t>
  </si>
  <si>
    <t xml:space="preserve">One round only</t>
  </si>
  <si>
    <t xml:space="preserve">PS-EDG-021</t>
  </si>
  <si>
    <t xml:space="preserve">Click during win</t>
  </si>
  <si>
    <t xml:space="preserve">Verify clicking Play during win presentation skips presentation and starts next round only once</t>
  </si>
  <si>
    <t xml:space="preserve">Win presentation running</t>
  </si>
  <si>
    <t xml:space="preserve">1. Click Play during presentation</t>
  </si>
  <si>
    <t xml:space="preserve">Presentation skipped or next round starts per spec; win already credited; no double credit</t>
  </si>
  <si>
    <t xml:space="preserve">PS-EDG-022</t>
  </si>
  <si>
    <t xml:space="preserve">Click during transition</t>
  </si>
  <si>
    <t xml:space="preserve">Verify inputs during FS intro/outro transitions are ignored</t>
  </si>
  <si>
    <t xml:space="preserve">FS transition</t>
  </si>
  <si>
    <t xml:space="preserve">1. Click Play/Bet/Menu during transition</t>
  </si>
  <si>
    <t xml:space="preserve">No action; transition completes; no stray spin</t>
  </si>
  <si>
    <t xml:space="preserve">PS-EDG-023</t>
  </si>
  <si>
    <t xml:space="preserve">Buy during spin</t>
  </si>
  <si>
    <t xml:space="preserve">Verify Buy button disabled while reels spin</t>
  </si>
  <si>
    <t xml:space="preserve">1. Click Buy during spin</t>
  </si>
  <si>
    <t xml:space="preserve">No interface opens</t>
  </si>
  <si>
    <t xml:space="preserve">PS-EDG-024</t>
  </si>
  <si>
    <t xml:space="preserve">Spend limit boundary</t>
  </si>
  <si>
    <t xml:space="preserve">Verify Auto Spin stops exactly when spend limit equals cumulative stake</t>
  </si>
  <si>
    <t xml:space="preserve">Spend limit 3.00</t>
  </si>
  <si>
    <t xml:space="preserve">1. Set 10 spins, limit 3.00
2. Force losses</t>
  </si>
  <si>
    <t xml:space="preserve">Requires Specification/Confirmation: Expected: 3 rounds then stop (limit inclusive) - confirm inclusive/exclusive</t>
  </si>
  <si>
    <t xml:space="preserve">PS-EDG-025</t>
  </si>
  <si>
    <t xml:space="preserve">Min/max count</t>
  </si>
  <si>
    <t xml:space="preserve">Verify the smallest and largest auto spin count options</t>
  </si>
  <si>
    <t xml:space="preserve">Auto menu</t>
  </si>
  <si>
    <t xml:space="preserve">Options per config</t>
  </si>
  <si>
    <t xml:space="preserve">1. Select min
2. Run
3. Select max
4. Stop after 5</t>
  </si>
  <si>
    <t xml:space="preserve">Counts honoured</t>
  </si>
  <si>
    <t xml:space="preserve">PS-EDG-026</t>
  </si>
  <si>
    <t xml:space="preserve">Feature on last auto spin</t>
  </si>
  <si>
    <t xml:space="preserve">Verify FS triggered on the last auto spin completes and Auto Spin ends after</t>
  </si>
  <si>
    <t xml:space="preserve">Auto 5, trigger on 5th</t>
  </si>
  <si>
    <t xml:space="preserve">1. Run</t>
  </si>
  <si>
    <t xml:space="preserve">Feature completes; Auto ends; remaining 0</t>
  </si>
  <si>
    <t xml:space="preserve">PS-EDG-027</t>
  </si>
  <si>
    <t xml:space="preserve">Stop pressed during FS</t>
  </si>
  <si>
    <t xml:space="preserve">Verify Stop pressed during auto-triggered FS</t>
  </si>
  <si>
    <t xml:space="preserve">Auto + FS</t>
  </si>
  <si>
    <t xml:space="preserve">1. Press Stop during FS</t>
  </si>
  <si>
    <t xml:space="preserve">FS continues to completion (cannot be abandoned); auto stops after</t>
  </si>
  <si>
    <t xml:space="preserve">PS-EDG-028</t>
  </si>
  <si>
    <t xml:space="preserve">Last spin refresh</t>
  </si>
  <si>
    <t xml:space="preserve">Verify refresh during the last Free Spin</t>
  </si>
  <si>
    <t xml:space="preserve">Last FS spinning</t>
  </si>
  <si>
    <t xml:space="preserve">1. Refresh</t>
  </si>
  <si>
    <t xml:space="preserve">Last result shown once; summary; single credit</t>
  </si>
  <si>
    <t xml:space="preserve">PS-EDG-029</t>
  </si>
  <si>
    <t xml:space="preserve">Refresh immediately after trigger</t>
  </si>
  <si>
    <t xml:space="preserve">Verify refresh immediately after 3 BN land (before choice)</t>
  </si>
  <si>
    <t xml:space="preserve">1. Refresh within 500ms</t>
  </si>
  <si>
    <t xml:space="preserve">Choice screen restored</t>
  </si>
  <si>
    <t xml:space="preserve">Ref: GR-56, GR-16</t>
  </si>
  <si>
    <t xml:space="preserve">PS-EDG-030</t>
  </si>
  <si>
    <t xml:space="preserve">Session</t>
  </si>
  <si>
    <t xml:space="preserve">Expired session spin</t>
  </si>
  <si>
    <t xml:space="preserve">Verify spin with expired session token</t>
  </si>
  <si>
    <t xml:space="preserve">Session expired by operator</t>
  </si>
  <si>
    <t xml:space="preserve">1. Press Play</t>
  </si>
  <si>
    <t xml:space="preserve">Error shown; no debit; prompt to reload</t>
  </si>
  <si>
    <t xml:space="preserve">PS-EDG-031</t>
  </si>
  <si>
    <t xml:space="preserve">Timeout during FS</t>
  </si>
  <si>
    <t xml:space="preserve">Verify session timeout during FS</t>
  </si>
  <si>
    <t xml:space="preserve">FS in progress; operator timeout short</t>
  </si>
  <si>
    <t xml:space="preserve">1. Idle until timeout
2. Relaunch</t>
  </si>
  <si>
    <t xml:space="preserve">Feature resumes after re-auth</t>
  </si>
  <si>
    <t xml:space="preserve">PS-EDG-032</t>
  </si>
  <si>
    <t xml:space="preserve">Network</t>
  </si>
  <si>
    <t xml:space="preserve">Delayed response</t>
  </si>
  <si>
    <t xml:space="preserve">Verify UI behaviour with 10s server latency on spin</t>
  </si>
  <si>
    <t xml:space="preserve">Throttle 10s</t>
  </si>
  <si>
    <t xml:space="preserve">Reels keep spinning/loader; no second request; result shown when received</t>
  </si>
  <si>
    <t xml:space="preserve">PS-EDG-033</t>
  </si>
  <si>
    <t xml:space="preserve">Response after timeout</t>
  </si>
  <si>
    <t xml:space="preserve">Verify late response after client timeout is reconciled</t>
  </si>
  <si>
    <t xml:space="preserve">Client timeout &lt; server latency</t>
  </si>
  <si>
    <t xml:space="preserve">1. Spin with latency &gt; timeout</t>
  </si>
  <si>
    <t xml:space="preserve">Client recovers state from server on reconnect; balance consistent</t>
  </si>
  <si>
    <t xml:space="preserve">PS-EDG-034</t>
  </si>
  <si>
    <t xml:space="preserve">Browser</t>
  </si>
  <si>
    <t xml:space="preserve">Back button</t>
  </si>
  <si>
    <t xml:space="preserve">Verify browser back during spin</t>
  </si>
  <si>
    <t xml:space="preserve">1. Press back</t>
  </si>
  <si>
    <t xml:space="preserve">Leaves game or prompt; round completes server-side; on return state consistent</t>
  </si>
  <si>
    <t xml:space="preserve">PS-EDG-035</t>
  </si>
  <si>
    <t xml:space="preserve">Forward/back during FS</t>
  </si>
  <si>
    <t xml:space="preserve">Verify back then forward during FS</t>
  </si>
  <si>
    <t xml:space="preserve">1. Back
2. Forward</t>
  </si>
  <si>
    <t xml:space="preserve">FS restored</t>
  </si>
  <si>
    <t xml:space="preserve">PS-EDG-036</t>
  </si>
  <si>
    <t xml:space="preserve">Multiple tabs</t>
  </si>
  <si>
    <t xml:space="preserve">Verify same game opened in two tabs for one session</t>
  </si>
  <si>
    <t xml:space="preserve">Tab A and Tab B</t>
  </si>
  <si>
    <t xml:space="preserve">1. Spin in A
2. Spin in B</t>
  </si>
  <si>
    <t xml:space="preserve">Either single-session enforced or balance consistent; no double play of same FS</t>
  </si>
  <si>
    <t xml:space="preserve">PS-EDG-037</t>
  </si>
  <si>
    <t xml:space="preserve">Decimal boundary</t>
  </si>
  <si>
    <t xml:space="preserve">Verify currency with 0 decimals and with 3 decimals display</t>
  </si>
  <si>
    <t xml:space="preserve">Sessions in non-decimal currency if supported</t>
  </si>
  <si>
    <t xml:space="preserve">1. Spin
2. Check fields</t>
  </si>
  <si>
    <t xml:space="preserve">Precision correct</t>
  </si>
  <si>
    <t xml:space="preserve">PS-EDG-038</t>
  </si>
  <si>
    <t xml:space="preserve">Display</t>
  </si>
  <si>
    <t xml:space="preserve">Balance &gt; 1,000,000</t>
  </si>
  <si>
    <t xml:space="preserve">Verify balance display with 7+ digits</t>
  </si>
  <si>
    <t xml:space="preserve">Balance 1,234,567.89</t>
  </si>
  <si>
    <t xml:space="preserve">1. Launch</t>
  </si>
  <si>
    <t xml:space="preserve">Fully visible; no overlap</t>
  </si>
  <si>
    <t xml:space="preserve">UI</t>
  </si>
  <si>
    <t xml:space="preserve">PS-EDG-039</t>
  </si>
  <si>
    <t xml:space="preserve">Max history</t>
  </si>
  <si>
    <t xml:space="preserve">Verify history with many rounds (paging)</t>
  </si>
  <si>
    <t xml:space="preserve">500 rounds played</t>
  </si>
  <si>
    <t xml:space="preserve">1. Open history
2. Page</t>
  </si>
  <si>
    <t xml:space="preserve">Paging works; latest first</t>
  </si>
  <si>
    <t xml:space="preserve">PS-EDG-040</t>
  </si>
  <si>
    <t xml:space="preserve">7 rows on all reels FS</t>
  </si>
  <si>
    <t xml:space="preserve">Verify FS spin with all reels at 7 rows and sticky wilds</t>
  </si>
  <si>
    <t xml:space="preserve">Correct evaluation; layout fits</t>
  </si>
  <si>
    <t xml:space="preserve">Ref: GR-02, GR-08</t>
  </si>
  <si>
    <t xml:space="preserve">PS-EDG-041</t>
  </si>
  <si>
    <t xml:space="preserve">Bet change right before spin</t>
  </si>
  <si>
    <t xml:space="preserve">Verify changing bet and immediately pressing Play uses the new bet</t>
  </si>
  <si>
    <t xml:space="preserve">Change to 2.00 then Play within 200ms</t>
  </si>
  <si>
    <t xml:space="preserve">1. Change
2. Spin</t>
  </si>
  <si>
    <t xml:space="preserve">Debit 2.00; RGS bet 2.00</t>
  </si>
  <si>
    <t xml:space="preserve">PS-EDG-042</t>
  </si>
  <si>
    <t xml:space="preserve">Inactivity</t>
  </si>
  <si>
    <t xml:space="preserve">Persistent data 90 days</t>
  </si>
  <si>
    <t xml:space="preserve">Verify retention of persistent game data up to 90 days</t>
  </si>
  <si>
    <t xml:space="preserve">Time-shift env</t>
  </si>
  <si>
    <t xml:space="preserve">90 days</t>
  </si>
  <si>
    <t xml:space="preserve">1. Create data
2. Shift 89 days
3. Shift 91 days</t>
  </si>
  <si>
    <t xml:space="preserve">Requires Specification/Confirmation: Rules: 'may be retained up to 90 days'. Expected behaviour to confirm</t>
  </si>
  <si>
    <t xml:space="preserve">Ref: GR-57</t>
  </si>
  <si>
    <t xml:space="preserve">PS-REG-001</t>
  </si>
  <si>
    <t xml:space="preserve">Regression (Functional)</t>
  </si>
  <si>
    <t xml:space="preserve">Smoke | Initial load</t>
  </si>
  <si>
    <t xml:space="preserve">Regression</t>
  </si>
  <si>
    <t xml:space="preserve">Source: PS-FUN-001 (source priority P0) | Execute after: Code, UI, Configuration, CMS, Game engine</t>
  </si>
  <si>
    <t xml:space="preserve">PS-REG-002</t>
  </si>
  <si>
    <t xml:space="preserve">Smoke | Reel layout</t>
  </si>
  <si>
    <t xml:space="preserve">Source: PS-FUN-005 (source priority P0) | Execute after: Code, UI, Configuration, CMS, Game engine</t>
  </si>
  <si>
    <t xml:space="preserve">PS-REG-003</t>
  </si>
  <si>
    <t xml:space="preserve">Extended | Ways counter</t>
  </si>
  <si>
    <t xml:space="preserve">Source: PS-FUN-006 (source priority P0) | Execute after: Code, UI, Configuration, CMS, Game engine</t>
  </si>
  <si>
    <t xml:space="preserve">PS-REG-004</t>
  </si>
  <si>
    <t xml:space="preserve">Smoke | Start spin</t>
  </si>
  <si>
    <t xml:space="preserve">Source: PS-FUN-009 (source priority P0) | Execute after: Code, UI, Configuration, CMS, Game engine</t>
  </si>
  <si>
    <t xml:space="preserve">PS-REG-005</t>
  </si>
  <si>
    <t xml:space="preserve">Extended | Limits</t>
  </si>
  <si>
    <t xml:space="preserve">Source: PS-FUN-016 (source priority P0) | Execute after: Code, UI, Configuration, CMS, Game engine</t>
  </si>
  <si>
    <t xml:space="preserve">PS-REG-006</t>
  </si>
  <si>
    <t xml:space="preserve">Extended | Bet lock</t>
  </si>
  <si>
    <t xml:space="preserve">Source: PS-FUN-018 (source priority P0) | Execute after: Code, UI, Configuration, CMS, Game engine</t>
  </si>
  <si>
    <t xml:space="preserve">PS-REG-007</t>
  </si>
  <si>
    <t xml:space="preserve">Extended | Bet lock in Free Spins</t>
  </si>
  <si>
    <t xml:space="preserve">Source: PS-FUN-019 (source priority P0) | Execute after: Code, UI, Configuration, CMS, Game engine</t>
  </si>
  <si>
    <t xml:space="preserve">PS-REG-008</t>
  </si>
  <si>
    <t xml:space="preserve">Smoke | Debit</t>
  </si>
  <si>
    <t xml:space="preserve">Source: PS-FUN-020 (source priority P0) | Execute after: Code, UI, Configuration, CMS, Game engine</t>
  </si>
  <si>
    <t xml:space="preserve">PS-REG-009</t>
  </si>
  <si>
    <t xml:space="preserve">Smoke | Credit</t>
  </si>
  <si>
    <t xml:space="preserve">Source: PS-FUN-021 (source priority P0) | Execute after: Code, UI, Configuration, CMS, Game engine</t>
  </si>
  <si>
    <t xml:space="preserve">PS-REG-010</t>
  </si>
  <si>
    <t xml:space="preserve">Core | Display sync</t>
  </si>
  <si>
    <t xml:space="preserve">Source: PS-FUN-022 (source priority P0) | Execute after: Code, UI, Configuration, CMS, Game engine</t>
  </si>
  <si>
    <t xml:space="preserve">PS-REG-011</t>
  </si>
  <si>
    <t xml:space="preserve">Extended | Symbol AA</t>
  </si>
  <si>
    <t xml:space="preserve">Source: PS-FUN-023 (source priority P0) | Execute after: Code, UI, Configuration, CMS, Game engine</t>
  </si>
  <si>
    <t xml:space="preserve">PS-REG-012</t>
  </si>
  <si>
    <t xml:space="preserve">Extended | Bet scaling</t>
  </si>
  <si>
    <t xml:space="preserve">Source: PS-FUN-034 (source priority P0) | Execute after: Code, UI, Configuration, CMS, Game engine</t>
  </si>
  <si>
    <t xml:space="preserve">PS-REG-013</t>
  </si>
  <si>
    <t xml:space="preserve">Extended | Content</t>
  </si>
  <si>
    <t xml:space="preserve">Source: PS-FUN-037 (source priority P0) | Execute after: Code, UI, Configuration, CMS, Game engine</t>
  </si>
  <si>
    <t xml:space="preserve">PS-REG-014</t>
  </si>
  <si>
    <t xml:space="preserve">Core | Left to right</t>
  </si>
  <si>
    <t xml:space="preserve">Source: PS-FUN-038 (source priority P0) | Execute after: Code, UI, Configuration, CMS, Game engine</t>
  </si>
  <si>
    <t xml:space="preserve">PS-REG-015</t>
  </si>
  <si>
    <t xml:space="preserve">Core | Adjacency break</t>
  </si>
  <si>
    <t xml:space="preserve">Source: PS-FUN-039 (source priority P0) | Execute after: Code, UI, Configuration, CMS, Game engine</t>
  </si>
  <si>
    <t xml:space="preserve">PS-REG-016</t>
  </si>
  <si>
    <t xml:space="preserve">Core | Ways multiplication</t>
  </si>
  <si>
    <t xml:space="preserve">Source: PS-FUN-040 (source priority P0) | Execute after: Code, UI, Configuration, CMS, Game engine</t>
  </si>
  <si>
    <t xml:space="preserve">PS-REG-017</t>
  </si>
  <si>
    <t xml:space="preserve">Core | Minimum combination</t>
  </si>
  <si>
    <t xml:space="preserve">Source: PS-FUN-041 (source priority P0) | Execute after: Code, UI, Configuration, CMS, Game engine</t>
  </si>
  <si>
    <t xml:space="preserve">PS-REG-018</t>
  </si>
  <si>
    <t xml:space="preserve">Core | Multiple symbol wins</t>
  </si>
  <si>
    <t xml:space="preserve">Source: PS-FUN-042 (source priority P0) | Execute after: Code, UI, Configuration, CMS, Game engine</t>
  </si>
  <si>
    <t xml:space="preserve">PS-REG-019</t>
  </si>
  <si>
    <t xml:space="preserve">Core | Highest combination</t>
  </si>
  <si>
    <t xml:space="preserve">Source: PS-FUN-043 (source priority P0) | Execute after: Code, UI, Configuration, CMS, Game engine</t>
  </si>
  <si>
    <t xml:space="preserve">PS-REG-020</t>
  </si>
  <si>
    <t xml:space="preserve">Core | Base game wild presence</t>
  </si>
  <si>
    <t xml:space="preserve">Source: PS-FUN-045 (source priority P0) | Execute after: Code, UI, Configuration, CMS, Game engine</t>
  </si>
  <si>
    <t xml:space="preserve">PS-REG-021</t>
  </si>
  <si>
    <t xml:space="preserve">Core | Substitution</t>
  </si>
  <si>
    <t xml:space="preserve">Source: PS-FUN-046 (source priority P0) | Execute after: Code, UI, Configuration, CMS, Game engine</t>
  </si>
  <si>
    <t xml:space="preserve">PS-REG-022</t>
  </si>
  <si>
    <t xml:space="preserve">Core | Bonus not substituted</t>
  </si>
  <si>
    <t xml:space="preserve">Source: PS-FUN-047 (source priority P0) | Execute after: Code, UI, Configuration, CMS, Game engine</t>
  </si>
  <si>
    <t xml:space="preserve">PS-REG-023</t>
  </si>
  <si>
    <t xml:space="preserve">Core | Base game multiplier</t>
  </si>
  <si>
    <t xml:space="preserve">Source: PS-FUN-048 (source priority P0) | Execute after: Code, UI, Configuration, CMS, Game engine</t>
  </si>
  <si>
    <t xml:space="preserve">PS-REG-024</t>
  </si>
  <si>
    <t xml:space="preserve">Smoke | Trigger</t>
  </si>
  <si>
    <t xml:space="preserve">Source: PS-FUN-050 (source priority P0) | Execute after: Code, UI, Configuration, CMS, Game engine</t>
  </si>
  <si>
    <t xml:space="preserve">PS-REG-025</t>
  </si>
  <si>
    <t xml:space="preserve">Core | Non-trigger</t>
  </si>
  <si>
    <t xml:space="preserve">Source: PS-FUN-051 (source priority P0) | Execute after: Code, UI, Configuration, CMS, Game engine</t>
  </si>
  <si>
    <t xml:space="preserve">PS-REG-026</t>
  </si>
  <si>
    <t xml:space="preserve">Smoke | Choice screen</t>
  </si>
  <si>
    <t xml:space="preserve">Source: PS-FUN-054 (source priority P0) | Execute after: Code, UI, Configuration, CMS, Game engine</t>
  </si>
  <si>
    <t xml:space="preserve">PS-REG-027</t>
  </si>
  <si>
    <t xml:space="preserve">Core | Same bet</t>
  </si>
  <si>
    <t xml:space="preserve">Source: PS-FUN-056 (source priority P0) | Execute after: Code, UI, Configuration, CMS, Game engine</t>
  </si>
  <si>
    <t xml:space="preserve">PS-REG-028</t>
  </si>
  <si>
    <t xml:space="preserve">Core | Open interface</t>
  </si>
  <si>
    <t xml:space="preserve">Source: PS-FUN-057 (source priority P0) | Execute after: Code, UI, Configuration, CMS, Game engine</t>
  </si>
  <si>
    <t xml:space="preserve">PS-REG-029</t>
  </si>
  <si>
    <t xml:space="preserve">Core | Cost</t>
  </si>
  <si>
    <t xml:space="preserve">Source: PS-FUN-058 (source priority P0) | Execute after: Code, UI, Configuration, CMS, Game engine</t>
  </si>
  <si>
    <t xml:space="preserve">PS-REG-030</t>
  </si>
  <si>
    <t xml:space="preserve">Smoke | Confirm</t>
  </si>
  <si>
    <t xml:space="preserve">Source: PS-FUN-059 (source priority P0) | Execute after: Code, UI, Configuration, CMS, Game engine</t>
  </si>
  <si>
    <t xml:space="preserve">PS-REG-031</t>
  </si>
  <si>
    <t xml:space="preserve">Core | Insufficient balance</t>
  </si>
  <si>
    <t xml:space="preserve">Source: PS-FUN-063 (source priority P0) | Execute after: Code, UI, Configuration, CMS, Game engine</t>
  </si>
  <si>
    <t xml:space="preserve">PS-REG-032</t>
  </si>
  <si>
    <t xml:space="preserve">Core | Jurisdiction</t>
  </si>
  <si>
    <t xml:space="preserve">Source: PS-FUN-064 (source priority P0) | Execute after: Code, UI, Configuration, CMS, Game engine</t>
  </si>
  <si>
    <t xml:space="preserve">PS-REG-033</t>
  </si>
  <si>
    <t xml:space="preserve">Extended | Outcome integrity</t>
  </si>
  <si>
    <t xml:space="preserve">Source: PS-FUN-066 (source priority P0) | Execute after: Code, UI, Configuration, CMS, Game engine</t>
  </si>
  <si>
    <t xml:space="preserve">PS-REG-034</t>
  </si>
  <si>
    <t xml:space="preserve">Smoke | Count completion</t>
  </si>
  <si>
    <t xml:space="preserve">Source: PS-FUN-072 (source priority P0) | Execute after: Code, UI, Configuration, CMS, Game engine</t>
  </si>
  <si>
    <t xml:space="preserve">PS-REG-035</t>
  </si>
  <si>
    <t xml:space="preserve">Extended | Stop</t>
  </si>
  <si>
    <t xml:space="preserve">Source: PS-FUN-074 (source priority P0) | Execute after: Code, UI, Configuration, CMS, Game engine</t>
  </si>
  <si>
    <t xml:space="preserve">PS-REG-036</t>
  </si>
  <si>
    <t xml:space="preserve">Extended | Spend limit</t>
  </si>
  <si>
    <t xml:space="preserve">Source: PS-FUN-076 (source priority P0) | Execute after: Code, UI, Configuration, CMS, Game engine</t>
  </si>
  <si>
    <t xml:space="preserve">PS-REG-037</t>
  </si>
  <si>
    <t xml:space="preserve">Extended | Insufficient balance</t>
  </si>
  <si>
    <t xml:space="preserve">Source: PS-FUN-078 (source priority P0) | Execute after: Code, UI, Configuration, CMS, Game engine</t>
  </si>
  <si>
    <t xml:space="preserve">PS-REG-038</t>
  </si>
  <si>
    <t xml:space="preserve">Extended | RTP disclosure</t>
  </si>
  <si>
    <t xml:space="preserve">Source: PS-FUN-085 (source priority P0) | Execute after: Code, UI, Configuration, CMS, Game engine</t>
  </si>
  <si>
    <t xml:space="preserve">PS-REG-039</t>
  </si>
  <si>
    <t xml:space="preserve">Extended | Max win disclosure</t>
  </si>
  <si>
    <t xml:space="preserve">Source: PS-FUN-086 (source priority P0) | Execute after: Code, UI, Configuration, CMS, Game engine</t>
  </si>
  <si>
    <t xml:space="preserve">PS-REG-040</t>
  </si>
  <si>
    <t xml:space="preserve">Regression (Math)</t>
  </si>
  <si>
    <t xml:space="preserve">Smoke | Total RTP</t>
  </si>
  <si>
    <t xml:space="preserve">Source: PS-MTH-001 (source priority P0) | Execute after: Math, Configuration, Game engine</t>
  </si>
  <si>
    <t xml:space="preserve">PS-REG-041</t>
  </si>
  <si>
    <t xml:space="preserve">Core | Reel strips</t>
  </si>
  <si>
    <t xml:space="preserve">Source: PS-MTH-014 (source priority P0) | Execute after: Math, Configuration, Game engine</t>
  </si>
  <si>
    <t xml:space="preserve">PS-REG-042</t>
  </si>
  <si>
    <t xml:space="preserve">Core | Win calculation</t>
  </si>
  <si>
    <t xml:space="preserve">Source: PS-MTH-017 (source priority P0) | Execute after: Math, Configuration, Game engine</t>
  </si>
  <si>
    <t xml:space="preserve">PS-REG-043</t>
  </si>
  <si>
    <t xml:space="preserve">Source: PS-MTH-018 (source priority P0) | Execute after: Math, Configuration, Game engine</t>
  </si>
  <si>
    <t xml:space="preserve">PS-REG-044</t>
  </si>
  <si>
    <t xml:space="preserve">Source: PS-MTH-020 (source priority P0) | Execute after: Math, Configuration, Game engine</t>
  </si>
  <si>
    <t xml:space="preserve">PS-REG-045</t>
  </si>
  <si>
    <t xml:space="preserve">Core | Base game</t>
  </si>
  <si>
    <t xml:space="preserve">Source: PS-MTH-027 (source priority P0) | Execute after: Math, Configuration, Game engine</t>
  </si>
  <si>
    <t xml:space="preserve">PS-REG-046</t>
  </si>
  <si>
    <t xml:space="preserve">Source: PS-MTH-028 (source priority P0) | Execute after: Math, Configuration, Game engine</t>
  </si>
  <si>
    <t xml:space="preserve">PS-REG-047</t>
  </si>
  <si>
    <t xml:space="preserve">Source: PS-MTH-029 (source priority P0) | Execute after: Math, Configuration, Game engine</t>
  </si>
  <si>
    <t xml:space="preserve">PS-REG-048</t>
  </si>
  <si>
    <t xml:space="preserve">Source: PS-MTH-030 (source priority P0) | Execute after: Math, Configuration, Game engine</t>
  </si>
  <si>
    <t xml:space="preserve">PS-REG-049</t>
  </si>
  <si>
    <t xml:space="preserve">Source: PS-MTH-031 (source priority P0) | Execute after: Math, Configuration, Game engine</t>
  </si>
  <si>
    <t xml:space="preserve">PS-REG-050</t>
  </si>
  <si>
    <t xml:space="preserve">Core | FS formula</t>
  </si>
  <si>
    <t xml:space="preserve">Source: PS-MTH-036 (source priority P0) | Execute after: Math, Configuration, Game engine</t>
  </si>
  <si>
    <t xml:space="preserve">PS-REG-051</t>
  </si>
  <si>
    <t xml:space="preserve">Core | FS multiple ways with wilds</t>
  </si>
  <si>
    <t xml:space="preserve">Source: PS-MTH-037 (source priority P0) | Execute after: Math, Configuration, Game engine</t>
  </si>
  <si>
    <t xml:space="preserve">PS-REG-052</t>
  </si>
  <si>
    <t xml:space="preserve">Core | Sticky Wilds (FG2)</t>
  </si>
  <si>
    <t xml:space="preserve">Source: PS-MTH-038 (source priority P0) | Execute after: Math, Configuration, Game engine</t>
  </si>
  <si>
    <t xml:space="preserve">PS-REG-053</t>
  </si>
  <si>
    <t xml:space="preserve">Source: PS-MTH-041 (source priority P0) | Execute after: Math, Configuration, Game engine</t>
  </si>
  <si>
    <t xml:space="preserve">PS-REG-054</t>
  </si>
  <si>
    <t xml:space="preserve">Core | Raining Wilds (FG1)</t>
  </si>
  <si>
    <t xml:space="preserve">Source: PS-MTH-042 (source priority P0) | Execute after: Math, Configuration, Game engine</t>
  </si>
  <si>
    <t xml:space="preserve">PS-REG-055</t>
  </si>
  <si>
    <t xml:space="preserve">Source: PS-MTH-045 (source priority P0) | Execute after: Math, Configuration, Game engine</t>
  </si>
  <si>
    <t xml:space="preserve">PS-REG-056</t>
  </si>
  <si>
    <t xml:space="preserve">Core | Cap enforcement</t>
  </si>
  <si>
    <t xml:space="preserve">Source: PS-MTH-055 (source priority P0) | Execute after: Math, Configuration, Game engine</t>
  </si>
  <si>
    <t xml:space="preserve">PS-REG-057</t>
  </si>
  <si>
    <t xml:space="preserve">Core | Cap base game</t>
  </si>
  <si>
    <t xml:space="preserve">Source: PS-MTH-056 (source priority P0) | Execute after: Math, Configuration, Game engine</t>
  </si>
  <si>
    <t xml:space="preserve">PS-REG-058</t>
  </si>
  <si>
    <t xml:space="preserve">Regression (Feature)</t>
  </si>
  <si>
    <t xml:space="preserve">Core | Min trigger</t>
  </si>
  <si>
    <t xml:space="preserve">Source: PS-FEA-001 (source priority P0) | Execute after: Code, Math, Feature, Game engine</t>
  </si>
  <si>
    <t xml:space="preserve">PS-REG-059</t>
  </si>
  <si>
    <t xml:space="preserve">Core | Max trigger</t>
  </si>
  <si>
    <t xml:space="preserve">Source: PS-FEA-002 (source priority P0) | Execute after: Code, Math, Feature, Game engine</t>
  </si>
  <si>
    <t xml:space="preserve">PS-REG-060</t>
  </si>
  <si>
    <t xml:space="preserve">Smoke | Completion</t>
  </si>
  <si>
    <t xml:space="preserve">Source: PS-FEA-003 (source priority P0) | Execute after: Code, Math, Feature, Game engine</t>
  </si>
  <si>
    <t xml:space="preserve">PS-REG-061</t>
  </si>
  <si>
    <t xml:space="preserve">Core | No retrigger</t>
  </si>
  <si>
    <t xml:space="preserve">Source: PS-FEA-006 (source priority P0) | Execute after: Code, Math, Feature, Game engine</t>
  </si>
  <si>
    <t xml:space="preserve">PS-REG-062</t>
  </si>
  <si>
    <t xml:space="preserve">Core | Bet</t>
  </si>
  <si>
    <t xml:space="preserve">Source: PS-FEA-007 (source priority P0) | Execute after: Code, Math, Feature, Game engine</t>
  </si>
  <si>
    <t xml:space="preserve">PS-REG-063</t>
  </si>
  <si>
    <t xml:space="preserve">Core | Win accumulation</t>
  </si>
  <si>
    <t xml:space="preserve">Source: PS-FEA-008 (source priority P0) | Execute after: Code, Math, Feature, Game engine</t>
  </si>
  <si>
    <t xml:space="preserve">PS-REG-064</t>
  </si>
  <si>
    <t xml:space="preserve">Core | Crediting timing</t>
  </si>
  <si>
    <t xml:space="preserve">Source: PS-FEA-009 (source priority P0) | Execute after: Code, Math, Feature, Game engine</t>
  </si>
  <si>
    <t xml:space="preserve">PS-REG-065</t>
  </si>
  <si>
    <t xml:space="preserve">Core | Refresh mid-feature</t>
  </si>
  <si>
    <t xml:space="preserve">Source: PS-FEA-010 (source priority P0) | Execute after: Code, Math, Feature, Game engine</t>
  </si>
  <si>
    <t xml:space="preserve">PS-REG-066</t>
  </si>
  <si>
    <t xml:space="preserve">Core | Refresh during spin</t>
  </si>
  <si>
    <t xml:space="preserve">Source: PS-FEA-011 (source priority P0) | Execute after: Code, Math, Feature, Game engine</t>
  </si>
  <si>
    <t xml:space="preserve">PS-REG-067</t>
  </si>
  <si>
    <t xml:space="preserve">Core | Max win in feature</t>
  </si>
  <si>
    <t xml:space="preserve">Source: PS-FEA-012 (source priority P0) | Execute after: Code, Math, Feature, Game engine</t>
  </si>
  <si>
    <t xml:space="preserve">PS-REG-068</t>
  </si>
  <si>
    <t xml:space="preserve">Source: PS-FEA-013 (source priority P0) | Execute after: Code, Math, Feature, Game engine</t>
  </si>
  <si>
    <t xml:space="preserve">PS-REG-069</t>
  </si>
  <si>
    <t xml:space="preserve">Source: PS-FEA-014 (source priority P0) | Execute after: Code, Math, Feature, Game engine</t>
  </si>
  <si>
    <t xml:space="preserve">PS-REG-070</t>
  </si>
  <si>
    <t xml:space="preserve">Source: PS-FEA-015 (source priority P0) | Execute after: Code, Math, Feature, Game engine</t>
  </si>
  <si>
    <t xml:space="preserve">PS-REG-071</t>
  </si>
  <si>
    <t xml:space="preserve">Source: PS-FEA-018 (source priority P0) | Execute after: Code, Math, Feature, Game engine</t>
  </si>
  <si>
    <t xml:space="preserve">PS-REG-072</t>
  </si>
  <si>
    <t xml:space="preserve">Source: PS-FEA-019 (source priority P0) | Execute after: Code, Math, Feature, Game engine</t>
  </si>
  <si>
    <t xml:space="preserve">PS-REG-073</t>
  </si>
  <si>
    <t xml:space="preserve">Source: PS-FEA-020 (source priority P0) | Execute after: Code, Math, Feature, Game engine</t>
  </si>
  <si>
    <t xml:space="preserve">PS-REG-074</t>
  </si>
  <si>
    <t xml:space="preserve">Source: PS-FEA-021 (source priority P0) | Execute after: Code, Math, Feature, Game engine</t>
  </si>
  <si>
    <t xml:space="preserve">PS-REG-075</t>
  </si>
  <si>
    <t xml:space="preserve">Source: PS-FEA-022 (source priority P0) | Execute after: Code, Math, Feature, Game engine</t>
  </si>
  <si>
    <t xml:space="preserve">PS-REG-076</t>
  </si>
  <si>
    <t xml:space="preserve">Source: PS-FEA-023 (source priority P0) | Execute after: Code, Math, Feature, Game engine</t>
  </si>
  <si>
    <t xml:space="preserve">PS-REG-077</t>
  </si>
  <si>
    <t xml:space="preserve">Source: PS-FEA-024 (source priority P0) | Execute after: Code, Math, Feature, Game engine</t>
  </si>
  <si>
    <t xml:space="preserve">PS-REG-078</t>
  </si>
  <si>
    <t xml:space="preserve">Core | Sticky persistence</t>
  </si>
  <si>
    <t xml:space="preserve">Source: PS-FEA-025 (source priority P0) | Execute after: Code, Math, Feature, Game engine</t>
  </si>
  <si>
    <t xml:space="preserve">PS-REG-079</t>
  </si>
  <si>
    <t xml:space="preserve">Core | Multiplier persistence</t>
  </si>
  <si>
    <t xml:space="preserve">Source: PS-FEA-026 (source priority P0) | Execute after: Code, Math, Feature, Game engine</t>
  </si>
  <si>
    <t xml:space="preserve">PS-REG-080</t>
  </si>
  <si>
    <t xml:space="preserve">Core | Multiplier values</t>
  </si>
  <si>
    <t xml:space="preserve">Source: PS-FEA-027 (source priority P0) | Execute after: Code, Math, Feature, Game engine</t>
  </si>
  <si>
    <t xml:space="preserve">PS-REG-081</t>
  </si>
  <si>
    <t xml:space="preserve">Core | Wild drop</t>
  </si>
  <si>
    <t xml:space="preserve">Source: PS-FEA-035 (source priority P0) | Execute after: Code, Math, Feature, Game engine</t>
  </si>
  <si>
    <t xml:space="preserve">PS-REG-082</t>
  </si>
  <si>
    <t xml:space="preserve">Core | Not sticky</t>
  </si>
  <si>
    <t xml:space="preserve">Source: PS-FEA-036 (source priority P0) | Execute after: Code, Math, Feature, Game engine</t>
  </si>
  <si>
    <t xml:space="preserve">PS-REG-083</t>
  </si>
  <si>
    <t xml:space="preserve">Source: PS-FEA-037 (source priority P0) | Execute after: Code, Math, Feature, Game engine</t>
  </si>
  <si>
    <t xml:space="preserve">PS-REG-084</t>
  </si>
  <si>
    <t xml:space="preserve">Core | Choose Sticky</t>
  </si>
  <si>
    <t xml:space="preserve">Source: PS-FEA-041 (source priority P0) | Execute after: Code, Math, Feature, Game engine</t>
  </si>
  <si>
    <t xml:space="preserve">PS-REG-085</t>
  </si>
  <si>
    <t xml:space="preserve">Core | Choose Raining</t>
  </si>
  <si>
    <t xml:space="preserve">Source: PS-FEA-042 (source priority P0) | Execute after: Code, Math, Feature, Game engine</t>
  </si>
  <si>
    <t xml:space="preserve">PS-REG-086</t>
  </si>
  <si>
    <t xml:space="preserve">Core | Double select</t>
  </si>
  <si>
    <t xml:space="preserve">Source: PS-FEA-043 (source priority P0) | Execute after: Code, Math, Feature, Game engine</t>
  </si>
  <si>
    <t xml:space="preserve">PS-REG-087</t>
  </si>
  <si>
    <t xml:space="preserve">Core | Refresh on choice</t>
  </si>
  <si>
    <t xml:space="preserve">Source: PS-FEA-044 (source priority P0) | Execute after: Code, Math, Feature, Game engine</t>
  </si>
  <si>
    <t xml:space="preserve">PS-REG-088</t>
  </si>
  <si>
    <t xml:space="preserve">Core | Displayed values</t>
  </si>
  <si>
    <t xml:space="preserve">Source: PS-FEA-045 (source priority P0) | Execute after: Code, Math, Feature, Game engine</t>
  </si>
  <si>
    <t xml:space="preserve">PS-REG-089</t>
  </si>
  <si>
    <t xml:space="preserve">Core | Trigger spin wins</t>
  </si>
  <si>
    <t xml:space="preserve">Source: PS-FEA-047 (source priority P0) | Execute after: Code, Math, Feature, Game engine</t>
  </si>
  <si>
    <t xml:space="preserve">PS-REG-090</t>
  </si>
  <si>
    <t xml:space="preserve">Core | Choice in buy</t>
  </si>
  <si>
    <t xml:space="preserve">Source: PS-FEA-048 (source priority P0) | Execute after: Code, Math, Feature, Game engine</t>
  </si>
  <si>
    <t xml:space="preserve">PS-REG-091</t>
  </si>
  <si>
    <t xml:space="preserve">Core | Guaranteed trigger</t>
  </si>
  <si>
    <t xml:space="preserve">Source: PS-FEA-049 (source priority P0) | Execute after: Code, Math, Feature, Game engine</t>
  </si>
  <si>
    <t xml:space="preserve">PS-REG-092</t>
  </si>
  <si>
    <t xml:space="preserve">Core | Double confirm</t>
  </si>
  <si>
    <t xml:space="preserve">Source: PS-FEA-050 (source priority P0) | Execute after: Code, Math, Feature, Game engine</t>
  </si>
  <si>
    <t xml:space="preserve">PS-REG-093</t>
  </si>
  <si>
    <t xml:space="preserve">Core | Refresh after confirm</t>
  </si>
  <si>
    <t xml:space="preserve">Source: PS-FEA-051 (source priority P0) | Execute after: Code, Math, Feature, Game engine</t>
  </si>
  <si>
    <t xml:space="preserve">PS-REG-094</t>
  </si>
  <si>
    <t xml:space="preserve">Core | Close and reopen</t>
  </si>
  <si>
    <t xml:space="preserve">Source: PS-FEA-054 (source priority P0) | Execute after: Code, Math, Feature, Game engine</t>
  </si>
  <si>
    <t xml:space="preserve">PS-REG-095</t>
  </si>
  <si>
    <t xml:space="preserve">Core | 7-day inactivity</t>
  </si>
  <si>
    <t xml:space="preserve">Source: PS-FEA-056 (source priority P0) | Execute after: Code, Math, Feature, Game engine</t>
  </si>
  <si>
    <t xml:space="preserve">PS-REG-096</t>
  </si>
  <si>
    <t xml:space="preserve">Core | Network loss mid-FS</t>
  </si>
  <si>
    <t xml:space="preserve">Source: PS-FEA-058 (source priority P0) | Execute after: Code, Math, Feature, Game engine</t>
  </si>
  <si>
    <t xml:space="preserve">PS-REG-097</t>
  </si>
  <si>
    <t xml:space="preserve">Core | Feature end screen refresh</t>
  </si>
  <si>
    <t xml:space="preserve">Source: PS-FEA-059 (source priority P0) | Execute after: Code, Math, Feature, Game engine</t>
  </si>
  <si>
    <t xml:space="preserve">PS-REG-098</t>
  </si>
  <si>
    <t xml:space="preserve">Regression (Edge/Boundary)</t>
  </si>
  <si>
    <t xml:space="preserve">Core | Below min bet</t>
  </si>
  <si>
    <t xml:space="preserve">Source: PS-EDG-003 (source priority P0) | Execute after: Code, Wallet, Backend/API</t>
  </si>
  <si>
    <t xml:space="preserve">PS-REG-099</t>
  </si>
  <si>
    <t xml:space="preserve">Core | Zero balance</t>
  </si>
  <si>
    <t xml:space="preserve">Source: PS-EDG-004 (source priority P0) | Execute after: Code, Wallet, Backend/API</t>
  </si>
  <si>
    <t xml:space="preserve">PS-REG-100</t>
  </si>
  <si>
    <t xml:space="preserve">Extended | Exact buy balance</t>
  </si>
  <si>
    <t xml:space="preserve">Source: PS-EDG-006 (source priority P0) | Execute after: Code, Wallet, Backend/API</t>
  </si>
  <si>
    <t xml:space="preserve">PS-REG-101</t>
  </si>
  <si>
    <t xml:space="preserve">Extended | Max win exact</t>
  </si>
  <si>
    <t xml:space="preserve">Source: PS-EDG-010 (source priority P0) | Execute after: Code, Wallet, Backend/API</t>
  </si>
  <si>
    <t xml:space="preserve">PS-REG-102</t>
  </si>
  <si>
    <t xml:space="preserve">Extended | Max win +0.01</t>
  </si>
  <si>
    <t xml:space="preserve">Source: PS-EDG-011 (source priority P0) | Execute after: Code, Wallet, Backend/API</t>
  </si>
  <si>
    <t xml:space="preserve">PS-REG-103</t>
  </si>
  <si>
    <t xml:space="preserve">Core | Spam Play</t>
  </si>
  <si>
    <t xml:space="preserve">Source: PS-EDG-019 (source priority P0) | Execute after: Code, Wallet, Backend/API</t>
  </si>
  <si>
    <t xml:space="preserve">PS-REG-104</t>
  </si>
  <si>
    <t xml:space="preserve">Regression (UI/UX)</t>
  </si>
  <si>
    <t xml:space="preserve">Text</t>
  </si>
  <si>
    <t xml:space="preserve">Extended | Placeholders</t>
  </si>
  <si>
    <t xml:space="preserve">Verify no template placeholders like {{text1}} appear anywhere</t>
  </si>
  <si>
    <t xml:space="preserve">All screens</t>
  </si>
  <si>
    <t xml:space="preserve">1. Search all text</t>
  </si>
  <si>
    <t xml:space="preserve">None present</t>
  </si>
  <si>
    <t xml:space="preserve">Source: PS-UI-036 (source priority P0) | Execute after: UI, CMS</t>
  </si>
  <si>
    <t xml:space="preserve">PS-REG-105</t>
  </si>
  <si>
    <t xml:space="preserve">Regression (Compatibility)</t>
  </si>
  <si>
    <t xml:space="preserve">Compatibility</t>
  </si>
  <si>
    <t xml:space="preserve">Extended | Windows 11 / Chrome (latest, latest-1)</t>
  </si>
  <si>
    <t xml:space="preserve">Verify full smoke flow on Windows 11 with Chrome (latest, latest-1): load, spin, win, bet change, FS (both types), Buy, Auto Spin, Info, Sound</t>
  </si>
  <si>
    <t xml:space="preserve">Device available; funded test account</t>
  </si>
  <si>
    <t xml:space="preserve">1. Launch
2. Spin 10 rounds
3. Change bet
4. Force/trigger FS: Sticky
5. Force/trigger FS: Raining
6. Buy feature
7. Run 5 auto spins
8. Open Info
9. Toggle sound</t>
  </si>
  <si>
    <t xml:space="preserve">All steps work with no visual defects, errors or performance issues; balance consistent</t>
  </si>
  <si>
    <t xml:space="preserve">Windows 11 / Chrome (latest, latest-1)</t>
  </si>
  <si>
    <t xml:space="preserve">Source: PS-CMP-001 (source priority P0) | Execute after: UI, Game engine</t>
  </si>
  <si>
    <t xml:space="preserve">PS-REG-106</t>
  </si>
  <si>
    <t xml:space="preserve">Extended | iOS 17/18 iPhone / Safari</t>
  </si>
  <si>
    <t xml:space="preserve">Verify full smoke flow on iOS 17/18 iPhone with Safari: load, spin, win, bet change, FS (both types), Buy, Auto Spin, Info, Sound</t>
  </si>
  <si>
    <t xml:space="preserve">iOS 17/18 iPhone / Safari</t>
  </si>
  <si>
    <t xml:space="preserve">Source: PS-CMP-006 (source priority P0) | Execute after: UI, Game engine</t>
  </si>
  <si>
    <t xml:space="preserve">PS-REG-107</t>
  </si>
  <si>
    <t xml:space="preserve">Extended | Android 13/14 phone / Chrome</t>
  </si>
  <si>
    <t xml:space="preserve">Verify full smoke flow on Android 13/14 phone with Chrome: load, spin, win, bet change, FS (both types), Buy, Auto Spin, Info, Sound</t>
  </si>
  <si>
    <t xml:space="preserve">Android 13/14 phone / Chrome</t>
  </si>
  <si>
    <t xml:space="preserve">Source: PS-CMP-009 (source priority P0) | Execute after: UI, Game engine</t>
  </si>
  <si>
    <t xml:space="preserve">PS-REG-108</t>
  </si>
  <si>
    <t xml:space="preserve">Regression (Interruption)</t>
  </si>
  <si>
    <t xml:space="preserve">Interruption</t>
  </si>
  <si>
    <t xml:space="preserve">Core | Refresh</t>
  </si>
  <si>
    <t xml:space="preserve">Refresh: during base spin</t>
  </si>
  <si>
    <t xml:space="preserve">1. Press Play
2. Refresh before reels stop
3. Reload</t>
  </si>
  <si>
    <t xml:space="preserve">One debit; result of interrupted round shown or in history; win credited once; no new round</t>
  </si>
  <si>
    <t xml:space="preserve">Source: PS-INT-001 (source priority P0) | Execute after: Backend/API, Wallet, Game engine</t>
  </si>
  <si>
    <t xml:space="preserve">PS-REG-109</t>
  </si>
  <si>
    <t xml:space="preserve">Refresh: during win presentation</t>
  </si>
  <si>
    <t xml:space="preserve">Win presenting</t>
  </si>
  <si>
    <t xml:space="preserve">Win credited once; balance correct</t>
  </si>
  <si>
    <t xml:space="preserve">Source: PS-INT-002 (source priority P0) | Execute after: Backend/API, Wallet, Game engine</t>
  </si>
  <si>
    <t xml:space="preserve">PS-REG-110</t>
  </si>
  <si>
    <t xml:space="preserve">Smoke | Refresh</t>
  </si>
  <si>
    <t xml:space="preserve">Refresh: during Free Spins</t>
  </si>
  <si>
    <t xml:space="preserve">FS spin 4/15</t>
  </si>
  <si>
    <t xml:space="preserve">Resume at correct spin; total win and wilds preserved</t>
  </si>
  <si>
    <t xml:space="preserve">Source: PS-INT-003 (source priority P0) | Execute after: Backend/API, Wallet, Game engine</t>
  </si>
  <si>
    <t xml:space="preserve">PS-REG-111</t>
  </si>
  <si>
    <t xml:space="preserve">Refresh: on FS choice screen</t>
  </si>
  <si>
    <t xml:space="preserve">Source: PS-INT-004 (source priority P0) | Execute after: Backend/API, Wallet, Game engine</t>
  </si>
  <si>
    <t xml:space="preserve">PS-REG-112</t>
  </si>
  <si>
    <t xml:space="preserve">Refresh: immediately after Buy confirm</t>
  </si>
  <si>
    <t xml:space="preserve">Single debit; feature resumes</t>
  </si>
  <si>
    <t xml:space="preserve">Source: PS-INT-005 (source priority P0) | Execute after: Backend/API, Wallet, Game engine</t>
  </si>
  <si>
    <t xml:space="preserve">PS-REG-113</t>
  </si>
  <si>
    <t xml:space="preserve">Core | Close/reopen</t>
  </si>
  <si>
    <t xml:space="preserve">Close/reopen: during base spin</t>
  </si>
  <si>
    <t xml:space="preserve">1. Close tab
2. Reopen</t>
  </si>
  <si>
    <t xml:space="preserve">Round completed server-side; balance and history correct</t>
  </si>
  <si>
    <t xml:space="preserve">Source: PS-INT-006 (source priority P0) | Execute after: Backend/API, Wallet, Game engine</t>
  </si>
  <si>
    <t xml:space="preserve">PS-REG-114</t>
  </si>
  <si>
    <t xml:space="preserve">Close/reopen: during FS</t>
  </si>
  <si>
    <t xml:space="preserve">1. Close
2. Reopen</t>
  </si>
  <si>
    <t xml:space="preserve">FS resumes</t>
  </si>
  <si>
    <t xml:space="preserve">Source: PS-INT-007 (source priority P0) | Execute after: Backend/API, Wallet, Game engine</t>
  </si>
  <si>
    <t xml:space="preserve">PS-REG-115</t>
  </si>
  <si>
    <t xml:space="preserve">Core | Network loss</t>
  </si>
  <si>
    <t xml:space="preserve">Network loss: before spin request</t>
  </si>
  <si>
    <t xml:space="preserve">Offline</t>
  </si>
  <si>
    <t xml:space="preserve">1. Disable network
2. Press Play</t>
  </si>
  <si>
    <t xml:space="preserve">Error/reconnect message; no debit; no round</t>
  </si>
  <si>
    <t xml:space="preserve">Source: PS-INT-008 (source priority P0) | Execute after: Backend/API, Wallet, Game engine</t>
  </si>
  <si>
    <t xml:space="preserve">PS-REG-116</t>
  </si>
  <si>
    <t xml:space="preserve">Network loss: after request sent, before response</t>
  </si>
  <si>
    <t xml:space="preserve">Network drops after request</t>
  </si>
  <si>
    <t xml:space="preserve">1. Spin
2. Drop network
3. Restore</t>
  </si>
  <si>
    <t xml:space="preserve">On reconnect state synced; one debit; result displayed; no duplicate</t>
  </si>
  <si>
    <t xml:space="preserve">Source: PS-INT-009 (source priority P0) | Execute after: Backend/API, Wallet, Game engine</t>
  </si>
  <si>
    <t xml:space="preserve">PS-REG-117</t>
  </si>
  <si>
    <t xml:space="preserve">Network loss: during FS</t>
  </si>
  <si>
    <t xml:space="preserve">1. Drop 60s
2. Restore</t>
  </si>
  <si>
    <t xml:space="preserve">FS continues from last server state</t>
  </si>
  <si>
    <t xml:space="preserve">Source: PS-INT-010 (source priority P0) | Execute after: Backend/API, Wallet, Game engine</t>
  </si>
  <si>
    <t xml:space="preserve">PS-REG-118</t>
  </si>
  <si>
    <t xml:space="preserve">Core | App background</t>
  </si>
  <si>
    <t xml:space="preserve">App background: iOS during spin</t>
  </si>
  <si>
    <t xml:space="preserve">1. Home button
2. Return after 30s</t>
  </si>
  <si>
    <t xml:space="preserve">Spin completes; state consistent</t>
  </si>
  <si>
    <t xml:space="preserve">Source: PS-INT-012 (source priority P0) | Execute after: Backend/API, Wallet, Game engine</t>
  </si>
  <si>
    <t xml:space="preserve">PS-REG-119</t>
  </si>
  <si>
    <t xml:space="preserve">App background: Android during FS</t>
  </si>
  <si>
    <t xml:space="preserve">1. Switch app
2. Return after 2 min</t>
  </si>
  <si>
    <t xml:space="preserve">FS paused/continues correctly</t>
  </si>
  <si>
    <t xml:space="preserve">Source: PS-INT-013 (source priority P0) | Execute after: Backend/API, Wallet, Game engine</t>
  </si>
  <si>
    <t xml:space="preserve">PS-REG-120</t>
  </si>
  <si>
    <t xml:space="preserve">Core | Session expiration</t>
  </si>
  <si>
    <t xml:space="preserve">Session expiration: mid FS</t>
  </si>
  <si>
    <t xml:space="preserve">FS; expire session</t>
  </si>
  <si>
    <t xml:space="preserve">1. Spin next FS</t>
  </si>
  <si>
    <t xml:space="preserve">Re-auth path; FS resumes after relaunch</t>
  </si>
  <si>
    <t xml:space="preserve">Source: PS-INT-017 (source priority P0) | Execute after: Backend/API, Wallet, Game engine</t>
  </si>
  <si>
    <t xml:space="preserve">PS-REG-121</t>
  </si>
  <si>
    <t xml:space="preserve">Core | Wallet credit failure</t>
  </si>
  <si>
    <t xml:space="preserve">Wallet credit failure: after win</t>
  </si>
  <si>
    <t xml:space="preserve">Simulate wallet credit fail</t>
  </si>
  <si>
    <t xml:space="preserve">1. Spin win</t>
  </si>
  <si>
    <t xml:space="preserve">Win not lost; retry/rollback per RGS spec; player informed; balance consistent after recovery</t>
  </si>
  <si>
    <t xml:space="preserve">Source: PS-INT-018 (source priority P0) | Execute after: Backend/API, Wallet, Game engine</t>
  </si>
  <si>
    <t xml:space="preserve">PS-REG-122</t>
  </si>
  <si>
    <t xml:space="preserve">Core | Wallet debit failure</t>
  </si>
  <si>
    <t xml:space="preserve">Wallet debit failure</t>
  </si>
  <si>
    <t xml:space="preserve">Simulate wallet debit fail</t>
  </si>
  <si>
    <t xml:space="preserve">Round not played; no outcome shown; no debit</t>
  </si>
  <si>
    <t xml:space="preserve">Source: PS-INT-019 (source priority P0) | Execute after: Backend/API, Wallet, Game engine</t>
  </si>
  <si>
    <t xml:space="preserve">PS-REG-123</t>
  </si>
  <si>
    <t xml:space="preserve">Core | API timeout</t>
  </si>
  <si>
    <t xml:space="preserve">API timeout: spin</t>
  </si>
  <si>
    <t xml:space="preserve">Server delay &gt; timeout</t>
  </si>
  <si>
    <t xml:space="preserve">Timeout message; state recovered on reload; no double debit</t>
  </si>
  <si>
    <t xml:space="preserve">Source: PS-INT-020 (source priority P0) | Execute after: Backend/API, Wallet, Game engine</t>
  </si>
  <si>
    <t xml:space="preserve">PS-REG-124</t>
  </si>
  <si>
    <t xml:space="preserve">Core | Server 500</t>
  </si>
  <si>
    <t xml:space="preserve">Server 500: spin</t>
  </si>
  <si>
    <t xml:space="preserve">Mock 500</t>
  </si>
  <si>
    <t xml:space="preserve">Error message; no debit or rollback; game recoverable</t>
  </si>
  <si>
    <t xml:space="preserve">Source: PS-INT-021 (source priority P0) | Execute after: Backend/API, Wallet, Game engine</t>
  </si>
  <si>
    <t xml:space="preserve">PS-REG-125</t>
  </si>
  <si>
    <t xml:space="preserve">Core | Reload</t>
  </si>
  <si>
    <t xml:space="preserve">Reload: immediately after feature trigger</t>
  </si>
  <si>
    <t xml:space="preserve">3 BN landed</t>
  </si>
  <si>
    <t xml:space="preserve">1. Refresh before choice screen appears</t>
  </si>
  <si>
    <t xml:space="preserve">Choice screen shown with correct awards</t>
  </si>
  <si>
    <t xml:space="preserve">Source: PS-INT-023 (source priority P0) | Execute after: Backend/API, Wallet, Game engine</t>
  </si>
  <si>
    <t xml:space="preserve">PS-REG-126</t>
  </si>
  <si>
    <t xml:space="preserve">Reload: during Sticky FS with 5 stickies</t>
  </si>
  <si>
    <t xml:space="preserve">Sticky FS</t>
  </si>
  <si>
    <t xml:space="preserve">All 5 stickies restored with positions and multipliers</t>
  </si>
  <si>
    <t xml:space="preserve">Source: PS-INT-024 (source priority P0) | Execute after: Backend/API, Wallet, Game engine</t>
  </si>
  <si>
    <t xml:space="preserve">PS-REG-127</t>
  </si>
  <si>
    <t xml:space="preserve">Reload: during Raining FS mid-drop</t>
  </si>
  <si>
    <t xml:space="preserve">Raining drop animating</t>
  </si>
  <si>
    <t xml:space="preserve">Spin result restored once</t>
  </si>
  <si>
    <t xml:space="preserve">Source: PS-INT-025 (source priority P0) | Execute after: Backend/API, Wallet, Game engine</t>
  </si>
  <si>
    <t xml:space="preserve">PS-REG-128</t>
  </si>
  <si>
    <t xml:space="preserve">Reload: during max win</t>
  </si>
  <si>
    <t xml:space="preserve">Cap reached</t>
  </si>
  <si>
    <t xml:space="preserve">1. Refresh on max win popup</t>
  </si>
  <si>
    <t xml:space="preserve">Cap credited once</t>
  </si>
  <si>
    <t xml:space="preserve">Source: PS-INT-026 (source priority P0) | Execute after: Backend/API, Wallet, Game engine</t>
  </si>
  <si>
    <t xml:space="preserve">PS-REG-129</t>
  </si>
  <si>
    <t xml:space="preserve">Core | Browser crash</t>
  </si>
  <si>
    <t xml:space="preserve">Browser crash: during FS</t>
  </si>
  <si>
    <t xml:space="preserve">Kill browser process</t>
  </si>
  <si>
    <t xml:space="preserve">1. Relaunch</t>
  </si>
  <si>
    <t xml:space="preserve">Source: PS-INT-028 (source priority P0) | Execute after: Backend/API, Wallet, Game engine</t>
  </si>
  <si>
    <t xml:space="preserve">PS-REG-130</t>
  </si>
  <si>
    <t xml:space="preserve">Core | Duplicate prevention</t>
  </si>
  <si>
    <t xml:space="preserve">Duplicate prevention: resumed round</t>
  </si>
  <si>
    <t xml:space="preserve">Any recovery case</t>
  </si>
  <si>
    <t xml:space="preserve">1. Compare RGS rounds vs history</t>
  </si>
  <si>
    <t xml:space="preserve">No duplicate round IDs; no duplicate debits/credits; feature awarded once</t>
  </si>
  <si>
    <t xml:space="preserve">Source: PS-INT-029 (source priority P0) | Execute after: Backend/API, Wallet, Game engine</t>
  </si>
  <si>
    <t xml:space="preserve">PS-REG-131</t>
  </si>
  <si>
    <t xml:space="preserve">Core | Suspended state</t>
  </si>
  <si>
    <t xml:space="preserve">Suspended state: resume point</t>
  </si>
  <si>
    <t xml:space="preserve">Interrupted at FS spin N</t>
  </si>
  <si>
    <t xml:space="preserve">Resumes from last successfully recorded action (spin N+1 or result of N)</t>
  </si>
  <si>
    <t xml:space="preserve">Source: PS-INT-030 (source priority P0) | Execute after: Backend/API, Wallet, Game engine</t>
  </si>
  <si>
    <t xml:space="preserve">PS-REG-132</t>
  </si>
  <si>
    <t xml:space="preserve">Regression (Transactions)</t>
  </si>
  <si>
    <t xml:space="preserve">Transactions</t>
  </si>
  <si>
    <t xml:space="preserve">Smoke | Bet transaction</t>
  </si>
  <si>
    <t xml:space="preserve">Bet transaction: single debit</t>
  </si>
  <si>
    <t xml:space="preserve">Funded</t>
  </si>
  <si>
    <t xml:space="preserve">Bet 1.00; RGS/wallet log access</t>
  </si>
  <si>
    <t xml:space="preserve">1. Spin
2. Inspect wallet calls</t>
  </si>
  <si>
    <t xml:space="preserve">One debit with unique transaction ID and round ID; amount = bet</t>
  </si>
  <si>
    <t xml:space="preserve">Source: PS-STR-001 (source priority P0) | Execute after: Backend/API, Wallet</t>
  </si>
  <si>
    <t xml:space="preserve">PS-REG-133</t>
  </si>
  <si>
    <t xml:space="preserve">Smoke | Win transaction</t>
  </si>
  <si>
    <t xml:space="preserve">Win transaction: amount</t>
  </si>
  <si>
    <t xml:space="preserve">Forced win 0.75</t>
  </si>
  <si>
    <t xml:space="preserve">1. Spin
2. Inspect credit</t>
  </si>
  <si>
    <t xml:space="preserve">Credit 0.75 referencing same round ID</t>
  </si>
  <si>
    <t xml:space="preserve">Source: PS-STR-002 (source priority P0) | Execute after: Backend/API, Wallet</t>
  </si>
  <si>
    <t xml:space="preserve">PS-REG-134</t>
  </si>
  <si>
    <t xml:space="preserve">Core | Zero win</t>
  </si>
  <si>
    <t xml:space="preserve">Zero win: closing call</t>
  </si>
  <si>
    <t xml:space="preserve">Forced loss</t>
  </si>
  <si>
    <t xml:space="preserve">Round closed per wallet protocol (0 credit or end-round call)</t>
  </si>
  <si>
    <t xml:space="preserve">Source: PS-STR-003 (source priority P0) | Execute after: Backend/API, Wallet</t>
  </si>
  <si>
    <t xml:space="preserve">PS-REG-135</t>
  </si>
  <si>
    <t xml:space="preserve">Core | Buy transaction</t>
  </si>
  <si>
    <t xml:space="preserve">Buy transaction</t>
  </si>
  <si>
    <t xml:space="preserve">Buy at 1.00</t>
  </si>
  <si>
    <t xml:space="preserve">1. Buy
2. Inspect</t>
  </si>
  <si>
    <t xml:space="preserve">Debit 100.00 flagged as feature purchase; one round</t>
  </si>
  <si>
    <t xml:space="preserve">Source: PS-STR-004 (source priority P0) | Execute after: Backend/API, Wallet</t>
  </si>
  <si>
    <t xml:space="preserve">PS-REG-136</t>
  </si>
  <si>
    <t xml:space="preserve">Core | FS transactions</t>
  </si>
  <si>
    <t xml:space="preserve">FS transactions</t>
  </si>
  <si>
    <t xml:space="preserve">FS trigger</t>
  </si>
  <si>
    <t xml:space="preserve">1. Play FS
2. Inspect</t>
  </si>
  <si>
    <t xml:space="preserve">Requires Specification/Confirmation: Expected: no debits in FS; credits per spin or single credit at end per wallet spec (rules imply single at end, OBS-08)</t>
  </si>
  <si>
    <t xml:space="preserve">Source: PS-STR-005 (source priority P0) | Execute after: Backend/API, Wallet</t>
  </si>
  <si>
    <t xml:space="preserve">PS-REG-137</t>
  </si>
  <si>
    <t xml:space="preserve">Core | Round lifecycle</t>
  </si>
  <si>
    <t xml:space="preserve">Round lifecycle: FS in one round</t>
  </si>
  <si>
    <t xml:space="preserve">1. Inspect round IDs</t>
  </si>
  <si>
    <t xml:space="preserve">Trigger spin and FS belong to the same game round/round chain; round closed only after FS end</t>
  </si>
  <si>
    <t xml:space="preserve">Source: PS-STR-006 (source priority P0) | Execute after: Backend/API, Wallet</t>
  </si>
  <si>
    <t xml:space="preserve">PS-REG-138</t>
  </si>
  <si>
    <t xml:space="preserve">Core | Idempotency</t>
  </si>
  <si>
    <t xml:space="preserve">Idempotency: duplicate spin request</t>
  </si>
  <si>
    <t xml:space="preserve">Replay identical spin request with same request ID</t>
  </si>
  <si>
    <t xml:space="preserve">1. Send twice</t>
  </si>
  <si>
    <t xml:space="preserve">Second request rejected or returns original response; no second debit</t>
  </si>
  <si>
    <t xml:space="preserve">Source: PS-STR-007 (source priority P0) | Execute after: Backend/API, Wallet</t>
  </si>
  <si>
    <t xml:space="preserve">PS-REG-139</t>
  </si>
  <si>
    <t xml:space="preserve">Idempotency: duplicate credit</t>
  </si>
  <si>
    <t xml:space="preserve">Retry credit</t>
  </si>
  <si>
    <t xml:space="preserve">1. Force retry</t>
  </si>
  <si>
    <t xml:space="preserve">Wallet de-duplicates by transaction ID</t>
  </si>
  <si>
    <t xml:space="preserve">Source: PS-STR-008 (source priority P0) | Execute after: Backend/API, Wallet</t>
  </si>
  <si>
    <t xml:space="preserve">PS-REG-140</t>
  </si>
  <si>
    <t xml:space="preserve">Core | Replay</t>
  </si>
  <si>
    <t xml:space="preserve">Replay: old round request</t>
  </si>
  <si>
    <t xml:space="preserve">Resend request of completed round</t>
  </si>
  <si>
    <t xml:space="preserve">1. Replay</t>
  </si>
  <si>
    <t xml:space="preserve">Rejected; no state change</t>
  </si>
  <si>
    <t xml:space="preserve">Source: PS-STR-009 (source priority P0) | Execute after: Backend/API, Wallet</t>
  </si>
  <si>
    <t xml:space="preserve">PS-REG-141</t>
  </si>
  <si>
    <t xml:space="preserve">Core | Sequence</t>
  </si>
  <si>
    <t xml:space="preserve">Sequence: out-of-order requests</t>
  </si>
  <si>
    <t xml:space="preserve">FS spin request before choice</t>
  </si>
  <si>
    <t xml:space="preserve">1. Send FS spin without choice</t>
  </si>
  <si>
    <t xml:space="preserve">Rejected with invalid state error</t>
  </si>
  <si>
    <t xml:space="preserve">Source: PS-STR-010 (source priority P0) | Execute after: Backend/API, Wallet</t>
  </si>
  <si>
    <t xml:space="preserve">PS-REG-142</t>
  </si>
  <si>
    <t xml:space="preserve">Sequence: spin during FS</t>
  </si>
  <si>
    <t xml:space="preserve">Base spin request while FS pending</t>
  </si>
  <si>
    <t xml:space="preserve">1. Send base spin</t>
  </si>
  <si>
    <t xml:space="preserve">Rejected; FS state preserved</t>
  </si>
  <si>
    <t xml:space="preserve">Source: PS-STR-011 (source priority P0) | Execute after: Backend/API, Wallet</t>
  </si>
  <si>
    <t xml:space="preserve">PS-REG-143</t>
  </si>
  <si>
    <t xml:space="preserve">Core | Tampered bet value</t>
  </si>
  <si>
    <t xml:space="preserve">Tampered bet value</t>
  </si>
  <si>
    <t xml:space="preserve">Bet not in ladder (e.g. 1.37)</t>
  </si>
  <si>
    <t xml:space="preserve">1. Send spin with bet 1.37</t>
  </si>
  <si>
    <t xml:space="preserve">Rejected invalid bet; no debit</t>
  </si>
  <si>
    <t xml:space="preserve">Source: PS-STR-012 (source priority P0) | Execute after: Backend/API, Wallet</t>
  </si>
  <si>
    <t xml:space="preserve">PS-REG-144</t>
  </si>
  <si>
    <t xml:space="preserve">Core | Tampered bet above max</t>
  </si>
  <si>
    <t xml:space="preserve">Tampered bet above max</t>
  </si>
  <si>
    <t xml:space="preserve">Bet &gt; max</t>
  </si>
  <si>
    <t xml:space="preserve">1. Send</t>
  </si>
  <si>
    <t xml:space="preserve">Rejected</t>
  </si>
  <si>
    <t xml:space="preserve">Source: PS-STR-013 (source priority P0) | Execute after: Backend/API, Wallet</t>
  </si>
  <si>
    <t xml:space="preserve">PS-REG-145</t>
  </si>
  <si>
    <t xml:space="preserve">Core | Tampered buy cost</t>
  </si>
  <si>
    <t xml:space="preserve">Tampered buy cost</t>
  </si>
  <si>
    <t xml:space="preserve">Client sends buy with cost 50x</t>
  </si>
  <si>
    <t xml:space="preserve">Server uses 100x or rejects; never charges less</t>
  </si>
  <si>
    <t xml:space="preserve">Source: PS-STR-014 (source priority P0) | Execute after: Backend/API, Wallet</t>
  </si>
  <si>
    <t xml:space="preserve">PS-REG-146</t>
  </si>
  <si>
    <t xml:space="preserve">Core | Tampered FS choice</t>
  </si>
  <si>
    <t xml:space="preserve">Tampered FS choice</t>
  </si>
  <si>
    <t xml:space="preserve">Choice value not in {Sticky, Raining}</t>
  </si>
  <si>
    <t xml:space="preserve">Source: PS-STR-015 (source priority P0) | Execute after: Backend/API, Wallet</t>
  </si>
  <si>
    <t xml:space="preserve">PS-REG-147</t>
  </si>
  <si>
    <t xml:space="preserve">Core | Bet change mid-FS via API</t>
  </si>
  <si>
    <t xml:space="preserve">Bet change mid-FS via API</t>
  </si>
  <si>
    <t xml:space="preserve">FS active</t>
  </si>
  <si>
    <t xml:space="preserve">1. Send bet change</t>
  </si>
  <si>
    <t xml:space="preserve">Rejected; FS bet unchanged</t>
  </si>
  <si>
    <t xml:space="preserve">Source: PS-STR-016 (source priority P0) | Execute after: Backend/API, Wallet</t>
  </si>
  <si>
    <t xml:space="preserve">PS-REG-148</t>
  </si>
  <si>
    <t xml:space="preserve">Core | Session validation</t>
  </si>
  <si>
    <t xml:space="preserve">Session validation: invalid token</t>
  </si>
  <si>
    <t xml:space="preserve">Invalid token</t>
  </si>
  <si>
    <t xml:space="preserve">1. Send spin</t>
  </si>
  <si>
    <t xml:space="preserve">401/session error; no debit</t>
  </si>
  <si>
    <t xml:space="preserve">Source: PS-STR-017 (source priority P0) | Execute after: Backend/API, Wallet</t>
  </si>
  <si>
    <t xml:space="preserve">PS-REG-149</t>
  </si>
  <si>
    <t xml:space="preserve">Session validation: other player's round</t>
  </si>
  <si>
    <t xml:space="preserve">Round ID of another player</t>
  </si>
  <si>
    <t xml:space="preserve">1. Request</t>
  </si>
  <si>
    <t xml:space="preserve">Rejected; no data leak</t>
  </si>
  <si>
    <t xml:space="preserve">Source: PS-STR-018 (source priority P0) | Execute after: Backend/API, Wallet</t>
  </si>
  <si>
    <t xml:space="preserve">PS-REG-150</t>
  </si>
  <si>
    <t xml:space="preserve">Core | Reconciliation</t>
  </si>
  <si>
    <t xml:space="preserve">Reconciliation: bet/win totals</t>
  </si>
  <si>
    <t xml:space="preserve">100 rounds</t>
  </si>
  <si>
    <t xml:space="preserve">1. Sum RGS bets/wins
2. Compare wallet</t>
  </si>
  <si>
    <t xml:space="preserve">Totals match exactly</t>
  </si>
  <si>
    <t xml:space="preserve">Source: PS-STR-019 (source priority P0) | Execute after: Backend/API, Wallet</t>
  </si>
  <si>
    <t xml:space="preserve">PS-REG-151</t>
  </si>
  <si>
    <t xml:space="preserve">Reconciliation: history vs RGS</t>
  </si>
  <si>
    <t xml:space="preserve">50 rounds</t>
  </si>
  <si>
    <t xml:space="preserve">1. Compare</t>
  </si>
  <si>
    <t xml:space="preserve">History equals RGS records</t>
  </si>
  <si>
    <t xml:space="preserve">Source: PS-STR-020 (source priority P0) | Execute after: Backend/API, Wallet</t>
  </si>
  <si>
    <t xml:space="preserve">PS-REG-152</t>
  </si>
  <si>
    <t xml:space="preserve">Core | Balance consistency after errors</t>
  </si>
  <si>
    <t xml:space="preserve">Balance consistency after errors</t>
  </si>
  <si>
    <t xml:space="preserve">After injected errors</t>
  </si>
  <si>
    <t xml:space="preserve">Wallet = sum of transactions</t>
  </si>
  <si>
    <t xml:space="preserve">Source: PS-STR-021 (source priority P0) | Execute after: Backend/API, Wallet</t>
  </si>
  <si>
    <t xml:space="preserve">PS-REG-153</t>
  </si>
  <si>
    <t xml:space="preserve">Core | RNG</t>
  </si>
  <si>
    <t xml:space="preserve">RNG: outcome server-side</t>
  </si>
  <si>
    <t xml:space="preserve">Inspect client</t>
  </si>
  <si>
    <t xml:space="preserve">1. Verify client does not determine outcome</t>
  </si>
  <si>
    <t xml:space="preserve">All outcomes from server RNG; client display only</t>
  </si>
  <si>
    <t xml:space="preserve">Source: PS-STR-022 (source priority P0) | Execute after: Backend/API, Wallet</t>
  </si>
  <si>
    <t xml:space="preserve">PS-REG-154</t>
  </si>
  <si>
    <t xml:space="preserve">Core | Max win</t>
  </si>
  <si>
    <t xml:space="preserve">Max win: transaction</t>
  </si>
  <si>
    <t xml:space="preserve">Forced cap</t>
  </si>
  <si>
    <t xml:space="preserve">1. Inspect credit</t>
  </si>
  <si>
    <t xml:space="preserve">Credit = cap exactly</t>
  </si>
  <si>
    <t xml:space="preserve">Source: PS-STR-023 (source priority P0) | Execute after: Backend/API, Wallet</t>
  </si>
  <si>
    <t xml:space="preserve">PS-REG-155</t>
  </si>
  <si>
    <t xml:space="preserve">Regression (Error Handling)</t>
  </si>
  <si>
    <t xml:space="preserve">Insufficient balance: spin</t>
  </si>
  <si>
    <t xml:space="preserve">Balance &lt; bet</t>
  </si>
  <si>
    <t xml:space="preserve">Message with code; no debit; Play re-enabled after bet lowered</t>
  </si>
  <si>
    <t xml:space="preserve">Source: PS-ERR-001 (source priority P0) | Execute after: Backend/API, Wallet, Code</t>
  </si>
  <si>
    <t xml:space="preserve">PS-REG-156</t>
  </si>
  <si>
    <t xml:space="preserve">Insufficient balance: Buy</t>
  </si>
  <si>
    <t xml:space="preserve">Balance &lt; 100x bet</t>
  </si>
  <si>
    <t xml:space="preserve">Message; no debit</t>
  </si>
  <si>
    <t xml:space="preserve">Source: PS-ERR-002 (source priority P0) | Execute after: Backend/API, Wallet, Code</t>
  </si>
  <si>
    <t xml:space="preserve">PS-REG-157</t>
  </si>
  <si>
    <t xml:space="preserve">Extended | Session error</t>
  </si>
  <si>
    <t xml:space="preserve">Session error: expired</t>
  </si>
  <si>
    <t xml:space="preserve">Expired</t>
  </si>
  <si>
    <t xml:space="preserve">Session expired message; reload/relaunch prompt</t>
  </si>
  <si>
    <t xml:space="preserve">Source: PS-ERR-003 (source priority P0) | Execute after: Backend/API, Wallet, Code</t>
  </si>
  <si>
    <t xml:space="preserve">PS-REG-158</t>
  </si>
  <si>
    <t xml:space="preserve">Extended | Server error</t>
  </si>
  <si>
    <t xml:space="preserve">Server error: 500</t>
  </si>
  <si>
    <t xml:space="preserve">Mock</t>
  </si>
  <si>
    <t xml:space="preserve">Generic error with code; recoverable</t>
  </si>
  <si>
    <t xml:space="preserve">Source: PS-ERR-006 (source priority P0) | Execute after: Backend/API, Wallet, Code</t>
  </si>
  <si>
    <t xml:space="preserve">PS-REG-159</t>
  </si>
  <si>
    <t xml:space="preserve">Extended | Timeout</t>
  </si>
  <si>
    <t xml:space="preserve">Timeout: spin</t>
  </si>
  <si>
    <t xml:space="preserve">Delay</t>
  </si>
  <si>
    <t xml:space="preserve">Timeout message; recovery</t>
  </si>
  <si>
    <t xml:space="preserve">Source: PS-ERR-011 (source priority P0) | Execute after: Backend/API, Wallet, Code</t>
  </si>
  <si>
    <t xml:space="preserve">PS-REG-160</t>
  </si>
  <si>
    <t xml:space="preserve">Extended | Failed spin</t>
  </si>
  <si>
    <t xml:space="preserve">Failed spin: RNG/engine error</t>
  </si>
  <si>
    <t xml:space="preserve">Mock engine error</t>
  </si>
  <si>
    <t xml:space="preserve">No debit or rollback; error message</t>
  </si>
  <si>
    <t xml:space="preserve">Source: PS-ERR-012 (source priority P0) | Execute after: Backend/API, Wallet, Code</t>
  </si>
  <si>
    <t xml:space="preserve">PS-REG-161</t>
  </si>
  <si>
    <t xml:space="preserve">Extended | Failed transaction</t>
  </si>
  <si>
    <t xml:space="preserve">Failed transaction: debit rejected by wallet</t>
  </si>
  <si>
    <t xml:space="preserve">No round; message</t>
  </si>
  <si>
    <t xml:space="preserve">Source: PS-ERR-013 (source priority P0) | Execute after: Backend/API, Wallet, Code</t>
  </si>
  <si>
    <t xml:space="preserve">PS-REG-162</t>
  </si>
  <si>
    <t xml:space="preserve">Extended | Recovery after error</t>
  </si>
  <si>
    <t xml:space="preserve">Recovery after error</t>
  </si>
  <si>
    <t xml:space="preserve">After each error</t>
  </si>
  <si>
    <t xml:space="preserve">1. Reload</t>
  </si>
  <si>
    <t xml:space="preserve">Correct balance and state; no duplicates</t>
  </si>
  <si>
    <t xml:space="preserve">Source: PS-ERR-018 (source priority P0) | Execute after: Backend/API, Wallet, Code</t>
  </si>
  <si>
    <t xml:space="preserve">PS-UI-001</t>
  </si>
  <si>
    <t xml:space="preserve">UI/UX</t>
  </si>
  <si>
    <t xml:space="preserve">Loading</t>
  </si>
  <si>
    <t xml:space="preserve">Loader</t>
  </si>
  <si>
    <t xml:space="preserve">Verify loading screen shows progress and branding and completes without layout jump</t>
  </si>
  <si>
    <t xml:space="preserve">Fresh cache</t>
  </si>
  <si>
    <t xml:space="preserve">Progress bar advances to 100%; no flicker; base game appears</t>
  </si>
  <si>
    <t xml:space="preserve">Ref: GR-01</t>
  </si>
  <si>
    <t xml:space="preserve">PS-UI-002</t>
  </si>
  <si>
    <t xml:space="preserve">Layout</t>
  </si>
  <si>
    <t xml:space="preserve">Desktop 1920x1080</t>
  </si>
  <si>
    <t xml:space="preserve">Verify base game layout at 1920x1080</t>
  </si>
  <si>
    <t xml:space="preserve">1920x1080</t>
  </si>
  <si>
    <t xml:space="preserve">1. Launch
2. Inspect all elements</t>
  </si>
  <si>
    <t xml:space="preserve">No overlap/cut-off; reels centred; controls readable</t>
  </si>
  <si>
    <t xml:space="preserve">Ref: GR-52</t>
  </si>
  <si>
    <t xml:space="preserve">PS-UI-003</t>
  </si>
  <si>
    <t xml:space="preserve">Desktop 1366x768</t>
  </si>
  <si>
    <t xml:space="preserve">Verify layout at 1366x768</t>
  </si>
  <si>
    <t xml:space="preserve">1366x768</t>
  </si>
  <si>
    <t xml:space="preserve">Scales correctly</t>
  </si>
  <si>
    <t xml:space="preserve">PS-UI-004</t>
  </si>
  <si>
    <t xml:space="preserve">Ultra-wide</t>
  </si>
  <si>
    <t xml:space="preserve">Verify layout at 2560x1080</t>
  </si>
  <si>
    <t xml:space="preserve">2560x1080</t>
  </si>
  <si>
    <t xml:space="preserve">Letterboxing/background fill; no stretch</t>
  </si>
  <si>
    <t xml:space="preserve">PS-UI-005</t>
  </si>
  <si>
    <t xml:space="preserve">Portrait mobile</t>
  </si>
  <si>
    <t xml:space="preserve">Verify portrait layout on 390x844</t>
  </si>
  <si>
    <t xml:space="preserve">Mobile</t>
  </si>
  <si>
    <t xml:space="preserve">iPhone 13/14</t>
  </si>
  <si>
    <t xml:space="preserve">1. Launch portrait</t>
  </si>
  <si>
    <t xml:space="preserve">Reels and controls fit; ways counter visible</t>
  </si>
  <si>
    <t xml:space="preserve">PS-UI-006</t>
  </si>
  <si>
    <t xml:space="preserve">Landscape mobile</t>
  </si>
  <si>
    <t xml:space="preserve">Verify landscape layout on mobile</t>
  </si>
  <si>
    <t xml:space="preserve">1. Rotate to landscape</t>
  </si>
  <si>
    <t xml:space="preserve">Layout switches; nothing cut off</t>
  </si>
  <si>
    <t xml:space="preserve">PS-UI-007</t>
  </si>
  <si>
    <t xml:space="preserve">Tablet</t>
  </si>
  <si>
    <t xml:space="preserve">Verify layout on iPad portrait and landscape</t>
  </si>
  <si>
    <t xml:space="preserve">iPad 10th gen</t>
  </si>
  <si>
    <t xml:space="preserve">1. Launch
2. Rotate</t>
  </si>
  <si>
    <t xml:space="preserve">Correct scaling</t>
  </si>
  <si>
    <t xml:space="preserve">Tablet (iPad / Android tablet)</t>
  </si>
  <si>
    <t xml:space="preserve">PS-UI-008</t>
  </si>
  <si>
    <t xml:space="preserve">Window resize</t>
  </si>
  <si>
    <t xml:space="preserve">Verify live window resize during idle and during spin</t>
  </si>
  <si>
    <t xml:space="preserve">1. Resize window repeatedly</t>
  </si>
  <si>
    <t xml:space="preserve">Re-layout without breaking; spin unaffected</t>
  </si>
  <si>
    <t xml:space="preserve">PS-UI-009</t>
  </si>
  <si>
    <t xml:space="preserve">Reel height variation</t>
  </si>
  <si>
    <t xml:space="preserve">Verify reels of different heights (2..7) render with correctly sized symbols and aligned top/bottom</t>
  </si>
  <si>
    <t xml:space="preserve">Base</t>
  </si>
  <si>
    <t xml:space="preserve">1. Observe 20 spins</t>
  </si>
  <si>
    <t xml:space="preserve">Symbols scale per reel height; no overlap with frame</t>
  </si>
  <si>
    <t xml:space="preserve">Ref: GR-02</t>
  </si>
  <si>
    <t xml:space="preserve">PS-UI-010</t>
  </si>
  <si>
    <t xml:space="preserve">Verify ways counter is visible and legible at all resolutions</t>
  </si>
  <si>
    <t xml:space="preserve">All</t>
  </si>
  <si>
    <t xml:space="preserve">1. Check counter</t>
  </si>
  <si>
    <t xml:space="preserve">Readable; formatted with separators</t>
  </si>
  <si>
    <t xml:space="preserve">PS-UI-011</t>
  </si>
  <si>
    <t xml:space="preserve">Controls</t>
  </si>
  <si>
    <t xml:space="preserve">Button states idle</t>
  </si>
  <si>
    <t xml:space="preserve">Verify enabled state of Play, Bet, Buy, Turbo, Menu, Info, Sound in idle</t>
  </si>
  <si>
    <t xml:space="preserve">Base idle</t>
  </si>
  <si>
    <t xml:space="preserve">1. Inspect</t>
  </si>
  <si>
    <t xml:space="preserve">All enabled</t>
  </si>
  <si>
    <t xml:space="preserve">PS-UI-012</t>
  </si>
  <si>
    <t xml:space="preserve">Button states spinning</t>
  </si>
  <si>
    <t xml:space="preserve">Verify Bet, Buy, Menu disabled while spinning; Stop/Quick Stop enabled</t>
  </si>
  <si>
    <t xml:space="preserve">Spinning</t>
  </si>
  <si>
    <t xml:space="preserve">States correct</t>
  </si>
  <si>
    <t xml:space="preserve">Ref: GR-52, GR-31 | OBS-19</t>
  </si>
  <si>
    <t xml:space="preserve">PS-UI-013</t>
  </si>
  <si>
    <t xml:space="preserve">Button states FS</t>
  </si>
  <si>
    <t xml:space="preserve">Verify Bet and Buy disabled during FS and Auto Spin</t>
  </si>
  <si>
    <t xml:space="preserve">Disabled; visual disabled styling</t>
  </si>
  <si>
    <t xml:space="preserve">PS-UI-014</t>
  </si>
  <si>
    <t xml:space="preserve">Hover/press feedback</t>
  </si>
  <si>
    <t xml:space="preserve">Verify hover and pressed visuals on desktop</t>
  </si>
  <si>
    <t xml:space="preserve">1. Hover each button</t>
  </si>
  <si>
    <t xml:space="preserve">Feedback present</t>
  </si>
  <si>
    <t xml:space="preserve">PS-UI-015</t>
  </si>
  <si>
    <t xml:space="preserve">Touch targets</t>
  </si>
  <si>
    <t xml:space="preserve">Verify all buttons are easily tappable (&gt;= 44x44 pt)</t>
  </si>
  <si>
    <t xml:space="preserve">1. Tap each control</t>
  </si>
  <si>
    <t xml:space="preserve">No mis-taps</t>
  </si>
  <si>
    <t xml:space="preserve">PS-UI-016</t>
  </si>
  <si>
    <t xml:space="preserve">Turbo icon states</t>
  </si>
  <si>
    <t xml:space="preserve">Verify Turbo enabled/disabled icons match rules table</t>
  </si>
  <si>
    <t xml:space="preserve">1. Toggle Turbo</t>
  </si>
  <si>
    <t xml:space="preserve">Icons match documented images</t>
  </si>
  <si>
    <t xml:space="preserve">PS-UI-017</t>
  </si>
  <si>
    <t xml:space="preserve">Balance field</t>
  </si>
  <si>
    <t xml:space="preserve">Verify balance field updates at spin start (debit) and after win</t>
  </si>
  <si>
    <t xml:space="preserve">1. Spin with win</t>
  </si>
  <si>
    <t xml:space="preserve">Debit then credit visible; final value correct</t>
  </si>
  <si>
    <t xml:space="preserve">PS-UI-018</t>
  </si>
  <si>
    <t xml:space="preserve">Win field</t>
  </si>
  <si>
    <t xml:space="preserve">Verify win field shows current round total and resets at next spin</t>
  </si>
  <si>
    <t xml:space="preserve">1. Spin win
2. Spin loss</t>
  </si>
  <si>
    <t xml:space="preserve">Shows win then resets</t>
  </si>
  <si>
    <t xml:space="preserve">PS-UI-019</t>
  </si>
  <si>
    <t xml:space="preserve">Win ticker</t>
  </si>
  <si>
    <t xml:space="preserve">Verify win count-up ends exactly on the final win value</t>
  </si>
  <si>
    <t xml:space="preserve">Win 12.35</t>
  </si>
  <si>
    <t xml:space="preserve">1. Observe</t>
  </si>
  <si>
    <t xml:space="preserve">Ticker ends 12.35, no overshoot</t>
  </si>
  <si>
    <t xml:space="preserve">PS-UI-020</t>
  </si>
  <si>
    <t xml:space="preserve">Big win tiers</t>
  </si>
  <si>
    <t xml:space="preserve">Verify Big/Mega/Epic win presentation thresholds</t>
  </si>
  <si>
    <t xml:space="preserve">Forced wins at thresholds</t>
  </si>
  <si>
    <t xml:space="preserve">Thresholds TBC</t>
  </si>
  <si>
    <t xml:space="preserve">1. Force wins just below and at each threshold</t>
  </si>
  <si>
    <t xml:space="preserve">Requires Specification/Confirmation: Thresholds not in rules. Expected: tier shown per art/spec</t>
  </si>
  <si>
    <t xml:space="preserve">Ref: GR-25 | OBS-22</t>
  </si>
  <si>
    <t xml:space="preserve">PS-UI-021</t>
  </si>
  <si>
    <t xml:space="preserve">Win highlight</t>
  </si>
  <si>
    <t xml:space="preserve">Verify winning positions are highlighted for every winning way</t>
  </si>
  <si>
    <t xml:space="preserve">Forced multi-way win</t>
  </si>
  <si>
    <t xml:space="preserve">All winning positions highlighted; non-winning dimmed</t>
  </si>
  <si>
    <t xml:space="preserve">PS-UI-022</t>
  </si>
  <si>
    <t xml:space="preserve">FS UI</t>
  </si>
  <si>
    <t xml:space="preserve">Verify FS counter and total win meter visible throughout FS</t>
  </si>
  <si>
    <t xml:space="preserve">Visible and legible on all devices</t>
  </si>
  <si>
    <t xml:space="preserve">PS-UI-023</t>
  </si>
  <si>
    <t xml:space="preserve">Verify FS choice screen art, text and spin numbers</t>
  </si>
  <si>
    <t xml:space="preserve">Text correct, no truncation</t>
  </si>
  <si>
    <t xml:space="preserve">PS-UI-024</t>
  </si>
  <si>
    <t xml:space="preserve">Sticky multiplier labels</t>
  </si>
  <si>
    <t xml:space="preserve">Verify multiplier labels on sticky wilds remain readable at small reel heights (7 rows)</t>
  </si>
  <si>
    <t xml:space="preserve">Readable</t>
  </si>
  <si>
    <t xml:space="preserve">Ref: GR-07</t>
  </si>
  <si>
    <t xml:space="preserve">PS-UI-025</t>
  </si>
  <si>
    <t xml:space="preserve">Raining animation</t>
  </si>
  <si>
    <t xml:space="preserve">Verify raining wild drop animation lands exactly on final positions</t>
  </si>
  <si>
    <t xml:space="preserve">Raining FS</t>
  </si>
  <si>
    <t xml:space="preserve">Wilds land on positions matching server</t>
  </si>
  <si>
    <t xml:space="preserve">PS-UI-026</t>
  </si>
  <si>
    <t xml:space="preserve">Summary popup</t>
  </si>
  <si>
    <t xml:space="preserve">Verify FS end summary shows total win and dismiss control</t>
  </si>
  <si>
    <t xml:space="preserve">FS end</t>
  </si>
  <si>
    <t xml:space="preserve">1. Observe
2. Dismiss</t>
  </si>
  <si>
    <t xml:space="preserve">Correct value; dismiss works</t>
  </si>
  <si>
    <t xml:space="preserve">PS-UI-027</t>
  </si>
  <si>
    <t xml:space="preserve">Popups</t>
  </si>
  <si>
    <t xml:space="preserve">Insufficient funds</t>
  </si>
  <si>
    <t xml:space="preserve">Verify insufficient funds popup text and actions</t>
  </si>
  <si>
    <t xml:space="preserve">Low balance</t>
  </si>
  <si>
    <t xml:space="preserve">1. Trigger</t>
  </si>
  <si>
    <t xml:space="preserve">Clear message; OK/Deposit</t>
  </si>
  <si>
    <t xml:space="preserve">PS-UI-028</t>
  </si>
  <si>
    <t xml:space="preserve">Max win</t>
  </si>
  <si>
    <t xml:space="preserve">Verify max win reached popup</t>
  </si>
  <si>
    <t xml:space="preserve">Message shows cap amount</t>
  </si>
  <si>
    <t xml:space="preserve">PS-UI-029</t>
  </si>
  <si>
    <t xml:space="preserve">Z-index</t>
  </si>
  <si>
    <t xml:space="preserve">Verify popups render above reels and controls</t>
  </si>
  <si>
    <t xml:space="preserve">Any popup</t>
  </si>
  <si>
    <t xml:space="preserve">1. Open popups</t>
  </si>
  <si>
    <t xml:space="preserve">No element above popup; background blocked</t>
  </si>
  <si>
    <t xml:space="preserve">PS-UI-030</t>
  </si>
  <si>
    <t xml:space="preserve">Buy UI</t>
  </si>
  <si>
    <t xml:space="preserve">Verify Buy interface layout, cost text and buttons</t>
  </si>
  <si>
    <t xml:space="preserve">Buy open</t>
  </si>
  <si>
    <t xml:space="preserve">1. Inspect at each resolution</t>
  </si>
  <si>
    <t xml:space="preserve">Readable; cost correct</t>
  </si>
  <si>
    <t xml:space="preserve">PS-UI-031</t>
  </si>
  <si>
    <t xml:space="preserve">Auto UI</t>
  </si>
  <si>
    <t xml:space="preserve">Auto panel</t>
  </si>
  <si>
    <t xml:space="preserve">Verify Auto Spin panel counters layout</t>
  </si>
  <si>
    <t xml:space="preserve">Auto running</t>
  </si>
  <si>
    <t xml:space="preserve">Total/remaining/total win visible</t>
  </si>
  <si>
    <t xml:space="preserve">PS-UI-032</t>
  </si>
  <si>
    <t xml:space="preserve">Paytable UI</t>
  </si>
  <si>
    <t xml:space="preserve">Paytable pages</t>
  </si>
  <si>
    <t xml:space="preserve">Verify paytable shows all 11 paying symbols, Wild, Bonus with values</t>
  </si>
  <si>
    <t xml:space="preserve">Info</t>
  </si>
  <si>
    <t xml:space="preserve">1. Open paytable</t>
  </si>
  <si>
    <t xml:space="preserve">All symbols present with correct art</t>
  </si>
  <si>
    <t xml:space="preserve">Ref: GR-48, GR-50 | OBS-15</t>
  </si>
  <si>
    <t xml:space="preserve">PS-UI-033</t>
  </si>
  <si>
    <t xml:space="preserve">Scroll</t>
  </si>
  <si>
    <t xml:space="preserve">Verify rules pages scroll fully on mobile</t>
  </si>
  <si>
    <t xml:space="preserve">1. Scroll to bottom</t>
  </si>
  <si>
    <t xml:space="preserve">All content reachable</t>
  </si>
  <si>
    <t xml:space="preserve">Ref: GR-48</t>
  </si>
  <si>
    <t xml:space="preserve">PS-UI-034</t>
  </si>
  <si>
    <t xml:space="preserve">Spelling/grammar</t>
  </si>
  <si>
    <t xml:space="preserve">Verify in-game text spelling, grammar and consistency</t>
  </si>
  <si>
    <t xml:space="preserve">1. Review all text</t>
  </si>
  <si>
    <t xml:space="preserve">No errors (rules currently contain grammar issue OBS-20)</t>
  </si>
  <si>
    <t xml:space="preserve">Ref: GR-07 | OBS-20</t>
  </si>
  <si>
    <t xml:space="preserve">PS-UI-035</t>
  </si>
  <si>
    <t xml:space="preserve">Localisation</t>
  </si>
  <si>
    <t xml:space="preserve">Verify translated text fits on supported languages</t>
  </si>
  <si>
    <t xml:space="preserve">Languages per operator</t>
  </si>
  <si>
    <t xml:space="preserve">1. Switch languages</t>
  </si>
  <si>
    <t xml:space="preserve">No overflow</t>
  </si>
  <si>
    <t xml:space="preserve">PS-UI-036</t>
  </si>
  <si>
    <t xml:space="preserve">Placeholders</t>
  </si>
  <si>
    <t xml:space="preserve">Ref: GR-28, GR-54 | OBS-09</t>
  </si>
  <si>
    <t xml:space="preserve">PS-UI-037</t>
  </si>
  <si>
    <t xml:space="preserve">Formatting</t>
  </si>
  <si>
    <t xml:space="preserve">Verify thousands and decimal separators per locale</t>
  </si>
  <si>
    <t xml:space="preserve">Locales EN, RO</t>
  </si>
  <si>
    <t xml:space="preserve">1234.5</t>
  </si>
  <si>
    <t xml:space="preserve">1. Check fields</t>
  </si>
  <si>
    <t xml:space="preserve">EN 1,234.50; RO 1.234,50 or per operator</t>
  </si>
  <si>
    <t xml:space="preserve">PS-UI-038</t>
  </si>
  <si>
    <t xml:space="preserve">Animation</t>
  </si>
  <si>
    <t xml:space="preserve">Spin animation</t>
  </si>
  <si>
    <t xml:space="preserve">Verify reel spin/stop animation smooth at 60fps target</t>
  </si>
  <si>
    <t xml:space="preserve">Desktop/mobile</t>
  </si>
  <si>
    <t xml:space="preserve">No stutter &gt; 100ms</t>
  </si>
  <si>
    <t xml:space="preserve">PS-UI-039</t>
  </si>
  <si>
    <t xml:space="preserve">Skip</t>
  </si>
  <si>
    <t xml:space="preserve">Verify win animations can be skipped by tap/click</t>
  </si>
  <si>
    <t xml:space="preserve">1. Tap during animation</t>
  </si>
  <si>
    <t xml:space="preserve">Skips to final state; values correct</t>
  </si>
  <si>
    <t xml:space="preserve">PS-UI-040</t>
  </si>
  <si>
    <t xml:space="preserve">Turbo animation</t>
  </si>
  <si>
    <t xml:space="preserve">Verify Turbo shortens win animations</t>
  </si>
  <si>
    <t xml:space="preserve">Turbo</t>
  </si>
  <si>
    <t xml:space="preserve">1. Compare durations</t>
  </si>
  <si>
    <t xml:space="preserve">Shorter</t>
  </si>
  <si>
    <t xml:space="preserve">PS-UI-041</t>
  </si>
  <si>
    <t xml:space="preserve">Audio</t>
  </si>
  <si>
    <t xml:space="preserve">Background music</t>
  </si>
  <si>
    <t xml:space="preserve">Verify base game music loops seamlessly</t>
  </si>
  <si>
    <t xml:space="preserve">Sound on</t>
  </si>
  <si>
    <t xml:space="preserve">1. Listen 3 min</t>
  </si>
  <si>
    <t xml:space="preserve">No gap/click</t>
  </si>
  <si>
    <t xml:space="preserve">PS-UI-042</t>
  </si>
  <si>
    <t xml:space="preserve">Win sounds</t>
  </si>
  <si>
    <t xml:space="preserve">Verify win sound plays per win and scales with tier</t>
  </si>
  <si>
    <t xml:space="preserve">Wins</t>
  </si>
  <si>
    <t xml:space="preserve">1. Force wins</t>
  </si>
  <si>
    <t xml:space="preserve">Correct sounds</t>
  </si>
  <si>
    <t xml:space="preserve">PS-UI-043</t>
  </si>
  <si>
    <t xml:space="preserve">FS music</t>
  </si>
  <si>
    <t xml:space="preserve">Verify FS music differs per feature and returns to base music</t>
  </si>
  <si>
    <t xml:space="preserve">1. Enter/exit FS</t>
  </si>
  <si>
    <t xml:space="preserve">Correct switch</t>
  </si>
  <si>
    <t xml:space="preserve">PS-UI-044</t>
  </si>
  <si>
    <t xml:space="preserve">Mute persistence</t>
  </si>
  <si>
    <t xml:space="preserve">Verify mute persists across refresh</t>
  </si>
  <si>
    <t xml:space="preserve">Muted</t>
  </si>
  <si>
    <t xml:space="preserve">Still muted</t>
  </si>
  <si>
    <t xml:space="preserve">PS-UI-045</t>
  </si>
  <si>
    <t xml:space="preserve">Background tab</t>
  </si>
  <si>
    <t xml:space="preserve">Verify audio pauses when tab/app goes to background</t>
  </si>
  <si>
    <t xml:space="preserve">1. Switch tab/app</t>
  </si>
  <si>
    <t xml:space="preserve">Audio pauses and resumes</t>
  </si>
  <si>
    <t xml:space="preserve">PS-UI-046</t>
  </si>
  <si>
    <t xml:space="preserve">Sync</t>
  </si>
  <si>
    <t xml:space="preserve">Verify reel stop sounds sync with reel stops (incl. Quick Stop)</t>
  </si>
  <si>
    <t xml:space="preserve">1. Spin, quick stop</t>
  </si>
  <si>
    <t xml:space="preserve">In sync</t>
  </si>
  <si>
    <t xml:space="preserve">Ref: GR-31, GR-49</t>
  </si>
  <si>
    <t xml:space="preserve">PS-UI-047</t>
  </si>
  <si>
    <t xml:space="preserve">Autoplay policy</t>
  </si>
  <si>
    <t xml:space="preserve">Verify game handles browser autoplay restriction (audio starts after first interaction)</t>
  </si>
  <si>
    <t xml:space="preserve">Fresh load</t>
  </si>
  <si>
    <t xml:space="preserve">1. Load
2. Click</t>
  </si>
  <si>
    <t xml:space="preserve">No error; audio starts after interaction</t>
  </si>
  <si>
    <t xml:space="preserve">PS-CMP-001</t>
  </si>
  <si>
    <t xml:space="preserve">Ref: GR-01, GR-22, GR-16, GR-32</t>
  </si>
  <si>
    <t xml:space="preserve">PS-CMP-002</t>
  </si>
  <si>
    <t xml:space="preserve">Windows 11 / Firefox (latest)</t>
  </si>
  <si>
    <t xml:space="preserve">Verify full smoke flow on Windows 11 with Firefox (latest): load, spin, win, bet change, FS (both types), Buy, Auto Spin, Info, Sound</t>
  </si>
  <si>
    <t xml:space="preserve">PS-CMP-003</t>
  </si>
  <si>
    <t xml:space="preserve">Windows 11 / Edge (latest)</t>
  </si>
  <si>
    <t xml:space="preserve">Verify full smoke flow on Windows 11 with Edge (latest): load, spin, win, bet change, FS (both types), Buy, Auto Spin, Info, Sound</t>
  </si>
  <si>
    <t xml:space="preserve">PS-CMP-004</t>
  </si>
  <si>
    <t xml:space="preserve">macOS (latest) / Safari (latest)</t>
  </si>
  <si>
    <t xml:space="preserve">Verify full smoke flow on macOS (latest) with Safari (latest): load, spin, win, bet change, FS (both types), Buy, Auto Spin, Info, Sound</t>
  </si>
  <si>
    <t xml:space="preserve">PS-CMP-005</t>
  </si>
  <si>
    <t xml:space="preserve">macOS (latest) / Chrome (latest)</t>
  </si>
  <si>
    <t xml:space="preserve">Verify full smoke flow on macOS (latest) with Chrome (latest): load, spin, win, bet change, FS (both types), Buy, Auto Spin, Info, Sound</t>
  </si>
  <si>
    <t xml:space="preserve">PS-CMP-006</t>
  </si>
  <si>
    <t xml:space="preserve">PS-CMP-007</t>
  </si>
  <si>
    <t xml:space="preserve">iOS 17/18 iPhone / Chrome</t>
  </si>
  <si>
    <t xml:space="preserve">Verify full smoke flow on iOS 17/18 iPhone with Chrome: load, spin, win, bet change, FS (both types), Buy, Auto Spin, Info, Sound</t>
  </si>
  <si>
    <t xml:space="preserve">PS-CMP-008</t>
  </si>
  <si>
    <t xml:space="preserve">iPadOS / Safari</t>
  </si>
  <si>
    <t xml:space="preserve">Verify full smoke flow on iPadOS with Safari: load, spin, win, bet change, FS (both types), Buy, Auto Spin, Info, Sound</t>
  </si>
  <si>
    <t xml:space="preserve">PS-CMP-009</t>
  </si>
  <si>
    <t xml:space="preserve">PS-CMP-010</t>
  </si>
  <si>
    <t xml:space="preserve">Android 13/14 phone / Samsung Internet</t>
  </si>
  <si>
    <t xml:space="preserve">Verify full smoke flow on Android 13/14 phone with Samsung Internet: load, spin, win, bet change, FS (both types), Buy, Auto Spin, Info, Sound</t>
  </si>
  <si>
    <t xml:space="preserve">PS-CMP-011</t>
  </si>
  <si>
    <t xml:space="preserve">Android tablet / Chrome</t>
  </si>
  <si>
    <t xml:space="preserve">Verify full smoke flow on Android tablet with Chrome: load, spin, win, bet change, FS (both types), Buy, Auto Spin, Info, Sound</t>
  </si>
  <si>
    <t xml:space="preserve">PS-CMP-012</t>
  </si>
  <si>
    <t xml:space="preserve">iOS (oldest supported) / Safari</t>
  </si>
  <si>
    <t xml:space="preserve">Verify full smoke flow on iOS (oldest supported) with Safari: load, spin, win, bet change, FS (both types), Buy, Auto Spin, Info, Sound</t>
  </si>
  <si>
    <t xml:space="preserve">PS-CMP-013</t>
  </si>
  <si>
    <t xml:space="preserve">Android (oldest supported) / Chrome</t>
  </si>
  <si>
    <t xml:space="preserve">Verify full smoke flow on Android (oldest supported) with Chrome: load, spin, win, bet change, FS (both types), Buy, Auto Spin, Info, Sound</t>
  </si>
  <si>
    <t xml:space="preserve">PS-CMP-014</t>
  </si>
  <si>
    <t xml:space="preserve">Orientation change during spin</t>
  </si>
  <si>
    <t xml:space="preserve">Verify orientation change during spin</t>
  </si>
  <si>
    <t xml:space="preserve">Relevant device</t>
  </si>
  <si>
    <t xml:space="preserve">Rotate during spin</t>
  </si>
  <si>
    <t xml:space="preserve">1. Set condition
2. Play 5 rounds</t>
  </si>
  <si>
    <t xml:space="preserve">Game remains usable; no layout break; outcome unaffected</t>
  </si>
  <si>
    <t xml:space="preserve">Mobile / Tablet</t>
  </si>
  <si>
    <t xml:space="preserve">PS-CMP-015</t>
  </si>
  <si>
    <t xml:space="preserve">Orientation change during FS choice screen</t>
  </si>
  <si>
    <t xml:space="preserve">Verify orientation change during fs choice screen</t>
  </si>
  <si>
    <t xml:space="preserve">Rotate on choice screen</t>
  </si>
  <si>
    <t xml:space="preserve">PS-CMP-016</t>
  </si>
  <si>
    <t xml:space="preserve">Split screen / multi-window on Android</t>
  </si>
  <si>
    <t xml:space="preserve">Verify split screen / multi-window on android</t>
  </si>
  <si>
    <t xml:space="preserve">Resize via split screen</t>
  </si>
  <si>
    <t xml:space="preserve">PS-CMP-017</t>
  </si>
  <si>
    <t xml:space="preserve">Device notch / safe area</t>
  </si>
  <si>
    <t xml:space="preserve">Verify device notch / safe area</t>
  </si>
  <si>
    <t xml:space="preserve">Devices with notch/dynamic island</t>
  </si>
  <si>
    <t xml:space="preserve">PS-CMP-018</t>
  </si>
  <si>
    <t xml:space="preserve">Low-end device performance</t>
  </si>
  <si>
    <t xml:space="preserve">Verify low-end device performance</t>
  </si>
  <si>
    <t xml:space="preserve">Android 3GB RAM</t>
  </si>
  <si>
    <t xml:space="preserve">PS-CMP-019</t>
  </si>
  <si>
    <t xml:space="preserve">Zoomed browser (125%, 150%) on desktop</t>
  </si>
  <si>
    <t xml:space="preserve">Verify zoomed browser (125%, 150%) on desktop</t>
  </si>
  <si>
    <t xml:space="preserve">Browser zoom</t>
  </si>
  <si>
    <t xml:space="preserve">PS-CMP-020</t>
  </si>
  <si>
    <t xml:space="preserve">iOS low power mode</t>
  </si>
  <si>
    <t xml:space="preserve">Verify ios low power mode</t>
  </si>
  <si>
    <t xml:space="preserve">Low power on</t>
  </si>
  <si>
    <t xml:space="preserve">PS-CMP-021</t>
  </si>
  <si>
    <t xml:space="preserve">In-app webview (operator app)</t>
  </si>
  <si>
    <t xml:space="preserve">Verify in-app webview (operator app)</t>
  </si>
  <si>
    <t xml:space="preserve">Operator native wrapper</t>
  </si>
  <si>
    <t xml:space="preserve">PS-INT-001</t>
  </si>
  <si>
    <t xml:space="preserve">Refresh</t>
  </si>
  <si>
    <t xml:space="preserve">PS-INT-002</t>
  </si>
  <si>
    <t xml:space="preserve">PS-INT-003</t>
  </si>
  <si>
    <t xml:space="preserve">PS-INT-004</t>
  </si>
  <si>
    <t xml:space="preserve">PS-INT-005</t>
  </si>
  <si>
    <t xml:space="preserve">PS-INT-006</t>
  </si>
  <si>
    <t xml:space="preserve">Close/reopen</t>
  </si>
  <si>
    <t xml:space="preserve">PS-INT-007</t>
  </si>
  <si>
    <t xml:space="preserve">PS-INT-008</t>
  </si>
  <si>
    <t xml:space="preserve">Network loss</t>
  </si>
  <si>
    <t xml:space="preserve">PS-INT-009</t>
  </si>
  <si>
    <t xml:space="preserve">PS-INT-010</t>
  </si>
  <si>
    <t xml:space="preserve">PS-INT-011</t>
  </si>
  <si>
    <t xml:space="preserve">Network loss: long outage (10 min)</t>
  </si>
  <si>
    <t xml:space="preserve">1. Drop 10 min
2. Restore</t>
  </si>
  <si>
    <t xml:space="preserve">Session handling per operator; state recoverable after relaunch</t>
  </si>
  <si>
    <t xml:space="preserve">PS-INT-012</t>
  </si>
  <si>
    <t xml:space="preserve">App background</t>
  </si>
  <si>
    <t xml:space="preserve">PS-INT-013</t>
  </si>
  <si>
    <t xml:space="preserve">PS-INT-014</t>
  </si>
  <si>
    <t xml:space="preserve">Device lock</t>
  </si>
  <si>
    <t xml:space="preserve">Device lock: during Auto Spin</t>
  </si>
  <si>
    <t xml:space="preserve">Auto 20</t>
  </si>
  <si>
    <t xml:space="preserve">1. Lock screen 1 min
2. Unlock</t>
  </si>
  <si>
    <t xml:space="preserve">Requires Specification/Confirmation: Expected: auto play pauses while hidden or continues per spec; no lost rounds</t>
  </si>
  <si>
    <t xml:space="preserve">PS-INT-015</t>
  </si>
  <si>
    <t xml:space="preserve">Incoming call</t>
  </si>
  <si>
    <t xml:space="preserve">Incoming call: during FS</t>
  </si>
  <si>
    <t xml:space="preserve">FS on phone</t>
  </si>
  <si>
    <t xml:space="preserve">1. Receive call
2. End call
3. Return</t>
  </si>
  <si>
    <t xml:space="preserve">FS resumes; audio restored</t>
  </si>
  <si>
    <t xml:space="preserve">PS-INT-016</t>
  </si>
  <si>
    <t xml:space="preserve">Device rotation</t>
  </si>
  <si>
    <t xml:space="preserve">Device rotation: during win</t>
  </si>
  <si>
    <t xml:space="preserve">1. Rotate</t>
  </si>
  <si>
    <t xml:space="preserve">Presentation continues; values correct</t>
  </si>
  <si>
    <t xml:space="preserve">PS-INT-017</t>
  </si>
  <si>
    <t xml:space="preserve">Session expiration</t>
  </si>
  <si>
    <t xml:space="preserve">PS-INT-018</t>
  </si>
  <si>
    <t xml:space="preserve">Wallet credit failure</t>
  </si>
  <si>
    <t xml:space="preserve">PS-INT-019</t>
  </si>
  <si>
    <t xml:space="preserve">PS-INT-020</t>
  </si>
  <si>
    <t xml:space="preserve">API timeout</t>
  </si>
  <si>
    <t xml:space="preserve">PS-INT-021</t>
  </si>
  <si>
    <t xml:space="preserve">Server 500</t>
  </si>
  <si>
    <t xml:space="preserve">PS-INT-022</t>
  </si>
  <si>
    <t xml:space="preserve">Reload</t>
  </si>
  <si>
    <t xml:space="preserve">Reload: during unfinished FS after 24h</t>
  </si>
  <si>
    <t xml:space="preserve">FS unfinished</t>
  </si>
  <si>
    <t xml:space="preserve">1. Relaunch after 24h</t>
  </si>
  <si>
    <t xml:space="preserve">Resume</t>
  </si>
  <si>
    <t xml:space="preserve">Ref: GR-56, GR-58</t>
  </si>
  <si>
    <t xml:space="preserve">PS-INT-023</t>
  </si>
  <si>
    <t xml:space="preserve">PS-INT-024</t>
  </si>
  <si>
    <t xml:space="preserve">Ref: GR-56, GR-08</t>
  </si>
  <si>
    <t xml:space="preserve">PS-INT-025</t>
  </si>
  <si>
    <t xml:space="preserve">PS-INT-026</t>
  </si>
  <si>
    <t xml:space="preserve">Ref: GR-56, GR-29</t>
  </si>
  <si>
    <t xml:space="preserve">PS-INT-027</t>
  </si>
  <si>
    <t xml:space="preserve">Reload: during Auto Spin</t>
  </si>
  <si>
    <t xml:space="preserve">Auto 50, 10 played</t>
  </si>
  <si>
    <t xml:space="preserve">Requires Specification/Confirmation: Expected: auto play stops after reload; no further rounds without player action</t>
  </si>
  <si>
    <t xml:space="preserve">Ref: GR-56, GR-43 | OBS-24</t>
  </si>
  <si>
    <t xml:space="preserve">PS-INT-028</t>
  </si>
  <si>
    <t xml:space="preserve">Browser crash</t>
  </si>
  <si>
    <t xml:space="preserve">PS-INT-029</t>
  </si>
  <si>
    <t xml:space="preserve">Duplicate prevention</t>
  </si>
  <si>
    <t xml:space="preserve">PS-INT-030</t>
  </si>
  <si>
    <t xml:space="preserve">Suspended state</t>
  </si>
  <si>
    <t xml:space="preserve">PS-STR-001</t>
  </si>
  <si>
    <t xml:space="preserve">Bet transaction</t>
  </si>
  <si>
    <t xml:space="preserve">PS-STR-002</t>
  </si>
  <si>
    <t xml:space="preserve">Win transaction</t>
  </si>
  <si>
    <t xml:space="preserve">PS-STR-003</t>
  </si>
  <si>
    <t xml:space="preserve">Zero win</t>
  </si>
  <si>
    <t xml:space="preserve">PS-STR-004</t>
  </si>
  <si>
    <t xml:space="preserve">PS-STR-005</t>
  </si>
  <si>
    <t xml:space="preserve">Ref: GR-12, GR-15 | OBS-08</t>
  </si>
  <si>
    <t xml:space="preserve">PS-STR-006</t>
  </si>
  <si>
    <t xml:space="preserve">Round lifecycle</t>
  </si>
  <si>
    <t xml:space="preserve">PS-STR-007</t>
  </si>
  <si>
    <t xml:space="preserve">Idempotency</t>
  </si>
  <si>
    <t xml:space="preserve">PS-STR-008</t>
  </si>
  <si>
    <t xml:space="preserve">PS-STR-009</t>
  </si>
  <si>
    <t xml:space="preserve">Replay</t>
  </si>
  <si>
    <t xml:space="preserve">PS-STR-010</t>
  </si>
  <si>
    <t xml:space="preserve">Sequence</t>
  </si>
  <si>
    <t xml:space="preserve">PS-STR-011</t>
  </si>
  <si>
    <t xml:space="preserve">PS-STR-012</t>
  </si>
  <si>
    <t xml:space="preserve">PS-STR-013</t>
  </si>
  <si>
    <t xml:space="preserve">Ref: GR-28</t>
  </si>
  <si>
    <t xml:space="preserve">PS-STR-014</t>
  </si>
  <si>
    <t xml:space="preserve">PS-STR-015</t>
  </si>
  <si>
    <t xml:space="preserve">PS-STR-016</t>
  </si>
  <si>
    <t xml:space="preserve">PS-STR-017</t>
  </si>
  <si>
    <t xml:space="preserve">Session validation</t>
  </si>
  <si>
    <t xml:space="preserve">PS-STR-018</t>
  </si>
  <si>
    <t xml:space="preserve">PS-STR-019</t>
  </si>
  <si>
    <t xml:space="preserve">Reconciliation</t>
  </si>
  <si>
    <t xml:space="preserve">PS-STR-020</t>
  </si>
  <si>
    <t xml:space="preserve">PS-STR-021</t>
  </si>
  <si>
    <t xml:space="preserve">PS-STR-022</t>
  </si>
  <si>
    <t xml:space="preserve">RNG</t>
  </si>
  <si>
    <t xml:space="preserve">PS-STR-023</t>
  </si>
  <si>
    <t xml:space="preserve">PS-STR-024</t>
  </si>
  <si>
    <t xml:space="preserve">Unexpected response</t>
  </si>
  <si>
    <t xml:space="preserve">Unexpected response: missing fields</t>
  </si>
  <si>
    <t xml:space="preserve">Mock response missing win field</t>
  </si>
  <si>
    <t xml:space="preserve">Client shows error, no crash, recovers via reload</t>
  </si>
  <si>
    <t xml:space="preserve">PS-STR-025</t>
  </si>
  <si>
    <t xml:space="preserve">Unexpected response: negative win</t>
  </si>
  <si>
    <t xml:space="preserve">Mock negative win</t>
  </si>
  <si>
    <t xml:space="preserve">Client rejects/flags; no balance change shown</t>
  </si>
  <si>
    <t xml:space="preserve">PS-STR-026</t>
  </si>
  <si>
    <t xml:space="preserve">Responsible gaming</t>
  </si>
  <si>
    <t xml:space="preserve">Responsible gaming: reality check</t>
  </si>
  <si>
    <t xml:space="preserve">Operator RC interval 1 min</t>
  </si>
  <si>
    <t xml:space="preserve">1. Play</t>
  </si>
  <si>
    <t xml:space="preserve">RC popup per operator; play paused correctly</t>
  </si>
  <si>
    <t xml:space="preserve">PS-STR-027</t>
  </si>
  <si>
    <t xml:space="preserve">Responsible gaming: session/loss limit</t>
  </si>
  <si>
    <t xml:space="preserve">Operator limit reached</t>
  </si>
  <si>
    <t xml:space="preserve">Spin blocked with operator message; FS in progress handled per operator rules</t>
  </si>
  <si>
    <t xml:space="preserve">PS-ERR-001</t>
  </si>
  <si>
    <t xml:space="preserve">PS-ERR-002</t>
  </si>
  <si>
    <t xml:space="preserve">PS-ERR-003</t>
  </si>
  <si>
    <t xml:space="preserve">Session error</t>
  </si>
  <si>
    <t xml:space="preserve">PS-ERR-004</t>
  </si>
  <si>
    <t xml:space="preserve">Session error: concurrent login</t>
  </si>
  <si>
    <t xml:space="preserve">Login elsewhere</t>
  </si>
  <si>
    <t xml:space="preserve">Session invalid message</t>
  </si>
  <si>
    <t xml:space="preserve">PS-ERR-005</t>
  </si>
  <si>
    <t xml:space="preserve">Network error</t>
  </si>
  <si>
    <t xml:space="preserve">Network error: offline</t>
  </si>
  <si>
    <t xml:space="preserve">Connection lost message; retry; no debit</t>
  </si>
  <si>
    <t xml:space="preserve">PS-ERR-006</t>
  </si>
  <si>
    <t xml:space="preserve">Server error</t>
  </si>
  <si>
    <t xml:space="preserve">PS-ERR-007</t>
  </si>
  <si>
    <t xml:space="preserve">Server error: 503 maintenance</t>
  </si>
  <si>
    <t xml:space="preserve">Maintenance message</t>
  </si>
  <si>
    <t xml:space="preserve">PS-ERR-008</t>
  </si>
  <si>
    <t xml:space="preserve">Invalid game state</t>
  </si>
  <si>
    <t xml:space="preserve">Invalid game state: FS spin with no FS</t>
  </si>
  <si>
    <t xml:space="preserve">Error; game resyncs</t>
  </si>
  <si>
    <t xml:space="preserve">PS-ERR-009</t>
  </si>
  <si>
    <t xml:space="preserve">Invalid bet</t>
  </si>
  <si>
    <t xml:space="preserve">Mock bet not allowed</t>
  </si>
  <si>
    <t xml:space="preserve">Invalid bet message; bet resets to valid</t>
  </si>
  <si>
    <t xml:space="preserve">PS-ERR-010</t>
  </si>
  <si>
    <t xml:space="preserve">Invalid feature state</t>
  </si>
  <si>
    <t xml:space="preserve">Invalid feature state: choice twice</t>
  </si>
  <si>
    <t xml:space="preserve">1. Send choice twice</t>
  </si>
  <si>
    <t xml:space="preserve">Second rejected silently or with error; one feature</t>
  </si>
  <si>
    <t xml:space="preserve">PS-ERR-011</t>
  </si>
  <si>
    <t xml:space="preserve">Timeout</t>
  </si>
  <si>
    <t xml:space="preserve">PS-ERR-012</t>
  </si>
  <si>
    <t xml:space="preserve">Failed spin</t>
  </si>
  <si>
    <t xml:space="preserve">PS-ERR-013</t>
  </si>
  <si>
    <t xml:space="preserve">Failed transaction</t>
  </si>
  <si>
    <t xml:space="preserve">PS-ERR-014</t>
  </si>
  <si>
    <t xml:space="preserve">Failed feature loading</t>
  </si>
  <si>
    <t xml:space="preserve">Failed feature loading: FS assets fail</t>
  </si>
  <si>
    <t xml:space="preserve">Block FS asset URL</t>
  </si>
  <si>
    <t xml:space="preserve">1. Trigger FS</t>
  </si>
  <si>
    <t xml:space="preserve">Error/retry; feature state preserved for reload</t>
  </si>
  <si>
    <t xml:space="preserve">PS-ERR-015</t>
  </si>
  <si>
    <t xml:space="preserve">Failed asset load</t>
  </si>
  <si>
    <t xml:space="preserve">Failed asset load: launch</t>
  </si>
  <si>
    <t xml:space="preserve">Block asset</t>
  </si>
  <si>
    <t xml:space="preserve">Error screen with retry; no partial UI</t>
  </si>
  <si>
    <t xml:space="preserve">PS-ERR-016</t>
  </si>
  <si>
    <t xml:space="preserve">Unexpected API response</t>
  </si>
  <si>
    <t xml:space="preserve">Unexpected API response: malformed JSON</t>
  </si>
  <si>
    <t xml:space="preserve">Error; no crash</t>
  </si>
  <si>
    <t xml:space="preserve">PS-ERR-017</t>
  </si>
  <si>
    <t xml:space="preserve">Error message text</t>
  </si>
  <si>
    <t xml:space="preserve">All error popups</t>
  </si>
  <si>
    <t xml:space="preserve">Clear, localised, includes error code if applicable; no stack traces</t>
  </si>
  <si>
    <t xml:space="preserve">PS-ERR-018</t>
  </si>
  <si>
    <t xml:space="preserve">PS-ERR-019</t>
  </si>
  <si>
    <t xml:space="preserve">Max win cap message</t>
  </si>
  <si>
    <t xml:space="preserve">Informative message; feature ends</t>
  </si>
  <si>
    <t xml:space="preserve">PS-ERR-020</t>
  </si>
  <si>
    <t xml:space="preserve">Malfunction handling</t>
  </si>
  <si>
    <t xml:space="preserve">Simulated malfunction</t>
  </si>
  <si>
    <t xml:space="preserve">Round voided per rules; bet refunded per operator; logged</t>
  </si>
  <si>
    <t xml:space="preserve">Traceability Matrix: Requirement -&gt; Feature -&gt; Test Case</t>
  </si>
  <si>
    <t xml:space="preserve">Req ID</t>
  </si>
  <si>
    <t xml:space="preserve">Source</t>
  </si>
  <si>
    <t xml:space="preserve">Section / Cell Ref</t>
  </si>
  <si>
    <t xml:space="preserve">Requirement</t>
  </si>
  <si>
    <t xml:space="preserve">Linked Test Case IDs</t>
  </si>
  <si>
    <t xml:space="preserve">TC Count</t>
  </si>
  <si>
    <t xml:space="preserve">Coverage</t>
  </si>
  <si>
    <t xml:space="preserve">Linked Observations</t>
  </si>
  <si>
    <t xml:space="preserve">GR-01</t>
  </si>
  <si>
    <t xml:space="preserve">Game Rules</t>
  </si>
  <si>
    <t xml:space="preserve">Intro</t>
  </si>
  <si>
    <t xml:space="preserve">Megaways slot, 6 reels, up to 117,649 ways</t>
  </si>
  <si>
    <t xml:space="preserve">Reels / Ways</t>
  </si>
  <si>
    <t xml:space="preserve">PS-FUN-001, PS-FUN-005, PS-FUN-006, PS-FUN-007, PS-FUN-008, PS-FUN-040, PS-MTH-016, PS-EDG-013, PS-EDG-014, PS-UI-001, PS-UI-010, PS-CMP-001, PS-CMP-002, PS-CMP-003, PS-CMP-004, PS-CMP-005, PS-CMP-006, PS-CMP-007, PS-CMP-008, PS-CMP-009, PS-CMP-010, PS-CMP-011, PS-CMP-012, PS-CMP-013</t>
  </si>
  <si>
    <t xml:space="preserve">OBS-04</t>
  </si>
  <si>
    <t xml:space="preserve">GR-02</t>
  </si>
  <si>
    <t xml:space="preserve">Each reel shows up to 7 symbols; ways depend on symbols per reel</t>
  </si>
  <si>
    <t xml:space="preserve">PS-FUN-005, PS-FUN-006, PS-MTH-015, PS-EDG-040, PS-UI-009</t>
  </si>
  <si>
    <t xml:space="preserve">GR-03</t>
  </si>
  <si>
    <t xml:space="preserve">Wins pay for matching symbols on adjacent reels from leftmost reel</t>
  </si>
  <si>
    <t xml:space="preserve">PS-FUN-038, PS-FUN-039, PS-FUN-040</t>
  </si>
  <si>
    <t xml:space="preserve">GR-04</t>
  </si>
  <si>
    <t xml:space="preserve">Paytable payouts based on current bet</t>
  </si>
  <si>
    <t xml:space="preserve">PS-FUN-021, PS-FUN-034, PS-MTH-017, PS-MTH-018, PS-MTH-019, PS-MTH-020, PS-MTH-021, PS-MTH-022, PS-MTH-023, PS-MTH-024, PS-MTH-025</t>
  </si>
  <si>
    <t xml:space="preserve">GR-05</t>
  </si>
  <si>
    <t xml:space="preserve">3/4/5/6 Bonus award 7/12/15/20 Free Spins</t>
  </si>
  <si>
    <t xml:space="preserve">PS-FUN-054, PS-MTH-038, PS-MTH-039, PS-MTH-040, PS-MTH-041, PS-FEA-001, PS-FEA-002, PS-FEA-003, PS-FEA-004, PS-FEA-005, PS-FEA-041, PS-FEA-045</t>
  </si>
  <si>
    <t xml:space="preserve">GR-06</t>
  </si>
  <si>
    <t xml:space="preserve">Up to 7 Sticky Wilds can land on each reel</t>
  </si>
  <si>
    <t xml:space="preserve">PS-MTH-050, PS-FEA-028, PS-FEA-031, PS-FEA-032</t>
  </si>
  <si>
    <t xml:space="preserve">OBS-06</t>
  </si>
  <si>
    <t xml:space="preserve">GR-07</t>
  </si>
  <si>
    <t xml:space="preserve">Each Wild assigned random multiplier x2 or x3</t>
  </si>
  <si>
    <t xml:space="preserve">PS-MTH-034, PS-FEA-026, PS-FEA-027, PS-UI-024, PS-UI-034</t>
  </si>
  <si>
    <t xml:space="preserve">OBS-01, OBS-20</t>
  </si>
  <si>
    <t xml:space="preserve">GR-08</t>
  </si>
  <si>
    <t xml:space="preserve">Sticky Wilds remain until feature end and resize as reels expand</t>
  </si>
  <si>
    <t xml:space="preserve">PS-MTH-051, PS-FEA-025, PS-FEA-026, PS-FEA-029, PS-FEA-030, PS-FEA-033, PS-EDG-040, PS-INT-024</t>
  </si>
  <si>
    <t xml:space="preserve">OBS-07</t>
  </si>
  <si>
    <t xml:space="preserve">GR-09</t>
  </si>
  <si>
    <t xml:space="preserve">3/4/5/6 Bonus award 15/18/25/30 Free Spins</t>
  </si>
  <si>
    <t xml:space="preserve">PS-FUN-054, PS-MTH-042, PS-MTH-043, PS-MTH-044, PS-MTH-045, PS-FEA-013, PS-FEA-014, PS-FEA-015, PS-FEA-016, PS-FEA-017, PS-FEA-042, PS-FEA-045</t>
  </si>
  <si>
    <t xml:space="preserve">GR-10</t>
  </si>
  <si>
    <t xml:space="preserve">Up to 6 Wilds of any size in random positions per Free Spin</t>
  </si>
  <si>
    <t xml:space="preserve">PS-MTH-048, PS-MTH-049, PS-FEA-035, PS-FEA-036, PS-FEA-038, PS-FEA-039, PS-FEA-040, PS-UI-025</t>
  </si>
  <si>
    <t xml:space="preserve">OBS-05</t>
  </si>
  <si>
    <t xml:space="preserve">GR-11</t>
  </si>
  <si>
    <t xml:space="preserve">Each Wild carries multiplier x2 or x3</t>
  </si>
  <si>
    <t xml:space="preserve">PS-MTH-033, PS-FEA-037</t>
  </si>
  <si>
    <t xml:space="preserve">OBS-01</t>
  </si>
  <si>
    <t xml:space="preserve">GR-12</t>
  </si>
  <si>
    <t xml:space="preserve">All Free Spins winnings awarded when feature ends</t>
  </si>
  <si>
    <t xml:space="preserve">PS-FEA-003, PS-FEA-008, PS-FEA-009, PS-FEA-015, PS-FEA-020, PS-FEA-021, PS-FEA-059, PS-UI-022, PS-UI-026, PS-STR-005, PS-STR-006</t>
  </si>
  <si>
    <t xml:space="preserve">OBS-08</t>
  </si>
  <si>
    <t xml:space="preserve">GR-13</t>
  </si>
  <si>
    <t xml:space="preserve">Wild formula</t>
  </si>
  <si>
    <t xml:space="preserve">Win = (Bet x Symbol Multiplier / 20) x Product of Wild Multipliers</t>
  </si>
  <si>
    <t xml:space="preserve">PS-FUN-048, PS-MTH-027, PS-MTH-028, PS-MTH-029, PS-MTH-030, PS-MTH-031, PS-MTH-036, PS-MTH-037, PS-MTH-057, PS-FEA-034, PS-EDG-015</t>
  </si>
  <si>
    <t xml:space="preserve">OBS-17</t>
  </si>
  <si>
    <t xml:space="preserve">GR-14</t>
  </si>
  <si>
    <t xml:space="preserve">3+ Bonus anywhere trigger Free Spins</t>
  </si>
  <si>
    <t xml:space="preserve">Free Spins Trigger</t>
  </si>
  <si>
    <t xml:space="preserve">PS-FUN-047, PS-FUN-050, PS-FUN-051, PS-MTH-011, PS-FEA-047, PS-EDG-016, PS-EDG-017, PS-EDG-018</t>
  </si>
  <si>
    <t xml:space="preserve">OBS-16</t>
  </si>
  <si>
    <t xml:space="preserve">GR-15</t>
  </si>
  <si>
    <t xml:space="preserve">Free Spins played at triggering bet</t>
  </si>
  <si>
    <t xml:space="preserve">PS-FUN-019, PS-FUN-056, PS-FEA-007, PS-FEA-019, PS-UI-013, PS-STR-005, PS-STR-011, PS-STR-016</t>
  </si>
  <si>
    <t xml:space="preserve">GR-16</t>
  </si>
  <si>
    <t xml:space="preserve">Player chooses Sticky Wilds or Raining Wilds</t>
  </si>
  <si>
    <t xml:space="preserve">PS-FUN-050, PS-FUN-054, PS-FUN-055, PS-FUN-077, PS-MTH-004, PS-FEA-041, PS-FEA-042, PS-FEA-043, PS-FEA-044, PS-EDG-022, PS-EDG-029, PS-UI-023, PS-CMP-001, PS-CMP-002, PS-CMP-003, PS-CMP-004, PS-CMP-005, PS-CMP-006, PS-CMP-007, PS-CMP-008, PS-CMP-009, PS-CMP-010, PS-CMP-011, PS-CMP-012, PS-CMP-013, PS-STR-010, PS-STR-015</t>
  </si>
  <si>
    <t xml:space="preserve">OBS-14, OBS-24</t>
  </si>
  <si>
    <t xml:space="preserve">GR-17</t>
  </si>
  <si>
    <t xml:space="preserve">FS count depends on Bonus count and type</t>
  </si>
  <si>
    <t xml:space="preserve">PS-FUN-054, PS-MTH-038, PS-MTH-039, PS-MTH-040, PS-MTH-041, PS-MTH-042, PS-MTH-043, PS-MTH-044, PS-MTH-045, PS-FEA-001, PS-FEA-002, PS-FEA-003, PS-FEA-004, PS-FEA-005, PS-FEA-013, PS-FEA-014, PS-FEA-015, PS-FEA-016, PS-FEA-017, PS-FEA-045, PS-EDG-017</t>
  </si>
  <si>
    <t xml:space="preserve">GR-18</t>
  </si>
  <si>
    <t xml:space="preserve">Free Spins cannot be retriggered</t>
  </si>
  <si>
    <t xml:space="preserve">PS-MTH-062, PS-FEA-006, PS-FEA-018</t>
  </si>
  <si>
    <t xml:space="preserve">GR-19</t>
  </si>
  <si>
    <t xml:space="preserve">Play</t>
  </si>
  <si>
    <t xml:space="preserve">Bets placed in selected currency</t>
  </si>
  <si>
    <t xml:space="preserve">Currency / Balance</t>
  </si>
  <si>
    <t xml:space="preserve">PS-FUN-001, PS-FUN-003, PS-FUN-004, PS-FUN-022, PS-EDG-037, PS-EDG-038, PS-UI-017, PS-UI-037</t>
  </si>
  <si>
    <t xml:space="preserve">GR-20</t>
  </si>
  <si>
    <t xml:space="preserve">Bet adjustable within min/max via bet button or menu</t>
  </si>
  <si>
    <t xml:space="preserve">PS-FUN-014, PS-FUN-015, PS-FUN-016, PS-FUN-017, PS-FUN-018, PS-FUN-079, PS-EDG-005, PS-EDG-041, PS-STR-012</t>
  </si>
  <si>
    <t xml:space="preserve">GR-21</t>
  </si>
  <si>
    <t xml:space="preserve">Total bet displayed in bet field</t>
  </si>
  <si>
    <t xml:space="preserve">PS-FUN-001, PS-FUN-017</t>
  </si>
  <si>
    <t xml:space="preserve">GR-22</t>
  </si>
  <si>
    <t xml:space="preserve">Play button starts a round at current bet</t>
  </si>
  <si>
    <t xml:space="preserve">PS-FUN-009, PS-FUN-018, PS-FUN-020, PS-EDG-001, PS-EDG-003, PS-EDG-019, PS-EDG-021, PS-EDG-032, PS-UI-038, PS-CMP-001, PS-CMP-002, PS-CMP-003, PS-CMP-004, PS-CMP-005, PS-CMP-006, PS-CMP-007, PS-CMP-008, PS-CMP-009, PS-CMP-010, PS-CMP-011, PS-CMP-012, PS-CMP-013, PS-STR-001, PS-STR-003, PS-STR-007, PS-STR-008, PS-STR-009, PS-STR-017, PS-STR-018, PS-STR-019, PS-STR-021, PS-STR-022, PS-STR-024, PS-STR-025, PS-STR-027, PS-ERR-001</t>
  </si>
  <si>
    <t xml:space="preserve">GR-23</t>
  </si>
  <si>
    <t xml:space="preserve">2+ high-value or 3+ low-value matching symbols pay</t>
  </si>
  <si>
    <t xml:space="preserve">OBS-03</t>
  </si>
  <si>
    <t xml:space="preserve">GR-24</t>
  </si>
  <si>
    <t xml:space="preserve">Regular symbol wins pay left to right only</t>
  </si>
  <si>
    <t xml:space="preserve">GR-25</t>
  </si>
  <si>
    <t xml:space="preserve">Wins paid per paytable, displayed in win field</t>
  </si>
  <si>
    <t xml:space="preserve">Win Display</t>
  </si>
  <si>
    <t xml:space="preserve">PS-FUN-021, PS-FUN-042, PS-EDG-009, PS-EDG-013, PS-UI-018, PS-UI-019, PS-UI-020, PS-UI-021, PS-UI-039, PS-STR-002</t>
  </si>
  <si>
    <t xml:space="preserve">OBS-22</t>
  </si>
  <si>
    <t xml:space="preserve">GR-26</t>
  </si>
  <si>
    <t xml:space="preserve">Only highest win on each active payline paid</t>
  </si>
  <si>
    <t xml:space="preserve">GR-27</t>
  </si>
  <si>
    <t xml:space="preserve">More matching symbols award higher payout</t>
  </si>
  <si>
    <t xml:space="preserve">PS-FUN-043, PS-FUN-044</t>
  </si>
  <si>
    <t xml:space="preserve">GR-28</t>
  </si>
  <si>
    <t xml:space="preserve">Bet and Max Win</t>
  </si>
  <si>
    <t xml:space="preserve">Min Bet / Max Bet values</t>
  </si>
  <si>
    <t xml:space="preserve">PS-FUN-015, PS-FUN-016, PS-MTH-058, PS-EDG-001, PS-EDG-002, PS-EDG-007, PS-EDG-008, PS-UI-036, PS-STR-012, PS-STR-013</t>
  </si>
  <si>
    <t xml:space="preserve">OBS-09</t>
  </si>
  <si>
    <t xml:space="preserve">GR-29</t>
  </si>
  <si>
    <t xml:space="preserve">Winnings capped in base and FS; cap credited</t>
  </si>
  <si>
    <t xml:space="preserve">PS-FUN-086, PS-MTH-053, PS-MTH-054, PS-MTH-055, PS-MTH-056, PS-FEA-012, PS-FEA-024, PS-EDG-010, PS-EDG-011, PS-EDG-012, PS-EDG-014, PS-EDG-015, PS-UI-028, PS-INT-026, PS-STR-023, PS-ERR-019</t>
  </si>
  <si>
    <t xml:space="preserve">OBS-09, OBS-12</t>
  </si>
  <si>
    <t xml:space="preserve">GR-30</t>
  </si>
  <si>
    <t xml:space="preserve">Quick Spin speeds up play; jurisdiction dependent</t>
  </si>
  <si>
    <t xml:space="preserve">PS-FUN-067, PS-FUN-068</t>
  </si>
  <si>
    <t xml:space="preserve">OBS-18</t>
  </si>
  <si>
    <t xml:space="preserve">GR-31</t>
  </si>
  <si>
    <t xml:space="preserve">Press spin again to stop reels early; jurisdiction dependent</t>
  </si>
  <si>
    <t xml:space="preserve">PS-FUN-012, PS-FUN-013, PS-UI-012, PS-UI-046</t>
  </si>
  <si>
    <t xml:space="preserve">OBS-19</t>
  </si>
  <si>
    <t xml:space="preserve">GR-32</t>
  </si>
  <si>
    <t xml:space="preserve">Buy Feature opens interface with feature settings</t>
  </si>
  <si>
    <t xml:space="preserve">Buy Feature</t>
  </si>
  <si>
    <t xml:space="preserve">PS-FUN-057, PS-FUN-060, PS-FUN-064, PS-FEA-048, PS-FEA-052, PS-FEA-053, PS-EDG-023, PS-UI-030, PS-CMP-001, PS-CMP-002, PS-CMP-003, PS-CMP-004, PS-CMP-005, PS-CMP-006, PS-CMP-007, PS-CMP-008, PS-CMP-009, PS-CMP-010, PS-CMP-011, PS-CMP-012, PS-CMP-013</t>
  </si>
  <si>
    <t xml:space="preserve">OBS-10</t>
  </si>
  <si>
    <t xml:space="preserve">GR-33</t>
  </si>
  <si>
    <t xml:space="preserve">Confirm starts feature-triggering spin at selected bet</t>
  </si>
  <si>
    <t xml:space="preserve">PS-FUN-059, PS-FEA-049, PS-FEA-050, PS-FEA-051</t>
  </si>
  <si>
    <t xml:space="preserve">GR-34</t>
  </si>
  <si>
    <t xml:space="preserve">Triggering spin awards applicable wins</t>
  </si>
  <si>
    <t xml:space="preserve">PS-FUN-061, PS-FEA-047</t>
  </si>
  <si>
    <t xml:space="preserve">GR-35</t>
  </si>
  <si>
    <t xml:space="preserve">Bet reverts to pre-purchase value after feature</t>
  </si>
  <si>
    <t xml:space="preserve">GR-36</t>
  </si>
  <si>
    <t xml:space="preserve">Buy cost 100x total bet</t>
  </si>
  <si>
    <t xml:space="preserve">PS-FUN-057, PS-FUN-058, PS-FUN-059, PS-FUN-063, PS-FUN-083, PS-FEA-053, PS-EDG-006, PS-EDG-007, PS-EDG-008, PS-STR-004, PS-STR-014, PS-ERR-002</t>
  </si>
  <si>
    <t xml:space="preserve">GR-37</t>
  </si>
  <si>
    <t xml:space="preserve">Turbo toggle reduces spin and win animation duration</t>
  </si>
  <si>
    <t xml:space="preserve">PS-FUN-065, PS-FUN-066, PS-FEA-046, PS-UI-016, PS-UI-040</t>
  </si>
  <si>
    <t xml:space="preserve">GR-38</t>
  </si>
  <si>
    <t xml:space="preserve">Desktop: hold Play 2s opens Auto Spin menu</t>
  </si>
  <si>
    <t xml:space="preserve">PS-FUN-069, PS-FUN-070, PS-EDG-025</t>
  </si>
  <si>
    <t xml:space="preserve">GR-39</t>
  </si>
  <si>
    <t xml:space="preserve">Mobile: hold Play 2s, select, tap Start</t>
  </si>
  <si>
    <t xml:space="preserve">GR-40</t>
  </si>
  <si>
    <t xml:space="preserve">Stop condition based on spend limit</t>
  </si>
  <si>
    <t xml:space="preserve">PS-FUN-076, PS-EDG-024</t>
  </si>
  <si>
    <t xml:space="preserve">OBS-21</t>
  </si>
  <si>
    <t xml:space="preserve">GR-41</t>
  </si>
  <si>
    <t xml:space="preserve">Panel shows total, remaining and total win</t>
  </si>
  <si>
    <t xml:space="preserve">PS-FUN-073, PS-UI-031</t>
  </si>
  <si>
    <t xml:space="preserve">GR-42</t>
  </si>
  <si>
    <t xml:space="preserve">Start and Cancel buttons</t>
  </si>
  <si>
    <t xml:space="preserve">GR-43</t>
  </si>
  <si>
    <t xml:space="preserve">Ends after selected count; Stop anytime</t>
  </si>
  <si>
    <t xml:space="preserve">PS-FUN-072, PS-FUN-074, PS-FUN-077, PS-FUN-078, PS-EDG-026, PS-EDG-027, PS-INT-027</t>
  </si>
  <si>
    <t xml:space="preserve">OBS-24</t>
  </si>
  <si>
    <t xml:space="preserve">GR-44</t>
  </si>
  <si>
    <t xml:space="preserve">How to Play</t>
  </si>
  <si>
    <t xml:space="preserve">Spin via button or space bar</t>
  </si>
  <si>
    <t xml:space="preserve">PS-FUN-010, PS-FUN-011, PS-EDG-020</t>
  </si>
  <si>
    <t xml:space="preserve">GR-45</t>
  </si>
  <si>
    <t xml:space="preserve">Bet panel controls</t>
  </si>
  <si>
    <t xml:space="preserve">GR-46</t>
  </si>
  <si>
    <t xml:space="preserve">Menu options (Lobby, History, Sound, Rules, Splash, Deposit, Promotions)</t>
  </si>
  <si>
    <t xml:space="preserve">PS-FUN-002, PS-FUN-080, PS-FUN-081, PS-EDG-004, PS-UI-027, PS-STR-026</t>
  </si>
  <si>
    <t xml:space="preserve">GR-47</t>
  </si>
  <si>
    <t xml:space="preserve">History shows result, bet, win, date/time, features</t>
  </si>
  <si>
    <t xml:space="preserve">PS-FUN-082, PS-FUN-083, PS-EDG-039, PS-STR-020</t>
  </si>
  <si>
    <t xml:space="preserve">GR-48</t>
  </si>
  <si>
    <t xml:space="preserve">Info button opens rules and paytable</t>
  </si>
  <si>
    <t xml:space="preserve">PS-FUN-037, PS-FUN-084, PS-UI-032, PS-UI-033, PS-UI-035</t>
  </si>
  <si>
    <t xml:space="preserve">GR-49</t>
  </si>
  <si>
    <t xml:space="preserve">Sound toggles incl. ambient and effects</t>
  </si>
  <si>
    <t xml:space="preserve">PS-FUN-087, PS-FUN-088, PS-FEA-046, PS-UI-041, PS-UI-042, PS-UI-043, PS-UI-044, PS-UI-045, PS-UI-046, PS-UI-047</t>
  </si>
  <si>
    <t xml:space="preserve">GR-50</t>
  </si>
  <si>
    <t xml:space="preserve">Paytable values based on current bet</t>
  </si>
  <si>
    <t xml:space="preserve">PS-FUN-023, PS-FUN-024, PS-FUN-025, PS-FUN-026, PS-FUN-027, PS-FUN-028, PS-FUN-029, PS-FUN-030, PS-FUN-031, PS-FUN-032, PS-FUN-033, PS-FUN-034, PS-UI-032</t>
  </si>
  <si>
    <t xml:space="preserve">OBS-15</t>
  </si>
  <si>
    <t xml:space="preserve">GR-51</t>
  </si>
  <si>
    <t xml:space="preserve">Select symbol on reels to view its paytable</t>
  </si>
  <si>
    <t xml:space="preserve">PS-FUN-035, PS-FUN-036</t>
  </si>
  <si>
    <t xml:space="preserve">GR-52</t>
  </si>
  <si>
    <t xml:space="preserve">Game Controls</t>
  </si>
  <si>
    <t xml:space="preserve">Buttons: Play, Stop, Bet, Turbo, Menu, Info, Sound, Close</t>
  </si>
  <si>
    <t xml:space="preserve">UI Controls</t>
  </si>
  <si>
    <t xml:space="preserve">PS-FUN-014, PS-FUN-060, PS-FUN-065, PS-FUN-069, PS-FUN-074, PS-FUN-080, PS-FUN-084, PS-FUN-087, PS-UI-002, PS-UI-003, PS-UI-004, PS-UI-005, PS-UI-006, PS-UI-007, PS-UI-008, PS-UI-011, PS-UI-012, PS-UI-014, PS-UI-015, PS-UI-016, PS-UI-029, PS-CMP-014, PS-CMP-015, PS-CMP-016, PS-CMP-017, PS-CMP-018, PS-CMP-019, PS-CMP-020, PS-CMP-021</t>
  </si>
  <si>
    <t xml:space="preserve">GR-53</t>
  </si>
  <si>
    <t xml:space="preserve">Additional Info</t>
  </si>
  <si>
    <t xml:space="preserve">Malfunction voids all pays and plays</t>
  </si>
  <si>
    <t xml:space="preserve">PS-FUN-089, PS-ERR-020</t>
  </si>
  <si>
    <t xml:space="preserve">GR-54</t>
  </si>
  <si>
    <t xml:space="preserve">Theoretical RTP disclosure</t>
  </si>
  <si>
    <t xml:space="preserve">PS-FUN-085, PS-MTH-001, PS-UI-036</t>
  </si>
  <si>
    <t xml:space="preserve">GR-55</t>
  </si>
  <si>
    <t xml:space="preserve">Buy Bonus RTP disclosure</t>
  </si>
  <si>
    <t xml:space="preserve">PS-FUN-085, PS-MTH-005, PS-MTH-006</t>
  </si>
  <si>
    <t xml:space="preserve">OBS-09, OBS-10</t>
  </si>
  <si>
    <t xml:space="preserve">GR-56</t>
  </si>
  <si>
    <t xml:space="preserve">Interrupted game resumes from last recorded action</t>
  </si>
  <si>
    <t xml:space="preserve">PS-FUN-081, PS-FEA-010, PS-FEA-011, PS-FEA-022, PS-FEA-023, PS-FEA-044, PS-FEA-051, PS-FEA-054, PS-FEA-055, PS-FEA-058, PS-FEA-059, PS-EDG-028, PS-EDG-029, PS-EDG-030, PS-EDG-031, PS-EDG-033, PS-EDG-034, PS-EDG-035, PS-EDG-036, PS-INT-001, PS-INT-002, PS-INT-003, PS-INT-004, PS-INT-005, PS-INT-006, PS-INT-007, PS-INT-008, PS-INT-009, PS-INT-010, PS-INT-011, PS-INT-012, PS-INT-013, PS-INT-014, PS-INT-015, PS-INT-016, PS-INT-017, PS-INT-018, PS-INT-019, PS-INT-020, PS-INT-021, PS-INT-022, PS-INT-023, PS-INT-024, PS-INT-025, PS-INT-026, PS-INT-027, PS-INT-028, PS-INT-029, PS-INT-030, PS-ERR-003, PS-ERR-004, PS-ERR-005, PS-ERR-006, PS-ERR-007, PS-ERR-008, PS-ERR-009, PS-ERR-010, PS-ERR-011, PS-ERR-012, PS-ERR-013, PS-ERR-014, PS-ERR-015, PS-ERR-016, PS-ERR-017, PS-ERR-018</t>
  </si>
  <si>
    <t xml:space="preserve">GR-57</t>
  </si>
  <si>
    <t xml:space="preserve">Persistent data retained up to 90 days</t>
  </si>
  <si>
    <t xml:space="preserve">GR-58</t>
  </si>
  <si>
    <t xml:space="preserve">7-day inactivity may reset game and forfeit unfinished features</t>
  </si>
  <si>
    <t xml:space="preserve">PS-FEA-056, PS-FEA-057, PS-INT-022</t>
  </si>
  <si>
    <t xml:space="preserve">OBS-23</t>
  </si>
  <si>
    <t xml:space="preserve">GR-59</t>
  </si>
  <si>
    <t xml:space="preserve">Pay table ID: Pig Style</t>
  </si>
  <si>
    <t xml:space="preserve">PS-FUN-037, PS-FUN-090</t>
  </si>
  <si>
    <t xml:space="preserve">OBS-13</t>
  </si>
  <si>
    <t xml:space="preserve">M-01</t>
  </si>
  <si>
    <t xml:space="preserve">Summary C4:C6, K6</t>
  </si>
  <si>
    <t xml:space="preserve">RTP: base 68.924%, FS 28.065%, total 96.989%</t>
  </si>
  <si>
    <t xml:space="preserve">PS-FUN-085, PS-MTH-001, PS-MTH-002, PS-MTH-003, PS-MTH-004, PS-MTH-007</t>
  </si>
  <si>
    <t xml:space="preserve">OBS-14</t>
  </si>
  <si>
    <t xml:space="preserve">M-02</t>
  </si>
  <si>
    <t xml:space="preserve">Summary C9</t>
  </si>
  <si>
    <t xml:space="preserve">Hit frequency 31.6018%</t>
  </si>
  <si>
    <t xml:space="preserve">M-03</t>
  </si>
  <si>
    <t xml:space="preserve">Summary C12, K55:K57</t>
  </si>
  <si>
    <t xml:space="preserve">SD 16.80; VI 90/95/99% = 27.64/32.93/43.28</t>
  </si>
  <si>
    <t xml:space="preserve">PS-MTH-001, PS-MTH-010</t>
  </si>
  <si>
    <t xml:space="preserve">M-04</t>
  </si>
  <si>
    <t xml:space="preserve">Summary C10:G11</t>
  </si>
  <si>
    <t xml:space="preserve">Max exposure 1,009,091 cr at bet 20 (50,454.55x), 1 in 1e9</t>
  </si>
  <si>
    <t xml:space="preserve">PS-FUN-086, PS-MTH-053</t>
  </si>
  <si>
    <t xml:space="preserve">OBS-12</t>
  </si>
  <si>
    <t xml:space="preserve">M-05</t>
  </si>
  <si>
    <t xml:space="preserve">BG Calc R3:V14</t>
  </si>
  <si>
    <t xml:space="preserve">Paytable (credits at bet 20) for AA..LL, 3-6 OAK</t>
  </si>
  <si>
    <t xml:space="preserve">PS-FUN-021, PS-FUN-023, PS-FUN-024, PS-FUN-025, PS-FUN-026, PS-FUN-027, PS-FUN-028, PS-FUN-029, PS-FUN-030, PS-FUN-031, PS-FUN-032, PS-FUN-033, PS-FUN-040, PS-FUN-041, PS-FUN-042, PS-FUN-043, PS-FUN-044, PS-MTH-017, PS-MTH-018, PS-MTH-019, PS-MTH-020, PS-MTH-021, PS-MTH-022, PS-MTH-023, PS-MTH-024, PS-MTH-025, PS-EDG-014</t>
  </si>
  <si>
    <t xml:space="preserve">OBS-03, OBS-15</t>
  </si>
  <si>
    <t xml:space="preserve">M-06</t>
  </si>
  <si>
    <t xml:space="preserve">BG Calc AJ19:AL25</t>
  </si>
  <si>
    <t xml:space="preserve">Reel height 2..7 weights Opt0/Opt1 and pattern table</t>
  </si>
  <si>
    <t xml:space="preserve">PS-FUN-005, PS-FUN-006, PS-FUN-007, PS-FUN-008, PS-MTH-014, PS-MTH-015, PS-MTH-016</t>
  </si>
  <si>
    <t xml:space="preserve">M-07</t>
  </si>
  <si>
    <t xml:space="preserve">BG Calc C3:H3, Z3:AA5</t>
  </si>
  <si>
    <t xml:space="preserve">Base Wild on reels 2-5; multiplier x1/x2/x3 weights 10/5/2</t>
  </si>
  <si>
    <t xml:space="preserve">PS-FUN-045, PS-FUN-046, PS-FUN-048, PS-FUN-049, PS-MTH-027, PS-MTH-028, PS-MTH-029, PS-MTH-030, PS-MTH-031, PS-MTH-032</t>
  </si>
  <si>
    <t xml:space="preserve">OBS-02</t>
  </si>
  <si>
    <t xml:space="preserve">M-08</t>
  </si>
  <si>
    <t xml:space="preserve">BG Calc row 15; FG Calc row 15</t>
  </si>
  <si>
    <t xml:space="preserve">Bonus on reels 1-6 in base; absent in FS strips; pays 0</t>
  </si>
  <si>
    <t xml:space="preserve">PS-FUN-047, PS-FUN-052, PS-FUN-053, PS-MTH-047, PS-MTH-062, PS-FEA-006, PS-FEA-018</t>
  </si>
  <si>
    <t xml:space="preserve">M-09</t>
  </si>
  <si>
    <t xml:space="preserve">BG Calc AE3:AF11</t>
  </si>
  <si>
    <t xml:space="preserve">Base reel sets BG1..BG9 weights 23/50/60/2000/475/33/50/50/1000</t>
  </si>
  <si>
    <t xml:space="preserve">PS-MTH-012, PS-MTH-013, PS-MTH-014</t>
  </si>
  <si>
    <t xml:space="preserve">M-10</t>
  </si>
  <si>
    <t xml:space="preserve">Summary K42:K51</t>
  </si>
  <si>
    <t xml:space="preserve">FS trigger 1 in 268.89 (BG1 57.10, BG6 2.44)</t>
  </si>
  <si>
    <t xml:space="preserve">PS-MTH-011, PS-MTH-012</t>
  </si>
  <si>
    <t xml:space="preserve">M-11</t>
  </si>
  <si>
    <t xml:space="preserve">FG1 Calc</t>
  </si>
  <si>
    <t xml:space="preserve">FG1 (Raining): FS 15/18/25/30; wild count 0..6; mult x1/x2/x3 1000/500/189; reels 2-5</t>
  </si>
  <si>
    <t xml:space="preserve">PS-MTH-033, PS-MTH-036, PS-MTH-042, PS-MTH-043, PS-MTH-044, PS-MTH-045, PS-MTH-048, PS-MTH-049, PS-MTH-063, PS-FEA-013, PS-FEA-014, PS-FEA-035, PS-FEA-037, PS-FEA-039</t>
  </si>
  <si>
    <t xml:space="preserve">OBS-01, OBS-05</t>
  </si>
  <si>
    <t xml:space="preserve">M-12</t>
  </si>
  <si>
    <t xml:space="preserve">FG2 Calc</t>
  </si>
  <si>
    <t xml:space="preserve">FG2 (Sticky): FS 7/12/15/20; new wilds 0..3; mult 8/2/1; size tables; reels 2-5</t>
  </si>
  <si>
    <t xml:space="preserve">PS-MTH-034, PS-MTH-036, PS-MTH-038, PS-MTH-039, PS-MTH-040, PS-MTH-041, PS-MTH-050, PS-MTH-051, PS-MTH-052, PS-MTH-063, PS-FEA-001, PS-FEA-002, PS-FEA-025, PS-FEA-027, PS-FEA-028, PS-FEA-031, PS-FEA-032</t>
  </si>
  <si>
    <t xml:space="preserve">OBS-01, OBS-06</t>
  </si>
  <si>
    <t xml:space="preserve">M-13</t>
  </si>
  <si>
    <t xml:space="preserve">StickyWildMovement</t>
  </si>
  <si>
    <t xml:space="preserve">Sticky Wild position/row transition table</t>
  </si>
  <si>
    <t xml:space="preserve">PS-MTH-051, PS-FEA-025, PS-FEA-029, PS-FEA-030, PS-FEA-033</t>
  </si>
  <si>
    <t xml:space="preserve">M-14</t>
  </si>
  <si>
    <t xml:space="preserve">Summary C16:D16</t>
  </si>
  <si>
    <t xml:space="preserve">Buy cost 100x total bet for FG1 and FG2</t>
  </si>
  <si>
    <t xml:space="preserve">PS-FUN-057, PS-FUN-058</t>
  </si>
  <si>
    <t xml:space="preserve">M-15</t>
  </si>
  <si>
    <t xml:space="preserve">Summary C17:C21, N6:N40</t>
  </si>
  <si>
    <t xml:space="preserve">Buy FG1 RTP 97.084%, HF 99.997%, SD 1.618, max 487,402 cr</t>
  </si>
  <si>
    <t xml:space="preserve">PS-FUN-085, PS-MTH-005, PS-MTH-007, PS-MTH-009, PS-MTH-054, PS-MTH-059, PS-MTH-060, PS-FEA-048, PS-FEA-049</t>
  </si>
  <si>
    <t xml:space="preserve">M-16</t>
  </si>
  <si>
    <t xml:space="preserve">Summary D17:D21, Q6:Q40</t>
  </si>
  <si>
    <t xml:space="preserve">Buy FG2 RTP 97.110%, HF 97.420%, SD 3.711, max 1,674,912 cr</t>
  </si>
  <si>
    <t xml:space="preserve">PS-FUN-085, PS-MTH-006, PS-MTH-007, PS-MTH-009, PS-MTH-054, PS-MTH-059, PS-MTH-060, PS-FEA-048, PS-FEA-049</t>
  </si>
  <si>
    <t xml:space="preserve">OBS-10, OBS-12</t>
  </si>
  <si>
    <t xml:space="preserve">M-17</t>
  </si>
  <si>
    <t xml:space="preserve">Buy FG1/FG2 Calc</t>
  </si>
  <si>
    <t xml:space="preserve">Buy mode weights differ from natural FS (wild count, multipliers)</t>
  </si>
  <si>
    <t xml:space="preserve">PS-MTH-035, PS-MTH-048, PS-MTH-050</t>
  </si>
  <si>
    <t xml:space="preserve">OBS-11</t>
  </si>
  <si>
    <t xml:space="preserve">M-18</t>
  </si>
  <si>
    <t xml:space="preserve">Summary K52:Q53</t>
  </si>
  <si>
    <t xml:space="preserve">Average FS: 12.372 / 16.158 / 8.590; avg stickies at end</t>
  </si>
  <si>
    <t xml:space="preserve">PS-MTH-003, PS-MTH-046</t>
  </si>
  <si>
    <t xml:space="preserve">M-19</t>
  </si>
  <si>
    <t xml:space="preserve">Summary K4:K5, BG Calc K19</t>
  </si>
  <si>
    <t xml:space="preserve">Bet = 20 credits (Lines Played 20); pay denominator 20</t>
  </si>
  <si>
    <t xml:space="preserve">PS-FUN-021, PS-FUN-023, PS-FUN-024, PS-FUN-025, PS-FUN-026, PS-FUN-027, PS-FUN-028, PS-FUN-029, PS-FUN-030, PS-FUN-031, PS-FUN-032, PS-FUN-033, PS-FUN-034, PS-MTH-017, PS-MTH-018, PS-MTH-019, PS-MTH-020, PS-MTH-021, PS-MTH-022, PS-MTH-023, PS-MTH-024, PS-MTH-025, PS-MTH-026, PS-MTH-057</t>
  </si>
  <si>
    <t xml:space="preserve">M-20</t>
  </si>
  <si>
    <t xml:space="preserve">Summary K2, B5</t>
  </si>
  <si>
    <t xml:space="preserve">Metadata: Game Name 'DogHouseMegaways9700', 'Wheel Bonus' label</t>
  </si>
  <si>
    <t xml:space="preserve">PS-FUN-090, PS-MTH-061</t>
  </si>
  <si>
    <t xml:space="preserve">Gap Analysis</t>
  </si>
  <si>
    <t xml:space="preserve">Requirements without coverage</t>
  </si>
  <si>
    <t xml:space="preserve">Filter column H = NOT COVERED</t>
  </si>
  <si>
    <t xml:space="preserve">Requirements with single test case</t>
  </si>
  <si>
    <t xml:space="preserve">Review for additional negative/boundary cases</t>
  </si>
  <si>
    <t xml:space="preserve">Math rules without validation</t>
  </si>
  <si>
    <t xml:space="preserve">Math rows M-xx with no linked case</t>
  </si>
  <si>
    <t xml:space="preserve">Game Rules vs Math conflicts</t>
  </si>
  <si>
    <t xml:space="preserve">See Defect-Observation Log (Type = Spec Conflict)</t>
  </si>
  <si>
    <t xml:space="preserve">Missing / ambiguous specification</t>
  </si>
  <si>
    <t xml:space="preserve">See Defect-Observation Log</t>
  </si>
  <si>
    <t xml:space="preserve">Test cases depending on spec confirmation</t>
  </si>
  <si>
    <t xml:space="preserve">Expected Result starts with 'Requires Specification/Confirmation'</t>
  </si>
  <si>
    <t xml:space="preserve">Test cases without a direct Game Rules / Math requirement (industry or platform practice: browser/device, performance, RG/operator, security)</t>
  </si>
  <si>
    <t xml:space="preserve">None: every test case carries at least one Ref</t>
  </si>
  <si>
    <t xml:space="preserve">ID</t>
  </si>
  <si>
    <t xml:space="preserve">Type</t>
  </si>
  <si>
    <t xml:space="preserve">Area</t>
  </si>
  <si>
    <t xml:space="preserve">Description</t>
  </si>
  <si>
    <t xml:space="preserve">Game Rules Reference</t>
  </si>
  <si>
    <t xml:space="preserve">Math File Reference</t>
  </si>
  <si>
    <t xml:space="preserve">Impact</t>
  </si>
  <si>
    <t xml:space="preserve">Linked Requirements</t>
  </si>
  <si>
    <t xml:space="preserve">Linked Test Cases</t>
  </si>
  <si>
    <t xml:space="preserve">Recommendation</t>
  </si>
  <si>
    <t xml:space="preserve">Owner</t>
  </si>
  <si>
    <t xml:space="preserve">Date Raised</t>
  </si>
  <si>
    <t xml:space="preserve">Resolution / Comments</t>
  </si>
  <si>
    <t xml:space="preserve">Spec Conflict</t>
  </si>
  <si>
    <t xml:space="preserve">Rules state Sticky and Raining Wilds carry x2 or x3 only. Math FG1 weights x1:1000/x2:500/x3:189 and FG2 x1:8/x2:2/x3:1 (Buy FG2 875/200/100) include x1, which is the most likely value.</t>
  </si>
  <si>
    <t xml:space="preserve">Sticky/Raining sections: 'random multiplier of x2 or x3'</t>
  </si>
  <si>
    <t xml:space="preserve">FG1 Calc Z3:AA5; FG2 Calc Z3:AA5; Buy FG2 Calc Z3:AA5</t>
  </si>
  <si>
    <t xml:space="preserve">Misleading player information; certification failure; RTP described incorrectly</t>
  </si>
  <si>
    <t xml:space="preserve">GR-07, GR-11, M-11, M-12</t>
  </si>
  <si>
    <t xml:space="preserve">PS-MTH-031, PS-MTH-033, PS-MTH-034, PS-MTH-035, PS-FEA-027, PS-FEA-037</t>
  </si>
  <si>
    <t xml:space="preserve">Update rules to 'x1, x2 or x3' (or remove x1 from math and re-certify).</t>
  </si>
  <si>
    <t xml:space="preserve">Open</t>
  </si>
  <si>
    <t xml:space="preserve">Game Design / Math Provider</t>
  </si>
  <si>
    <t xml:space="preserve">Missing Spec</t>
  </si>
  <si>
    <t xml:space="preserve">Wild (Base Game)</t>
  </si>
  <si>
    <t xml:space="preserve">Math defines Wild (WC) in base game on reels 2-5 with x1/x2/x3 multiplier (weights 10/5/2). Rules do not describe the Wild symbol, what it substitutes for (incl. Bonus), its reels or base game multipliers.</t>
  </si>
  <si>
    <t xml:space="preserve">No Wild section in rules</t>
  </si>
  <si>
    <t xml:space="preserve">Undocumented feature; wins not explainable to player</t>
  </si>
  <si>
    <t xml:space="preserve">PS-FUN-045, PS-FUN-046, PS-FUN-047, PS-FUN-048, PS-FUN-049, PS-MTH-027, PS-MTH-028, PS-MTH-029, PS-MTH-030, PS-MTH-031, PS-MTH-032</t>
  </si>
  <si>
    <t xml:space="preserve">Add Wild section: substitutes for all paying symbols except Bonus, reels 2-5, carries x1/x2/x3 in base game.</t>
  </si>
  <si>
    <t xml:space="preserve">Rules: '2 or more high-value or 3 or more low-value matching symbols'. Math paytable starts at 3 OAK for all symbols (no 2 OAK pays). High/low value classes not defined.</t>
  </si>
  <si>
    <t xml:space="preserve">WIN section bullet 1</t>
  </si>
  <si>
    <t xml:space="preserve">BG Calc R3:V14 (cols 6,5,4,3 only)</t>
  </si>
  <si>
    <t xml:space="preserve">Player expects wins that never pay</t>
  </si>
  <si>
    <t xml:space="preserve">GR-23, M-05</t>
  </si>
  <si>
    <t xml:space="preserve">PS-FUN-023, PS-FUN-024, PS-FUN-025, PS-FUN-026, PS-FUN-027, PS-FUN-028, PS-FUN-029, PS-FUN-030, PS-FUN-031, PS-FUN-032, PS-FUN-033, PS-FUN-041</t>
  </si>
  <si>
    <t xml:space="preserve">Change to '3 or more matching symbols'.</t>
  </si>
  <si>
    <t xml:space="preserve">Rules use payline terminology ('active payline', 'Only the highest win on each active payline is paid') for a Megaways ways game. Rules do not explain that wins are multiplied by the number of ways (product of symbol counts per reel).</t>
  </si>
  <si>
    <t xml:space="preserve">WIN section</t>
  </si>
  <si>
    <t xml:space="preserve">BG Calc hits = product of per-reel counts</t>
  </si>
  <si>
    <t xml:space="preserve">Ambiguous win evaluation; cert query</t>
  </si>
  <si>
    <t xml:space="preserve">GR-26, GR-01</t>
  </si>
  <si>
    <t xml:space="preserve">PS-FUN-037, PS-FUN-040, PS-MTH-037</t>
  </si>
  <si>
    <t xml:space="preserve">Replace payline wording with ways wording; add ways calculation and 'highest win per symbol per way'.</t>
  </si>
  <si>
    <t xml:space="preserve">Rules: 'up to 6 Wild symbols of any size in random positions on the reels'. Math: Raining Wilds placed only on reels 2-5; FG1 math contains no wild size definition.</t>
  </si>
  <si>
    <t xml:space="preserve">Raining Wilds bullet 2</t>
  </si>
  <si>
    <t xml:space="preserve">FG1 Calc AL3:AM8 'Only Reel 2,3,4,5'</t>
  </si>
  <si>
    <t xml:space="preserve">Misleading description</t>
  </si>
  <si>
    <t xml:space="preserve">GR-10, M-11</t>
  </si>
  <si>
    <t xml:space="preserve">PS-MTH-049, PS-FEA-038, PS-FEA-039</t>
  </si>
  <si>
    <t xml:space="preserve">State reels 2-5; clarify or remove 'any size'.</t>
  </si>
  <si>
    <t xml:space="preserve">Ambiguity</t>
  </si>
  <si>
    <t xml:space="preserve">Rules: 'up to 7 Sticky Wild symbols can land on each reel'. Math: 0..3 new wilds per spin (weights 500/126/50/10), reels 2-5 only; per-reel accumulation tables up to 6 stickies.</t>
  </si>
  <si>
    <t xml:space="preserve">Sticky bullet 1</t>
  </si>
  <si>
    <t xml:space="preserve">FG2 Calc AI3:AJ6, Z18:AM25</t>
  </si>
  <si>
    <t xml:space="preserve">Player may expect more wilds per spin</t>
  </si>
  <si>
    <t xml:space="preserve">GR-06, M-12</t>
  </si>
  <si>
    <t xml:space="preserve">PS-MTH-050, PS-FEA-028, PS-FEA-032</t>
  </si>
  <si>
    <t xml:space="preserve">Reword: up to 3 Sticky Wilds per spin on reels 2-5; accumulate up to reel height.</t>
  </si>
  <si>
    <t xml:space="preserve">Rules: stickies 'adjust in size as the reels expand'. Math StickyWildMovement includes transitions to fewer rows (e.g. 3 -&gt; 2) with repositioning.</t>
  </si>
  <si>
    <t xml:space="preserve">Sticky bullet 4</t>
  </si>
  <si>
    <t xml:space="preserve">StickyWildMovement A:S</t>
  </si>
  <si>
    <t xml:space="preserve">Undocumented behaviour on reel shrink</t>
  </si>
  <si>
    <t xml:space="preserve">GR-08, M-13</t>
  </si>
  <si>
    <t xml:space="preserve">PS-MTH-051, PS-FEA-030</t>
  </si>
  <si>
    <t xml:space="preserve">Describe behaviour when reel height decreases.</t>
  </si>
  <si>
    <t xml:space="preserve">'All Free Spins winnings are awarded to the player when the feature ends' sits under Raining Wilds only; unclear if it applies to Sticky Wilds.</t>
  </si>
  <si>
    <t xml:space="preserve">Raining Wilds bullet 3</t>
  </si>
  <si>
    <t xml:space="preserve">Wallet integration and player expectation</t>
  </si>
  <si>
    <t xml:space="preserve">PS-FEA-009, PS-FEA-021, PS-STR-005</t>
  </si>
  <si>
    <t xml:space="preserve">Move bullet to general FREE SPINS section.</t>
  </si>
  <si>
    <t xml:space="preserve">Bet / Max Win / RTP</t>
  </si>
  <si>
    <t xml:space="preserve">Placeholders {{text1}} for Min Bet, Max Bet, Max Win cap (x2) , RTP and Buy RTP. Rounding rule for sub-cent wins at low bets also undefined.</t>
  </si>
  <si>
    <t xml:space="preserve">BET AND MAX WIN; ADDITIONAL INFORMATION</t>
  </si>
  <si>
    <t xml:space="preserve">Summary C6, C18:D18, C10</t>
  </si>
  <si>
    <t xml:space="preserve">Blocks certification and many test cases</t>
  </si>
  <si>
    <t xml:space="preserve">GR-28, GR-29, GR-54, GR-55</t>
  </si>
  <si>
    <t xml:space="preserve">PS-FUN-016, PS-FUN-037, PS-FUN-085, PS-FUN-086, PS-MTH-026, PS-MTH-053, PS-MTH-055, PS-MTH-056, PS-MTH-058, PS-FEA-012, PS-FEA-024, PS-EDG-001, PS-EDG-002, PS-EDG-007, PS-EDG-010, PS-EDG-011, PS-EDG-012, PS-UI-028, PS-UI-036, PS-STR-023, PS-ERR-019</t>
  </si>
  <si>
    <t xml:space="preserve">Populate values per jurisdiction config before submission.</t>
  </si>
  <si>
    <t xml:space="preserve">Math has two Buy configurations (Buy FG1 RTP 97.084%, Buy FG2 RTP 97.110%). Rules give one Buy RTP and do not say whether the FS type is chosen in the Buy interface or after the trigger.</t>
  </si>
  <si>
    <t xml:space="preserve">BUY FREE SPINS; ADDITIONAL INFORMATION</t>
  </si>
  <si>
    <t xml:space="preserve">Summary M1:Q21</t>
  </si>
  <si>
    <t xml:space="preserve">Incorrect RTP disclosure</t>
  </si>
  <si>
    <t xml:space="preserve">GR-32, GR-55, M-15, M-16</t>
  </si>
  <si>
    <t xml:space="preserve">PS-FUN-057, PS-FUN-085, PS-FEA-048</t>
  </si>
  <si>
    <t xml:space="preserve">Disclose both RTPs (or range) and describe the selection flow.</t>
  </si>
  <si>
    <t xml:space="preserve">Information</t>
  </si>
  <si>
    <t xml:space="preserve">Bought FS use different weights from natural FS: FG1 0-wild weight 433 vs 838; FG2 multiplier 875/200/100 vs 8/2/1. Some jurisdictions require disclosure that bought features differ.</t>
  </si>
  <si>
    <t xml:space="preserve">Buy FG1 Calc AJ3; Buy FG2 Calc AA3:AA5</t>
  </si>
  <si>
    <t xml:space="preserve">Compliance disclosure risk</t>
  </si>
  <si>
    <t xml:space="preserve">Confirm with compliance; disclose if required.</t>
  </si>
  <si>
    <t xml:space="preserve">Risk</t>
  </si>
  <si>
    <t xml:space="preserve">Buy FG2 max exposure 1,674,912 cr (83,745.6x bet) exceeds whole-game max 1,009,091 cr (50,454.55x). Cap value undefined.</t>
  </si>
  <si>
    <t xml:space="preserve">BET AND MAX WIN</t>
  </si>
  <si>
    <t xml:space="preserve">Summary C10, C21:D21</t>
  </si>
  <si>
    <t xml:space="preserve">Cap must hold in all modes; liability</t>
  </si>
  <si>
    <t xml:space="preserve">GR-29, M-04, M-16</t>
  </si>
  <si>
    <t xml:space="preserve">PS-FUN-086, PS-MTH-053, PS-MTH-054</t>
  </si>
  <si>
    <t xml:space="preserve">Define single cap; verify server enforcement in base, FS and Buy.</t>
  </si>
  <si>
    <t xml:space="preserve">Math summary shows Game Name 'DogHouseMegaways9700', labels FS as 'Wheel Bonus', 'Number of Lines Played: 20'. Rules Pay table ID 'Pig Style'.</t>
  </si>
  <si>
    <t xml:space="preserve">Summary K2, B5, K4</t>
  </si>
  <si>
    <t xml:space="preserve">Wrong math file version risk</t>
  </si>
  <si>
    <t xml:space="preserve">GR-59, M-20</t>
  </si>
  <si>
    <t xml:space="preserve">Provider to confirm R7.1 is the Pig Style certified math and correct labels.</t>
  </si>
  <si>
    <t xml:space="preserve">Whole-game RTP 96.989% depends on the player's FS choice. Natural-trigger RTP for each choice (always Sticky / always Raining) is not documented.</t>
  </si>
  <si>
    <t xml:space="preserve">FREE SPINS; ADDITIONAL INFORMATION</t>
  </si>
  <si>
    <t xml:space="preserve">Summary K17:K18</t>
  </si>
  <si>
    <t xml:space="preserve">RTP may vary with player choice; cert requires min/max</t>
  </si>
  <si>
    <t xml:space="preserve">M-01, GR-16</t>
  </si>
  <si>
    <t xml:space="preserve">PS-MTH-001, PS-MTH-004</t>
  </si>
  <si>
    <t xml:space="preserve">Provide RTP per choice and disclose lowest/range.</t>
  </si>
  <si>
    <t xml:space="preserve">Symbol codes AA..LL not mapped to art; high/low value classes not defined; paytable images not in rules.</t>
  </si>
  <si>
    <t xml:space="preserve">PAYTABLE</t>
  </si>
  <si>
    <t xml:space="preserve">BG Calc B3:B15</t>
  </si>
  <si>
    <t xml:space="preserve">Cannot verify paytable art</t>
  </si>
  <si>
    <t xml:space="preserve">GR-50, M-05</t>
  </si>
  <si>
    <t xml:space="preserve">PS-FUN-023, PS-FUN-024, PS-FUN-025, PS-FUN-026, PS-FUN-027, PS-FUN-028, PS-FUN-029, PS-FUN-030, PS-FUN-031, PS-FUN-032, PS-FUN-033, PS-UI-032</t>
  </si>
  <si>
    <t xml:space="preserve">Supply symbol mapping and paytable screenshot.</t>
  </si>
  <si>
    <t xml:space="preserve">Max Bonus symbols per reel and maximum total (6) not stated; math implies 1 per reel.</t>
  </si>
  <si>
    <t xml:space="preserve">STICKY/RAINING award tables</t>
  </si>
  <si>
    <t xml:space="preserve">BG Calc B88:N132</t>
  </si>
  <si>
    <t xml:space="preserve">Award for 7+ BN undefined</t>
  </si>
  <si>
    <t xml:space="preserve">GR-14, M-08</t>
  </si>
  <si>
    <t xml:space="preserve">PS-MTH-047, PS-FEA-002, PS-FEA-014, PS-EDG-018</t>
  </si>
  <si>
    <t xml:space="preserve">State Bonus max one per reel.</t>
  </si>
  <si>
    <t xml:space="preserve">Rule formula 'Bet x Symbol Multiplier / 20 x Product of Wild Multipliers' exposes internal denominator and omits that the formula applies per way and is summed across ways.</t>
  </si>
  <si>
    <t xml:space="preserve">Wild formula bullet</t>
  </si>
  <si>
    <t xml:space="preserve">BG Calc K19</t>
  </si>
  <si>
    <t xml:space="preserve">Player confusion</t>
  </si>
  <si>
    <t xml:space="preserve">Express per way: 'paytable value x product of wild multipliers in that way'.</t>
  </si>
  <si>
    <t xml:space="preserve">Quick Spin / Turbo</t>
  </si>
  <si>
    <t xml:space="preserve">Rules describe both Quick Spin and Turbo Spin; unclear if they are the same control.</t>
  </si>
  <si>
    <t xml:space="preserve">QUICK SPIN; TURBO SPIN</t>
  </si>
  <si>
    <t xml:space="preserve">Duplicate/unclear feature</t>
  </si>
  <si>
    <t xml:space="preserve">GR-30, GR-37</t>
  </si>
  <si>
    <t xml:space="preserve">Merge or differentiate.</t>
  </si>
  <si>
    <t xml:space="preserve">Stop button described as 'Stop Auto' enabled in normal spins; Quick Stop described as pressing spin button again.</t>
  </si>
  <si>
    <t xml:space="preserve">GAME CONTROLS</t>
  </si>
  <si>
    <t xml:space="preserve">Inconsistent description</t>
  </si>
  <si>
    <t xml:space="preserve">GR-52, GR-31</t>
  </si>
  <si>
    <t xml:space="preserve">Clarify Stop vs Quick Stop.</t>
  </si>
  <si>
    <t xml:space="preserve">OBS-20</t>
  </si>
  <si>
    <t xml:space="preserve">Rules text</t>
  </si>
  <si>
    <t xml:space="preserve">Grammar: 'Each Wild symbol that lands are assigned'.</t>
  </si>
  <si>
    <t xml:space="preserve">Sticky bullet 2</t>
  </si>
  <si>
    <t xml:space="preserve">Quality</t>
  </si>
  <si>
    <t xml:space="preserve">'Each Wild symbol that lands is assigned'.</t>
  </si>
  <si>
    <t xml:space="preserve">Spend limit definition (stake vs net loss) and inclusive/exclusive boundary not defined; some jurisdictions require mandatory loss limit.</t>
  </si>
  <si>
    <t xml:space="preserve">AUTO SPIN</t>
  </si>
  <si>
    <t xml:space="preserve">Define spend limit and jurisdiction variants.</t>
  </si>
  <si>
    <t xml:space="preserve">Big Win</t>
  </si>
  <si>
    <t xml:space="preserve">Big/Mega/Epic win thresholds not specified.</t>
  </si>
  <si>
    <t xml:space="preserve">Cannot verify presentation</t>
  </si>
  <si>
    <t xml:space="preserve">Provide thresholds.</t>
  </si>
  <si>
    <t xml:space="preserve">Rules allow forfeiting unfinished Free Spins after 7 days inactivity; many jurisdictions require completion/credit of owed winnings.</t>
  </si>
  <si>
    <t xml:space="preserve">ADDITIONAL INFORMATION</t>
  </si>
  <si>
    <t xml:space="preserve">Confirm with compliance; prefer auto-complete and credit.</t>
  </si>
  <si>
    <t xml:space="preserve">Behaviour of Auto Spin on FS trigger (choice screen) and after reload not specified.</t>
  </si>
  <si>
    <t xml:space="preserve">Ambiguous expected result</t>
  </si>
  <si>
    <t xml:space="preserve">GR-43, GR-16</t>
  </si>
  <si>
    <t xml:space="preserve">PS-FUN-077, PS-INT-027</t>
  </si>
  <si>
    <t xml:space="preserve">Specify.</t>
  </si>
  <si>
    <t xml:space="preserve">PS-DEF-001</t>
  </si>
  <si>
    <t xml:space="preserve">PS-DEF-002</t>
  </si>
  <si>
    <t xml:space="preserve">PS-DEF-003</t>
  </si>
  <si>
    <t xml:space="preserve">PS-DEF-004</t>
  </si>
  <si>
    <t xml:space="preserve">PS-DEF-005</t>
  </si>
  <si>
    <t xml:space="preserve">PS-DEF-006</t>
  </si>
  <si>
    <t xml:space="preserve">PS-DEF-007</t>
  </si>
  <si>
    <t xml:space="preserve">PS-DEF-008</t>
  </si>
  <si>
    <t xml:space="preserve">PS-DEF-009</t>
  </si>
  <si>
    <t xml:space="preserve">PS-DEF-010</t>
  </si>
  <si>
    <t xml:space="preserve">PS-DEF-011</t>
  </si>
  <si>
    <t xml:space="preserve">PS-DEF-012</t>
  </si>
  <si>
    <t xml:space="preserve">PS-DEF-013</t>
  </si>
  <si>
    <t xml:space="preserve">PS-DEF-014</t>
  </si>
  <si>
    <t xml:space="preserve">PS-DEF-015</t>
  </si>
  <si>
    <t xml:space="preserve">PS-DEF-016</t>
  </si>
  <si>
    <t xml:space="preserve">PS-DEF-017</t>
  </si>
  <si>
    <t xml:space="preserve">PS-DEF-018</t>
  </si>
  <si>
    <t xml:space="preserve">PS-DEF-019</t>
  </si>
  <si>
    <t xml:space="preserve">PS-DEF-020</t>
  </si>
  <si>
    <t xml:space="preserve">PS-DEF-021</t>
  </si>
  <si>
    <t xml:space="preserve">PS-DEF-022</t>
  </si>
  <si>
    <t xml:space="preserve">PS-DEF-023</t>
  </si>
  <si>
    <t xml:space="preserve">PS-DEF-024</t>
  </si>
  <si>
    <t xml:space="preserve">PS-DEF-025</t>
  </si>
  <si>
    <t xml:space="preserve">PS-DEF-026</t>
  </si>
  <si>
    <t xml:space="preserve">PS-DEF-027</t>
  </si>
  <si>
    <t xml:space="preserve">PS-DEF-028</t>
  </si>
  <si>
    <t xml:space="preserve">PS-DEF-029</t>
  </si>
  <si>
    <t xml:space="preserve">PS-DEF-030</t>
  </si>
  <si>
    <t xml:space="preserve">Test Execution Summary</t>
  </si>
  <si>
    <t xml:space="preserve">Live: counts update from the Status column of each sheet. Fill in build details below.</t>
  </si>
  <si>
    <t xml:space="preserve">Build / Version</t>
  </si>
  <si>
    <t xml:space="preserve">Execution Start</t>
  </si>
  <si>
    <t xml:space="preserve">Execution End</t>
  </si>
  <si>
    <t xml:space="preserve">Tester(s)</t>
  </si>
  <si>
    <t xml:space="preserve">Math Config Deployed</t>
  </si>
  <si>
    <t xml:space="preserve">Jurisdiction / Operator</t>
  </si>
  <si>
    <t xml:space="preserve">Total</t>
  </si>
  <si>
    <t xml:space="preserve">Fail</t>
  </si>
  <si>
    <t xml:space="preserve">Blocked</t>
  </si>
  <si>
    <t xml:space="preserve">Spec Confirmation</t>
  </si>
  <si>
    <t xml:space="preserve">Executed</t>
  </si>
  <si>
    <t xml:space="preserve">Pass Rate</t>
  </si>
  <si>
    <t xml:space="preserve">Progress</t>
  </si>
  <si>
    <t xml:space="preserve">P0 status (release gate)</t>
  </si>
  <si>
    <t xml:space="preserve">P0 Total</t>
  </si>
  <si>
    <t xml:space="preserve">P0 Pass</t>
  </si>
  <si>
    <t xml:space="preserve">P0 Fail</t>
  </si>
  <si>
    <t xml:space="preserve">P0 Open (Not Run/Blocked)</t>
  </si>
  <si>
    <t xml:space="preserve">Release gate</t>
  </si>
  <si>
    <t xml:space="preserve">Defects and observations by severity</t>
  </si>
  <si>
    <t xml:space="preserve">Observations (spec)</t>
  </si>
  <si>
    <t xml:space="preserve">Defects (PS-DEF)</t>
  </si>
  <si>
    <t xml:space="preserve">Open total</t>
  </si>
  <si>
    <t xml:space="preserve">Math Reference (extracted from pig_style_R7_1.xlsx)</t>
  </si>
  <si>
    <t xml:space="preserve">Blue values are inputs copied from the math file (source cell noted). Black values are formulas.</t>
  </si>
  <si>
    <t xml:space="preserve">Total bet in credits (Summary K5)</t>
  </si>
  <si>
    <t xml:space="preserve">Example bet (currency)</t>
  </si>
  <si>
    <t xml:space="preserve">Paytable (BG Calc R3:V14)</t>
  </si>
  <si>
    <t xml:space="preserve">Symbol</t>
  </si>
  <si>
    <t xml:space="preserve">6 OAK (cr)</t>
  </si>
  <si>
    <t xml:space="preserve">5 OAK (cr)</t>
  </si>
  <si>
    <t xml:space="preserve">4 OAK (cr)</t>
  </si>
  <si>
    <t xml:space="preserve">3 OAK (cr)</t>
  </si>
  <si>
    <t xml:space="preserve">6 OAK x bet</t>
  </si>
  <si>
    <t xml:space="preserve">5 OAK x bet</t>
  </si>
  <si>
    <t xml:space="preserve">4 OAK x bet</t>
  </si>
  <si>
    <t xml:space="preserve">3 OAK x bet</t>
  </si>
  <si>
    <t xml:space="preserve">6 OAK @ example bet</t>
  </si>
  <si>
    <t xml:space="preserve">3 OAK @ example bet</t>
  </si>
  <si>
    <t xml:space="preserve">AA</t>
  </si>
  <si>
    <t xml:space="preserve">BB</t>
  </si>
  <si>
    <t xml:space="preserve">CC</t>
  </si>
  <si>
    <t xml:space="preserve">DD</t>
  </si>
  <si>
    <t xml:space="preserve">EE</t>
  </si>
  <si>
    <t xml:space="preserve">FF</t>
  </si>
  <si>
    <t xml:space="preserve">GG</t>
  </si>
  <si>
    <t xml:space="preserve">HH</t>
  </si>
  <si>
    <t xml:space="preserve">JJ</t>
  </si>
  <si>
    <t xml:space="preserve">KK</t>
  </si>
  <si>
    <t xml:space="preserve">LL</t>
  </si>
  <si>
    <t xml:space="preserve">Free Spins awards (FG1 Calc AD3:AE6, FG2 Calc AD3:AE6)</t>
  </si>
  <si>
    <t xml:space="preserve">Bonus count</t>
  </si>
  <si>
    <t xml:space="preserve">Wild multiplier weights</t>
  </si>
  <si>
    <t xml:space="preserve">Mode (source)</t>
  </si>
  <si>
    <t xml:space="preserve">x1 weight</t>
  </si>
  <si>
    <t xml:space="preserve">x2 weight</t>
  </si>
  <si>
    <t xml:space="preserve">x3 weight</t>
  </si>
  <si>
    <t xml:space="preserve">x1 %</t>
  </si>
  <si>
    <t xml:space="preserve">x2 %</t>
  </si>
  <si>
    <t xml:space="preserve">x3 %</t>
  </si>
  <si>
    <t xml:space="preserve">Mean multiplier</t>
  </si>
  <si>
    <t xml:space="preserve">Base game (BG Calc Z3:AA5)</t>
  </si>
  <si>
    <t xml:space="preserve">Raining FG1 (FG1 Calc Z3:AA5)</t>
  </si>
  <si>
    <t xml:space="preserve">Buy FG1 (Buy FG1 Calc Z3:AA5)</t>
  </si>
  <si>
    <t xml:space="preserve">Sticky FG2 (FG2 Calc Z3:AA5)</t>
  </si>
  <si>
    <t xml:space="preserve">Buy FG2 (Buy FG2 Calc Z3:AA5)</t>
  </si>
  <si>
    <t xml:space="preserve">Wilds per Free Spin (reels 2-5 only)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</si>
  <si>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</si>
  <si>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</si>
  <si>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</si>
  <si>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</si>
  <si>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</si>
  <si>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</si>
  <si>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</si>
  <si>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P(0 wilds)</t>
  </si>
  <si>
    <t xml:space="preserve">Mean wilds</t>
  </si>
  <si>
    <t xml:space="preserve">Raining FG1 (FG1 Calc AI3:AJ9)</t>
  </si>
  <si>
    <t xml:space="preserve">Buy FG1 (Buy FG1 Calc AI3:AJ9)</t>
  </si>
  <si>
    <t xml:space="preserve">Sticky FG2 new per spin (FG2 Calc AI3:AJ6)</t>
  </si>
  <si>
    <t xml:space="preserve">Buy FG2 new per spin (Buy FG2 Calc AI3:AJ6)</t>
  </si>
  <si>
    <t xml:space="preserve">Base game reel set weights (BG Calc AE3:AF11)</t>
  </si>
  <si>
    <t xml:space="preserve">Reel set</t>
  </si>
  <si>
    <t xml:space="preserve">Weight</t>
  </si>
  <si>
    <t xml:space="preserve">Probability</t>
  </si>
  <si>
    <t xml:space="preserve">FS trigger odds (Summary K43:K51)</t>
  </si>
  <si>
    <t xml:space="preserve">BG1</t>
  </si>
  <si>
    <t xml:space="preserve">1 in 57.10</t>
  </si>
  <si>
    <t xml:space="preserve">BG2</t>
  </si>
  <si>
    <t xml:space="preserve">none</t>
  </si>
  <si>
    <t xml:space="preserve">BG3</t>
  </si>
  <si>
    <t xml:space="preserve">BG4</t>
  </si>
  <si>
    <t xml:space="preserve">BG5</t>
  </si>
  <si>
    <t xml:space="preserve">BG6</t>
  </si>
  <si>
    <t xml:space="preserve">1 in 2.44</t>
  </si>
  <si>
    <t xml:space="preserve">BG7</t>
  </si>
  <si>
    <t xml:space="preserve">BG8</t>
  </si>
  <si>
    <t xml:space="preserve">BG9</t>
  </si>
  <si>
    <t xml:space="preserve">Reel heights (BG Calc AJ20:AL25)</t>
  </si>
  <si>
    <t xml:space="preserve">Rows</t>
  </si>
  <si>
    <t xml:space="preserve">Opt0 weight</t>
  </si>
  <si>
    <t xml:space="preserve">Opt1 weight</t>
  </si>
  <si>
    <t xml:space="preserve">Opt0 %</t>
  </si>
  <si>
    <t xml:space="preserve">Opt1 %</t>
  </si>
  <si>
    <t xml:space="preserve">Key statistics (Summary sheet)</t>
  </si>
  <si>
    <t xml:space="preserve">Metric</t>
  </si>
  <si>
    <t xml:space="preserve">Base game (whole)</t>
  </si>
  <si>
    <t xml:space="preserve">Buy FG1</t>
  </si>
  <si>
    <t xml:space="preserve">Buy FG2</t>
  </si>
  <si>
    <t xml:space="preserve">Unit / note</t>
  </si>
  <si>
    <t xml:space="preserve">%</t>
  </si>
  <si>
    <t xml:space="preserve">Base component RTP</t>
  </si>
  <si>
    <t xml:space="preserve">FS component RTP</t>
  </si>
  <si>
    <t xml:space="preserve">Hit frequency</t>
  </si>
  <si>
    <t xml:space="preserve">SD (x bet / x cost)</t>
  </si>
  <si>
    <t xml:space="preserve">multiple</t>
  </si>
  <si>
    <t xml:space="preserve">Max exposure (credits)</t>
  </si>
  <si>
    <t xml:space="preserve">credits at bet 20 (Buy: cost 2000)</t>
  </si>
  <si>
    <t xml:space="preserve">FS trigger odds (1 in)</t>
  </si>
  <si>
    <t xml:space="preserve">spins</t>
  </si>
  <si>
    <t xml:space="preserve">Avg FS awarded</t>
  </si>
  <si>
    <t xml:space="preserve">Buy cost (x bet)</t>
  </si>
  <si>
    <t xml:space="preserve">x total bet</t>
  </si>
  <si>
    <t xml:space="preserve">Max exposure (x total bet)</t>
  </si>
  <si>
    <t xml:space="preserve">Buy values relative to base bet (cost 2000 = 100 x 20)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</si>
</sst>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%"/>
    <numFmt numFmtId="167" formatCode="0.00\x"/>
    <numFmt numFmtId="168" formatCode="#,##0.00"/>
    <numFmt numFmtId="169" formatCode="0.00%"/>
    <numFmt numFmtId="170" formatCode="0.000"/>
    <numFmt numFmtId="171" formatCode="0.0000%"/>
    <numFmt numFmtId="172" formatCode="#,##0.000"/>
    <numFmt numFmtId="173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696B"/>
        <bgColor rgb="FFFF6600"/>
      </patternFill>
    </fill>
    <fill>
      <patternFill patternType="solid">
        <fgColor rgb="FFF4B183"/>
        <bgColor rgb="FFFFC7CE"/>
      </patternFill>
    </fill>
    <fill>
      <patternFill patternType="solid">
        <fgColor rgb="FFFFE699"/>
        <bgColor rgb="FFFFF2CC"/>
      </patternFill>
    </fill>
    <fill>
      <patternFill patternType="solid">
        <fgColor rgb="FFA9D08E"/>
        <bgColor rgb="FFBFBFB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  <sz val="9"/>
      </font>
      <fill>
        <patternFill>
          <bgColor rgb="FFF8696B"/>
        </patternFill>
      </fill>
    </dxf>
    <dxf>
      <font>
        <name val="Arial"/>
        <charset val="1"/>
        <family val="0"/>
        <b val="1"/>
        <sz val="9"/>
      </font>
      <fill>
        <patternFill>
          <bgColor rgb="FFF4B183"/>
        </patternFill>
      </fill>
    </dxf>
    <dxf>
      <font>
        <name val="Arial"/>
        <charset val="1"/>
        <family val="0"/>
        <b val="1"/>
        <sz val="9"/>
      </font>
      <fill>
        <patternFill>
          <bgColor rgb="FFFFE699"/>
        </patternFill>
      </fill>
    </dxf>
    <dxf>
      <font>
        <name val="Arial"/>
        <charset val="1"/>
        <family val="0"/>
        <b val="1"/>
        <sz val="9"/>
      </font>
      <fill>
        <patternFill>
          <bgColor rgb="FFA9D08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FCE4D6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F8696B"/>
        </patternFill>
      </fill>
    </dxf>
    <dxf>
      <fill>
        <patternFill>
          <bgColor rgb="FFF4B183"/>
        </patternFill>
      </fill>
    </dxf>
    <dxf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CE4D6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9D08E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2" t="s">
        <v>11</v>
      </c>
      <c r="B8" s="3" t="s">
        <v>12</v>
      </c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2" t="s">
        <v>13</v>
      </c>
      <c r="B9" s="3" t="s">
        <v>14</v>
      </c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  <c r="H10" s="3"/>
      <c r="I10" s="3"/>
    </row>
    <row r="12" customFormat="false" ht="35.05" hidden="false" customHeight="false" outlineLevel="0" collapsed="false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</row>
    <row r="13" customFormat="false" ht="15" hidden="false" customHeight="false" outlineLevel="0" collapsed="false">
      <c r="A13" s="5" t="s">
        <v>26</v>
      </c>
      <c r="B13" s="5" t="n">
        <f aca="false">COUNTA('Functional Testing'!A:A)-1</f>
        <v>90</v>
      </c>
      <c r="C13" s="5" t="n">
        <f aca="false">COUNTIF('Functional Testing'!K:K,"P0")</f>
        <v>49</v>
      </c>
      <c r="D13" s="5" t="n">
        <f aca="false">COUNTIF('Functional Testing'!K:K,"P1")</f>
        <v>28</v>
      </c>
      <c r="E13" s="5" t="n">
        <f aca="false">COUNTIF('Functional Testing'!K:K,"P2")</f>
        <v>11</v>
      </c>
      <c r="F13" s="5" t="n">
        <f aca="false">COUNTIF('Functional Testing'!K:K,"P3")</f>
        <v>2</v>
      </c>
      <c r="G13" s="5" t="n">
        <f aca="false">COUNTIF('Functional Testing'!N:N,"Yes")</f>
        <v>66</v>
      </c>
      <c r="H13" s="5" t="n">
        <f aca="false">COUNTIF('Functional Testing'!N:N,"Partial")</f>
        <v>17</v>
      </c>
      <c r="I13" s="5" t="n">
        <f aca="false">COUNTIF('Functional Testing'!I:I,"Requires Specification*")</f>
        <v>10</v>
      </c>
    </row>
    <row r="14" customFormat="false" ht="15" hidden="false" customHeight="false" outlineLevel="0" collapsed="false">
      <c r="A14" s="5" t="s">
        <v>27</v>
      </c>
      <c r="B14" s="5" t="n">
        <f aca="false">COUNTA('Math Validation'!A:A)-1</f>
        <v>63</v>
      </c>
      <c r="C14" s="5" t="n">
        <f aca="false">COUNTIF('Math Validation'!K:K,"P0")</f>
        <v>45</v>
      </c>
      <c r="D14" s="5" t="n">
        <f aca="false">COUNTIF('Math Validation'!K:K,"P1")</f>
        <v>10</v>
      </c>
      <c r="E14" s="5" t="n">
        <f aca="false">COUNTIF('Math Validation'!K:K,"P2")</f>
        <v>8</v>
      </c>
      <c r="F14" s="5" t="n">
        <f aca="false">COUNTIF('Math Validation'!K:K,"P3")</f>
        <v>0</v>
      </c>
      <c r="G14" s="5" t="n">
        <f aca="false">COUNTIF('Math Validation'!N:N,"Yes")</f>
        <v>57</v>
      </c>
      <c r="H14" s="5" t="n">
        <f aca="false">COUNTIF('Math Validation'!N:N,"Partial")</f>
        <v>0</v>
      </c>
      <c r="I14" s="5" t="n">
        <f aca="false">COUNTIF('Math Validation'!I:I,"Requires Specification*")</f>
        <v>12</v>
      </c>
    </row>
    <row r="15" customFormat="false" ht="15" hidden="false" customHeight="false" outlineLevel="0" collapsed="false">
      <c r="A15" s="5" t="s">
        <v>28</v>
      </c>
      <c r="B15" s="5" t="n">
        <f aca="false">COUNTA('Feature Testing'!A:A)-1</f>
        <v>59</v>
      </c>
      <c r="C15" s="5" t="n">
        <f aca="false">COUNTIF('Feature Testing'!K:K,"P0")</f>
        <v>40</v>
      </c>
      <c r="D15" s="5" t="n">
        <f aca="false">COUNTIF('Feature Testing'!K:K,"P1")</f>
        <v>18</v>
      </c>
      <c r="E15" s="5" t="n">
        <f aca="false">COUNTIF('Feature Testing'!K:K,"P2")</f>
        <v>1</v>
      </c>
      <c r="F15" s="5" t="n">
        <f aca="false">COUNTIF('Feature Testing'!K:K,"P3")</f>
        <v>0</v>
      </c>
      <c r="G15" s="5" t="n">
        <f aca="false">COUNTIF('Feature Testing'!N:N,"Yes")</f>
        <v>50</v>
      </c>
      <c r="H15" s="5" t="n">
        <f aca="false">COUNTIF('Feature Testing'!N:N,"Partial")</f>
        <v>6</v>
      </c>
      <c r="I15" s="5" t="n">
        <f aca="false">COUNTIF('Feature Testing'!I:I,"Requires Specification*")</f>
        <v>10</v>
      </c>
    </row>
    <row r="16" customFormat="false" ht="15" hidden="false" customHeight="false" outlineLevel="0" collapsed="false">
      <c r="A16" s="5" t="s">
        <v>29</v>
      </c>
      <c r="B16" s="5" t="n">
        <f aca="false">COUNTA('Edge &amp; Boundary Cases'!A:A)-1</f>
        <v>42</v>
      </c>
      <c r="C16" s="5" t="n">
        <f aca="false">COUNTIF('Edge &amp; Boundary Cases'!K:K,"P0")</f>
        <v>16</v>
      </c>
      <c r="D16" s="5" t="n">
        <f aca="false">COUNTIF('Edge &amp; Boundary Cases'!K:K,"P1")</f>
        <v>17</v>
      </c>
      <c r="E16" s="5" t="n">
        <f aca="false">COUNTIF('Edge &amp; Boundary Cases'!K:K,"P2")</f>
        <v>7</v>
      </c>
      <c r="F16" s="5" t="n">
        <f aca="false">COUNTIF('Edge &amp; Boundary Cases'!K:K,"P3")</f>
        <v>2</v>
      </c>
      <c r="G16" s="5" t="n">
        <f aca="false">COUNTIF('Edge &amp; Boundary Cases'!N:N,"Yes")</f>
        <v>40</v>
      </c>
      <c r="H16" s="5" t="n">
        <f aca="false">COUNTIF('Edge &amp; Boundary Cases'!N:N,"Partial")</f>
        <v>0</v>
      </c>
      <c r="I16" s="5" t="n">
        <f aca="false">COUNTIF('Edge &amp; Boundary Cases'!I:I,"Requires Specification*")</f>
        <v>4</v>
      </c>
    </row>
    <row r="17" customFormat="false" ht="15" hidden="false" customHeight="false" outlineLevel="0" collapsed="false">
      <c r="A17" s="5" t="s">
        <v>30</v>
      </c>
      <c r="B17" s="5" t="n">
        <f aca="false">COUNTA('Regression Suite'!A:A)-1</f>
        <v>162</v>
      </c>
      <c r="C17" s="5" t="n">
        <f aca="false">COUNTIF('Regression Suite'!K:K,"P0")</f>
        <v>15</v>
      </c>
      <c r="D17" s="5" t="n">
        <f aca="false">COUNTIF('Regression Suite'!K:K,"P1")</f>
        <v>119</v>
      </c>
      <c r="E17" s="5" t="n">
        <f aca="false">COUNTIF('Regression Suite'!K:K,"P2")</f>
        <v>28</v>
      </c>
      <c r="F17" s="5" t="n">
        <f aca="false">COUNTIF('Regression Suite'!K:K,"P3")</f>
        <v>0</v>
      </c>
      <c r="G17" s="5" t="n">
        <f aca="false">COUNTIF('Regression Suite'!N:N,"Yes")</f>
        <v>152</v>
      </c>
      <c r="H17" s="5" t="n">
        <f aca="false">COUNTIF('Regression Suite'!N:N,"Partial")</f>
        <v>5</v>
      </c>
      <c r="I17" s="5" t="n">
        <f aca="false">COUNTIF('Regression Suite'!I:I,"Requires Specification*")</f>
        <v>18</v>
      </c>
    </row>
    <row r="18" customFormat="false" ht="15" hidden="false" customHeight="false" outlineLevel="0" collapsed="false">
      <c r="A18" s="5" t="s">
        <v>31</v>
      </c>
      <c r="B18" s="5" t="n">
        <f aca="false">COUNTA('UI-UX Testing'!A:A)-1</f>
        <v>47</v>
      </c>
      <c r="C18" s="5" t="n">
        <f aca="false">COUNTIF('UI-UX Testing'!K:K,"P0")</f>
        <v>1</v>
      </c>
      <c r="D18" s="5" t="n">
        <f aca="false">COUNTIF('UI-UX Testing'!K:K,"P1")</f>
        <v>19</v>
      </c>
      <c r="E18" s="5" t="n">
        <f aca="false">COUNTIF('UI-UX Testing'!K:K,"P2")</f>
        <v>18</v>
      </c>
      <c r="F18" s="5" t="n">
        <f aca="false">COUNTIF('UI-UX Testing'!K:K,"P3")</f>
        <v>9</v>
      </c>
      <c r="G18" s="5" t="n">
        <f aca="false">COUNTIF('UI-UX Testing'!N:N,"Yes")</f>
        <v>1</v>
      </c>
      <c r="H18" s="5" t="n">
        <f aca="false">COUNTIF('UI-UX Testing'!N:N,"Partial")</f>
        <v>41</v>
      </c>
      <c r="I18" s="5" t="n">
        <f aca="false">COUNTIF('UI-UX Testing'!I:I,"Requires Specification*")</f>
        <v>1</v>
      </c>
    </row>
    <row r="19" customFormat="false" ht="15" hidden="false" customHeight="false" outlineLevel="0" collapsed="false">
      <c r="A19" s="5" t="s">
        <v>32</v>
      </c>
      <c r="B19" s="5" t="n">
        <f aca="false">COUNTA('Compatibility Testing'!A:A)-1</f>
        <v>21</v>
      </c>
      <c r="C19" s="5" t="n">
        <f aca="false">COUNTIF('Compatibility Testing'!K:K,"P0")</f>
        <v>3</v>
      </c>
      <c r="D19" s="5" t="n">
        <f aca="false">COUNTIF('Compatibility Testing'!K:K,"P1")</f>
        <v>9</v>
      </c>
      <c r="E19" s="5" t="n">
        <f aca="false">COUNTIF('Compatibility Testing'!K:K,"P2")</f>
        <v>7</v>
      </c>
      <c r="F19" s="5" t="n">
        <f aca="false">COUNTIF('Compatibility Testing'!K:K,"P3")</f>
        <v>2</v>
      </c>
      <c r="G19" s="5" t="n">
        <f aca="false">COUNTIF('Compatibility Testing'!N:N,"Yes")</f>
        <v>0</v>
      </c>
      <c r="H19" s="5" t="n">
        <f aca="false">COUNTIF('Compatibility Testing'!N:N,"Partial")</f>
        <v>13</v>
      </c>
      <c r="I19" s="5" t="n">
        <f aca="false">COUNTIF('Compatibility Testing'!I:I,"Requires Specification*")</f>
        <v>0</v>
      </c>
    </row>
    <row r="20" customFormat="false" ht="15" hidden="false" customHeight="false" outlineLevel="0" collapsed="false">
      <c r="A20" s="5" t="s">
        <v>33</v>
      </c>
      <c r="B20" s="5" t="n">
        <f aca="false">COUNTA('Interruption &amp; Recovery'!A:A)-1</f>
        <v>30</v>
      </c>
      <c r="C20" s="5" t="n">
        <f aca="false">COUNTIF('Interruption &amp; Recovery'!K:K,"P0")</f>
        <v>24</v>
      </c>
      <c r="D20" s="5" t="n">
        <f aca="false">COUNTIF('Interruption &amp; Recovery'!K:K,"P1")</f>
        <v>6</v>
      </c>
      <c r="E20" s="5" t="n">
        <f aca="false">COUNTIF('Interruption &amp; Recovery'!K:K,"P2")</f>
        <v>0</v>
      </c>
      <c r="F20" s="5" t="n">
        <f aca="false">COUNTIF('Interruption &amp; Recovery'!K:K,"P3")</f>
        <v>0</v>
      </c>
      <c r="G20" s="5" t="n">
        <f aca="false">COUNTIF('Interruption &amp; Recovery'!N:N,"Yes")</f>
        <v>30</v>
      </c>
      <c r="H20" s="5" t="n">
        <f aca="false">COUNTIF('Interruption &amp; Recovery'!N:N,"Partial")</f>
        <v>0</v>
      </c>
      <c r="I20" s="5" t="n">
        <f aca="false">COUNTIF('Interruption &amp; Recovery'!I:I,"Requires Specification*")</f>
        <v>2</v>
      </c>
    </row>
    <row r="21" customFormat="false" ht="15" hidden="false" customHeight="false" outlineLevel="0" collapsed="false">
      <c r="A21" s="5" t="s">
        <v>34</v>
      </c>
      <c r="B21" s="5" t="n">
        <f aca="false">COUNTA('STR - Transaction Testing'!A:A)-1</f>
        <v>27</v>
      </c>
      <c r="C21" s="5" t="n">
        <f aca="false">COUNTIF('STR - Transaction Testing'!K:K,"P0")</f>
        <v>23</v>
      </c>
      <c r="D21" s="5" t="n">
        <f aca="false">COUNTIF('STR - Transaction Testing'!K:K,"P1")</f>
        <v>4</v>
      </c>
      <c r="E21" s="5" t="n">
        <f aca="false">COUNTIF('STR - Transaction Testing'!K:K,"P2")</f>
        <v>0</v>
      </c>
      <c r="F21" s="5" t="n">
        <f aca="false">COUNTIF('STR - Transaction Testing'!K:K,"P3")</f>
        <v>0</v>
      </c>
      <c r="G21" s="5" t="n">
        <f aca="false">COUNTIF('STR - Transaction Testing'!N:N,"Yes")</f>
        <v>22</v>
      </c>
      <c r="H21" s="5" t="n">
        <f aca="false">COUNTIF('STR - Transaction Testing'!N:N,"Partial")</f>
        <v>4</v>
      </c>
      <c r="I21" s="5" t="n">
        <f aca="false">COUNTIF('STR - Transaction Testing'!I:I,"Requires Specification*")</f>
        <v>1</v>
      </c>
    </row>
    <row r="22" customFormat="false" ht="15" hidden="false" customHeight="false" outlineLevel="0" collapsed="false">
      <c r="A22" s="5" t="s">
        <v>35</v>
      </c>
      <c r="B22" s="5" t="n">
        <f aca="false">COUNTA('Error Handling'!A:A)-1</f>
        <v>20</v>
      </c>
      <c r="C22" s="5" t="n">
        <f aca="false">COUNTIF('Error Handling'!K:K,"P0")</f>
        <v>8</v>
      </c>
      <c r="D22" s="5" t="n">
        <f aca="false">COUNTIF('Error Handling'!K:K,"P1")</f>
        <v>11</v>
      </c>
      <c r="E22" s="5" t="n">
        <f aca="false">COUNTIF('Error Handling'!K:K,"P2")</f>
        <v>1</v>
      </c>
      <c r="F22" s="5" t="n">
        <f aca="false">COUNTIF('Error Handling'!K:K,"P3")</f>
        <v>0</v>
      </c>
      <c r="G22" s="5" t="n">
        <f aca="false">COUNTIF('Error Handling'!N:N,"Yes")</f>
        <v>20</v>
      </c>
      <c r="H22" s="5" t="n">
        <f aca="false">COUNTIF('Error Handling'!N:N,"Partial")</f>
        <v>0</v>
      </c>
      <c r="I22" s="5" t="n">
        <f aca="false">COUNTIF('Error Handling'!I:I,"Requires Specification*")</f>
        <v>0</v>
      </c>
    </row>
    <row r="23" customFormat="false" ht="15" hidden="false" customHeight="false" outlineLevel="0" collapsed="false">
      <c r="A23" s="2" t="s">
        <v>36</v>
      </c>
      <c r="B23" s="6" t="n">
        <f aca="false">SUM(B13:B22)</f>
        <v>561</v>
      </c>
      <c r="C23" s="6" t="n">
        <f aca="false">SUM(C13:C22)</f>
        <v>224</v>
      </c>
      <c r="D23" s="6" t="n">
        <f aca="false">SUM(D13:D22)</f>
        <v>241</v>
      </c>
      <c r="E23" s="6" t="n">
        <f aca="false">SUM(E13:E22)</f>
        <v>81</v>
      </c>
      <c r="F23" s="6" t="n">
        <f aca="false">SUM(F13:F22)</f>
        <v>15</v>
      </c>
      <c r="G23" s="6" t="n">
        <f aca="false">SUM(G13:G22)</f>
        <v>438</v>
      </c>
      <c r="H23" s="6" t="n">
        <f aca="false">SUM(H13:H22)</f>
        <v>86</v>
      </c>
      <c r="I23" s="6" t="n">
        <f aca="false">SUM(I13:I22)</f>
        <v>58</v>
      </c>
    </row>
    <row r="24" customFormat="false" ht="15" hidden="false" customHeight="false" outlineLevel="0" collapsed="false">
      <c r="A24" s="2" t="s">
        <v>37</v>
      </c>
      <c r="B24" s="6" t="n">
        <f aca="false">B23-B17</f>
        <v>399</v>
      </c>
      <c r="C24" s="6" t="n">
        <f aca="false">C23-C17</f>
        <v>209</v>
      </c>
      <c r="D24" s="6" t="n">
        <f aca="false">D23-D17</f>
        <v>122</v>
      </c>
      <c r="E24" s="6" t="n">
        <f aca="false">E23-E17</f>
        <v>53</v>
      </c>
      <c r="F24" s="6" t="n">
        <f aca="false">F23-F17</f>
        <v>15</v>
      </c>
      <c r="G24" s="6" t="n">
        <f aca="false">G23-G17</f>
        <v>286</v>
      </c>
      <c r="H24" s="6" t="n">
        <f aca="false">H23-H17</f>
        <v>81</v>
      </c>
      <c r="I24" s="6" t="n">
        <f aca="false">I23-I17</f>
        <v>40</v>
      </c>
    </row>
    <row r="26" customFormat="false" ht="15" hidden="false" customHeight="false" outlineLevel="0" collapsed="false">
      <c r="A26" s="7" t="s">
        <v>38</v>
      </c>
    </row>
    <row r="27" customFormat="false" ht="15" hidden="false" customHeight="false" outlineLevel="0" collapsed="false">
      <c r="A27" s="8" t="s">
        <v>19</v>
      </c>
      <c r="B27" s="3" t="s">
        <v>39</v>
      </c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9" t="s">
        <v>20</v>
      </c>
      <c r="B28" s="3" t="s">
        <v>40</v>
      </c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10" t="s">
        <v>21</v>
      </c>
      <c r="B29" s="3" t="s">
        <v>41</v>
      </c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11" t="s">
        <v>22</v>
      </c>
      <c r="B30" s="3" t="s">
        <v>42</v>
      </c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12" t="s">
        <v>43</v>
      </c>
      <c r="B31" s="3" t="s">
        <v>44</v>
      </c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13" t="s">
        <v>45</v>
      </c>
      <c r="B32" s="3" t="s">
        <v>46</v>
      </c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2" t="s">
        <v>47</v>
      </c>
      <c r="B33" s="3" t="s">
        <v>48</v>
      </c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A34" s="2" t="s">
        <v>49</v>
      </c>
      <c r="B34" s="3" t="s">
        <v>50</v>
      </c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2" t="s">
        <v>51</v>
      </c>
      <c r="B35" s="3" t="s">
        <v>52</v>
      </c>
      <c r="C35" s="3"/>
      <c r="D35" s="3"/>
      <c r="E35" s="3"/>
      <c r="F35" s="3"/>
      <c r="G35" s="3"/>
      <c r="H35" s="3"/>
      <c r="I35" s="3"/>
    </row>
    <row r="37" customFormat="false" ht="15" hidden="false" customHeight="false" outlineLevel="0" collapsed="false">
      <c r="A37" s="7" t="s">
        <v>53</v>
      </c>
    </row>
    <row r="38" customFormat="false" ht="15" hidden="false" customHeight="false" outlineLevel="0" collapsed="false">
      <c r="A38" s="2" t="s">
        <v>54</v>
      </c>
      <c r="B38" s="3" t="s">
        <v>55</v>
      </c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2" t="s">
        <v>56</v>
      </c>
      <c r="B39" s="3" t="s">
        <v>57</v>
      </c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A40" s="2" t="s">
        <v>58</v>
      </c>
      <c r="B40" s="3" t="s">
        <v>59</v>
      </c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A41" s="2" t="s">
        <v>60</v>
      </c>
      <c r="B41" s="3" t="s">
        <v>61</v>
      </c>
      <c r="C41" s="3"/>
      <c r="D41" s="3"/>
      <c r="E41" s="3"/>
      <c r="F41" s="3"/>
      <c r="G41" s="3"/>
      <c r="H41" s="3"/>
      <c r="I41" s="3"/>
    </row>
  </sheetData>
  <mergeCells count="21">
    <mergeCell ref="B3:I3"/>
    <mergeCell ref="B4:I4"/>
    <mergeCell ref="B5:I5"/>
    <mergeCell ref="B6:I6"/>
    <mergeCell ref="B7:I7"/>
    <mergeCell ref="B8:I8"/>
    <mergeCell ref="B9:I9"/>
    <mergeCell ref="B10:I10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8:I38"/>
    <mergeCell ref="B39:I39"/>
    <mergeCell ref="B40:I40"/>
    <mergeCell ref="B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43.25" hidden="false" customHeight="false" outlineLevel="0" collapsed="false">
      <c r="A2" s="14" t="s">
        <v>77</v>
      </c>
      <c r="B2" s="15" t="s">
        <v>78</v>
      </c>
      <c r="C2" s="15" t="s">
        <v>79</v>
      </c>
      <c r="D2" s="15" t="s">
        <v>80</v>
      </c>
      <c r="E2" s="15" t="s">
        <v>81</v>
      </c>
      <c r="F2" s="15" t="s">
        <v>82</v>
      </c>
      <c r="G2" s="15" t="s">
        <v>83</v>
      </c>
      <c r="H2" s="15" t="s">
        <v>84</v>
      </c>
      <c r="I2" s="15" t="s">
        <v>85</v>
      </c>
      <c r="J2" s="16"/>
      <c r="K2" s="14" t="s">
        <v>19</v>
      </c>
      <c r="L2" s="14" t="s">
        <v>86</v>
      </c>
      <c r="M2" s="14" t="s">
        <v>78</v>
      </c>
      <c r="N2" s="14" t="s">
        <v>87</v>
      </c>
      <c r="O2" s="15" t="s">
        <v>88</v>
      </c>
      <c r="P2" s="15" t="s">
        <v>89</v>
      </c>
      <c r="Q2" s="17" t="s">
        <v>90</v>
      </c>
      <c r="R2" s="17"/>
      <c r="S2" s="15" t="s">
        <v>91</v>
      </c>
    </row>
    <row r="3" customFormat="false" ht="53.7" hidden="false" customHeight="false" outlineLevel="0" collapsed="false">
      <c r="A3" s="14" t="s">
        <v>92</v>
      </c>
      <c r="B3" s="15" t="s">
        <v>78</v>
      </c>
      <c r="C3" s="15" t="s">
        <v>79</v>
      </c>
      <c r="D3" s="15" t="s">
        <v>93</v>
      </c>
      <c r="E3" s="15" t="s">
        <v>94</v>
      </c>
      <c r="F3" s="15" t="s">
        <v>95</v>
      </c>
      <c r="G3" s="15" t="s">
        <v>96</v>
      </c>
      <c r="H3" s="15" t="s">
        <v>97</v>
      </c>
      <c r="I3" s="15" t="s">
        <v>98</v>
      </c>
      <c r="J3" s="16"/>
      <c r="K3" s="14" t="s">
        <v>21</v>
      </c>
      <c r="L3" s="14" t="s">
        <v>99</v>
      </c>
      <c r="M3" s="14" t="s">
        <v>78</v>
      </c>
      <c r="N3" s="14" t="s">
        <v>87</v>
      </c>
      <c r="O3" s="15" t="s">
        <v>88</v>
      </c>
      <c r="P3" s="15" t="s">
        <v>89</v>
      </c>
      <c r="Q3" s="17" t="s">
        <v>90</v>
      </c>
      <c r="R3" s="17"/>
      <c r="S3" s="15" t="s">
        <v>100</v>
      </c>
    </row>
    <row r="4" customFormat="false" ht="32.8" hidden="false" customHeight="false" outlineLevel="0" collapsed="false">
      <c r="A4" s="14" t="s">
        <v>101</v>
      </c>
      <c r="B4" s="15" t="s">
        <v>78</v>
      </c>
      <c r="C4" s="15" t="s">
        <v>79</v>
      </c>
      <c r="D4" s="15" t="s">
        <v>102</v>
      </c>
      <c r="E4" s="15" t="s">
        <v>103</v>
      </c>
      <c r="F4" s="15" t="s">
        <v>104</v>
      </c>
      <c r="G4" s="15" t="s">
        <v>105</v>
      </c>
      <c r="H4" s="15" t="s">
        <v>106</v>
      </c>
      <c r="I4" s="15" t="s">
        <v>107</v>
      </c>
      <c r="J4" s="16"/>
      <c r="K4" s="14" t="s">
        <v>20</v>
      </c>
      <c r="L4" s="14" t="s">
        <v>108</v>
      </c>
      <c r="M4" s="14" t="s">
        <v>78</v>
      </c>
      <c r="N4" s="14" t="s">
        <v>109</v>
      </c>
      <c r="O4" s="15" t="s">
        <v>88</v>
      </c>
      <c r="P4" s="15" t="s">
        <v>89</v>
      </c>
      <c r="Q4" s="17" t="s">
        <v>90</v>
      </c>
      <c r="R4" s="17"/>
      <c r="S4" s="15" t="s">
        <v>110</v>
      </c>
    </row>
    <row r="5" customFormat="false" ht="32.8" hidden="false" customHeight="false" outlineLevel="0" collapsed="false">
      <c r="A5" s="14" t="s">
        <v>111</v>
      </c>
      <c r="B5" s="15" t="s">
        <v>78</v>
      </c>
      <c r="C5" s="15" t="s">
        <v>79</v>
      </c>
      <c r="D5" s="15" t="s">
        <v>112</v>
      </c>
      <c r="E5" s="15" t="s">
        <v>113</v>
      </c>
      <c r="F5" s="15" t="s">
        <v>114</v>
      </c>
      <c r="G5" s="15" t="s">
        <v>115</v>
      </c>
      <c r="H5" s="15" t="s">
        <v>116</v>
      </c>
      <c r="I5" s="15" t="s">
        <v>117</v>
      </c>
      <c r="J5" s="16"/>
      <c r="K5" s="14" t="s">
        <v>21</v>
      </c>
      <c r="L5" s="14" t="s">
        <v>99</v>
      </c>
      <c r="M5" s="14" t="s">
        <v>78</v>
      </c>
      <c r="N5" s="14" t="s">
        <v>109</v>
      </c>
      <c r="O5" s="15" t="s">
        <v>88</v>
      </c>
      <c r="P5" s="15" t="s">
        <v>89</v>
      </c>
      <c r="Q5" s="17" t="s">
        <v>90</v>
      </c>
      <c r="R5" s="17"/>
      <c r="S5" s="15" t="s">
        <v>110</v>
      </c>
    </row>
    <row r="6" customFormat="false" ht="32.8" hidden="false" customHeight="false" outlineLevel="0" collapsed="false">
      <c r="A6" s="14" t="s">
        <v>118</v>
      </c>
      <c r="B6" s="15" t="s">
        <v>78</v>
      </c>
      <c r="C6" s="15" t="s">
        <v>119</v>
      </c>
      <c r="D6" s="15" t="s">
        <v>120</v>
      </c>
      <c r="E6" s="15" t="s">
        <v>121</v>
      </c>
      <c r="F6" s="15" t="s">
        <v>122</v>
      </c>
      <c r="G6" s="15" t="s">
        <v>123</v>
      </c>
      <c r="H6" s="15" t="s">
        <v>124</v>
      </c>
      <c r="I6" s="15" t="s">
        <v>125</v>
      </c>
      <c r="J6" s="16"/>
      <c r="K6" s="14" t="s">
        <v>19</v>
      </c>
      <c r="L6" s="14" t="s">
        <v>86</v>
      </c>
      <c r="M6" s="14" t="s">
        <v>78</v>
      </c>
      <c r="N6" s="14" t="s">
        <v>87</v>
      </c>
      <c r="O6" s="15" t="s">
        <v>88</v>
      </c>
      <c r="P6" s="15" t="s">
        <v>89</v>
      </c>
      <c r="Q6" s="17" t="s">
        <v>90</v>
      </c>
      <c r="R6" s="17"/>
      <c r="S6" s="15" t="s">
        <v>126</v>
      </c>
    </row>
    <row r="7" customFormat="false" ht="43.25" hidden="false" customHeight="false" outlineLevel="0" collapsed="false">
      <c r="A7" s="14" t="s">
        <v>127</v>
      </c>
      <c r="B7" s="15" t="s">
        <v>78</v>
      </c>
      <c r="C7" s="15" t="s">
        <v>119</v>
      </c>
      <c r="D7" s="15" t="s">
        <v>128</v>
      </c>
      <c r="E7" s="15" t="s">
        <v>129</v>
      </c>
      <c r="F7" s="15" t="s">
        <v>130</v>
      </c>
      <c r="G7" s="15" t="s">
        <v>131</v>
      </c>
      <c r="H7" s="15" t="s">
        <v>132</v>
      </c>
      <c r="I7" s="15" t="s">
        <v>133</v>
      </c>
      <c r="J7" s="16"/>
      <c r="K7" s="14" t="s">
        <v>19</v>
      </c>
      <c r="L7" s="14" t="s">
        <v>86</v>
      </c>
      <c r="M7" s="14" t="s">
        <v>78</v>
      </c>
      <c r="N7" s="14" t="s">
        <v>87</v>
      </c>
      <c r="O7" s="15" t="s">
        <v>88</v>
      </c>
      <c r="P7" s="15" t="s">
        <v>89</v>
      </c>
      <c r="Q7" s="17" t="s">
        <v>90</v>
      </c>
      <c r="R7" s="17"/>
      <c r="S7" s="15" t="s">
        <v>126</v>
      </c>
    </row>
    <row r="8" customFormat="false" ht="32.8" hidden="false" customHeight="false" outlineLevel="0" collapsed="false">
      <c r="A8" s="14" t="s">
        <v>134</v>
      </c>
      <c r="B8" s="15" t="s">
        <v>78</v>
      </c>
      <c r="C8" s="15" t="s">
        <v>119</v>
      </c>
      <c r="D8" s="15" t="s">
        <v>128</v>
      </c>
      <c r="E8" s="15" t="s">
        <v>135</v>
      </c>
      <c r="F8" s="15" t="s">
        <v>136</v>
      </c>
      <c r="G8" s="15" t="s">
        <v>137</v>
      </c>
      <c r="H8" s="15" t="s">
        <v>138</v>
      </c>
      <c r="I8" s="15" t="s">
        <v>139</v>
      </c>
      <c r="J8" s="16"/>
      <c r="K8" s="14" t="s">
        <v>20</v>
      </c>
      <c r="L8" s="14" t="s">
        <v>108</v>
      </c>
      <c r="M8" s="14" t="s">
        <v>78</v>
      </c>
      <c r="N8" s="14" t="s">
        <v>87</v>
      </c>
      <c r="O8" s="15" t="s">
        <v>88</v>
      </c>
      <c r="P8" s="15" t="s">
        <v>140</v>
      </c>
      <c r="Q8" s="17" t="s">
        <v>90</v>
      </c>
      <c r="R8" s="17"/>
      <c r="S8" s="15" t="s">
        <v>141</v>
      </c>
    </row>
    <row r="9" customFormat="false" ht="32.8" hidden="false" customHeight="false" outlineLevel="0" collapsed="false">
      <c r="A9" s="14" t="s">
        <v>142</v>
      </c>
      <c r="B9" s="15" t="s">
        <v>78</v>
      </c>
      <c r="C9" s="15" t="s">
        <v>119</v>
      </c>
      <c r="D9" s="15" t="s">
        <v>128</v>
      </c>
      <c r="E9" s="15" t="s">
        <v>143</v>
      </c>
      <c r="F9" s="15" t="s">
        <v>144</v>
      </c>
      <c r="G9" s="15" t="s">
        <v>145</v>
      </c>
      <c r="H9" s="15" t="s">
        <v>146</v>
      </c>
      <c r="I9" s="15" t="s">
        <v>147</v>
      </c>
      <c r="J9" s="16"/>
      <c r="K9" s="14" t="s">
        <v>21</v>
      </c>
      <c r="L9" s="14" t="s">
        <v>99</v>
      </c>
      <c r="M9" s="14" t="s">
        <v>78</v>
      </c>
      <c r="N9" s="14" t="s">
        <v>87</v>
      </c>
      <c r="O9" s="15" t="s">
        <v>88</v>
      </c>
      <c r="P9" s="15" t="s">
        <v>140</v>
      </c>
      <c r="Q9" s="17" t="s">
        <v>90</v>
      </c>
      <c r="R9" s="17"/>
      <c r="S9" s="15" t="s">
        <v>141</v>
      </c>
    </row>
    <row r="10" customFormat="false" ht="32.8" hidden="false" customHeight="false" outlineLevel="0" collapsed="false">
      <c r="A10" s="14" t="s">
        <v>148</v>
      </c>
      <c r="B10" s="15" t="s">
        <v>78</v>
      </c>
      <c r="C10" s="15" t="s">
        <v>149</v>
      </c>
      <c r="D10" s="15" t="s">
        <v>150</v>
      </c>
      <c r="E10" s="15" t="s">
        <v>151</v>
      </c>
      <c r="F10" s="15" t="s">
        <v>152</v>
      </c>
      <c r="G10" s="15" t="s">
        <v>153</v>
      </c>
      <c r="H10" s="15" t="s">
        <v>154</v>
      </c>
      <c r="I10" s="15" t="s">
        <v>155</v>
      </c>
      <c r="J10" s="16"/>
      <c r="K10" s="14" t="s">
        <v>19</v>
      </c>
      <c r="L10" s="14" t="s">
        <v>86</v>
      </c>
      <c r="M10" s="14" t="s">
        <v>78</v>
      </c>
      <c r="N10" s="14" t="s">
        <v>87</v>
      </c>
      <c r="O10" s="15" t="s">
        <v>88</v>
      </c>
      <c r="P10" s="15" t="s">
        <v>89</v>
      </c>
      <c r="Q10" s="17" t="s">
        <v>90</v>
      </c>
      <c r="R10" s="17"/>
      <c r="S10" s="15" t="s">
        <v>156</v>
      </c>
    </row>
    <row r="11" customFormat="false" ht="32.8" hidden="false" customHeight="false" outlineLevel="0" collapsed="false">
      <c r="A11" s="14" t="s">
        <v>157</v>
      </c>
      <c r="B11" s="15" t="s">
        <v>78</v>
      </c>
      <c r="C11" s="15" t="s">
        <v>149</v>
      </c>
      <c r="D11" s="15" t="s">
        <v>158</v>
      </c>
      <c r="E11" s="15" t="s">
        <v>159</v>
      </c>
      <c r="F11" s="15" t="s">
        <v>160</v>
      </c>
      <c r="G11" s="15" t="s">
        <v>161</v>
      </c>
      <c r="H11" s="15" t="s">
        <v>162</v>
      </c>
      <c r="I11" s="15" t="s">
        <v>163</v>
      </c>
      <c r="J11" s="16"/>
      <c r="K11" s="14" t="s">
        <v>20</v>
      </c>
      <c r="L11" s="14" t="s">
        <v>99</v>
      </c>
      <c r="M11" s="14" t="s">
        <v>78</v>
      </c>
      <c r="N11" s="14" t="s">
        <v>87</v>
      </c>
      <c r="O11" s="15" t="s">
        <v>88</v>
      </c>
      <c r="P11" s="15" t="s">
        <v>140</v>
      </c>
      <c r="Q11" s="17" t="s">
        <v>90</v>
      </c>
      <c r="R11" s="17"/>
      <c r="S11" s="15" t="s">
        <v>164</v>
      </c>
    </row>
    <row r="12" customFormat="false" ht="43.25" hidden="false" customHeight="false" outlineLevel="0" collapsed="false">
      <c r="A12" s="14" t="s">
        <v>165</v>
      </c>
      <c r="B12" s="15" t="s">
        <v>78</v>
      </c>
      <c r="C12" s="15" t="s">
        <v>149</v>
      </c>
      <c r="D12" s="15" t="s">
        <v>158</v>
      </c>
      <c r="E12" s="15" t="s">
        <v>166</v>
      </c>
      <c r="F12" s="15" t="s">
        <v>167</v>
      </c>
      <c r="G12" s="15" t="s">
        <v>161</v>
      </c>
      <c r="H12" s="15" t="s">
        <v>168</v>
      </c>
      <c r="I12" s="15" t="s">
        <v>169</v>
      </c>
      <c r="J12" s="16"/>
      <c r="K12" s="14" t="s">
        <v>20</v>
      </c>
      <c r="L12" s="14" t="s">
        <v>108</v>
      </c>
      <c r="M12" s="14" t="s">
        <v>170</v>
      </c>
      <c r="N12" s="14" t="s">
        <v>87</v>
      </c>
      <c r="O12" s="15" t="s">
        <v>88</v>
      </c>
      <c r="P12" s="15" t="s">
        <v>140</v>
      </c>
      <c r="Q12" s="17" t="s">
        <v>90</v>
      </c>
      <c r="R12" s="17"/>
      <c r="S12" s="15" t="s">
        <v>164</v>
      </c>
    </row>
    <row r="13" customFormat="false" ht="43.25" hidden="false" customHeight="false" outlineLevel="0" collapsed="false">
      <c r="A13" s="14" t="s">
        <v>171</v>
      </c>
      <c r="B13" s="15" t="s">
        <v>78</v>
      </c>
      <c r="C13" s="15" t="s">
        <v>149</v>
      </c>
      <c r="D13" s="15" t="s">
        <v>172</v>
      </c>
      <c r="E13" s="15" t="s">
        <v>173</v>
      </c>
      <c r="F13" s="15" t="s">
        <v>174</v>
      </c>
      <c r="G13" s="15" t="s">
        <v>175</v>
      </c>
      <c r="H13" s="15" t="s">
        <v>176</v>
      </c>
      <c r="I13" s="15" t="s">
        <v>177</v>
      </c>
      <c r="J13" s="16"/>
      <c r="K13" s="14" t="s">
        <v>20</v>
      </c>
      <c r="L13" s="14" t="s">
        <v>108</v>
      </c>
      <c r="M13" s="14" t="s">
        <v>78</v>
      </c>
      <c r="N13" s="14" t="s">
        <v>87</v>
      </c>
      <c r="O13" s="15" t="s">
        <v>88</v>
      </c>
      <c r="P13" s="15" t="s">
        <v>89</v>
      </c>
      <c r="Q13" s="17" t="s">
        <v>90</v>
      </c>
      <c r="R13" s="17"/>
      <c r="S13" s="15" t="s">
        <v>178</v>
      </c>
    </row>
    <row r="14" customFormat="false" ht="32.8" hidden="false" customHeight="false" outlineLevel="0" collapsed="false">
      <c r="A14" s="14" t="s">
        <v>179</v>
      </c>
      <c r="B14" s="15" t="s">
        <v>78</v>
      </c>
      <c r="C14" s="15" t="s">
        <v>149</v>
      </c>
      <c r="D14" s="15" t="s">
        <v>172</v>
      </c>
      <c r="E14" s="15" t="s">
        <v>180</v>
      </c>
      <c r="F14" s="15" t="s">
        <v>181</v>
      </c>
      <c r="G14" s="15" t="s">
        <v>182</v>
      </c>
      <c r="H14" s="15" t="s">
        <v>183</v>
      </c>
      <c r="I14" s="15" t="s">
        <v>184</v>
      </c>
      <c r="J14" s="16"/>
      <c r="K14" s="14" t="s">
        <v>20</v>
      </c>
      <c r="L14" s="14" t="s">
        <v>108</v>
      </c>
      <c r="M14" s="14" t="s">
        <v>78</v>
      </c>
      <c r="N14" s="14" t="s">
        <v>87</v>
      </c>
      <c r="O14" s="15" t="s">
        <v>88</v>
      </c>
      <c r="P14" s="15" t="s">
        <v>89</v>
      </c>
      <c r="Q14" s="17" t="s">
        <v>90</v>
      </c>
      <c r="R14" s="17"/>
      <c r="S14" s="15" t="s">
        <v>178</v>
      </c>
    </row>
    <row r="15" customFormat="false" ht="32.8" hidden="false" customHeight="false" outlineLevel="0" collapsed="false">
      <c r="A15" s="14" t="s">
        <v>185</v>
      </c>
      <c r="B15" s="15" t="s">
        <v>78</v>
      </c>
      <c r="C15" s="15" t="s">
        <v>186</v>
      </c>
      <c r="D15" s="15" t="s">
        <v>187</v>
      </c>
      <c r="E15" s="15" t="s">
        <v>188</v>
      </c>
      <c r="F15" s="15" t="s">
        <v>189</v>
      </c>
      <c r="G15" s="15" t="s">
        <v>190</v>
      </c>
      <c r="H15" s="15" t="s">
        <v>191</v>
      </c>
      <c r="I15" s="15" t="s">
        <v>192</v>
      </c>
      <c r="J15" s="16"/>
      <c r="K15" s="14" t="s">
        <v>20</v>
      </c>
      <c r="L15" s="14" t="s">
        <v>108</v>
      </c>
      <c r="M15" s="14" t="s">
        <v>78</v>
      </c>
      <c r="N15" s="14" t="s">
        <v>87</v>
      </c>
      <c r="O15" s="15" t="s">
        <v>88</v>
      </c>
      <c r="P15" s="15" t="s">
        <v>89</v>
      </c>
      <c r="Q15" s="17" t="s">
        <v>90</v>
      </c>
      <c r="R15" s="17"/>
      <c r="S15" s="15" t="s">
        <v>193</v>
      </c>
    </row>
    <row r="16" customFormat="false" ht="43.25" hidden="false" customHeight="false" outlineLevel="0" collapsed="false">
      <c r="A16" s="14" t="s">
        <v>194</v>
      </c>
      <c r="B16" s="15" t="s">
        <v>78</v>
      </c>
      <c r="C16" s="15" t="s">
        <v>186</v>
      </c>
      <c r="D16" s="15" t="s">
        <v>195</v>
      </c>
      <c r="E16" s="15" t="s">
        <v>196</v>
      </c>
      <c r="F16" s="15" t="s">
        <v>197</v>
      </c>
      <c r="G16" s="15" t="s">
        <v>198</v>
      </c>
      <c r="H16" s="15" t="s">
        <v>199</v>
      </c>
      <c r="I16" s="15" t="s">
        <v>200</v>
      </c>
      <c r="J16" s="16"/>
      <c r="K16" s="14" t="s">
        <v>20</v>
      </c>
      <c r="L16" s="14" t="s">
        <v>108</v>
      </c>
      <c r="M16" s="14" t="s">
        <v>78</v>
      </c>
      <c r="N16" s="14" t="s">
        <v>87</v>
      </c>
      <c r="O16" s="15" t="s">
        <v>88</v>
      </c>
      <c r="P16" s="15" t="s">
        <v>89</v>
      </c>
      <c r="Q16" s="17" t="s">
        <v>90</v>
      </c>
      <c r="R16" s="17"/>
      <c r="S16" s="15" t="s">
        <v>201</v>
      </c>
    </row>
    <row r="17" customFormat="false" ht="32.8" hidden="false" customHeight="false" outlineLevel="0" collapsed="false">
      <c r="A17" s="14" t="s">
        <v>202</v>
      </c>
      <c r="B17" s="15" t="s">
        <v>78</v>
      </c>
      <c r="C17" s="15" t="s">
        <v>186</v>
      </c>
      <c r="D17" s="15" t="s">
        <v>203</v>
      </c>
      <c r="E17" s="15" t="s">
        <v>204</v>
      </c>
      <c r="F17" s="15" t="s">
        <v>197</v>
      </c>
      <c r="G17" s="15" t="s">
        <v>205</v>
      </c>
      <c r="H17" s="15" t="s">
        <v>206</v>
      </c>
      <c r="I17" s="15" t="s">
        <v>207</v>
      </c>
      <c r="J17" s="16"/>
      <c r="K17" s="14" t="s">
        <v>19</v>
      </c>
      <c r="L17" s="14" t="s">
        <v>86</v>
      </c>
      <c r="M17" s="14" t="s">
        <v>208</v>
      </c>
      <c r="N17" s="14" t="s">
        <v>87</v>
      </c>
      <c r="O17" s="15" t="s">
        <v>88</v>
      </c>
      <c r="P17" s="15" t="s">
        <v>89</v>
      </c>
      <c r="Q17" s="17" t="s">
        <v>90</v>
      </c>
      <c r="R17" s="17"/>
      <c r="S17" s="15" t="s">
        <v>209</v>
      </c>
    </row>
    <row r="18" customFormat="false" ht="32.8" hidden="false" customHeight="false" outlineLevel="0" collapsed="false">
      <c r="A18" s="14" t="s">
        <v>210</v>
      </c>
      <c r="B18" s="15" t="s">
        <v>78</v>
      </c>
      <c r="C18" s="15" t="s">
        <v>186</v>
      </c>
      <c r="D18" s="15" t="s">
        <v>211</v>
      </c>
      <c r="E18" s="15" t="s">
        <v>212</v>
      </c>
      <c r="F18" s="15" t="s">
        <v>189</v>
      </c>
      <c r="G18" s="15" t="s">
        <v>213</v>
      </c>
      <c r="H18" s="15" t="s">
        <v>214</v>
      </c>
      <c r="I18" s="15" t="s">
        <v>215</v>
      </c>
      <c r="J18" s="16"/>
      <c r="K18" s="14" t="s">
        <v>20</v>
      </c>
      <c r="L18" s="14" t="s">
        <v>108</v>
      </c>
      <c r="M18" s="14" t="s">
        <v>78</v>
      </c>
      <c r="N18" s="14" t="s">
        <v>87</v>
      </c>
      <c r="O18" s="15" t="s">
        <v>88</v>
      </c>
      <c r="P18" s="15" t="s">
        <v>89</v>
      </c>
      <c r="Q18" s="17" t="s">
        <v>90</v>
      </c>
      <c r="R18" s="17"/>
      <c r="S18" s="15" t="s">
        <v>216</v>
      </c>
    </row>
    <row r="19" customFormat="false" ht="32.8" hidden="false" customHeight="false" outlineLevel="0" collapsed="false">
      <c r="A19" s="14" t="s">
        <v>217</v>
      </c>
      <c r="B19" s="15" t="s">
        <v>78</v>
      </c>
      <c r="C19" s="15" t="s">
        <v>186</v>
      </c>
      <c r="D19" s="15" t="s">
        <v>218</v>
      </c>
      <c r="E19" s="15" t="s">
        <v>219</v>
      </c>
      <c r="F19" s="15" t="s">
        <v>220</v>
      </c>
      <c r="G19" s="15" t="s">
        <v>161</v>
      </c>
      <c r="H19" s="15" t="s">
        <v>221</v>
      </c>
      <c r="I19" s="15" t="s">
        <v>222</v>
      </c>
      <c r="J19" s="16"/>
      <c r="K19" s="14" t="s">
        <v>19</v>
      </c>
      <c r="L19" s="14" t="s">
        <v>86</v>
      </c>
      <c r="M19" s="14" t="s">
        <v>170</v>
      </c>
      <c r="N19" s="14" t="s">
        <v>87</v>
      </c>
      <c r="O19" s="15" t="s">
        <v>88</v>
      </c>
      <c r="P19" s="15" t="s">
        <v>89</v>
      </c>
      <c r="Q19" s="17" t="s">
        <v>90</v>
      </c>
      <c r="R19" s="17"/>
      <c r="S19" s="15" t="s">
        <v>223</v>
      </c>
    </row>
    <row r="20" customFormat="false" ht="22.35" hidden="false" customHeight="false" outlineLevel="0" collapsed="false">
      <c r="A20" s="14" t="s">
        <v>224</v>
      </c>
      <c r="B20" s="15" t="s">
        <v>78</v>
      </c>
      <c r="C20" s="15" t="s">
        <v>186</v>
      </c>
      <c r="D20" s="15" t="s">
        <v>225</v>
      </c>
      <c r="E20" s="15" t="s">
        <v>226</v>
      </c>
      <c r="F20" s="15" t="s">
        <v>227</v>
      </c>
      <c r="G20" s="15" t="s">
        <v>228</v>
      </c>
      <c r="H20" s="15" t="s">
        <v>229</v>
      </c>
      <c r="I20" s="15" t="s">
        <v>230</v>
      </c>
      <c r="J20" s="16"/>
      <c r="K20" s="14" t="s">
        <v>19</v>
      </c>
      <c r="L20" s="14" t="s">
        <v>86</v>
      </c>
      <c r="M20" s="14" t="s">
        <v>170</v>
      </c>
      <c r="N20" s="14" t="s">
        <v>87</v>
      </c>
      <c r="O20" s="15" t="s">
        <v>88</v>
      </c>
      <c r="P20" s="15" t="s">
        <v>89</v>
      </c>
      <c r="Q20" s="17" t="s">
        <v>90</v>
      </c>
      <c r="R20" s="17"/>
      <c r="S20" s="15" t="s">
        <v>231</v>
      </c>
    </row>
    <row r="21" customFormat="false" ht="32.8" hidden="false" customHeight="false" outlineLevel="0" collapsed="false">
      <c r="A21" s="14" t="s">
        <v>232</v>
      </c>
      <c r="B21" s="15" t="s">
        <v>78</v>
      </c>
      <c r="C21" s="15" t="s">
        <v>233</v>
      </c>
      <c r="D21" s="15" t="s">
        <v>234</v>
      </c>
      <c r="E21" s="15" t="s">
        <v>235</v>
      </c>
      <c r="F21" s="15" t="s">
        <v>236</v>
      </c>
      <c r="G21" s="15" t="s">
        <v>237</v>
      </c>
      <c r="H21" s="15" t="s">
        <v>238</v>
      </c>
      <c r="I21" s="15" t="s">
        <v>239</v>
      </c>
      <c r="J21" s="16"/>
      <c r="K21" s="14" t="s">
        <v>19</v>
      </c>
      <c r="L21" s="14" t="s">
        <v>86</v>
      </c>
      <c r="M21" s="14" t="s">
        <v>78</v>
      </c>
      <c r="N21" s="14" t="s">
        <v>87</v>
      </c>
      <c r="O21" s="15" t="s">
        <v>88</v>
      </c>
      <c r="P21" s="15" t="s">
        <v>89</v>
      </c>
      <c r="Q21" s="17" t="s">
        <v>90</v>
      </c>
      <c r="R21" s="17"/>
      <c r="S21" s="15" t="s">
        <v>156</v>
      </c>
    </row>
    <row r="22" customFormat="false" ht="32.8" hidden="false" customHeight="false" outlineLevel="0" collapsed="false">
      <c r="A22" s="14" t="s">
        <v>55</v>
      </c>
      <c r="B22" s="15" t="s">
        <v>78</v>
      </c>
      <c r="C22" s="15" t="s">
        <v>233</v>
      </c>
      <c r="D22" s="15" t="s">
        <v>240</v>
      </c>
      <c r="E22" s="15" t="s">
        <v>241</v>
      </c>
      <c r="F22" s="15" t="s">
        <v>242</v>
      </c>
      <c r="G22" s="15" t="s">
        <v>243</v>
      </c>
      <c r="H22" s="15" t="s">
        <v>244</v>
      </c>
      <c r="I22" s="15" t="s">
        <v>245</v>
      </c>
      <c r="J22" s="16"/>
      <c r="K22" s="14" t="s">
        <v>19</v>
      </c>
      <c r="L22" s="14" t="s">
        <v>86</v>
      </c>
      <c r="M22" s="14" t="s">
        <v>78</v>
      </c>
      <c r="N22" s="14" t="s">
        <v>87</v>
      </c>
      <c r="O22" s="15" t="s">
        <v>88</v>
      </c>
      <c r="P22" s="15" t="s">
        <v>89</v>
      </c>
      <c r="Q22" s="17" t="s">
        <v>90</v>
      </c>
      <c r="R22" s="17"/>
      <c r="S22" s="15" t="s">
        <v>246</v>
      </c>
    </row>
    <row r="23" customFormat="false" ht="32.8" hidden="false" customHeight="false" outlineLevel="0" collapsed="false">
      <c r="A23" s="14" t="s">
        <v>247</v>
      </c>
      <c r="B23" s="15" t="s">
        <v>78</v>
      </c>
      <c r="C23" s="15" t="s">
        <v>233</v>
      </c>
      <c r="D23" s="15" t="s">
        <v>248</v>
      </c>
      <c r="E23" s="15" t="s">
        <v>249</v>
      </c>
      <c r="F23" s="15" t="s">
        <v>250</v>
      </c>
      <c r="G23" s="15" t="s">
        <v>251</v>
      </c>
      <c r="H23" s="15" t="s">
        <v>252</v>
      </c>
      <c r="I23" s="15" t="s">
        <v>253</v>
      </c>
      <c r="J23" s="16"/>
      <c r="K23" s="14" t="s">
        <v>19</v>
      </c>
      <c r="L23" s="14" t="s">
        <v>86</v>
      </c>
      <c r="M23" s="14" t="s">
        <v>254</v>
      </c>
      <c r="N23" s="14" t="s">
        <v>87</v>
      </c>
      <c r="O23" s="15" t="s">
        <v>88</v>
      </c>
      <c r="P23" s="15" t="s">
        <v>89</v>
      </c>
      <c r="Q23" s="17" t="s">
        <v>90</v>
      </c>
      <c r="R23" s="17"/>
      <c r="S23" s="15" t="s">
        <v>110</v>
      </c>
    </row>
    <row r="24" customFormat="false" ht="43.25" hidden="false" customHeight="false" outlineLevel="0" collapsed="false">
      <c r="A24" s="14" t="s">
        <v>255</v>
      </c>
      <c r="B24" s="15" t="s">
        <v>78</v>
      </c>
      <c r="C24" s="15" t="s">
        <v>256</v>
      </c>
      <c r="D24" s="15" t="s">
        <v>257</v>
      </c>
      <c r="E24" s="15" t="s">
        <v>258</v>
      </c>
      <c r="F24" s="15" t="s">
        <v>259</v>
      </c>
      <c r="G24" s="15" t="s">
        <v>260</v>
      </c>
      <c r="H24" s="15" t="s">
        <v>261</v>
      </c>
      <c r="I24" s="15" t="s">
        <v>262</v>
      </c>
      <c r="J24" s="16"/>
      <c r="K24" s="14" t="s">
        <v>19</v>
      </c>
      <c r="L24" s="14" t="s">
        <v>86</v>
      </c>
      <c r="M24" s="14" t="s">
        <v>78</v>
      </c>
      <c r="N24" s="14" t="s">
        <v>87</v>
      </c>
      <c r="O24" s="15" t="s">
        <v>88</v>
      </c>
      <c r="P24" s="15" t="s">
        <v>89</v>
      </c>
      <c r="Q24" s="17" t="s">
        <v>90</v>
      </c>
      <c r="R24" s="17"/>
      <c r="S24" s="15" t="s">
        <v>263</v>
      </c>
    </row>
    <row r="25" customFormat="false" ht="43.25" hidden="false" customHeight="false" outlineLevel="0" collapsed="false">
      <c r="A25" s="14" t="s">
        <v>264</v>
      </c>
      <c r="B25" s="15" t="s">
        <v>78</v>
      </c>
      <c r="C25" s="15" t="s">
        <v>256</v>
      </c>
      <c r="D25" s="15" t="s">
        <v>265</v>
      </c>
      <c r="E25" s="15" t="s">
        <v>266</v>
      </c>
      <c r="F25" s="15" t="s">
        <v>259</v>
      </c>
      <c r="G25" s="15" t="s">
        <v>267</v>
      </c>
      <c r="H25" s="15" t="s">
        <v>268</v>
      </c>
      <c r="I25" s="15" t="s">
        <v>269</v>
      </c>
      <c r="J25" s="16"/>
      <c r="K25" s="14" t="s">
        <v>19</v>
      </c>
      <c r="L25" s="14" t="s">
        <v>86</v>
      </c>
      <c r="M25" s="14" t="s">
        <v>78</v>
      </c>
      <c r="N25" s="14" t="s">
        <v>87</v>
      </c>
      <c r="O25" s="15" t="s">
        <v>88</v>
      </c>
      <c r="P25" s="15" t="s">
        <v>89</v>
      </c>
      <c r="Q25" s="17" t="s">
        <v>90</v>
      </c>
      <c r="R25" s="17"/>
      <c r="S25" s="15" t="s">
        <v>263</v>
      </c>
    </row>
    <row r="26" customFormat="false" ht="43.25" hidden="false" customHeight="false" outlineLevel="0" collapsed="false">
      <c r="A26" s="14" t="s">
        <v>270</v>
      </c>
      <c r="B26" s="15" t="s">
        <v>78</v>
      </c>
      <c r="C26" s="15" t="s">
        <v>256</v>
      </c>
      <c r="D26" s="15" t="s">
        <v>271</v>
      </c>
      <c r="E26" s="15" t="s">
        <v>272</v>
      </c>
      <c r="F26" s="15" t="s">
        <v>259</v>
      </c>
      <c r="G26" s="15" t="s">
        <v>273</v>
      </c>
      <c r="H26" s="15" t="s">
        <v>274</v>
      </c>
      <c r="I26" s="15" t="s">
        <v>275</v>
      </c>
      <c r="J26" s="16"/>
      <c r="K26" s="14" t="s">
        <v>19</v>
      </c>
      <c r="L26" s="14" t="s">
        <v>86</v>
      </c>
      <c r="M26" s="14" t="s">
        <v>78</v>
      </c>
      <c r="N26" s="14" t="s">
        <v>87</v>
      </c>
      <c r="O26" s="15" t="s">
        <v>88</v>
      </c>
      <c r="P26" s="15" t="s">
        <v>89</v>
      </c>
      <c r="Q26" s="17" t="s">
        <v>90</v>
      </c>
      <c r="R26" s="17"/>
      <c r="S26" s="15" t="s">
        <v>263</v>
      </c>
    </row>
    <row r="27" customFormat="false" ht="43.25" hidden="false" customHeight="false" outlineLevel="0" collapsed="false">
      <c r="A27" s="14" t="s">
        <v>276</v>
      </c>
      <c r="B27" s="15" t="s">
        <v>78</v>
      </c>
      <c r="C27" s="15" t="s">
        <v>256</v>
      </c>
      <c r="D27" s="15" t="s">
        <v>277</v>
      </c>
      <c r="E27" s="15" t="s">
        <v>278</v>
      </c>
      <c r="F27" s="15" t="s">
        <v>259</v>
      </c>
      <c r="G27" s="15" t="s">
        <v>279</v>
      </c>
      <c r="H27" s="15" t="s">
        <v>280</v>
      </c>
      <c r="I27" s="15" t="s">
        <v>281</v>
      </c>
      <c r="J27" s="16"/>
      <c r="K27" s="14" t="s">
        <v>19</v>
      </c>
      <c r="L27" s="14" t="s">
        <v>86</v>
      </c>
      <c r="M27" s="14" t="s">
        <v>78</v>
      </c>
      <c r="N27" s="14" t="s">
        <v>87</v>
      </c>
      <c r="O27" s="15" t="s">
        <v>88</v>
      </c>
      <c r="P27" s="15" t="s">
        <v>89</v>
      </c>
      <c r="Q27" s="17" t="s">
        <v>90</v>
      </c>
      <c r="R27" s="17"/>
      <c r="S27" s="15" t="s">
        <v>263</v>
      </c>
    </row>
    <row r="28" customFormat="false" ht="43.25" hidden="false" customHeight="false" outlineLevel="0" collapsed="false">
      <c r="A28" s="14" t="s">
        <v>282</v>
      </c>
      <c r="B28" s="15" t="s">
        <v>78</v>
      </c>
      <c r="C28" s="15" t="s">
        <v>256</v>
      </c>
      <c r="D28" s="15" t="s">
        <v>283</v>
      </c>
      <c r="E28" s="15" t="s">
        <v>284</v>
      </c>
      <c r="F28" s="15" t="s">
        <v>259</v>
      </c>
      <c r="G28" s="15" t="s">
        <v>285</v>
      </c>
      <c r="H28" s="15" t="s">
        <v>286</v>
      </c>
      <c r="I28" s="15" t="s">
        <v>287</v>
      </c>
      <c r="J28" s="16"/>
      <c r="K28" s="14" t="s">
        <v>19</v>
      </c>
      <c r="L28" s="14" t="s">
        <v>86</v>
      </c>
      <c r="M28" s="14" t="s">
        <v>78</v>
      </c>
      <c r="N28" s="14" t="s">
        <v>87</v>
      </c>
      <c r="O28" s="15" t="s">
        <v>88</v>
      </c>
      <c r="P28" s="15" t="s">
        <v>89</v>
      </c>
      <c r="Q28" s="17" t="s">
        <v>90</v>
      </c>
      <c r="R28" s="17"/>
      <c r="S28" s="15" t="s">
        <v>263</v>
      </c>
    </row>
    <row r="29" customFormat="false" ht="43.25" hidden="false" customHeight="false" outlineLevel="0" collapsed="false">
      <c r="A29" s="14" t="s">
        <v>288</v>
      </c>
      <c r="B29" s="15" t="s">
        <v>78</v>
      </c>
      <c r="C29" s="15" t="s">
        <v>256</v>
      </c>
      <c r="D29" s="15" t="s">
        <v>289</v>
      </c>
      <c r="E29" s="15" t="s">
        <v>290</v>
      </c>
      <c r="F29" s="15" t="s">
        <v>259</v>
      </c>
      <c r="G29" s="15" t="s">
        <v>285</v>
      </c>
      <c r="H29" s="15" t="s">
        <v>291</v>
      </c>
      <c r="I29" s="15" t="s">
        <v>287</v>
      </c>
      <c r="J29" s="16"/>
      <c r="K29" s="14" t="s">
        <v>19</v>
      </c>
      <c r="L29" s="14" t="s">
        <v>86</v>
      </c>
      <c r="M29" s="14" t="s">
        <v>78</v>
      </c>
      <c r="N29" s="14" t="s">
        <v>87</v>
      </c>
      <c r="O29" s="15" t="s">
        <v>88</v>
      </c>
      <c r="P29" s="15" t="s">
        <v>89</v>
      </c>
      <c r="Q29" s="17" t="s">
        <v>90</v>
      </c>
      <c r="R29" s="17"/>
      <c r="S29" s="15" t="s">
        <v>263</v>
      </c>
    </row>
    <row r="30" customFormat="false" ht="43.25" hidden="false" customHeight="false" outlineLevel="0" collapsed="false">
      <c r="A30" s="14" t="s">
        <v>292</v>
      </c>
      <c r="B30" s="15" t="s">
        <v>78</v>
      </c>
      <c r="C30" s="15" t="s">
        <v>256</v>
      </c>
      <c r="D30" s="15" t="s">
        <v>293</v>
      </c>
      <c r="E30" s="15" t="s">
        <v>294</v>
      </c>
      <c r="F30" s="15" t="s">
        <v>259</v>
      </c>
      <c r="G30" s="15" t="s">
        <v>295</v>
      </c>
      <c r="H30" s="15" t="s">
        <v>296</v>
      </c>
      <c r="I30" s="15" t="s">
        <v>297</v>
      </c>
      <c r="J30" s="16"/>
      <c r="K30" s="14" t="s">
        <v>19</v>
      </c>
      <c r="L30" s="14" t="s">
        <v>86</v>
      </c>
      <c r="M30" s="14" t="s">
        <v>78</v>
      </c>
      <c r="N30" s="14" t="s">
        <v>87</v>
      </c>
      <c r="O30" s="15" t="s">
        <v>88</v>
      </c>
      <c r="P30" s="15" t="s">
        <v>89</v>
      </c>
      <c r="Q30" s="17" t="s">
        <v>90</v>
      </c>
      <c r="R30" s="17"/>
      <c r="S30" s="15" t="s">
        <v>263</v>
      </c>
    </row>
    <row r="31" customFormat="false" ht="43.25" hidden="false" customHeight="false" outlineLevel="0" collapsed="false">
      <c r="A31" s="14" t="s">
        <v>298</v>
      </c>
      <c r="B31" s="15" t="s">
        <v>78</v>
      </c>
      <c r="C31" s="15" t="s">
        <v>256</v>
      </c>
      <c r="D31" s="15" t="s">
        <v>299</v>
      </c>
      <c r="E31" s="15" t="s">
        <v>300</v>
      </c>
      <c r="F31" s="15" t="s">
        <v>259</v>
      </c>
      <c r="G31" s="15" t="s">
        <v>295</v>
      </c>
      <c r="H31" s="15" t="s">
        <v>301</v>
      </c>
      <c r="I31" s="15" t="s">
        <v>297</v>
      </c>
      <c r="J31" s="16"/>
      <c r="K31" s="14" t="s">
        <v>19</v>
      </c>
      <c r="L31" s="14" t="s">
        <v>86</v>
      </c>
      <c r="M31" s="14" t="s">
        <v>78</v>
      </c>
      <c r="N31" s="14" t="s">
        <v>87</v>
      </c>
      <c r="O31" s="15" t="s">
        <v>88</v>
      </c>
      <c r="P31" s="15" t="s">
        <v>89</v>
      </c>
      <c r="Q31" s="17" t="s">
        <v>90</v>
      </c>
      <c r="R31" s="17"/>
      <c r="S31" s="15" t="s">
        <v>263</v>
      </c>
    </row>
    <row r="32" customFormat="false" ht="43.25" hidden="false" customHeight="false" outlineLevel="0" collapsed="false">
      <c r="A32" s="14" t="s">
        <v>302</v>
      </c>
      <c r="B32" s="15" t="s">
        <v>78</v>
      </c>
      <c r="C32" s="15" t="s">
        <v>256</v>
      </c>
      <c r="D32" s="15" t="s">
        <v>303</v>
      </c>
      <c r="E32" s="15" t="s">
        <v>304</v>
      </c>
      <c r="F32" s="15" t="s">
        <v>259</v>
      </c>
      <c r="G32" s="15" t="s">
        <v>295</v>
      </c>
      <c r="H32" s="15" t="s">
        <v>305</v>
      </c>
      <c r="I32" s="15" t="s">
        <v>297</v>
      </c>
      <c r="J32" s="16"/>
      <c r="K32" s="14" t="s">
        <v>19</v>
      </c>
      <c r="L32" s="14" t="s">
        <v>86</v>
      </c>
      <c r="M32" s="14" t="s">
        <v>78</v>
      </c>
      <c r="N32" s="14" t="s">
        <v>87</v>
      </c>
      <c r="O32" s="15" t="s">
        <v>88</v>
      </c>
      <c r="P32" s="15" t="s">
        <v>89</v>
      </c>
      <c r="Q32" s="17" t="s">
        <v>90</v>
      </c>
      <c r="R32" s="17"/>
      <c r="S32" s="15" t="s">
        <v>263</v>
      </c>
    </row>
    <row r="33" customFormat="false" ht="43.25" hidden="false" customHeight="false" outlineLevel="0" collapsed="false">
      <c r="A33" s="14" t="s">
        <v>306</v>
      </c>
      <c r="B33" s="15" t="s">
        <v>78</v>
      </c>
      <c r="C33" s="15" t="s">
        <v>256</v>
      </c>
      <c r="D33" s="15" t="s">
        <v>307</v>
      </c>
      <c r="E33" s="15" t="s">
        <v>308</v>
      </c>
      <c r="F33" s="15" t="s">
        <v>259</v>
      </c>
      <c r="G33" s="15" t="s">
        <v>309</v>
      </c>
      <c r="H33" s="15" t="s">
        <v>310</v>
      </c>
      <c r="I33" s="15" t="s">
        <v>311</v>
      </c>
      <c r="J33" s="16"/>
      <c r="K33" s="14" t="s">
        <v>19</v>
      </c>
      <c r="L33" s="14" t="s">
        <v>86</v>
      </c>
      <c r="M33" s="14" t="s">
        <v>78</v>
      </c>
      <c r="N33" s="14" t="s">
        <v>87</v>
      </c>
      <c r="O33" s="15" t="s">
        <v>88</v>
      </c>
      <c r="P33" s="15" t="s">
        <v>89</v>
      </c>
      <c r="Q33" s="17" t="s">
        <v>90</v>
      </c>
      <c r="R33" s="17"/>
      <c r="S33" s="15" t="s">
        <v>263</v>
      </c>
    </row>
    <row r="34" customFormat="false" ht="43.25" hidden="false" customHeight="false" outlineLevel="0" collapsed="false">
      <c r="A34" s="14" t="s">
        <v>312</v>
      </c>
      <c r="B34" s="15" t="s">
        <v>78</v>
      </c>
      <c r="C34" s="15" t="s">
        <v>256</v>
      </c>
      <c r="D34" s="15" t="s">
        <v>313</v>
      </c>
      <c r="E34" s="15" t="s">
        <v>314</v>
      </c>
      <c r="F34" s="15" t="s">
        <v>259</v>
      </c>
      <c r="G34" s="15" t="s">
        <v>309</v>
      </c>
      <c r="H34" s="15" t="s">
        <v>315</v>
      </c>
      <c r="I34" s="15" t="s">
        <v>311</v>
      </c>
      <c r="J34" s="16"/>
      <c r="K34" s="14" t="s">
        <v>19</v>
      </c>
      <c r="L34" s="14" t="s">
        <v>86</v>
      </c>
      <c r="M34" s="14" t="s">
        <v>78</v>
      </c>
      <c r="N34" s="14" t="s">
        <v>87</v>
      </c>
      <c r="O34" s="15" t="s">
        <v>88</v>
      </c>
      <c r="P34" s="15" t="s">
        <v>89</v>
      </c>
      <c r="Q34" s="17" t="s">
        <v>90</v>
      </c>
      <c r="R34" s="17"/>
      <c r="S34" s="15" t="s">
        <v>263</v>
      </c>
    </row>
    <row r="35" customFormat="false" ht="22.35" hidden="false" customHeight="false" outlineLevel="0" collapsed="false">
      <c r="A35" s="14" t="s">
        <v>316</v>
      </c>
      <c r="B35" s="15" t="s">
        <v>78</v>
      </c>
      <c r="C35" s="15" t="s">
        <v>256</v>
      </c>
      <c r="D35" s="15" t="s">
        <v>317</v>
      </c>
      <c r="E35" s="15" t="s">
        <v>318</v>
      </c>
      <c r="F35" s="15" t="s">
        <v>319</v>
      </c>
      <c r="G35" s="15" t="s">
        <v>320</v>
      </c>
      <c r="H35" s="15" t="s">
        <v>321</v>
      </c>
      <c r="I35" s="15" t="s">
        <v>322</v>
      </c>
      <c r="J35" s="16"/>
      <c r="K35" s="14" t="s">
        <v>19</v>
      </c>
      <c r="L35" s="14" t="s">
        <v>86</v>
      </c>
      <c r="M35" s="14" t="s">
        <v>78</v>
      </c>
      <c r="N35" s="14" t="s">
        <v>87</v>
      </c>
      <c r="O35" s="15" t="s">
        <v>88</v>
      </c>
      <c r="P35" s="15" t="s">
        <v>89</v>
      </c>
      <c r="Q35" s="17" t="s">
        <v>90</v>
      </c>
      <c r="R35" s="17"/>
      <c r="S35" s="15" t="s">
        <v>323</v>
      </c>
    </row>
    <row r="36" customFormat="false" ht="32.8" hidden="false" customHeight="false" outlineLevel="0" collapsed="false">
      <c r="A36" s="14" t="s">
        <v>324</v>
      </c>
      <c r="B36" s="15" t="s">
        <v>78</v>
      </c>
      <c r="C36" s="15" t="s">
        <v>256</v>
      </c>
      <c r="D36" s="15" t="s">
        <v>325</v>
      </c>
      <c r="E36" s="15" t="s">
        <v>326</v>
      </c>
      <c r="F36" s="15" t="s">
        <v>327</v>
      </c>
      <c r="G36" s="15" t="s">
        <v>328</v>
      </c>
      <c r="H36" s="15" t="s">
        <v>329</v>
      </c>
      <c r="I36" s="15" t="s">
        <v>330</v>
      </c>
      <c r="J36" s="16"/>
      <c r="K36" s="14" t="s">
        <v>21</v>
      </c>
      <c r="L36" s="14" t="s">
        <v>99</v>
      </c>
      <c r="M36" s="14" t="s">
        <v>78</v>
      </c>
      <c r="N36" s="14" t="s">
        <v>109</v>
      </c>
      <c r="O36" s="15" t="s">
        <v>88</v>
      </c>
      <c r="P36" s="15" t="s">
        <v>89</v>
      </c>
      <c r="Q36" s="17" t="s">
        <v>90</v>
      </c>
      <c r="R36" s="17"/>
      <c r="S36" s="15" t="s">
        <v>331</v>
      </c>
    </row>
    <row r="37" customFormat="false" ht="22.35" hidden="false" customHeight="false" outlineLevel="0" collapsed="false">
      <c r="A37" s="14" t="s">
        <v>332</v>
      </c>
      <c r="B37" s="15" t="s">
        <v>78</v>
      </c>
      <c r="C37" s="15" t="s">
        <v>256</v>
      </c>
      <c r="D37" s="15" t="s">
        <v>333</v>
      </c>
      <c r="E37" s="15" t="s">
        <v>334</v>
      </c>
      <c r="F37" s="15" t="s">
        <v>335</v>
      </c>
      <c r="G37" s="15" t="s">
        <v>96</v>
      </c>
      <c r="H37" s="15" t="s">
        <v>336</v>
      </c>
      <c r="I37" s="15" t="s">
        <v>337</v>
      </c>
      <c r="J37" s="16"/>
      <c r="K37" s="14" t="s">
        <v>22</v>
      </c>
      <c r="L37" s="14" t="s">
        <v>338</v>
      </c>
      <c r="M37" s="14" t="s">
        <v>170</v>
      </c>
      <c r="N37" s="14" t="s">
        <v>109</v>
      </c>
      <c r="O37" s="15" t="s">
        <v>88</v>
      </c>
      <c r="P37" s="15" t="s">
        <v>89</v>
      </c>
      <c r="Q37" s="17" t="s">
        <v>90</v>
      </c>
      <c r="R37" s="17"/>
      <c r="S37" s="15" t="s">
        <v>331</v>
      </c>
    </row>
    <row r="38" customFormat="false" ht="32.8" hidden="false" customHeight="false" outlineLevel="0" collapsed="false">
      <c r="A38" s="14" t="s">
        <v>339</v>
      </c>
      <c r="B38" s="15" t="s">
        <v>78</v>
      </c>
      <c r="C38" s="15" t="s">
        <v>256</v>
      </c>
      <c r="D38" s="15" t="s">
        <v>340</v>
      </c>
      <c r="E38" s="15" t="s">
        <v>341</v>
      </c>
      <c r="F38" s="15" t="s">
        <v>342</v>
      </c>
      <c r="G38" s="15" t="s">
        <v>343</v>
      </c>
      <c r="H38" s="15" t="s">
        <v>344</v>
      </c>
      <c r="I38" s="15" t="s">
        <v>345</v>
      </c>
      <c r="J38" s="16"/>
      <c r="K38" s="14" t="s">
        <v>19</v>
      </c>
      <c r="L38" s="14" t="s">
        <v>108</v>
      </c>
      <c r="M38" s="14" t="s">
        <v>78</v>
      </c>
      <c r="N38" s="14" t="s">
        <v>346</v>
      </c>
      <c r="O38" s="15" t="s">
        <v>88</v>
      </c>
      <c r="P38" s="15" t="s">
        <v>89</v>
      </c>
      <c r="Q38" s="17" t="s">
        <v>90</v>
      </c>
      <c r="R38" s="17"/>
      <c r="S38" s="15" t="s">
        <v>347</v>
      </c>
    </row>
    <row r="39" customFormat="false" ht="22.35" hidden="false" customHeight="false" outlineLevel="0" collapsed="false">
      <c r="A39" s="14" t="s">
        <v>348</v>
      </c>
      <c r="B39" s="15" t="s">
        <v>78</v>
      </c>
      <c r="C39" s="15" t="s">
        <v>349</v>
      </c>
      <c r="D39" s="15" t="s">
        <v>350</v>
      </c>
      <c r="E39" s="15" t="s">
        <v>351</v>
      </c>
      <c r="F39" s="15" t="s">
        <v>352</v>
      </c>
      <c r="G39" s="15" t="s">
        <v>353</v>
      </c>
      <c r="H39" s="15" t="s">
        <v>354</v>
      </c>
      <c r="I39" s="15" t="s">
        <v>355</v>
      </c>
      <c r="J39" s="16"/>
      <c r="K39" s="14" t="s">
        <v>19</v>
      </c>
      <c r="L39" s="14" t="s">
        <v>86</v>
      </c>
      <c r="M39" s="14" t="s">
        <v>78</v>
      </c>
      <c r="N39" s="14" t="s">
        <v>87</v>
      </c>
      <c r="O39" s="15" t="s">
        <v>88</v>
      </c>
      <c r="P39" s="15" t="s">
        <v>140</v>
      </c>
      <c r="Q39" s="17" t="s">
        <v>90</v>
      </c>
      <c r="R39" s="17"/>
      <c r="S39" s="15" t="s">
        <v>356</v>
      </c>
    </row>
    <row r="40" customFormat="false" ht="22.35" hidden="false" customHeight="false" outlineLevel="0" collapsed="false">
      <c r="A40" s="14" t="s">
        <v>357</v>
      </c>
      <c r="B40" s="15" t="s">
        <v>78</v>
      </c>
      <c r="C40" s="15" t="s">
        <v>349</v>
      </c>
      <c r="D40" s="15" t="s">
        <v>358</v>
      </c>
      <c r="E40" s="15" t="s">
        <v>359</v>
      </c>
      <c r="F40" s="15" t="s">
        <v>360</v>
      </c>
      <c r="G40" s="15" t="s">
        <v>361</v>
      </c>
      <c r="H40" s="15" t="s">
        <v>362</v>
      </c>
      <c r="I40" s="15" t="s">
        <v>363</v>
      </c>
      <c r="J40" s="16"/>
      <c r="K40" s="14" t="s">
        <v>19</v>
      </c>
      <c r="L40" s="14" t="s">
        <v>86</v>
      </c>
      <c r="M40" s="14" t="s">
        <v>78</v>
      </c>
      <c r="N40" s="14" t="s">
        <v>87</v>
      </c>
      <c r="O40" s="15" t="s">
        <v>88</v>
      </c>
      <c r="P40" s="15" t="s">
        <v>140</v>
      </c>
      <c r="Q40" s="17" t="s">
        <v>90</v>
      </c>
      <c r="R40" s="17"/>
      <c r="S40" s="15" t="s">
        <v>364</v>
      </c>
    </row>
    <row r="41" customFormat="false" ht="32.8" hidden="false" customHeight="false" outlineLevel="0" collapsed="false">
      <c r="A41" s="14" t="s">
        <v>365</v>
      </c>
      <c r="B41" s="15" t="s">
        <v>78</v>
      </c>
      <c r="C41" s="15" t="s">
        <v>349</v>
      </c>
      <c r="D41" s="15" t="s">
        <v>366</v>
      </c>
      <c r="E41" s="15" t="s">
        <v>367</v>
      </c>
      <c r="F41" s="15" t="s">
        <v>360</v>
      </c>
      <c r="G41" s="15" t="s">
        <v>368</v>
      </c>
      <c r="H41" s="15" t="s">
        <v>369</v>
      </c>
      <c r="I41" s="15" t="s">
        <v>370</v>
      </c>
      <c r="J41" s="16"/>
      <c r="K41" s="14" t="s">
        <v>19</v>
      </c>
      <c r="L41" s="14" t="s">
        <v>86</v>
      </c>
      <c r="M41" s="14" t="s">
        <v>78</v>
      </c>
      <c r="N41" s="14" t="s">
        <v>87</v>
      </c>
      <c r="O41" s="15" t="s">
        <v>88</v>
      </c>
      <c r="P41" s="15" t="s">
        <v>140</v>
      </c>
      <c r="Q41" s="17" t="s">
        <v>90</v>
      </c>
      <c r="R41" s="17"/>
      <c r="S41" s="15" t="s">
        <v>371</v>
      </c>
    </row>
    <row r="42" customFormat="false" ht="43.25" hidden="false" customHeight="false" outlineLevel="0" collapsed="false">
      <c r="A42" s="14" t="s">
        <v>372</v>
      </c>
      <c r="B42" s="15" t="s">
        <v>78</v>
      </c>
      <c r="C42" s="15" t="s">
        <v>349</v>
      </c>
      <c r="D42" s="15" t="s">
        <v>373</v>
      </c>
      <c r="E42" s="15" t="s">
        <v>374</v>
      </c>
      <c r="F42" s="15" t="s">
        <v>360</v>
      </c>
      <c r="G42" s="15" t="s">
        <v>375</v>
      </c>
      <c r="H42" s="15" t="s">
        <v>362</v>
      </c>
      <c r="I42" s="15" t="s">
        <v>376</v>
      </c>
      <c r="J42" s="16"/>
      <c r="K42" s="14" t="s">
        <v>19</v>
      </c>
      <c r="L42" s="14" t="s">
        <v>86</v>
      </c>
      <c r="M42" s="14" t="s">
        <v>78</v>
      </c>
      <c r="N42" s="14" t="s">
        <v>87</v>
      </c>
      <c r="O42" s="15" t="s">
        <v>88</v>
      </c>
      <c r="P42" s="15" t="s">
        <v>140</v>
      </c>
      <c r="Q42" s="17" t="s">
        <v>90</v>
      </c>
      <c r="R42" s="17"/>
      <c r="S42" s="15" t="s">
        <v>377</v>
      </c>
    </row>
    <row r="43" customFormat="false" ht="22.35" hidden="false" customHeight="false" outlineLevel="0" collapsed="false">
      <c r="A43" s="14" t="s">
        <v>378</v>
      </c>
      <c r="B43" s="15" t="s">
        <v>78</v>
      </c>
      <c r="C43" s="15" t="s">
        <v>349</v>
      </c>
      <c r="D43" s="15" t="s">
        <v>379</v>
      </c>
      <c r="E43" s="15" t="s">
        <v>380</v>
      </c>
      <c r="F43" s="15" t="s">
        <v>360</v>
      </c>
      <c r="G43" s="15" t="s">
        <v>381</v>
      </c>
      <c r="H43" s="15" t="s">
        <v>362</v>
      </c>
      <c r="I43" s="15" t="s">
        <v>382</v>
      </c>
      <c r="J43" s="16"/>
      <c r="K43" s="14" t="s">
        <v>19</v>
      </c>
      <c r="L43" s="14" t="s">
        <v>86</v>
      </c>
      <c r="M43" s="14" t="s">
        <v>78</v>
      </c>
      <c r="N43" s="14" t="s">
        <v>87</v>
      </c>
      <c r="O43" s="15" t="s">
        <v>88</v>
      </c>
      <c r="P43" s="15" t="s">
        <v>140</v>
      </c>
      <c r="Q43" s="17" t="s">
        <v>90</v>
      </c>
      <c r="R43" s="17"/>
      <c r="S43" s="15" t="s">
        <v>383</v>
      </c>
    </row>
    <row r="44" customFormat="false" ht="32.8" hidden="false" customHeight="false" outlineLevel="0" collapsed="false">
      <c r="A44" s="14" t="s">
        <v>384</v>
      </c>
      <c r="B44" s="15" t="s">
        <v>78</v>
      </c>
      <c r="C44" s="15" t="s">
        <v>349</v>
      </c>
      <c r="D44" s="15" t="s">
        <v>385</v>
      </c>
      <c r="E44" s="15" t="s">
        <v>386</v>
      </c>
      <c r="F44" s="15" t="s">
        <v>360</v>
      </c>
      <c r="G44" s="15" t="s">
        <v>387</v>
      </c>
      <c r="H44" s="15" t="s">
        <v>388</v>
      </c>
      <c r="I44" s="15" t="s">
        <v>389</v>
      </c>
      <c r="J44" s="16"/>
      <c r="K44" s="14" t="s">
        <v>19</v>
      </c>
      <c r="L44" s="14" t="s">
        <v>86</v>
      </c>
      <c r="M44" s="14" t="s">
        <v>78</v>
      </c>
      <c r="N44" s="14" t="s">
        <v>87</v>
      </c>
      <c r="O44" s="15" t="s">
        <v>88</v>
      </c>
      <c r="P44" s="15" t="s">
        <v>140</v>
      </c>
      <c r="Q44" s="17" t="s">
        <v>90</v>
      </c>
      <c r="R44" s="17"/>
      <c r="S44" s="15" t="s">
        <v>390</v>
      </c>
    </row>
    <row r="45" customFormat="false" ht="22.35" hidden="false" customHeight="false" outlineLevel="0" collapsed="false">
      <c r="A45" s="14" t="s">
        <v>391</v>
      </c>
      <c r="B45" s="15" t="s">
        <v>78</v>
      </c>
      <c r="C45" s="15" t="s">
        <v>349</v>
      </c>
      <c r="D45" s="15" t="s">
        <v>392</v>
      </c>
      <c r="E45" s="15" t="s">
        <v>393</v>
      </c>
      <c r="F45" s="15" t="s">
        <v>394</v>
      </c>
      <c r="G45" s="15" t="s">
        <v>395</v>
      </c>
      <c r="H45" s="15" t="s">
        <v>396</v>
      </c>
      <c r="I45" s="15" t="s">
        <v>397</v>
      </c>
      <c r="J45" s="16"/>
      <c r="K45" s="14" t="s">
        <v>21</v>
      </c>
      <c r="L45" s="14" t="s">
        <v>338</v>
      </c>
      <c r="M45" s="14" t="s">
        <v>78</v>
      </c>
      <c r="N45" s="14" t="s">
        <v>87</v>
      </c>
      <c r="O45" s="15" t="s">
        <v>88</v>
      </c>
      <c r="P45" s="15" t="s">
        <v>398</v>
      </c>
      <c r="Q45" s="17" t="s">
        <v>90</v>
      </c>
      <c r="R45" s="17"/>
      <c r="S45" s="15" t="s">
        <v>399</v>
      </c>
    </row>
    <row r="46" customFormat="false" ht="22.35" hidden="false" customHeight="false" outlineLevel="0" collapsed="false">
      <c r="A46" s="14" t="s">
        <v>400</v>
      </c>
      <c r="B46" s="15" t="s">
        <v>78</v>
      </c>
      <c r="C46" s="15" t="s">
        <v>401</v>
      </c>
      <c r="D46" s="15" t="s">
        <v>402</v>
      </c>
      <c r="E46" s="15" t="s">
        <v>403</v>
      </c>
      <c r="F46" s="15" t="s">
        <v>404</v>
      </c>
      <c r="G46" s="15" t="s">
        <v>405</v>
      </c>
      <c r="H46" s="15" t="s">
        <v>406</v>
      </c>
      <c r="I46" s="15" t="s">
        <v>407</v>
      </c>
      <c r="J46" s="16"/>
      <c r="K46" s="14" t="s">
        <v>19</v>
      </c>
      <c r="L46" s="14" t="s">
        <v>108</v>
      </c>
      <c r="M46" s="14" t="s">
        <v>78</v>
      </c>
      <c r="N46" s="14" t="s">
        <v>87</v>
      </c>
      <c r="O46" s="15" t="s">
        <v>88</v>
      </c>
      <c r="P46" s="15" t="s">
        <v>398</v>
      </c>
      <c r="Q46" s="17" t="s">
        <v>90</v>
      </c>
      <c r="R46" s="17"/>
      <c r="S46" s="15" t="s">
        <v>408</v>
      </c>
    </row>
    <row r="47" customFormat="false" ht="32.8" hidden="false" customHeight="false" outlineLevel="0" collapsed="false">
      <c r="A47" s="14" t="s">
        <v>409</v>
      </c>
      <c r="B47" s="15" t="s">
        <v>78</v>
      </c>
      <c r="C47" s="15" t="s">
        <v>401</v>
      </c>
      <c r="D47" s="15" t="s">
        <v>410</v>
      </c>
      <c r="E47" s="15" t="s">
        <v>411</v>
      </c>
      <c r="F47" s="15" t="s">
        <v>360</v>
      </c>
      <c r="G47" s="15" t="s">
        <v>412</v>
      </c>
      <c r="H47" s="15" t="s">
        <v>362</v>
      </c>
      <c r="I47" s="15" t="s">
        <v>413</v>
      </c>
      <c r="J47" s="16"/>
      <c r="K47" s="14" t="s">
        <v>19</v>
      </c>
      <c r="L47" s="14" t="s">
        <v>86</v>
      </c>
      <c r="M47" s="14" t="s">
        <v>78</v>
      </c>
      <c r="N47" s="14" t="s">
        <v>87</v>
      </c>
      <c r="O47" s="15" t="s">
        <v>88</v>
      </c>
      <c r="P47" s="15" t="s">
        <v>140</v>
      </c>
      <c r="Q47" s="17" t="s">
        <v>90</v>
      </c>
      <c r="R47" s="17"/>
      <c r="S47" s="15" t="s">
        <v>408</v>
      </c>
    </row>
    <row r="48" customFormat="false" ht="32.8" hidden="false" customHeight="false" outlineLevel="0" collapsed="false">
      <c r="A48" s="14" t="s">
        <v>414</v>
      </c>
      <c r="B48" s="15" t="s">
        <v>78</v>
      </c>
      <c r="C48" s="15" t="s">
        <v>401</v>
      </c>
      <c r="D48" s="15" t="s">
        <v>415</v>
      </c>
      <c r="E48" s="15" t="s">
        <v>416</v>
      </c>
      <c r="F48" s="15" t="s">
        <v>360</v>
      </c>
      <c r="G48" s="15" t="s">
        <v>417</v>
      </c>
      <c r="H48" s="15" t="s">
        <v>362</v>
      </c>
      <c r="I48" s="15" t="s">
        <v>418</v>
      </c>
      <c r="J48" s="16"/>
      <c r="K48" s="14" t="s">
        <v>19</v>
      </c>
      <c r="L48" s="14" t="s">
        <v>86</v>
      </c>
      <c r="M48" s="14" t="s">
        <v>170</v>
      </c>
      <c r="N48" s="14" t="s">
        <v>87</v>
      </c>
      <c r="O48" s="15" t="s">
        <v>88</v>
      </c>
      <c r="P48" s="15" t="s">
        <v>140</v>
      </c>
      <c r="Q48" s="17" t="s">
        <v>90</v>
      </c>
      <c r="R48" s="17"/>
      <c r="S48" s="15" t="s">
        <v>419</v>
      </c>
    </row>
    <row r="49" customFormat="false" ht="32.8" hidden="false" customHeight="false" outlineLevel="0" collapsed="false">
      <c r="A49" s="14" t="s">
        <v>420</v>
      </c>
      <c r="B49" s="15" t="s">
        <v>78</v>
      </c>
      <c r="C49" s="15" t="s">
        <v>401</v>
      </c>
      <c r="D49" s="15" t="s">
        <v>421</v>
      </c>
      <c r="E49" s="15" t="s">
        <v>422</v>
      </c>
      <c r="F49" s="15" t="s">
        <v>360</v>
      </c>
      <c r="G49" s="15" t="s">
        <v>423</v>
      </c>
      <c r="H49" s="15" t="s">
        <v>424</v>
      </c>
      <c r="I49" s="15" t="s">
        <v>425</v>
      </c>
      <c r="J49" s="16"/>
      <c r="K49" s="14" t="s">
        <v>19</v>
      </c>
      <c r="L49" s="14" t="s">
        <v>86</v>
      </c>
      <c r="M49" s="14" t="s">
        <v>78</v>
      </c>
      <c r="N49" s="14" t="s">
        <v>87</v>
      </c>
      <c r="O49" s="15" t="s">
        <v>88</v>
      </c>
      <c r="P49" s="15" t="s">
        <v>140</v>
      </c>
      <c r="Q49" s="17" t="s">
        <v>90</v>
      </c>
      <c r="R49" s="17"/>
      <c r="S49" s="15" t="s">
        <v>426</v>
      </c>
    </row>
    <row r="50" customFormat="false" ht="32.8" hidden="false" customHeight="false" outlineLevel="0" collapsed="false">
      <c r="A50" s="14" t="s">
        <v>427</v>
      </c>
      <c r="B50" s="15" t="s">
        <v>78</v>
      </c>
      <c r="C50" s="15" t="s">
        <v>401</v>
      </c>
      <c r="D50" s="15" t="s">
        <v>428</v>
      </c>
      <c r="E50" s="15" t="s">
        <v>429</v>
      </c>
      <c r="F50" s="15" t="s">
        <v>360</v>
      </c>
      <c r="G50" s="15" t="s">
        <v>430</v>
      </c>
      <c r="H50" s="15" t="s">
        <v>362</v>
      </c>
      <c r="I50" s="15" t="s">
        <v>431</v>
      </c>
      <c r="J50" s="16"/>
      <c r="K50" s="14" t="s">
        <v>21</v>
      </c>
      <c r="L50" s="14" t="s">
        <v>99</v>
      </c>
      <c r="M50" s="14" t="s">
        <v>170</v>
      </c>
      <c r="N50" s="14" t="s">
        <v>87</v>
      </c>
      <c r="O50" s="15" t="s">
        <v>88</v>
      </c>
      <c r="P50" s="15" t="s">
        <v>140</v>
      </c>
      <c r="Q50" s="17" t="s">
        <v>90</v>
      </c>
      <c r="R50" s="17"/>
      <c r="S50" s="15" t="s">
        <v>408</v>
      </c>
    </row>
    <row r="51" customFormat="false" ht="22.35" hidden="false" customHeight="false" outlineLevel="0" collapsed="false">
      <c r="A51" s="14" t="s">
        <v>432</v>
      </c>
      <c r="B51" s="15" t="s">
        <v>78</v>
      </c>
      <c r="C51" s="15" t="s">
        <v>433</v>
      </c>
      <c r="D51" s="15" t="s">
        <v>434</v>
      </c>
      <c r="E51" s="15" t="s">
        <v>435</v>
      </c>
      <c r="F51" s="15" t="s">
        <v>360</v>
      </c>
      <c r="G51" s="15" t="s">
        <v>436</v>
      </c>
      <c r="H51" s="15" t="s">
        <v>362</v>
      </c>
      <c r="I51" s="15" t="s">
        <v>437</v>
      </c>
      <c r="J51" s="16"/>
      <c r="K51" s="14" t="s">
        <v>19</v>
      </c>
      <c r="L51" s="14" t="s">
        <v>86</v>
      </c>
      <c r="M51" s="14" t="s">
        <v>78</v>
      </c>
      <c r="N51" s="14" t="s">
        <v>87</v>
      </c>
      <c r="O51" s="15" t="s">
        <v>88</v>
      </c>
      <c r="P51" s="15" t="s">
        <v>89</v>
      </c>
      <c r="Q51" s="17" t="s">
        <v>90</v>
      </c>
      <c r="R51" s="17"/>
      <c r="S51" s="15" t="s">
        <v>438</v>
      </c>
    </row>
    <row r="52" customFormat="false" ht="22.35" hidden="false" customHeight="false" outlineLevel="0" collapsed="false">
      <c r="A52" s="14" t="s">
        <v>439</v>
      </c>
      <c r="B52" s="15" t="s">
        <v>78</v>
      </c>
      <c r="C52" s="15" t="s">
        <v>433</v>
      </c>
      <c r="D52" s="15" t="s">
        <v>440</v>
      </c>
      <c r="E52" s="15" t="s">
        <v>441</v>
      </c>
      <c r="F52" s="15" t="s">
        <v>360</v>
      </c>
      <c r="G52" s="15" t="s">
        <v>442</v>
      </c>
      <c r="H52" s="15" t="s">
        <v>362</v>
      </c>
      <c r="I52" s="15" t="s">
        <v>443</v>
      </c>
      <c r="J52" s="16"/>
      <c r="K52" s="14" t="s">
        <v>19</v>
      </c>
      <c r="L52" s="14" t="s">
        <v>86</v>
      </c>
      <c r="M52" s="14" t="s">
        <v>170</v>
      </c>
      <c r="N52" s="14" t="s">
        <v>87</v>
      </c>
      <c r="O52" s="15" t="s">
        <v>88</v>
      </c>
      <c r="P52" s="15" t="s">
        <v>89</v>
      </c>
      <c r="Q52" s="17" t="s">
        <v>90</v>
      </c>
      <c r="R52" s="17"/>
      <c r="S52" s="15" t="s">
        <v>444</v>
      </c>
    </row>
    <row r="53" customFormat="false" ht="22.35" hidden="false" customHeight="false" outlineLevel="0" collapsed="false">
      <c r="A53" s="14" t="s">
        <v>445</v>
      </c>
      <c r="B53" s="15" t="s">
        <v>78</v>
      </c>
      <c r="C53" s="15" t="s">
        <v>433</v>
      </c>
      <c r="D53" s="15" t="s">
        <v>446</v>
      </c>
      <c r="E53" s="15" t="s">
        <v>447</v>
      </c>
      <c r="F53" s="15" t="s">
        <v>448</v>
      </c>
      <c r="G53" s="15" t="s">
        <v>449</v>
      </c>
      <c r="H53" s="15" t="s">
        <v>450</v>
      </c>
      <c r="I53" s="15" t="s">
        <v>451</v>
      </c>
      <c r="J53" s="16"/>
      <c r="K53" s="14" t="s">
        <v>21</v>
      </c>
      <c r="L53" s="14" t="s">
        <v>99</v>
      </c>
      <c r="M53" s="14" t="s">
        <v>78</v>
      </c>
      <c r="N53" s="14" t="s">
        <v>87</v>
      </c>
      <c r="O53" s="15" t="s">
        <v>88</v>
      </c>
      <c r="P53" s="15" t="s">
        <v>398</v>
      </c>
      <c r="Q53" s="17" t="s">
        <v>90</v>
      </c>
      <c r="R53" s="17"/>
      <c r="S53" s="15" t="s">
        <v>452</v>
      </c>
    </row>
    <row r="54" customFormat="false" ht="22.35" hidden="false" customHeight="false" outlineLevel="0" collapsed="false">
      <c r="A54" s="14" t="s">
        <v>453</v>
      </c>
      <c r="B54" s="15" t="s">
        <v>78</v>
      </c>
      <c r="C54" s="15" t="s">
        <v>433</v>
      </c>
      <c r="D54" s="15" t="s">
        <v>454</v>
      </c>
      <c r="E54" s="15" t="s">
        <v>455</v>
      </c>
      <c r="F54" s="15" t="s">
        <v>360</v>
      </c>
      <c r="G54" s="15" t="s">
        <v>456</v>
      </c>
      <c r="H54" s="15" t="s">
        <v>362</v>
      </c>
      <c r="I54" s="15" t="s">
        <v>457</v>
      </c>
      <c r="J54" s="16"/>
      <c r="K54" s="14" t="s">
        <v>20</v>
      </c>
      <c r="L54" s="14" t="s">
        <v>108</v>
      </c>
      <c r="M54" s="14" t="s">
        <v>78</v>
      </c>
      <c r="N54" s="14" t="s">
        <v>87</v>
      </c>
      <c r="O54" s="15" t="s">
        <v>88</v>
      </c>
      <c r="P54" s="15" t="s">
        <v>140</v>
      </c>
      <c r="Q54" s="17" t="s">
        <v>90</v>
      </c>
      <c r="R54" s="17"/>
      <c r="S54" s="15" t="s">
        <v>452</v>
      </c>
    </row>
    <row r="55" customFormat="false" ht="32.8" hidden="false" customHeight="false" outlineLevel="0" collapsed="false">
      <c r="A55" s="14" t="s">
        <v>458</v>
      </c>
      <c r="B55" s="15" t="s">
        <v>78</v>
      </c>
      <c r="C55" s="15" t="s">
        <v>459</v>
      </c>
      <c r="D55" s="15" t="s">
        <v>460</v>
      </c>
      <c r="E55" s="15" t="s">
        <v>461</v>
      </c>
      <c r="F55" s="15" t="s">
        <v>462</v>
      </c>
      <c r="G55" s="15" t="s">
        <v>463</v>
      </c>
      <c r="H55" s="15" t="s">
        <v>464</v>
      </c>
      <c r="I55" s="15" t="s">
        <v>465</v>
      </c>
      <c r="J55" s="16"/>
      <c r="K55" s="14" t="s">
        <v>19</v>
      </c>
      <c r="L55" s="14" t="s">
        <v>86</v>
      </c>
      <c r="M55" s="14" t="s">
        <v>78</v>
      </c>
      <c r="N55" s="14" t="s">
        <v>87</v>
      </c>
      <c r="O55" s="15" t="s">
        <v>88</v>
      </c>
      <c r="P55" s="15" t="s">
        <v>89</v>
      </c>
      <c r="Q55" s="17" t="s">
        <v>90</v>
      </c>
      <c r="R55" s="17"/>
      <c r="S55" s="15" t="s">
        <v>466</v>
      </c>
    </row>
    <row r="56" customFormat="false" ht="32.8" hidden="false" customHeight="false" outlineLevel="0" collapsed="false">
      <c r="A56" s="14" t="s">
        <v>467</v>
      </c>
      <c r="B56" s="15" t="s">
        <v>78</v>
      </c>
      <c r="C56" s="15" t="s">
        <v>459</v>
      </c>
      <c r="D56" s="15" t="s">
        <v>468</v>
      </c>
      <c r="E56" s="15" t="s">
        <v>469</v>
      </c>
      <c r="F56" s="15" t="s">
        <v>470</v>
      </c>
      <c r="G56" s="15" t="s">
        <v>471</v>
      </c>
      <c r="H56" s="15" t="s">
        <v>472</v>
      </c>
      <c r="I56" s="15" t="s">
        <v>473</v>
      </c>
      <c r="J56" s="16"/>
      <c r="K56" s="14" t="s">
        <v>21</v>
      </c>
      <c r="L56" s="14" t="s">
        <v>99</v>
      </c>
      <c r="M56" s="14" t="s">
        <v>78</v>
      </c>
      <c r="N56" s="14" t="s">
        <v>346</v>
      </c>
      <c r="O56" s="15" t="s">
        <v>88</v>
      </c>
      <c r="P56" s="15" t="s">
        <v>89</v>
      </c>
      <c r="Q56" s="17" t="s">
        <v>90</v>
      </c>
      <c r="R56" s="17"/>
      <c r="S56" s="15" t="s">
        <v>474</v>
      </c>
    </row>
    <row r="57" customFormat="false" ht="32.8" hidden="false" customHeight="false" outlineLevel="0" collapsed="false">
      <c r="A57" s="14" t="s">
        <v>475</v>
      </c>
      <c r="B57" s="15" t="s">
        <v>78</v>
      </c>
      <c r="C57" s="15" t="s">
        <v>459</v>
      </c>
      <c r="D57" s="15" t="s">
        <v>476</v>
      </c>
      <c r="E57" s="15" t="s">
        <v>477</v>
      </c>
      <c r="F57" s="15" t="s">
        <v>478</v>
      </c>
      <c r="G57" s="15" t="s">
        <v>479</v>
      </c>
      <c r="H57" s="15" t="s">
        <v>480</v>
      </c>
      <c r="I57" s="15" t="s">
        <v>481</v>
      </c>
      <c r="J57" s="16"/>
      <c r="K57" s="14" t="s">
        <v>19</v>
      </c>
      <c r="L57" s="14" t="s">
        <v>86</v>
      </c>
      <c r="M57" s="14" t="s">
        <v>78</v>
      </c>
      <c r="N57" s="14" t="s">
        <v>87</v>
      </c>
      <c r="O57" s="15" t="s">
        <v>88</v>
      </c>
      <c r="P57" s="15" t="s">
        <v>89</v>
      </c>
      <c r="Q57" s="17" t="s">
        <v>90</v>
      </c>
      <c r="R57" s="17"/>
      <c r="S57" s="15" t="s">
        <v>231</v>
      </c>
    </row>
    <row r="58" customFormat="false" ht="32.8" hidden="false" customHeight="false" outlineLevel="0" collapsed="false">
      <c r="A58" s="14" t="s">
        <v>482</v>
      </c>
      <c r="B58" s="15" t="s">
        <v>78</v>
      </c>
      <c r="C58" s="15" t="s">
        <v>483</v>
      </c>
      <c r="D58" s="15" t="s">
        <v>484</v>
      </c>
      <c r="E58" s="15" t="s">
        <v>485</v>
      </c>
      <c r="F58" s="15" t="s">
        <v>486</v>
      </c>
      <c r="G58" s="15" t="s">
        <v>487</v>
      </c>
      <c r="H58" s="15" t="s">
        <v>488</v>
      </c>
      <c r="I58" s="15" t="s">
        <v>489</v>
      </c>
      <c r="J58" s="16"/>
      <c r="K58" s="14" t="s">
        <v>19</v>
      </c>
      <c r="L58" s="14" t="s">
        <v>86</v>
      </c>
      <c r="M58" s="14" t="s">
        <v>78</v>
      </c>
      <c r="N58" s="14" t="s">
        <v>87</v>
      </c>
      <c r="O58" s="15" t="s">
        <v>88</v>
      </c>
      <c r="P58" s="15" t="s">
        <v>89</v>
      </c>
      <c r="Q58" s="17" t="s">
        <v>90</v>
      </c>
      <c r="R58" s="17"/>
      <c r="S58" s="15" t="s">
        <v>490</v>
      </c>
    </row>
    <row r="59" customFormat="false" ht="32.8" hidden="false" customHeight="false" outlineLevel="0" collapsed="false">
      <c r="A59" s="14" t="s">
        <v>491</v>
      </c>
      <c r="B59" s="15" t="s">
        <v>78</v>
      </c>
      <c r="C59" s="15" t="s">
        <v>483</v>
      </c>
      <c r="D59" s="15" t="s">
        <v>492</v>
      </c>
      <c r="E59" s="15" t="s">
        <v>493</v>
      </c>
      <c r="F59" s="15" t="s">
        <v>494</v>
      </c>
      <c r="G59" s="15" t="s">
        <v>320</v>
      </c>
      <c r="H59" s="15" t="s">
        <v>495</v>
      </c>
      <c r="I59" s="15" t="s">
        <v>496</v>
      </c>
      <c r="J59" s="16"/>
      <c r="K59" s="14" t="s">
        <v>19</v>
      </c>
      <c r="L59" s="14" t="s">
        <v>86</v>
      </c>
      <c r="M59" s="14" t="s">
        <v>78</v>
      </c>
      <c r="N59" s="14" t="s">
        <v>87</v>
      </c>
      <c r="O59" s="15" t="s">
        <v>88</v>
      </c>
      <c r="P59" s="15" t="s">
        <v>89</v>
      </c>
      <c r="Q59" s="17" t="s">
        <v>90</v>
      </c>
      <c r="R59" s="17"/>
      <c r="S59" s="15" t="s">
        <v>497</v>
      </c>
    </row>
    <row r="60" customFormat="false" ht="32.8" hidden="false" customHeight="false" outlineLevel="0" collapsed="false">
      <c r="A60" s="14" t="s">
        <v>498</v>
      </c>
      <c r="B60" s="15" t="s">
        <v>78</v>
      </c>
      <c r="C60" s="15" t="s">
        <v>483</v>
      </c>
      <c r="D60" s="15" t="s">
        <v>499</v>
      </c>
      <c r="E60" s="15" t="s">
        <v>500</v>
      </c>
      <c r="F60" s="15" t="s">
        <v>501</v>
      </c>
      <c r="G60" s="15" t="s">
        <v>502</v>
      </c>
      <c r="H60" s="15" t="s">
        <v>503</v>
      </c>
      <c r="I60" s="15" t="s">
        <v>504</v>
      </c>
      <c r="J60" s="16"/>
      <c r="K60" s="14" t="s">
        <v>19</v>
      </c>
      <c r="L60" s="14" t="s">
        <v>86</v>
      </c>
      <c r="M60" s="14" t="s">
        <v>78</v>
      </c>
      <c r="N60" s="14" t="s">
        <v>87</v>
      </c>
      <c r="O60" s="15" t="s">
        <v>88</v>
      </c>
      <c r="P60" s="15" t="s">
        <v>89</v>
      </c>
      <c r="Q60" s="17" t="s">
        <v>90</v>
      </c>
      <c r="R60" s="17"/>
      <c r="S60" s="15" t="s">
        <v>505</v>
      </c>
    </row>
    <row r="61" customFormat="false" ht="22.35" hidden="false" customHeight="false" outlineLevel="0" collapsed="false">
      <c r="A61" s="14" t="s">
        <v>506</v>
      </c>
      <c r="B61" s="15" t="s">
        <v>78</v>
      </c>
      <c r="C61" s="15" t="s">
        <v>483</v>
      </c>
      <c r="D61" s="15" t="s">
        <v>507</v>
      </c>
      <c r="E61" s="15" t="s">
        <v>508</v>
      </c>
      <c r="F61" s="15" t="s">
        <v>509</v>
      </c>
      <c r="G61" s="15" t="s">
        <v>510</v>
      </c>
      <c r="H61" s="15" t="s">
        <v>511</v>
      </c>
      <c r="I61" s="15" t="s">
        <v>512</v>
      </c>
      <c r="J61" s="16"/>
      <c r="K61" s="14" t="s">
        <v>20</v>
      </c>
      <c r="L61" s="14" t="s">
        <v>108</v>
      </c>
      <c r="M61" s="14" t="s">
        <v>78</v>
      </c>
      <c r="N61" s="14" t="s">
        <v>87</v>
      </c>
      <c r="O61" s="15" t="s">
        <v>88</v>
      </c>
      <c r="P61" s="15" t="s">
        <v>89</v>
      </c>
      <c r="Q61" s="17" t="s">
        <v>90</v>
      </c>
      <c r="R61" s="17"/>
      <c r="S61" s="15" t="s">
        <v>513</v>
      </c>
    </row>
    <row r="62" customFormat="false" ht="22.35" hidden="false" customHeight="false" outlineLevel="0" collapsed="false">
      <c r="A62" s="14" t="s">
        <v>514</v>
      </c>
      <c r="B62" s="15" t="s">
        <v>78</v>
      </c>
      <c r="C62" s="15" t="s">
        <v>483</v>
      </c>
      <c r="D62" s="15" t="s">
        <v>515</v>
      </c>
      <c r="E62" s="15" t="s">
        <v>516</v>
      </c>
      <c r="F62" s="15" t="s">
        <v>517</v>
      </c>
      <c r="G62" s="15" t="s">
        <v>518</v>
      </c>
      <c r="H62" s="15" t="s">
        <v>519</v>
      </c>
      <c r="I62" s="15" t="s">
        <v>520</v>
      </c>
      <c r="J62" s="16"/>
      <c r="K62" s="14" t="s">
        <v>20</v>
      </c>
      <c r="L62" s="14" t="s">
        <v>108</v>
      </c>
      <c r="M62" s="14" t="s">
        <v>78</v>
      </c>
      <c r="N62" s="14" t="s">
        <v>87</v>
      </c>
      <c r="O62" s="15" t="s">
        <v>88</v>
      </c>
      <c r="P62" s="15" t="s">
        <v>140</v>
      </c>
      <c r="Q62" s="17" t="s">
        <v>90</v>
      </c>
      <c r="R62" s="17"/>
      <c r="S62" s="15" t="s">
        <v>521</v>
      </c>
    </row>
    <row r="63" customFormat="false" ht="43.25" hidden="false" customHeight="false" outlineLevel="0" collapsed="false">
      <c r="A63" s="14" t="s">
        <v>522</v>
      </c>
      <c r="B63" s="15" t="s">
        <v>78</v>
      </c>
      <c r="C63" s="15" t="s">
        <v>483</v>
      </c>
      <c r="D63" s="15" t="s">
        <v>523</v>
      </c>
      <c r="E63" s="15" t="s">
        <v>524</v>
      </c>
      <c r="F63" s="15" t="s">
        <v>525</v>
      </c>
      <c r="G63" s="15" t="s">
        <v>526</v>
      </c>
      <c r="H63" s="15" t="s">
        <v>527</v>
      </c>
      <c r="I63" s="15" t="s">
        <v>528</v>
      </c>
      <c r="J63" s="16"/>
      <c r="K63" s="14" t="s">
        <v>20</v>
      </c>
      <c r="L63" s="14" t="s">
        <v>108</v>
      </c>
      <c r="M63" s="14" t="s">
        <v>78</v>
      </c>
      <c r="N63" s="14" t="s">
        <v>87</v>
      </c>
      <c r="O63" s="15" t="s">
        <v>88</v>
      </c>
      <c r="P63" s="15" t="s">
        <v>89</v>
      </c>
      <c r="Q63" s="17" t="s">
        <v>90</v>
      </c>
      <c r="R63" s="17"/>
      <c r="S63" s="15" t="s">
        <v>529</v>
      </c>
    </row>
    <row r="64" customFormat="false" ht="22.35" hidden="false" customHeight="false" outlineLevel="0" collapsed="false">
      <c r="A64" s="14" t="s">
        <v>530</v>
      </c>
      <c r="B64" s="15" t="s">
        <v>78</v>
      </c>
      <c r="C64" s="15" t="s">
        <v>483</v>
      </c>
      <c r="D64" s="15" t="s">
        <v>531</v>
      </c>
      <c r="E64" s="15" t="s">
        <v>532</v>
      </c>
      <c r="F64" s="15" t="s">
        <v>533</v>
      </c>
      <c r="G64" s="15" t="s">
        <v>534</v>
      </c>
      <c r="H64" s="15" t="s">
        <v>535</v>
      </c>
      <c r="I64" s="15" t="s">
        <v>536</v>
      </c>
      <c r="J64" s="16"/>
      <c r="K64" s="14" t="s">
        <v>19</v>
      </c>
      <c r="L64" s="14" t="s">
        <v>86</v>
      </c>
      <c r="M64" s="14" t="s">
        <v>170</v>
      </c>
      <c r="N64" s="14" t="s">
        <v>87</v>
      </c>
      <c r="O64" s="15" t="s">
        <v>88</v>
      </c>
      <c r="P64" s="15" t="s">
        <v>89</v>
      </c>
      <c r="Q64" s="17" t="s">
        <v>90</v>
      </c>
      <c r="R64" s="17"/>
      <c r="S64" s="15" t="s">
        <v>537</v>
      </c>
    </row>
    <row r="65" customFormat="false" ht="22.35" hidden="false" customHeight="false" outlineLevel="0" collapsed="false">
      <c r="A65" s="14" t="s">
        <v>538</v>
      </c>
      <c r="B65" s="15" t="s">
        <v>78</v>
      </c>
      <c r="C65" s="15" t="s">
        <v>483</v>
      </c>
      <c r="D65" s="15" t="s">
        <v>539</v>
      </c>
      <c r="E65" s="15" t="s">
        <v>540</v>
      </c>
      <c r="F65" s="15" t="s">
        <v>541</v>
      </c>
      <c r="G65" s="15" t="s">
        <v>542</v>
      </c>
      <c r="H65" s="15" t="s">
        <v>543</v>
      </c>
      <c r="I65" s="15" t="s">
        <v>544</v>
      </c>
      <c r="J65" s="16"/>
      <c r="K65" s="14" t="s">
        <v>19</v>
      </c>
      <c r="L65" s="14" t="s">
        <v>86</v>
      </c>
      <c r="M65" s="14" t="s">
        <v>545</v>
      </c>
      <c r="N65" s="14" t="s">
        <v>87</v>
      </c>
      <c r="O65" s="15" t="s">
        <v>88</v>
      </c>
      <c r="P65" s="15" t="s">
        <v>89</v>
      </c>
      <c r="Q65" s="17" t="s">
        <v>90</v>
      </c>
      <c r="R65" s="17"/>
      <c r="S65" s="15" t="s">
        <v>546</v>
      </c>
    </row>
    <row r="66" customFormat="false" ht="43.25" hidden="false" customHeight="false" outlineLevel="0" collapsed="false">
      <c r="A66" s="14" t="s">
        <v>547</v>
      </c>
      <c r="B66" s="15" t="s">
        <v>78</v>
      </c>
      <c r="C66" s="15" t="s">
        <v>548</v>
      </c>
      <c r="D66" s="15" t="s">
        <v>549</v>
      </c>
      <c r="E66" s="15" t="s">
        <v>550</v>
      </c>
      <c r="F66" s="15" t="s">
        <v>189</v>
      </c>
      <c r="G66" s="15" t="s">
        <v>96</v>
      </c>
      <c r="H66" s="15" t="s">
        <v>551</v>
      </c>
      <c r="I66" s="15" t="s">
        <v>552</v>
      </c>
      <c r="J66" s="16"/>
      <c r="K66" s="14" t="s">
        <v>20</v>
      </c>
      <c r="L66" s="14" t="s">
        <v>99</v>
      </c>
      <c r="M66" s="14" t="s">
        <v>78</v>
      </c>
      <c r="N66" s="14" t="s">
        <v>109</v>
      </c>
      <c r="O66" s="15" t="s">
        <v>88</v>
      </c>
      <c r="P66" s="15" t="s">
        <v>89</v>
      </c>
      <c r="Q66" s="17" t="s">
        <v>90</v>
      </c>
      <c r="R66" s="17"/>
      <c r="S66" s="15" t="s">
        <v>553</v>
      </c>
    </row>
    <row r="67" customFormat="false" ht="22.35" hidden="false" customHeight="false" outlineLevel="0" collapsed="false">
      <c r="A67" s="14" t="s">
        <v>554</v>
      </c>
      <c r="B67" s="15" t="s">
        <v>78</v>
      </c>
      <c r="C67" s="15" t="s">
        <v>548</v>
      </c>
      <c r="D67" s="15" t="s">
        <v>555</v>
      </c>
      <c r="E67" s="15" t="s">
        <v>556</v>
      </c>
      <c r="F67" s="15" t="s">
        <v>557</v>
      </c>
      <c r="G67" s="15" t="s">
        <v>558</v>
      </c>
      <c r="H67" s="15" t="s">
        <v>559</v>
      </c>
      <c r="I67" s="15" t="s">
        <v>560</v>
      </c>
      <c r="J67" s="16"/>
      <c r="K67" s="14" t="s">
        <v>19</v>
      </c>
      <c r="L67" s="14" t="s">
        <v>86</v>
      </c>
      <c r="M67" s="14" t="s">
        <v>78</v>
      </c>
      <c r="N67" s="14" t="s">
        <v>87</v>
      </c>
      <c r="O67" s="15" t="s">
        <v>88</v>
      </c>
      <c r="P67" s="15" t="s">
        <v>89</v>
      </c>
      <c r="Q67" s="17" t="s">
        <v>90</v>
      </c>
      <c r="R67" s="17"/>
      <c r="S67" s="15" t="s">
        <v>561</v>
      </c>
    </row>
    <row r="68" customFormat="false" ht="32.8" hidden="false" customHeight="false" outlineLevel="0" collapsed="false">
      <c r="A68" s="14" t="s">
        <v>562</v>
      </c>
      <c r="B68" s="15" t="s">
        <v>78</v>
      </c>
      <c r="C68" s="15" t="s">
        <v>563</v>
      </c>
      <c r="D68" s="15" t="s">
        <v>549</v>
      </c>
      <c r="E68" s="15" t="s">
        <v>564</v>
      </c>
      <c r="F68" s="15" t="s">
        <v>565</v>
      </c>
      <c r="G68" s="15" t="s">
        <v>96</v>
      </c>
      <c r="H68" s="15" t="s">
        <v>566</v>
      </c>
      <c r="I68" s="15" t="s">
        <v>567</v>
      </c>
      <c r="J68" s="16"/>
      <c r="K68" s="14" t="s">
        <v>21</v>
      </c>
      <c r="L68" s="14" t="s">
        <v>99</v>
      </c>
      <c r="M68" s="14" t="s">
        <v>78</v>
      </c>
      <c r="N68" s="14" t="s">
        <v>109</v>
      </c>
      <c r="O68" s="15" t="s">
        <v>88</v>
      </c>
      <c r="P68" s="15" t="s">
        <v>89</v>
      </c>
      <c r="Q68" s="17" t="s">
        <v>90</v>
      </c>
      <c r="R68" s="17"/>
      <c r="S68" s="15" t="s">
        <v>568</v>
      </c>
    </row>
    <row r="69" customFormat="false" ht="22.35" hidden="false" customHeight="false" outlineLevel="0" collapsed="false">
      <c r="A69" s="14" t="s">
        <v>569</v>
      </c>
      <c r="B69" s="15" t="s">
        <v>78</v>
      </c>
      <c r="C69" s="15" t="s">
        <v>563</v>
      </c>
      <c r="D69" s="15" t="s">
        <v>539</v>
      </c>
      <c r="E69" s="15" t="s">
        <v>570</v>
      </c>
      <c r="F69" s="15" t="s">
        <v>571</v>
      </c>
      <c r="G69" s="15" t="s">
        <v>572</v>
      </c>
      <c r="H69" s="15" t="s">
        <v>573</v>
      </c>
      <c r="I69" s="15" t="s">
        <v>574</v>
      </c>
      <c r="J69" s="16"/>
      <c r="K69" s="14" t="s">
        <v>20</v>
      </c>
      <c r="L69" s="14" t="s">
        <v>108</v>
      </c>
      <c r="M69" s="14" t="s">
        <v>545</v>
      </c>
      <c r="N69" s="14" t="s">
        <v>87</v>
      </c>
      <c r="O69" s="15" t="s">
        <v>88</v>
      </c>
      <c r="P69" s="15" t="s">
        <v>89</v>
      </c>
      <c r="Q69" s="17" t="s">
        <v>90</v>
      </c>
      <c r="R69" s="17"/>
      <c r="S69" s="15" t="s">
        <v>575</v>
      </c>
    </row>
    <row r="70" customFormat="false" ht="22.35" hidden="false" customHeight="false" outlineLevel="0" collapsed="false">
      <c r="A70" s="14" t="s">
        <v>576</v>
      </c>
      <c r="B70" s="15" t="s">
        <v>78</v>
      </c>
      <c r="C70" s="15" t="s">
        <v>577</v>
      </c>
      <c r="D70" s="15" t="s">
        <v>578</v>
      </c>
      <c r="E70" s="15" t="s">
        <v>579</v>
      </c>
      <c r="F70" s="15" t="s">
        <v>167</v>
      </c>
      <c r="G70" s="15" t="s">
        <v>580</v>
      </c>
      <c r="H70" s="15" t="s">
        <v>581</v>
      </c>
      <c r="I70" s="15" t="s">
        <v>582</v>
      </c>
      <c r="J70" s="16"/>
      <c r="K70" s="14" t="s">
        <v>20</v>
      </c>
      <c r="L70" s="14" t="s">
        <v>108</v>
      </c>
      <c r="M70" s="14" t="s">
        <v>78</v>
      </c>
      <c r="N70" s="14" t="s">
        <v>109</v>
      </c>
      <c r="O70" s="15" t="s">
        <v>88</v>
      </c>
      <c r="P70" s="15" t="s">
        <v>140</v>
      </c>
      <c r="Q70" s="17" t="s">
        <v>90</v>
      </c>
      <c r="R70" s="17"/>
      <c r="S70" s="15" t="s">
        <v>583</v>
      </c>
    </row>
    <row r="71" customFormat="false" ht="22.35" hidden="false" customHeight="false" outlineLevel="0" collapsed="false">
      <c r="A71" s="14" t="s">
        <v>584</v>
      </c>
      <c r="B71" s="15" t="s">
        <v>78</v>
      </c>
      <c r="C71" s="15" t="s">
        <v>577</v>
      </c>
      <c r="D71" s="15" t="s">
        <v>585</v>
      </c>
      <c r="E71" s="15" t="s">
        <v>586</v>
      </c>
      <c r="F71" s="15" t="s">
        <v>587</v>
      </c>
      <c r="G71" s="15" t="s">
        <v>588</v>
      </c>
      <c r="H71" s="15" t="s">
        <v>589</v>
      </c>
      <c r="I71" s="15" t="s">
        <v>590</v>
      </c>
      <c r="J71" s="16"/>
      <c r="K71" s="14" t="s">
        <v>20</v>
      </c>
      <c r="L71" s="14" t="s">
        <v>99</v>
      </c>
      <c r="M71" s="14" t="s">
        <v>208</v>
      </c>
      <c r="N71" s="14" t="s">
        <v>109</v>
      </c>
      <c r="O71" s="15" t="s">
        <v>88</v>
      </c>
      <c r="P71" s="15" t="s">
        <v>89</v>
      </c>
      <c r="Q71" s="17" t="s">
        <v>90</v>
      </c>
      <c r="R71" s="17"/>
      <c r="S71" s="15" t="s">
        <v>591</v>
      </c>
    </row>
    <row r="72" customFormat="false" ht="32.8" hidden="false" customHeight="false" outlineLevel="0" collapsed="false">
      <c r="A72" s="14" t="s">
        <v>592</v>
      </c>
      <c r="B72" s="15" t="s">
        <v>78</v>
      </c>
      <c r="C72" s="15" t="s">
        <v>577</v>
      </c>
      <c r="D72" s="15" t="s">
        <v>593</v>
      </c>
      <c r="E72" s="15" t="s">
        <v>594</v>
      </c>
      <c r="F72" s="15" t="s">
        <v>595</v>
      </c>
      <c r="G72" s="15" t="s">
        <v>596</v>
      </c>
      <c r="H72" s="15" t="s">
        <v>597</v>
      </c>
      <c r="I72" s="15" t="s">
        <v>598</v>
      </c>
      <c r="J72" s="16"/>
      <c r="K72" s="14" t="s">
        <v>20</v>
      </c>
      <c r="L72" s="14" t="s">
        <v>108</v>
      </c>
      <c r="M72" s="14" t="s">
        <v>78</v>
      </c>
      <c r="N72" s="14" t="s">
        <v>109</v>
      </c>
      <c r="O72" s="15" t="s">
        <v>88</v>
      </c>
      <c r="P72" s="15" t="s">
        <v>599</v>
      </c>
      <c r="Q72" s="17" t="s">
        <v>90</v>
      </c>
      <c r="R72" s="17"/>
      <c r="S72" s="15" t="s">
        <v>600</v>
      </c>
    </row>
    <row r="73" customFormat="false" ht="22.35" hidden="false" customHeight="false" outlineLevel="0" collapsed="false">
      <c r="A73" s="14" t="s">
        <v>601</v>
      </c>
      <c r="B73" s="15" t="s">
        <v>78</v>
      </c>
      <c r="C73" s="15" t="s">
        <v>577</v>
      </c>
      <c r="D73" s="15" t="s">
        <v>602</v>
      </c>
      <c r="E73" s="15" t="s">
        <v>603</v>
      </c>
      <c r="F73" s="15" t="s">
        <v>604</v>
      </c>
      <c r="G73" s="15" t="s">
        <v>605</v>
      </c>
      <c r="H73" s="15" t="s">
        <v>606</v>
      </c>
      <c r="I73" s="15" t="s">
        <v>607</v>
      </c>
      <c r="J73" s="16"/>
      <c r="K73" s="14" t="s">
        <v>19</v>
      </c>
      <c r="L73" s="14" t="s">
        <v>86</v>
      </c>
      <c r="M73" s="14" t="s">
        <v>78</v>
      </c>
      <c r="N73" s="14" t="s">
        <v>87</v>
      </c>
      <c r="O73" s="15" t="s">
        <v>88</v>
      </c>
      <c r="P73" s="15" t="s">
        <v>89</v>
      </c>
      <c r="Q73" s="17" t="s">
        <v>90</v>
      </c>
      <c r="R73" s="17"/>
      <c r="S73" s="15" t="s">
        <v>608</v>
      </c>
    </row>
    <row r="74" customFormat="false" ht="22.35" hidden="false" customHeight="false" outlineLevel="0" collapsed="false">
      <c r="A74" s="14" t="s">
        <v>609</v>
      </c>
      <c r="B74" s="15" t="s">
        <v>78</v>
      </c>
      <c r="C74" s="15" t="s">
        <v>577</v>
      </c>
      <c r="D74" s="15" t="s">
        <v>610</v>
      </c>
      <c r="E74" s="15" t="s">
        <v>611</v>
      </c>
      <c r="F74" s="15" t="s">
        <v>612</v>
      </c>
      <c r="G74" s="15" t="s">
        <v>596</v>
      </c>
      <c r="H74" s="15" t="s">
        <v>613</v>
      </c>
      <c r="I74" s="15" t="s">
        <v>614</v>
      </c>
      <c r="J74" s="16"/>
      <c r="K74" s="14" t="s">
        <v>20</v>
      </c>
      <c r="L74" s="14" t="s">
        <v>108</v>
      </c>
      <c r="M74" s="14" t="s">
        <v>78</v>
      </c>
      <c r="N74" s="14" t="s">
        <v>109</v>
      </c>
      <c r="O74" s="15" t="s">
        <v>88</v>
      </c>
      <c r="P74" s="15" t="s">
        <v>89</v>
      </c>
      <c r="Q74" s="17" t="s">
        <v>90</v>
      </c>
      <c r="R74" s="17"/>
      <c r="S74" s="15" t="s">
        <v>615</v>
      </c>
    </row>
    <row r="75" customFormat="false" ht="22.35" hidden="false" customHeight="false" outlineLevel="0" collapsed="false">
      <c r="A75" s="14" t="s">
        <v>616</v>
      </c>
      <c r="B75" s="15" t="s">
        <v>78</v>
      </c>
      <c r="C75" s="15" t="s">
        <v>577</v>
      </c>
      <c r="D75" s="15" t="s">
        <v>617</v>
      </c>
      <c r="E75" s="15" t="s">
        <v>618</v>
      </c>
      <c r="F75" s="15" t="s">
        <v>619</v>
      </c>
      <c r="G75" s="15" t="s">
        <v>96</v>
      </c>
      <c r="H75" s="15" t="s">
        <v>620</v>
      </c>
      <c r="I75" s="15" t="s">
        <v>621</v>
      </c>
      <c r="J75" s="16"/>
      <c r="K75" s="14" t="s">
        <v>19</v>
      </c>
      <c r="L75" s="14" t="s">
        <v>86</v>
      </c>
      <c r="M75" s="14" t="s">
        <v>78</v>
      </c>
      <c r="N75" s="14" t="s">
        <v>87</v>
      </c>
      <c r="O75" s="15" t="s">
        <v>88</v>
      </c>
      <c r="P75" s="15" t="s">
        <v>89</v>
      </c>
      <c r="Q75" s="17" t="s">
        <v>90</v>
      </c>
      <c r="R75" s="17"/>
      <c r="S75" s="15" t="s">
        <v>622</v>
      </c>
    </row>
    <row r="76" customFormat="false" ht="22.35" hidden="false" customHeight="false" outlineLevel="0" collapsed="false">
      <c r="A76" s="14" t="s">
        <v>623</v>
      </c>
      <c r="B76" s="15" t="s">
        <v>78</v>
      </c>
      <c r="C76" s="15" t="s">
        <v>577</v>
      </c>
      <c r="D76" s="15" t="s">
        <v>507</v>
      </c>
      <c r="E76" s="15" t="s">
        <v>624</v>
      </c>
      <c r="F76" s="15" t="s">
        <v>625</v>
      </c>
      <c r="G76" s="15" t="s">
        <v>626</v>
      </c>
      <c r="H76" s="15" t="s">
        <v>627</v>
      </c>
      <c r="I76" s="15" t="s">
        <v>628</v>
      </c>
      <c r="J76" s="16"/>
      <c r="K76" s="14" t="s">
        <v>20</v>
      </c>
      <c r="L76" s="14" t="s">
        <v>99</v>
      </c>
      <c r="M76" s="14" t="s">
        <v>78</v>
      </c>
      <c r="N76" s="14" t="s">
        <v>87</v>
      </c>
      <c r="O76" s="15" t="s">
        <v>88</v>
      </c>
      <c r="P76" s="15" t="s">
        <v>89</v>
      </c>
      <c r="Q76" s="17" t="s">
        <v>90</v>
      </c>
      <c r="R76" s="17"/>
      <c r="S76" s="15" t="s">
        <v>629</v>
      </c>
    </row>
    <row r="77" customFormat="false" ht="32.8" hidden="false" customHeight="false" outlineLevel="0" collapsed="false">
      <c r="A77" s="14" t="s">
        <v>630</v>
      </c>
      <c r="B77" s="15" t="s">
        <v>78</v>
      </c>
      <c r="C77" s="15" t="s">
        <v>577</v>
      </c>
      <c r="D77" s="15" t="s">
        <v>631</v>
      </c>
      <c r="E77" s="15" t="s">
        <v>632</v>
      </c>
      <c r="F77" s="15" t="s">
        <v>633</v>
      </c>
      <c r="G77" s="15" t="s">
        <v>634</v>
      </c>
      <c r="H77" s="15" t="s">
        <v>635</v>
      </c>
      <c r="I77" s="15" t="s">
        <v>636</v>
      </c>
      <c r="J77" s="16"/>
      <c r="K77" s="14" t="s">
        <v>19</v>
      </c>
      <c r="L77" s="14" t="s">
        <v>86</v>
      </c>
      <c r="M77" s="14" t="s">
        <v>78</v>
      </c>
      <c r="N77" s="14" t="s">
        <v>87</v>
      </c>
      <c r="O77" s="15" t="s">
        <v>88</v>
      </c>
      <c r="P77" s="15" t="s">
        <v>89</v>
      </c>
      <c r="Q77" s="17" t="s">
        <v>90</v>
      </c>
      <c r="R77" s="17"/>
      <c r="S77" s="15" t="s">
        <v>637</v>
      </c>
    </row>
    <row r="78" customFormat="false" ht="43.25" hidden="false" customHeight="false" outlineLevel="0" collapsed="false">
      <c r="A78" s="14" t="s">
        <v>638</v>
      </c>
      <c r="B78" s="15" t="s">
        <v>78</v>
      </c>
      <c r="C78" s="15" t="s">
        <v>577</v>
      </c>
      <c r="D78" s="15" t="s">
        <v>639</v>
      </c>
      <c r="E78" s="15" t="s">
        <v>640</v>
      </c>
      <c r="F78" s="15" t="s">
        <v>641</v>
      </c>
      <c r="G78" s="15" t="s">
        <v>596</v>
      </c>
      <c r="H78" s="15" t="s">
        <v>642</v>
      </c>
      <c r="I78" s="15" t="s">
        <v>643</v>
      </c>
      <c r="J78" s="16"/>
      <c r="K78" s="14" t="s">
        <v>20</v>
      </c>
      <c r="L78" s="14" t="s">
        <v>108</v>
      </c>
      <c r="M78" s="14" t="s">
        <v>78</v>
      </c>
      <c r="N78" s="14" t="s">
        <v>109</v>
      </c>
      <c r="O78" s="15" t="s">
        <v>88</v>
      </c>
      <c r="P78" s="15" t="s">
        <v>89</v>
      </c>
      <c r="Q78" s="17" t="s">
        <v>90</v>
      </c>
      <c r="R78" s="17"/>
      <c r="S78" s="15" t="s">
        <v>644</v>
      </c>
    </row>
    <row r="79" customFormat="false" ht="22.35" hidden="false" customHeight="false" outlineLevel="0" collapsed="false">
      <c r="A79" s="14" t="s">
        <v>645</v>
      </c>
      <c r="B79" s="15" t="s">
        <v>78</v>
      </c>
      <c r="C79" s="15" t="s">
        <v>577</v>
      </c>
      <c r="D79" s="15" t="s">
        <v>531</v>
      </c>
      <c r="E79" s="15" t="s">
        <v>646</v>
      </c>
      <c r="F79" s="15" t="s">
        <v>647</v>
      </c>
      <c r="G79" s="15" t="s">
        <v>648</v>
      </c>
      <c r="H79" s="15" t="s">
        <v>649</v>
      </c>
      <c r="I79" s="15" t="s">
        <v>650</v>
      </c>
      <c r="J79" s="16"/>
      <c r="K79" s="14" t="s">
        <v>19</v>
      </c>
      <c r="L79" s="14" t="s">
        <v>86</v>
      </c>
      <c r="M79" s="14" t="s">
        <v>170</v>
      </c>
      <c r="N79" s="14" t="s">
        <v>87</v>
      </c>
      <c r="O79" s="15" t="s">
        <v>88</v>
      </c>
      <c r="P79" s="15" t="s">
        <v>89</v>
      </c>
      <c r="Q79" s="17" t="s">
        <v>90</v>
      </c>
      <c r="R79" s="17"/>
      <c r="S79" s="15" t="s">
        <v>608</v>
      </c>
    </row>
    <row r="80" customFormat="false" ht="22.35" hidden="false" customHeight="false" outlineLevel="0" collapsed="false">
      <c r="A80" s="14" t="s">
        <v>651</v>
      </c>
      <c r="B80" s="15" t="s">
        <v>78</v>
      </c>
      <c r="C80" s="15" t="s">
        <v>577</v>
      </c>
      <c r="D80" s="15" t="s">
        <v>218</v>
      </c>
      <c r="E80" s="15" t="s">
        <v>652</v>
      </c>
      <c r="F80" s="15" t="s">
        <v>612</v>
      </c>
      <c r="G80" s="15" t="s">
        <v>96</v>
      </c>
      <c r="H80" s="15" t="s">
        <v>653</v>
      </c>
      <c r="I80" s="15" t="s">
        <v>654</v>
      </c>
      <c r="J80" s="16"/>
      <c r="K80" s="14" t="s">
        <v>20</v>
      </c>
      <c r="L80" s="14" t="s">
        <v>108</v>
      </c>
      <c r="M80" s="14" t="s">
        <v>170</v>
      </c>
      <c r="N80" s="14" t="s">
        <v>87</v>
      </c>
      <c r="O80" s="15" t="s">
        <v>88</v>
      </c>
      <c r="P80" s="15" t="s">
        <v>89</v>
      </c>
      <c r="Q80" s="17" t="s">
        <v>90</v>
      </c>
      <c r="R80" s="17"/>
      <c r="S80" s="15" t="s">
        <v>655</v>
      </c>
    </row>
    <row r="81" customFormat="false" ht="43.25" hidden="false" customHeight="false" outlineLevel="0" collapsed="false">
      <c r="A81" s="14" t="s">
        <v>656</v>
      </c>
      <c r="B81" s="15" t="s">
        <v>78</v>
      </c>
      <c r="C81" s="15" t="s">
        <v>657</v>
      </c>
      <c r="D81" s="15" t="s">
        <v>658</v>
      </c>
      <c r="E81" s="15" t="s">
        <v>659</v>
      </c>
      <c r="F81" s="15" t="s">
        <v>660</v>
      </c>
      <c r="G81" s="15" t="s">
        <v>661</v>
      </c>
      <c r="H81" s="15" t="s">
        <v>662</v>
      </c>
      <c r="I81" s="15" t="s">
        <v>663</v>
      </c>
      <c r="J81" s="16"/>
      <c r="K81" s="14" t="s">
        <v>20</v>
      </c>
      <c r="L81" s="14" t="s">
        <v>99</v>
      </c>
      <c r="M81" s="14" t="s">
        <v>78</v>
      </c>
      <c r="N81" s="14" t="s">
        <v>109</v>
      </c>
      <c r="O81" s="15" t="s">
        <v>88</v>
      </c>
      <c r="P81" s="15" t="s">
        <v>89</v>
      </c>
      <c r="Q81" s="17" t="s">
        <v>90</v>
      </c>
      <c r="R81" s="17"/>
      <c r="S81" s="15" t="s">
        <v>664</v>
      </c>
    </row>
    <row r="82" customFormat="false" ht="32.8" hidden="false" customHeight="false" outlineLevel="0" collapsed="false">
      <c r="A82" s="14" t="s">
        <v>665</v>
      </c>
      <c r="B82" s="15" t="s">
        <v>78</v>
      </c>
      <c r="C82" s="15" t="s">
        <v>657</v>
      </c>
      <c r="D82" s="15" t="s">
        <v>666</v>
      </c>
      <c r="E82" s="15" t="s">
        <v>667</v>
      </c>
      <c r="F82" s="15" t="s">
        <v>668</v>
      </c>
      <c r="G82" s="15" t="s">
        <v>669</v>
      </c>
      <c r="H82" s="15" t="s">
        <v>670</v>
      </c>
      <c r="I82" s="15" t="s">
        <v>671</v>
      </c>
      <c r="J82" s="16"/>
      <c r="K82" s="14" t="s">
        <v>20</v>
      </c>
      <c r="L82" s="14" t="s">
        <v>108</v>
      </c>
      <c r="M82" s="14" t="s">
        <v>78</v>
      </c>
      <c r="N82" s="14" t="s">
        <v>109</v>
      </c>
      <c r="O82" s="15" t="s">
        <v>88</v>
      </c>
      <c r="P82" s="15" t="s">
        <v>89</v>
      </c>
      <c r="Q82" s="17" t="s">
        <v>90</v>
      </c>
      <c r="R82" s="17"/>
      <c r="S82" s="15" t="s">
        <v>672</v>
      </c>
    </row>
    <row r="83" customFormat="false" ht="32.8" hidden="false" customHeight="false" outlineLevel="0" collapsed="false">
      <c r="A83" s="14" t="s">
        <v>673</v>
      </c>
      <c r="B83" s="15" t="s">
        <v>78</v>
      </c>
      <c r="C83" s="15" t="s">
        <v>674</v>
      </c>
      <c r="D83" s="15" t="s">
        <v>675</v>
      </c>
      <c r="E83" s="15" t="s">
        <v>676</v>
      </c>
      <c r="F83" s="15" t="s">
        <v>677</v>
      </c>
      <c r="G83" s="15" t="s">
        <v>96</v>
      </c>
      <c r="H83" s="15" t="s">
        <v>678</v>
      </c>
      <c r="I83" s="15" t="s">
        <v>679</v>
      </c>
      <c r="J83" s="16"/>
      <c r="K83" s="14" t="s">
        <v>20</v>
      </c>
      <c r="L83" s="14" t="s">
        <v>108</v>
      </c>
      <c r="M83" s="14" t="s">
        <v>78</v>
      </c>
      <c r="N83" s="14" t="s">
        <v>109</v>
      </c>
      <c r="O83" s="15" t="s">
        <v>88</v>
      </c>
      <c r="P83" s="15" t="s">
        <v>89</v>
      </c>
      <c r="Q83" s="17" t="s">
        <v>90</v>
      </c>
      <c r="R83" s="17"/>
      <c r="S83" s="15" t="s">
        <v>680</v>
      </c>
    </row>
    <row r="84" customFormat="false" ht="22.35" hidden="false" customHeight="false" outlineLevel="0" collapsed="false">
      <c r="A84" s="14" t="s">
        <v>681</v>
      </c>
      <c r="B84" s="15" t="s">
        <v>78</v>
      </c>
      <c r="C84" s="15" t="s">
        <v>674</v>
      </c>
      <c r="D84" s="15" t="s">
        <v>682</v>
      </c>
      <c r="E84" s="15" t="s">
        <v>683</v>
      </c>
      <c r="F84" s="15" t="s">
        <v>684</v>
      </c>
      <c r="G84" s="15" t="s">
        <v>510</v>
      </c>
      <c r="H84" s="15" t="s">
        <v>685</v>
      </c>
      <c r="I84" s="15" t="s">
        <v>686</v>
      </c>
      <c r="J84" s="16"/>
      <c r="K84" s="14" t="s">
        <v>20</v>
      </c>
      <c r="L84" s="14" t="s">
        <v>108</v>
      </c>
      <c r="M84" s="14" t="s">
        <v>78</v>
      </c>
      <c r="N84" s="14" t="s">
        <v>109</v>
      </c>
      <c r="O84" s="15" t="s">
        <v>88</v>
      </c>
      <c r="P84" s="15" t="s">
        <v>89</v>
      </c>
      <c r="Q84" s="17" t="s">
        <v>90</v>
      </c>
      <c r="R84" s="17"/>
      <c r="S84" s="15" t="s">
        <v>687</v>
      </c>
    </row>
    <row r="85" customFormat="false" ht="32.8" hidden="false" customHeight="false" outlineLevel="0" collapsed="false">
      <c r="A85" s="14" t="s">
        <v>688</v>
      </c>
      <c r="B85" s="15" t="s">
        <v>78</v>
      </c>
      <c r="C85" s="15" t="s">
        <v>689</v>
      </c>
      <c r="D85" s="15" t="s">
        <v>690</v>
      </c>
      <c r="E85" s="15" t="s">
        <v>691</v>
      </c>
      <c r="F85" s="15" t="s">
        <v>189</v>
      </c>
      <c r="G85" s="15" t="s">
        <v>96</v>
      </c>
      <c r="H85" s="15" t="s">
        <v>692</v>
      </c>
      <c r="I85" s="15" t="s">
        <v>693</v>
      </c>
      <c r="J85" s="16"/>
      <c r="K85" s="14" t="s">
        <v>20</v>
      </c>
      <c r="L85" s="14" t="s">
        <v>99</v>
      </c>
      <c r="M85" s="14" t="s">
        <v>78</v>
      </c>
      <c r="N85" s="14" t="s">
        <v>109</v>
      </c>
      <c r="O85" s="15" t="s">
        <v>88</v>
      </c>
      <c r="P85" s="15" t="s">
        <v>89</v>
      </c>
      <c r="Q85" s="17" t="s">
        <v>90</v>
      </c>
      <c r="R85" s="17"/>
      <c r="S85" s="15" t="s">
        <v>694</v>
      </c>
    </row>
    <row r="86" customFormat="false" ht="32.8" hidden="false" customHeight="false" outlineLevel="0" collapsed="false">
      <c r="A86" s="14" t="s">
        <v>695</v>
      </c>
      <c r="B86" s="15" t="s">
        <v>78</v>
      </c>
      <c r="C86" s="15" t="s">
        <v>689</v>
      </c>
      <c r="D86" s="15" t="s">
        <v>696</v>
      </c>
      <c r="E86" s="15" t="s">
        <v>697</v>
      </c>
      <c r="F86" s="15" t="s">
        <v>342</v>
      </c>
      <c r="G86" s="15" t="s">
        <v>698</v>
      </c>
      <c r="H86" s="15" t="s">
        <v>699</v>
      </c>
      <c r="I86" s="15" t="s">
        <v>700</v>
      </c>
      <c r="J86" s="16"/>
      <c r="K86" s="14" t="s">
        <v>19</v>
      </c>
      <c r="L86" s="14" t="s">
        <v>86</v>
      </c>
      <c r="M86" s="14" t="s">
        <v>545</v>
      </c>
      <c r="N86" s="14" t="s">
        <v>346</v>
      </c>
      <c r="O86" s="15" t="s">
        <v>88</v>
      </c>
      <c r="P86" s="15" t="s">
        <v>89</v>
      </c>
      <c r="Q86" s="17" t="s">
        <v>90</v>
      </c>
      <c r="R86" s="17"/>
      <c r="S86" s="15" t="s">
        <v>701</v>
      </c>
    </row>
    <row r="87" customFormat="false" ht="32.8" hidden="false" customHeight="false" outlineLevel="0" collapsed="false">
      <c r="A87" s="14" t="s">
        <v>702</v>
      </c>
      <c r="B87" s="15" t="s">
        <v>78</v>
      </c>
      <c r="C87" s="15" t="s">
        <v>689</v>
      </c>
      <c r="D87" s="15" t="s">
        <v>703</v>
      </c>
      <c r="E87" s="15" t="s">
        <v>704</v>
      </c>
      <c r="F87" s="15" t="s">
        <v>342</v>
      </c>
      <c r="G87" s="15" t="s">
        <v>705</v>
      </c>
      <c r="H87" s="15" t="s">
        <v>706</v>
      </c>
      <c r="I87" s="15" t="s">
        <v>707</v>
      </c>
      <c r="J87" s="16"/>
      <c r="K87" s="14" t="s">
        <v>19</v>
      </c>
      <c r="L87" s="14" t="s">
        <v>86</v>
      </c>
      <c r="M87" s="14" t="s">
        <v>545</v>
      </c>
      <c r="N87" s="14" t="s">
        <v>346</v>
      </c>
      <c r="O87" s="15" t="s">
        <v>88</v>
      </c>
      <c r="P87" s="15" t="s">
        <v>89</v>
      </c>
      <c r="Q87" s="17" t="s">
        <v>90</v>
      </c>
      <c r="R87" s="17"/>
      <c r="S87" s="15" t="s">
        <v>708</v>
      </c>
    </row>
    <row r="88" customFormat="false" ht="43.25" hidden="false" customHeight="false" outlineLevel="0" collapsed="false">
      <c r="A88" s="14" t="s">
        <v>709</v>
      </c>
      <c r="B88" s="15" t="s">
        <v>78</v>
      </c>
      <c r="C88" s="15" t="s">
        <v>710</v>
      </c>
      <c r="D88" s="15" t="s">
        <v>549</v>
      </c>
      <c r="E88" s="15" t="s">
        <v>711</v>
      </c>
      <c r="F88" s="15" t="s">
        <v>712</v>
      </c>
      <c r="G88" s="15" t="s">
        <v>96</v>
      </c>
      <c r="H88" s="15" t="s">
        <v>713</v>
      </c>
      <c r="I88" s="15" t="s">
        <v>714</v>
      </c>
      <c r="J88" s="16"/>
      <c r="K88" s="14" t="s">
        <v>21</v>
      </c>
      <c r="L88" s="14" t="s">
        <v>99</v>
      </c>
      <c r="M88" s="14" t="s">
        <v>78</v>
      </c>
      <c r="N88" s="14" t="s">
        <v>109</v>
      </c>
      <c r="O88" s="15" t="s">
        <v>88</v>
      </c>
      <c r="P88" s="15" t="s">
        <v>89</v>
      </c>
      <c r="Q88" s="17" t="s">
        <v>90</v>
      </c>
      <c r="R88" s="17"/>
      <c r="S88" s="15" t="s">
        <v>715</v>
      </c>
    </row>
    <row r="89" customFormat="false" ht="22.35" hidden="false" customHeight="false" outlineLevel="0" collapsed="false">
      <c r="A89" s="14" t="s">
        <v>716</v>
      </c>
      <c r="B89" s="15" t="s">
        <v>78</v>
      </c>
      <c r="C89" s="15" t="s">
        <v>710</v>
      </c>
      <c r="D89" s="15" t="s">
        <v>717</v>
      </c>
      <c r="E89" s="15" t="s">
        <v>718</v>
      </c>
      <c r="F89" s="15" t="s">
        <v>719</v>
      </c>
      <c r="G89" s="15" t="s">
        <v>96</v>
      </c>
      <c r="H89" s="15" t="s">
        <v>720</v>
      </c>
      <c r="I89" s="15" t="s">
        <v>721</v>
      </c>
      <c r="J89" s="16"/>
      <c r="K89" s="14" t="s">
        <v>22</v>
      </c>
      <c r="L89" s="14" t="s">
        <v>338</v>
      </c>
      <c r="M89" s="14" t="s">
        <v>78</v>
      </c>
      <c r="N89" s="14" t="s">
        <v>346</v>
      </c>
      <c r="O89" s="15" t="s">
        <v>88</v>
      </c>
      <c r="P89" s="15" t="s">
        <v>89</v>
      </c>
      <c r="Q89" s="17" t="s">
        <v>90</v>
      </c>
      <c r="R89" s="17"/>
      <c r="S89" s="15" t="s">
        <v>722</v>
      </c>
    </row>
    <row r="90" customFormat="false" ht="22.35" hidden="false" customHeight="false" outlineLevel="0" collapsed="false">
      <c r="A90" s="14" t="s">
        <v>723</v>
      </c>
      <c r="B90" s="15" t="s">
        <v>78</v>
      </c>
      <c r="C90" s="15" t="s">
        <v>545</v>
      </c>
      <c r="D90" s="15" t="s">
        <v>724</v>
      </c>
      <c r="E90" s="15" t="s">
        <v>725</v>
      </c>
      <c r="F90" s="15" t="s">
        <v>342</v>
      </c>
      <c r="G90" s="15" t="s">
        <v>96</v>
      </c>
      <c r="H90" s="15" t="s">
        <v>726</v>
      </c>
      <c r="I90" s="15" t="s">
        <v>727</v>
      </c>
      <c r="J90" s="16"/>
      <c r="K90" s="14" t="s">
        <v>21</v>
      </c>
      <c r="L90" s="14" t="s">
        <v>99</v>
      </c>
      <c r="M90" s="14" t="s">
        <v>545</v>
      </c>
      <c r="N90" s="14" t="s">
        <v>346</v>
      </c>
      <c r="O90" s="15" t="s">
        <v>88</v>
      </c>
      <c r="P90" s="15" t="s">
        <v>89</v>
      </c>
      <c r="Q90" s="17" t="s">
        <v>90</v>
      </c>
      <c r="R90" s="17"/>
      <c r="S90" s="15" t="s">
        <v>728</v>
      </c>
    </row>
    <row r="91" customFormat="false" ht="32.8" hidden="false" customHeight="false" outlineLevel="0" collapsed="false">
      <c r="A91" s="14" t="s">
        <v>729</v>
      </c>
      <c r="B91" s="15" t="s">
        <v>78</v>
      </c>
      <c r="C91" s="15" t="s">
        <v>545</v>
      </c>
      <c r="D91" s="15" t="s">
        <v>730</v>
      </c>
      <c r="E91" s="15" t="s">
        <v>731</v>
      </c>
      <c r="F91" s="15" t="s">
        <v>732</v>
      </c>
      <c r="G91" s="15" t="s">
        <v>733</v>
      </c>
      <c r="H91" s="15" t="s">
        <v>734</v>
      </c>
      <c r="I91" s="15" t="s">
        <v>735</v>
      </c>
      <c r="J91" s="16"/>
      <c r="K91" s="14" t="s">
        <v>20</v>
      </c>
      <c r="L91" s="14" t="s">
        <v>108</v>
      </c>
      <c r="M91" s="14" t="s">
        <v>545</v>
      </c>
      <c r="N91" s="14" t="s">
        <v>346</v>
      </c>
      <c r="O91" s="15" t="s">
        <v>88</v>
      </c>
      <c r="P91" s="15" t="s">
        <v>89</v>
      </c>
      <c r="Q91" s="17" t="s">
        <v>90</v>
      </c>
      <c r="R91" s="17"/>
      <c r="S91" s="15" t="s">
        <v>736</v>
      </c>
    </row>
  </sheetData>
  <autoFilter ref="A1:S91"/>
  <conditionalFormatting sqref="K2:K91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91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91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91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91" type="list">
      <formula1>"P0,P1,P2,P3"</formula1>
      <formula2>0</formula2>
    </dataValidation>
    <dataValidation allowBlank="false" errorStyle="stop" operator="between" showDropDown="false" showErrorMessage="false" showInputMessage="false" sqref="L2:L91" type="list">
      <formula1>"Critical,High,Medium,Low"</formula1>
      <formula2>0</formula2>
    </dataValidation>
    <dataValidation allowBlank="false" errorStyle="stop" operator="between" showDropDown="false" showErrorMessage="false" showInputMessage="false" sqref="N2:N91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43.25" hidden="false" customHeight="false" outlineLevel="0" collapsed="false">
      <c r="A2" s="14" t="s">
        <v>737</v>
      </c>
      <c r="B2" s="15" t="s">
        <v>738</v>
      </c>
      <c r="C2" s="15" t="s">
        <v>739</v>
      </c>
      <c r="D2" s="15" t="s">
        <v>740</v>
      </c>
      <c r="E2" s="15" t="s">
        <v>741</v>
      </c>
      <c r="F2" s="15" t="s">
        <v>742</v>
      </c>
      <c r="G2" s="15" t="s">
        <v>743</v>
      </c>
      <c r="H2" s="15" t="s">
        <v>744</v>
      </c>
      <c r="I2" s="15" t="s">
        <v>745</v>
      </c>
      <c r="J2" s="16"/>
      <c r="K2" s="14" t="s">
        <v>19</v>
      </c>
      <c r="L2" s="14" t="s">
        <v>86</v>
      </c>
      <c r="M2" s="14" t="s">
        <v>738</v>
      </c>
      <c r="N2" s="14" t="s">
        <v>87</v>
      </c>
      <c r="O2" s="15" t="s">
        <v>88</v>
      </c>
      <c r="P2" s="15" t="s">
        <v>398</v>
      </c>
      <c r="Q2" s="17" t="s">
        <v>90</v>
      </c>
      <c r="R2" s="17"/>
      <c r="S2" s="15" t="s">
        <v>746</v>
      </c>
    </row>
    <row r="3" customFormat="false" ht="32.8" hidden="false" customHeight="false" outlineLevel="0" collapsed="false">
      <c r="A3" s="14" t="s">
        <v>747</v>
      </c>
      <c r="B3" s="15" t="s">
        <v>738</v>
      </c>
      <c r="C3" s="15" t="s">
        <v>739</v>
      </c>
      <c r="D3" s="15" t="s">
        <v>748</v>
      </c>
      <c r="E3" s="15" t="s">
        <v>749</v>
      </c>
      <c r="F3" s="15" t="s">
        <v>742</v>
      </c>
      <c r="G3" s="15" t="s">
        <v>750</v>
      </c>
      <c r="H3" s="15" t="s">
        <v>751</v>
      </c>
      <c r="I3" s="15" t="s">
        <v>752</v>
      </c>
      <c r="J3" s="16"/>
      <c r="K3" s="14" t="s">
        <v>19</v>
      </c>
      <c r="L3" s="14" t="s">
        <v>86</v>
      </c>
      <c r="M3" s="14" t="s">
        <v>738</v>
      </c>
      <c r="N3" s="14" t="s">
        <v>87</v>
      </c>
      <c r="O3" s="15" t="s">
        <v>88</v>
      </c>
      <c r="P3" s="15" t="s">
        <v>398</v>
      </c>
      <c r="Q3" s="17" t="s">
        <v>90</v>
      </c>
      <c r="R3" s="17"/>
      <c r="S3" s="15" t="s">
        <v>753</v>
      </c>
    </row>
    <row r="4" customFormat="false" ht="32.8" hidden="false" customHeight="false" outlineLevel="0" collapsed="false">
      <c r="A4" s="14" t="s">
        <v>754</v>
      </c>
      <c r="B4" s="15" t="s">
        <v>738</v>
      </c>
      <c r="C4" s="15" t="s">
        <v>739</v>
      </c>
      <c r="D4" s="15" t="s">
        <v>755</v>
      </c>
      <c r="E4" s="15" t="s">
        <v>756</v>
      </c>
      <c r="F4" s="15" t="s">
        <v>742</v>
      </c>
      <c r="G4" s="15" t="s">
        <v>757</v>
      </c>
      <c r="H4" s="15" t="s">
        <v>758</v>
      </c>
      <c r="I4" s="15" t="s">
        <v>759</v>
      </c>
      <c r="J4" s="16"/>
      <c r="K4" s="14" t="s">
        <v>19</v>
      </c>
      <c r="L4" s="14" t="s">
        <v>86</v>
      </c>
      <c r="M4" s="14" t="s">
        <v>738</v>
      </c>
      <c r="N4" s="14" t="s">
        <v>87</v>
      </c>
      <c r="O4" s="15" t="s">
        <v>88</v>
      </c>
      <c r="P4" s="15" t="s">
        <v>398</v>
      </c>
      <c r="Q4" s="17" t="s">
        <v>90</v>
      </c>
      <c r="R4" s="17"/>
      <c r="S4" s="15" t="s">
        <v>760</v>
      </c>
    </row>
    <row r="5" customFormat="false" ht="32.8" hidden="false" customHeight="false" outlineLevel="0" collapsed="false">
      <c r="A5" s="14" t="s">
        <v>761</v>
      </c>
      <c r="B5" s="15" t="s">
        <v>738</v>
      </c>
      <c r="C5" s="15" t="s">
        <v>739</v>
      </c>
      <c r="D5" s="15" t="s">
        <v>762</v>
      </c>
      <c r="E5" s="15" t="s">
        <v>763</v>
      </c>
      <c r="F5" s="15" t="s">
        <v>742</v>
      </c>
      <c r="G5" s="15" t="s">
        <v>764</v>
      </c>
      <c r="H5" s="15" t="s">
        <v>765</v>
      </c>
      <c r="I5" s="15" t="s">
        <v>766</v>
      </c>
      <c r="J5" s="16"/>
      <c r="K5" s="14" t="s">
        <v>19</v>
      </c>
      <c r="L5" s="14" t="s">
        <v>86</v>
      </c>
      <c r="M5" s="14" t="s">
        <v>738</v>
      </c>
      <c r="N5" s="14" t="s">
        <v>87</v>
      </c>
      <c r="O5" s="15" t="s">
        <v>88</v>
      </c>
      <c r="P5" s="15" t="s">
        <v>398</v>
      </c>
      <c r="Q5" s="17" t="s">
        <v>90</v>
      </c>
      <c r="R5" s="17"/>
      <c r="S5" s="15" t="s">
        <v>767</v>
      </c>
    </row>
    <row r="6" customFormat="false" ht="32.8" hidden="false" customHeight="false" outlineLevel="0" collapsed="false">
      <c r="A6" s="14" t="s">
        <v>768</v>
      </c>
      <c r="B6" s="15" t="s">
        <v>738</v>
      </c>
      <c r="C6" s="15" t="s">
        <v>739</v>
      </c>
      <c r="D6" s="15" t="s">
        <v>769</v>
      </c>
      <c r="E6" s="15" t="s">
        <v>770</v>
      </c>
      <c r="F6" s="15" t="s">
        <v>742</v>
      </c>
      <c r="G6" s="15" t="s">
        <v>771</v>
      </c>
      <c r="H6" s="15" t="s">
        <v>772</v>
      </c>
      <c r="I6" s="15" t="s">
        <v>773</v>
      </c>
      <c r="J6" s="16"/>
      <c r="K6" s="14" t="s">
        <v>19</v>
      </c>
      <c r="L6" s="14" t="s">
        <v>86</v>
      </c>
      <c r="M6" s="14" t="s">
        <v>738</v>
      </c>
      <c r="N6" s="14" t="s">
        <v>87</v>
      </c>
      <c r="O6" s="15" t="s">
        <v>88</v>
      </c>
      <c r="P6" s="15" t="s">
        <v>398</v>
      </c>
      <c r="Q6" s="17" t="s">
        <v>90</v>
      </c>
      <c r="R6" s="17"/>
      <c r="S6" s="15" t="s">
        <v>774</v>
      </c>
    </row>
    <row r="7" customFormat="false" ht="32.8" hidden="false" customHeight="false" outlineLevel="0" collapsed="false">
      <c r="A7" s="14" t="s">
        <v>775</v>
      </c>
      <c r="B7" s="15" t="s">
        <v>738</v>
      </c>
      <c r="C7" s="15" t="s">
        <v>739</v>
      </c>
      <c r="D7" s="15" t="s">
        <v>776</v>
      </c>
      <c r="E7" s="15" t="s">
        <v>777</v>
      </c>
      <c r="F7" s="15" t="s">
        <v>742</v>
      </c>
      <c r="G7" s="15" t="s">
        <v>778</v>
      </c>
      <c r="H7" s="15" t="s">
        <v>779</v>
      </c>
      <c r="I7" s="15" t="s">
        <v>780</v>
      </c>
      <c r="J7" s="16"/>
      <c r="K7" s="14" t="s">
        <v>19</v>
      </c>
      <c r="L7" s="14" t="s">
        <v>86</v>
      </c>
      <c r="M7" s="14" t="s">
        <v>738</v>
      </c>
      <c r="N7" s="14" t="s">
        <v>87</v>
      </c>
      <c r="O7" s="15" t="s">
        <v>88</v>
      </c>
      <c r="P7" s="15" t="s">
        <v>398</v>
      </c>
      <c r="Q7" s="17" t="s">
        <v>90</v>
      </c>
      <c r="R7" s="17"/>
      <c r="S7" s="15" t="s">
        <v>781</v>
      </c>
    </row>
    <row r="8" customFormat="false" ht="22.35" hidden="false" customHeight="false" outlineLevel="0" collapsed="false">
      <c r="A8" s="14" t="s">
        <v>782</v>
      </c>
      <c r="B8" s="15" t="s">
        <v>738</v>
      </c>
      <c r="C8" s="15" t="s">
        <v>739</v>
      </c>
      <c r="D8" s="15" t="s">
        <v>783</v>
      </c>
      <c r="E8" s="15" t="s">
        <v>784</v>
      </c>
      <c r="F8" s="15" t="s">
        <v>785</v>
      </c>
      <c r="G8" s="15" t="s">
        <v>786</v>
      </c>
      <c r="H8" s="15" t="s">
        <v>787</v>
      </c>
      <c r="I8" s="15" t="s">
        <v>788</v>
      </c>
      <c r="J8" s="16"/>
      <c r="K8" s="14" t="s">
        <v>20</v>
      </c>
      <c r="L8" s="14" t="s">
        <v>108</v>
      </c>
      <c r="M8" s="14" t="s">
        <v>738</v>
      </c>
      <c r="N8" s="14" t="s">
        <v>346</v>
      </c>
      <c r="O8" s="15" t="s">
        <v>88</v>
      </c>
      <c r="P8" s="15" t="s">
        <v>398</v>
      </c>
      <c r="Q8" s="17" t="s">
        <v>90</v>
      </c>
      <c r="R8" s="17"/>
      <c r="S8" s="15" t="s">
        <v>789</v>
      </c>
    </row>
    <row r="9" customFormat="false" ht="32.8" hidden="false" customHeight="false" outlineLevel="0" collapsed="false">
      <c r="A9" s="14" t="s">
        <v>790</v>
      </c>
      <c r="B9" s="15" t="s">
        <v>738</v>
      </c>
      <c r="C9" s="15" t="s">
        <v>791</v>
      </c>
      <c r="D9" s="15" t="s">
        <v>792</v>
      </c>
      <c r="E9" s="15" t="s">
        <v>793</v>
      </c>
      <c r="F9" s="15" t="s">
        <v>742</v>
      </c>
      <c r="G9" s="15" t="s">
        <v>794</v>
      </c>
      <c r="H9" s="15" t="s">
        <v>795</v>
      </c>
      <c r="I9" s="15" t="s">
        <v>796</v>
      </c>
      <c r="J9" s="16"/>
      <c r="K9" s="14" t="s">
        <v>20</v>
      </c>
      <c r="L9" s="14" t="s">
        <v>108</v>
      </c>
      <c r="M9" s="14" t="s">
        <v>738</v>
      </c>
      <c r="N9" s="14" t="s">
        <v>87</v>
      </c>
      <c r="O9" s="15" t="s">
        <v>88</v>
      </c>
      <c r="P9" s="15" t="s">
        <v>398</v>
      </c>
      <c r="Q9" s="17" t="s">
        <v>90</v>
      </c>
      <c r="R9" s="17"/>
      <c r="S9" s="15" t="s">
        <v>797</v>
      </c>
    </row>
    <row r="10" customFormat="false" ht="32.8" hidden="false" customHeight="false" outlineLevel="0" collapsed="false">
      <c r="A10" s="14" t="s">
        <v>798</v>
      </c>
      <c r="B10" s="15" t="s">
        <v>738</v>
      </c>
      <c r="C10" s="15" t="s">
        <v>791</v>
      </c>
      <c r="D10" s="15" t="s">
        <v>799</v>
      </c>
      <c r="E10" s="15" t="s">
        <v>800</v>
      </c>
      <c r="F10" s="15" t="s">
        <v>742</v>
      </c>
      <c r="G10" s="15" t="s">
        <v>801</v>
      </c>
      <c r="H10" s="15" t="s">
        <v>802</v>
      </c>
      <c r="I10" s="15" t="s">
        <v>803</v>
      </c>
      <c r="J10" s="16"/>
      <c r="K10" s="14" t="s">
        <v>21</v>
      </c>
      <c r="L10" s="14" t="s">
        <v>99</v>
      </c>
      <c r="M10" s="14" t="s">
        <v>738</v>
      </c>
      <c r="N10" s="14" t="s">
        <v>87</v>
      </c>
      <c r="O10" s="15" t="s">
        <v>88</v>
      </c>
      <c r="P10" s="15" t="s">
        <v>398</v>
      </c>
      <c r="Q10" s="17" t="s">
        <v>90</v>
      </c>
      <c r="R10" s="17"/>
      <c r="S10" s="15" t="s">
        <v>804</v>
      </c>
    </row>
    <row r="11" customFormat="false" ht="32.8" hidden="false" customHeight="false" outlineLevel="0" collapsed="false">
      <c r="A11" s="14" t="s">
        <v>805</v>
      </c>
      <c r="B11" s="15" t="s">
        <v>738</v>
      </c>
      <c r="C11" s="15" t="s">
        <v>806</v>
      </c>
      <c r="D11" s="15" t="s">
        <v>807</v>
      </c>
      <c r="E11" s="15" t="s">
        <v>808</v>
      </c>
      <c r="F11" s="15" t="s">
        <v>742</v>
      </c>
      <c r="G11" s="15" t="s">
        <v>809</v>
      </c>
      <c r="H11" s="15" t="s">
        <v>810</v>
      </c>
      <c r="I11" s="15" t="s">
        <v>811</v>
      </c>
      <c r="J11" s="16"/>
      <c r="K11" s="14" t="s">
        <v>21</v>
      </c>
      <c r="L11" s="14" t="s">
        <v>99</v>
      </c>
      <c r="M11" s="14" t="s">
        <v>738</v>
      </c>
      <c r="N11" s="14" t="s">
        <v>87</v>
      </c>
      <c r="O11" s="15" t="s">
        <v>88</v>
      </c>
      <c r="P11" s="15" t="s">
        <v>398</v>
      </c>
      <c r="Q11" s="17" t="s">
        <v>90</v>
      </c>
      <c r="R11" s="17"/>
      <c r="S11" s="15" t="s">
        <v>812</v>
      </c>
    </row>
    <row r="12" customFormat="false" ht="32.8" hidden="false" customHeight="false" outlineLevel="0" collapsed="false">
      <c r="A12" s="14" t="s">
        <v>813</v>
      </c>
      <c r="B12" s="15" t="s">
        <v>738</v>
      </c>
      <c r="C12" s="15" t="s">
        <v>814</v>
      </c>
      <c r="D12" s="15" t="s">
        <v>815</v>
      </c>
      <c r="E12" s="15" t="s">
        <v>816</v>
      </c>
      <c r="F12" s="15" t="s">
        <v>742</v>
      </c>
      <c r="G12" s="15" t="s">
        <v>817</v>
      </c>
      <c r="H12" s="15" t="s">
        <v>818</v>
      </c>
      <c r="I12" s="15" t="s">
        <v>819</v>
      </c>
      <c r="J12" s="16"/>
      <c r="K12" s="14" t="s">
        <v>19</v>
      </c>
      <c r="L12" s="14" t="s">
        <v>86</v>
      </c>
      <c r="M12" s="14" t="s">
        <v>738</v>
      </c>
      <c r="N12" s="14" t="s">
        <v>87</v>
      </c>
      <c r="O12" s="15" t="s">
        <v>88</v>
      </c>
      <c r="P12" s="15" t="s">
        <v>398</v>
      </c>
      <c r="Q12" s="17" t="s">
        <v>90</v>
      </c>
      <c r="R12" s="17"/>
      <c r="S12" s="15" t="s">
        <v>820</v>
      </c>
    </row>
    <row r="13" customFormat="false" ht="32.8" hidden="false" customHeight="false" outlineLevel="0" collapsed="false">
      <c r="A13" s="14" t="s">
        <v>821</v>
      </c>
      <c r="B13" s="15" t="s">
        <v>738</v>
      </c>
      <c r="C13" s="15" t="s">
        <v>814</v>
      </c>
      <c r="D13" s="15" t="s">
        <v>822</v>
      </c>
      <c r="E13" s="15" t="s">
        <v>823</v>
      </c>
      <c r="F13" s="15" t="s">
        <v>742</v>
      </c>
      <c r="G13" s="15" t="s">
        <v>824</v>
      </c>
      <c r="H13" s="15" t="s">
        <v>825</v>
      </c>
      <c r="I13" s="15" t="s">
        <v>826</v>
      </c>
      <c r="J13" s="16"/>
      <c r="K13" s="14" t="s">
        <v>20</v>
      </c>
      <c r="L13" s="14" t="s">
        <v>108</v>
      </c>
      <c r="M13" s="14" t="s">
        <v>738</v>
      </c>
      <c r="N13" s="14" t="s">
        <v>87</v>
      </c>
      <c r="O13" s="15" t="s">
        <v>88</v>
      </c>
      <c r="P13" s="15" t="s">
        <v>398</v>
      </c>
      <c r="Q13" s="17" t="s">
        <v>90</v>
      </c>
      <c r="R13" s="17"/>
      <c r="S13" s="15" t="s">
        <v>827</v>
      </c>
    </row>
    <row r="14" customFormat="false" ht="43.25" hidden="false" customHeight="false" outlineLevel="0" collapsed="false">
      <c r="A14" s="14" t="s">
        <v>828</v>
      </c>
      <c r="B14" s="15" t="s">
        <v>738</v>
      </c>
      <c r="C14" s="15" t="s">
        <v>829</v>
      </c>
      <c r="D14" s="15" t="s">
        <v>830</v>
      </c>
      <c r="E14" s="15" t="s">
        <v>831</v>
      </c>
      <c r="F14" s="15" t="s">
        <v>742</v>
      </c>
      <c r="G14" s="15" t="s">
        <v>832</v>
      </c>
      <c r="H14" s="15" t="s">
        <v>833</v>
      </c>
      <c r="I14" s="15" t="s">
        <v>834</v>
      </c>
      <c r="J14" s="16"/>
      <c r="K14" s="14" t="s">
        <v>20</v>
      </c>
      <c r="L14" s="14" t="s">
        <v>108</v>
      </c>
      <c r="M14" s="14" t="s">
        <v>738</v>
      </c>
      <c r="N14" s="14" t="s">
        <v>87</v>
      </c>
      <c r="O14" s="15" t="s">
        <v>88</v>
      </c>
      <c r="P14" s="15" t="s">
        <v>398</v>
      </c>
      <c r="Q14" s="17" t="s">
        <v>90</v>
      </c>
      <c r="R14" s="17"/>
      <c r="S14" s="15" t="s">
        <v>835</v>
      </c>
    </row>
    <row r="15" customFormat="false" ht="22.35" hidden="false" customHeight="false" outlineLevel="0" collapsed="false">
      <c r="A15" s="14" t="s">
        <v>836</v>
      </c>
      <c r="B15" s="15" t="s">
        <v>738</v>
      </c>
      <c r="C15" s="15" t="s">
        <v>829</v>
      </c>
      <c r="D15" s="15" t="s">
        <v>837</v>
      </c>
      <c r="E15" s="15" t="s">
        <v>838</v>
      </c>
      <c r="F15" s="15" t="s">
        <v>839</v>
      </c>
      <c r="G15" s="15" t="s">
        <v>840</v>
      </c>
      <c r="H15" s="15" t="s">
        <v>841</v>
      </c>
      <c r="I15" s="15" t="s">
        <v>842</v>
      </c>
      <c r="J15" s="16"/>
      <c r="K15" s="14" t="s">
        <v>19</v>
      </c>
      <c r="L15" s="14" t="s">
        <v>86</v>
      </c>
      <c r="M15" s="14" t="s">
        <v>738</v>
      </c>
      <c r="N15" s="14" t="s">
        <v>87</v>
      </c>
      <c r="O15" s="15" t="s">
        <v>88</v>
      </c>
      <c r="P15" s="15" t="s">
        <v>398</v>
      </c>
      <c r="Q15" s="17" t="s">
        <v>90</v>
      </c>
      <c r="R15" s="17"/>
      <c r="S15" s="15" t="s">
        <v>843</v>
      </c>
    </row>
    <row r="16" customFormat="false" ht="43.25" hidden="false" customHeight="false" outlineLevel="0" collapsed="false">
      <c r="A16" s="14" t="s">
        <v>844</v>
      </c>
      <c r="B16" s="15" t="s">
        <v>738</v>
      </c>
      <c r="C16" s="15" t="s">
        <v>845</v>
      </c>
      <c r="D16" s="15" t="s">
        <v>846</v>
      </c>
      <c r="E16" s="15" t="s">
        <v>847</v>
      </c>
      <c r="F16" s="15" t="s">
        <v>742</v>
      </c>
      <c r="G16" s="15" t="s">
        <v>848</v>
      </c>
      <c r="H16" s="15" t="s">
        <v>849</v>
      </c>
      <c r="I16" s="15" t="s">
        <v>850</v>
      </c>
      <c r="J16" s="16"/>
      <c r="K16" s="14" t="s">
        <v>20</v>
      </c>
      <c r="L16" s="14" t="s">
        <v>108</v>
      </c>
      <c r="M16" s="14" t="s">
        <v>738</v>
      </c>
      <c r="N16" s="14" t="s">
        <v>87</v>
      </c>
      <c r="O16" s="15" t="s">
        <v>88</v>
      </c>
      <c r="P16" s="15" t="s">
        <v>398</v>
      </c>
      <c r="Q16" s="17" t="s">
        <v>90</v>
      </c>
      <c r="R16" s="17"/>
      <c r="S16" s="15" t="s">
        <v>851</v>
      </c>
    </row>
    <row r="17" customFormat="false" ht="32.8" hidden="false" customHeight="false" outlineLevel="0" collapsed="false">
      <c r="A17" s="14" t="s">
        <v>852</v>
      </c>
      <c r="B17" s="15" t="s">
        <v>738</v>
      </c>
      <c r="C17" s="15" t="s">
        <v>853</v>
      </c>
      <c r="D17" s="15" t="s">
        <v>854</v>
      </c>
      <c r="E17" s="15" t="s">
        <v>855</v>
      </c>
      <c r="F17" s="15" t="s">
        <v>742</v>
      </c>
      <c r="G17" s="15" t="s">
        <v>856</v>
      </c>
      <c r="H17" s="15" t="s">
        <v>857</v>
      </c>
      <c r="I17" s="15" t="s">
        <v>858</v>
      </c>
      <c r="J17" s="16"/>
      <c r="K17" s="14" t="s">
        <v>20</v>
      </c>
      <c r="L17" s="14" t="s">
        <v>108</v>
      </c>
      <c r="M17" s="14" t="s">
        <v>738</v>
      </c>
      <c r="N17" s="14" t="s">
        <v>87</v>
      </c>
      <c r="O17" s="15" t="s">
        <v>88</v>
      </c>
      <c r="P17" s="15" t="s">
        <v>398</v>
      </c>
      <c r="Q17" s="17" t="s">
        <v>90</v>
      </c>
      <c r="R17" s="17"/>
      <c r="S17" s="15" t="s">
        <v>141</v>
      </c>
    </row>
    <row r="18" customFormat="false" ht="32.8" hidden="false" customHeight="false" outlineLevel="0" collapsed="false">
      <c r="A18" s="14" t="s">
        <v>859</v>
      </c>
      <c r="B18" s="15" t="s">
        <v>738</v>
      </c>
      <c r="C18" s="15" t="s">
        <v>256</v>
      </c>
      <c r="D18" s="15" t="s">
        <v>860</v>
      </c>
      <c r="E18" s="15" t="s">
        <v>861</v>
      </c>
      <c r="F18" s="15" t="s">
        <v>862</v>
      </c>
      <c r="G18" s="15" t="s">
        <v>863</v>
      </c>
      <c r="H18" s="15" t="s">
        <v>864</v>
      </c>
      <c r="I18" s="15" t="s">
        <v>865</v>
      </c>
      <c r="J18" s="16"/>
      <c r="K18" s="14" t="s">
        <v>19</v>
      </c>
      <c r="L18" s="14" t="s">
        <v>86</v>
      </c>
      <c r="M18" s="14" t="s">
        <v>738</v>
      </c>
      <c r="N18" s="14" t="s">
        <v>87</v>
      </c>
      <c r="O18" s="15" t="s">
        <v>88</v>
      </c>
      <c r="P18" s="15" t="s">
        <v>140</v>
      </c>
      <c r="Q18" s="17" t="s">
        <v>90</v>
      </c>
      <c r="R18" s="17"/>
      <c r="S18" s="15" t="s">
        <v>866</v>
      </c>
    </row>
    <row r="19" customFormat="false" ht="32.8" hidden="false" customHeight="false" outlineLevel="0" collapsed="false">
      <c r="A19" s="14" t="s">
        <v>867</v>
      </c>
      <c r="B19" s="15" t="s">
        <v>738</v>
      </c>
      <c r="C19" s="15" t="s">
        <v>256</v>
      </c>
      <c r="D19" s="15" t="s">
        <v>860</v>
      </c>
      <c r="E19" s="15" t="s">
        <v>868</v>
      </c>
      <c r="F19" s="15" t="s">
        <v>862</v>
      </c>
      <c r="G19" s="15" t="s">
        <v>869</v>
      </c>
      <c r="H19" s="15" t="s">
        <v>864</v>
      </c>
      <c r="I19" s="15" t="s">
        <v>870</v>
      </c>
      <c r="J19" s="16"/>
      <c r="K19" s="14" t="s">
        <v>19</v>
      </c>
      <c r="L19" s="14" t="s">
        <v>86</v>
      </c>
      <c r="M19" s="14" t="s">
        <v>738</v>
      </c>
      <c r="N19" s="14" t="s">
        <v>87</v>
      </c>
      <c r="O19" s="15" t="s">
        <v>88</v>
      </c>
      <c r="P19" s="15" t="s">
        <v>140</v>
      </c>
      <c r="Q19" s="17" t="s">
        <v>90</v>
      </c>
      <c r="R19" s="17"/>
      <c r="S19" s="15" t="s">
        <v>866</v>
      </c>
    </row>
    <row r="20" customFormat="false" ht="32.8" hidden="false" customHeight="false" outlineLevel="0" collapsed="false">
      <c r="A20" s="14" t="s">
        <v>871</v>
      </c>
      <c r="B20" s="15" t="s">
        <v>738</v>
      </c>
      <c r="C20" s="15" t="s">
        <v>256</v>
      </c>
      <c r="D20" s="15" t="s">
        <v>860</v>
      </c>
      <c r="E20" s="15" t="s">
        <v>872</v>
      </c>
      <c r="F20" s="15" t="s">
        <v>862</v>
      </c>
      <c r="G20" s="15" t="s">
        <v>873</v>
      </c>
      <c r="H20" s="15" t="s">
        <v>864</v>
      </c>
      <c r="I20" s="15" t="s">
        <v>874</v>
      </c>
      <c r="J20" s="16"/>
      <c r="K20" s="14" t="s">
        <v>19</v>
      </c>
      <c r="L20" s="14" t="s">
        <v>86</v>
      </c>
      <c r="M20" s="14" t="s">
        <v>738</v>
      </c>
      <c r="N20" s="14" t="s">
        <v>87</v>
      </c>
      <c r="O20" s="15" t="s">
        <v>88</v>
      </c>
      <c r="P20" s="15" t="s">
        <v>140</v>
      </c>
      <c r="Q20" s="17" t="s">
        <v>90</v>
      </c>
      <c r="R20" s="17"/>
      <c r="S20" s="15" t="s">
        <v>866</v>
      </c>
    </row>
    <row r="21" customFormat="false" ht="32.8" hidden="false" customHeight="false" outlineLevel="0" collapsed="false">
      <c r="A21" s="14" t="s">
        <v>875</v>
      </c>
      <c r="B21" s="15" t="s">
        <v>738</v>
      </c>
      <c r="C21" s="15" t="s">
        <v>256</v>
      </c>
      <c r="D21" s="15" t="s">
        <v>860</v>
      </c>
      <c r="E21" s="15" t="s">
        <v>876</v>
      </c>
      <c r="F21" s="15" t="s">
        <v>862</v>
      </c>
      <c r="G21" s="15" t="s">
        <v>877</v>
      </c>
      <c r="H21" s="15" t="s">
        <v>864</v>
      </c>
      <c r="I21" s="15" t="s">
        <v>878</v>
      </c>
      <c r="J21" s="16"/>
      <c r="K21" s="14" t="s">
        <v>19</v>
      </c>
      <c r="L21" s="14" t="s">
        <v>86</v>
      </c>
      <c r="M21" s="14" t="s">
        <v>738</v>
      </c>
      <c r="N21" s="14" t="s">
        <v>87</v>
      </c>
      <c r="O21" s="15" t="s">
        <v>88</v>
      </c>
      <c r="P21" s="15" t="s">
        <v>140</v>
      </c>
      <c r="Q21" s="17" t="s">
        <v>90</v>
      </c>
      <c r="R21" s="17"/>
      <c r="S21" s="15" t="s">
        <v>866</v>
      </c>
    </row>
    <row r="22" customFormat="false" ht="32.8" hidden="false" customHeight="false" outlineLevel="0" collapsed="false">
      <c r="A22" s="14" t="s">
        <v>879</v>
      </c>
      <c r="B22" s="15" t="s">
        <v>738</v>
      </c>
      <c r="C22" s="15" t="s">
        <v>256</v>
      </c>
      <c r="D22" s="15" t="s">
        <v>860</v>
      </c>
      <c r="E22" s="15" t="s">
        <v>880</v>
      </c>
      <c r="F22" s="15" t="s">
        <v>862</v>
      </c>
      <c r="G22" s="15" t="s">
        <v>881</v>
      </c>
      <c r="H22" s="15" t="s">
        <v>864</v>
      </c>
      <c r="I22" s="15" t="s">
        <v>882</v>
      </c>
      <c r="J22" s="16"/>
      <c r="K22" s="14" t="s">
        <v>19</v>
      </c>
      <c r="L22" s="14" t="s">
        <v>86</v>
      </c>
      <c r="M22" s="14" t="s">
        <v>738</v>
      </c>
      <c r="N22" s="14" t="s">
        <v>87</v>
      </c>
      <c r="O22" s="15" t="s">
        <v>88</v>
      </c>
      <c r="P22" s="15" t="s">
        <v>140</v>
      </c>
      <c r="Q22" s="17" t="s">
        <v>90</v>
      </c>
      <c r="R22" s="17"/>
      <c r="S22" s="15" t="s">
        <v>866</v>
      </c>
    </row>
    <row r="23" customFormat="false" ht="32.8" hidden="false" customHeight="false" outlineLevel="0" collapsed="false">
      <c r="A23" s="14" t="s">
        <v>883</v>
      </c>
      <c r="B23" s="15" t="s">
        <v>738</v>
      </c>
      <c r="C23" s="15" t="s">
        <v>256</v>
      </c>
      <c r="D23" s="15" t="s">
        <v>860</v>
      </c>
      <c r="E23" s="15" t="s">
        <v>884</v>
      </c>
      <c r="F23" s="15" t="s">
        <v>862</v>
      </c>
      <c r="G23" s="15" t="s">
        <v>885</v>
      </c>
      <c r="H23" s="15" t="s">
        <v>864</v>
      </c>
      <c r="I23" s="15" t="s">
        <v>886</v>
      </c>
      <c r="J23" s="16"/>
      <c r="K23" s="14" t="s">
        <v>19</v>
      </c>
      <c r="L23" s="14" t="s">
        <v>86</v>
      </c>
      <c r="M23" s="14" t="s">
        <v>738</v>
      </c>
      <c r="N23" s="14" t="s">
        <v>87</v>
      </c>
      <c r="O23" s="15" t="s">
        <v>88</v>
      </c>
      <c r="P23" s="15" t="s">
        <v>140</v>
      </c>
      <c r="Q23" s="17" t="s">
        <v>90</v>
      </c>
      <c r="R23" s="17"/>
      <c r="S23" s="15" t="s">
        <v>866</v>
      </c>
    </row>
    <row r="24" customFormat="false" ht="32.8" hidden="false" customHeight="false" outlineLevel="0" collapsed="false">
      <c r="A24" s="14" t="s">
        <v>887</v>
      </c>
      <c r="B24" s="15" t="s">
        <v>738</v>
      </c>
      <c r="C24" s="15" t="s">
        <v>256</v>
      </c>
      <c r="D24" s="15" t="s">
        <v>860</v>
      </c>
      <c r="E24" s="15" t="s">
        <v>888</v>
      </c>
      <c r="F24" s="15" t="s">
        <v>862</v>
      </c>
      <c r="G24" s="15" t="s">
        <v>889</v>
      </c>
      <c r="H24" s="15" t="s">
        <v>864</v>
      </c>
      <c r="I24" s="15" t="s">
        <v>890</v>
      </c>
      <c r="J24" s="16"/>
      <c r="K24" s="14" t="s">
        <v>19</v>
      </c>
      <c r="L24" s="14" t="s">
        <v>86</v>
      </c>
      <c r="M24" s="14" t="s">
        <v>738</v>
      </c>
      <c r="N24" s="14" t="s">
        <v>87</v>
      </c>
      <c r="O24" s="15" t="s">
        <v>88</v>
      </c>
      <c r="P24" s="15" t="s">
        <v>140</v>
      </c>
      <c r="Q24" s="17" t="s">
        <v>90</v>
      </c>
      <c r="R24" s="17"/>
      <c r="S24" s="15" t="s">
        <v>866</v>
      </c>
    </row>
    <row r="25" customFormat="false" ht="32.8" hidden="false" customHeight="false" outlineLevel="0" collapsed="false">
      <c r="A25" s="14" t="s">
        <v>891</v>
      </c>
      <c r="B25" s="15" t="s">
        <v>738</v>
      </c>
      <c r="C25" s="15" t="s">
        <v>256</v>
      </c>
      <c r="D25" s="15" t="s">
        <v>860</v>
      </c>
      <c r="E25" s="15" t="s">
        <v>892</v>
      </c>
      <c r="F25" s="15" t="s">
        <v>862</v>
      </c>
      <c r="G25" s="15" t="s">
        <v>893</v>
      </c>
      <c r="H25" s="15" t="s">
        <v>864</v>
      </c>
      <c r="I25" s="15" t="s">
        <v>894</v>
      </c>
      <c r="J25" s="16"/>
      <c r="K25" s="14" t="s">
        <v>19</v>
      </c>
      <c r="L25" s="14" t="s">
        <v>86</v>
      </c>
      <c r="M25" s="14" t="s">
        <v>738</v>
      </c>
      <c r="N25" s="14" t="s">
        <v>87</v>
      </c>
      <c r="O25" s="15" t="s">
        <v>88</v>
      </c>
      <c r="P25" s="15" t="s">
        <v>140</v>
      </c>
      <c r="Q25" s="17" t="s">
        <v>90</v>
      </c>
      <c r="R25" s="17"/>
      <c r="S25" s="15" t="s">
        <v>866</v>
      </c>
    </row>
    <row r="26" customFormat="false" ht="32.8" hidden="false" customHeight="false" outlineLevel="0" collapsed="false">
      <c r="A26" s="14" t="s">
        <v>895</v>
      </c>
      <c r="B26" s="15" t="s">
        <v>738</v>
      </c>
      <c r="C26" s="15" t="s">
        <v>256</v>
      </c>
      <c r="D26" s="15" t="s">
        <v>860</v>
      </c>
      <c r="E26" s="15" t="s">
        <v>896</v>
      </c>
      <c r="F26" s="15" t="s">
        <v>862</v>
      </c>
      <c r="G26" s="15" t="s">
        <v>897</v>
      </c>
      <c r="H26" s="15" t="s">
        <v>864</v>
      </c>
      <c r="I26" s="15" t="s">
        <v>898</v>
      </c>
      <c r="J26" s="16"/>
      <c r="K26" s="14" t="s">
        <v>19</v>
      </c>
      <c r="L26" s="14" t="s">
        <v>86</v>
      </c>
      <c r="M26" s="14" t="s">
        <v>738</v>
      </c>
      <c r="N26" s="14" t="s">
        <v>87</v>
      </c>
      <c r="O26" s="15" t="s">
        <v>88</v>
      </c>
      <c r="P26" s="15" t="s">
        <v>140</v>
      </c>
      <c r="Q26" s="17" t="s">
        <v>90</v>
      </c>
      <c r="R26" s="17"/>
      <c r="S26" s="15" t="s">
        <v>866</v>
      </c>
    </row>
    <row r="27" customFormat="false" ht="32.8" hidden="false" customHeight="false" outlineLevel="0" collapsed="false">
      <c r="A27" s="14" t="s">
        <v>899</v>
      </c>
      <c r="B27" s="15" t="s">
        <v>738</v>
      </c>
      <c r="C27" s="15" t="s">
        <v>256</v>
      </c>
      <c r="D27" s="15" t="s">
        <v>900</v>
      </c>
      <c r="E27" s="15" t="s">
        <v>901</v>
      </c>
      <c r="F27" s="15" t="s">
        <v>360</v>
      </c>
      <c r="G27" s="15" t="s">
        <v>902</v>
      </c>
      <c r="H27" s="15" t="s">
        <v>903</v>
      </c>
      <c r="I27" s="15" t="s">
        <v>904</v>
      </c>
      <c r="J27" s="16"/>
      <c r="K27" s="14" t="s">
        <v>20</v>
      </c>
      <c r="L27" s="14" t="s">
        <v>108</v>
      </c>
      <c r="M27" s="14" t="s">
        <v>738</v>
      </c>
      <c r="N27" s="14" t="s">
        <v>87</v>
      </c>
      <c r="O27" s="15" t="s">
        <v>88</v>
      </c>
      <c r="P27" s="15" t="s">
        <v>140</v>
      </c>
      <c r="Q27" s="17" t="s">
        <v>90</v>
      </c>
      <c r="R27" s="17"/>
      <c r="S27" s="15" t="s">
        <v>905</v>
      </c>
    </row>
    <row r="28" customFormat="false" ht="32.8" hidden="false" customHeight="false" outlineLevel="0" collapsed="false">
      <c r="A28" s="14" t="s">
        <v>906</v>
      </c>
      <c r="B28" s="15" t="s">
        <v>738</v>
      </c>
      <c r="C28" s="15" t="s">
        <v>907</v>
      </c>
      <c r="D28" s="15" t="s">
        <v>220</v>
      </c>
      <c r="E28" s="15" t="s">
        <v>908</v>
      </c>
      <c r="F28" s="15" t="s">
        <v>862</v>
      </c>
      <c r="G28" s="15" t="s">
        <v>909</v>
      </c>
      <c r="H28" s="15" t="s">
        <v>910</v>
      </c>
      <c r="I28" s="15" t="s">
        <v>911</v>
      </c>
      <c r="J28" s="16"/>
      <c r="K28" s="14" t="s">
        <v>19</v>
      </c>
      <c r="L28" s="14" t="s">
        <v>86</v>
      </c>
      <c r="M28" s="14" t="s">
        <v>738</v>
      </c>
      <c r="N28" s="14" t="s">
        <v>87</v>
      </c>
      <c r="O28" s="15" t="s">
        <v>88</v>
      </c>
      <c r="P28" s="15" t="s">
        <v>140</v>
      </c>
      <c r="Q28" s="17" t="s">
        <v>90</v>
      </c>
      <c r="R28" s="17"/>
      <c r="S28" s="15" t="s">
        <v>426</v>
      </c>
    </row>
    <row r="29" customFormat="false" ht="32.8" hidden="false" customHeight="false" outlineLevel="0" collapsed="false">
      <c r="A29" s="14" t="s">
        <v>912</v>
      </c>
      <c r="B29" s="15" t="s">
        <v>738</v>
      </c>
      <c r="C29" s="15" t="s">
        <v>907</v>
      </c>
      <c r="D29" s="15" t="s">
        <v>220</v>
      </c>
      <c r="E29" s="15" t="s">
        <v>913</v>
      </c>
      <c r="F29" s="15" t="s">
        <v>862</v>
      </c>
      <c r="G29" s="15" t="s">
        <v>914</v>
      </c>
      <c r="H29" s="15" t="s">
        <v>910</v>
      </c>
      <c r="I29" s="15" t="s">
        <v>915</v>
      </c>
      <c r="J29" s="16"/>
      <c r="K29" s="14" t="s">
        <v>19</v>
      </c>
      <c r="L29" s="14" t="s">
        <v>86</v>
      </c>
      <c r="M29" s="14" t="s">
        <v>738</v>
      </c>
      <c r="N29" s="14" t="s">
        <v>87</v>
      </c>
      <c r="O29" s="15" t="s">
        <v>88</v>
      </c>
      <c r="P29" s="15" t="s">
        <v>140</v>
      </c>
      <c r="Q29" s="17" t="s">
        <v>90</v>
      </c>
      <c r="R29" s="17"/>
      <c r="S29" s="15" t="s">
        <v>426</v>
      </c>
    </row>
    <row r="30" customFormat="false" ht="32.8" hidden="false" customHeight="false" outlineLevel="0" collapsed="false">
      <c r="A30" s="14" t="s">
        <v>916</v>
      </c>
      <c r="B30" s="15" t="s">
        <v>738</v>
      </c>
      <c r="C30" s="15" t="s">
        <v>907</v>
      </c>
      <c r="D30" s="15" t="s">
        <v>220</v>
      </c>
      <c r="E30" s="15" t="s">
        <v>917</v>
      </c>
      <c r="F30" s="15" t="s">
        <v>862</v>
      </c>
      <c r="G30" s="15" t="s">
        <v>918</v>
      </c>
      <c r="H30" s="15" t="s">
        <v>910</v>
      </c>
      <c r="I30" s="15" t="s">
        <v>919</v>
      </c>
      <c r="J30" s="16"/>
      <c r="K30" s="14" t="s">
        <v>19</v>
      </c>
      <c r="L30" s="14" t="s">
        <v>86</v>
      </c>
      <c r="M30" s="14" t="s">
        <v>738</v>
      </c>
      <c r="N30" s="14" t="s">
        <v>87</v>
      </c>
      <c r="O30" s="15" t="s">
        <v>88</v>
      </c>
      <c r="P30" s="15" t="s">
        <v>140</v>
      </c>
      <c r="Q30" s="17" t="s">
        <v>90</v>
      </c>
      <c r="R30" s="17"/>
      <c r="S30" s="15" t="s">
        <v>426</v>
      </c>
    </row>
    <row r="31" customFormat="false" ht="32.8" hidden="false" customHeight="false" outlineLevel="0" collapsed="false">
      <c r="A31" s="14" t="s">
        <v>920</v>
      </c>
      <c r="B31" s="15" t="s">
        <v>738</v>
      </c>
      <c r="C31" s="15" t="s">
        <v>907</v>
      </c>
      <c r="D31" s="15" t="s">
        <v>220</v>
      </c>
      <c r="E31" s="15" t="s">
        <v>921</v>
      </c>
      <c r="F31" s="15" t="s">
        <v>862</v>
      </c>
      <c r="G31" s="15" t="s">
        <v>922</v>
      </c>
      <c r="H31" s="15" t="s">
        <v>910</v>
      </c>
      <c r="I31" s="15" t="s">
        <v>923</v>
      </c>
      <c r="J31" s="16"/>
      <c r="K31" s="14" t="s">
        <v>19</v>
      </c>
      <c r="L31" s="14" t="s">
        <v>86</v>
      </c>
      <c r="M31" s="14" t="s">
        <v>738</v>
      </c>
      <c r="N31" s="14" t="s">
        <v>87</v>
      </c>
      <c r="O31" s="15" t="s">
        <v>88</v>
      </c>
      <c r="P31" s="15" t="s">
        <v>140</v>
      </c>
      <c r="Q31" s="17" t="s">
        <v>90</v>
      </c>
      <c r="R31" s="17"/>
      <c r="S31" s="15" t="s">
        <v>426</v>
      </c>
    </row>
    <row r="32" customFormat="false" ht="32.8" hidden="false" customHeight="false" outlineLevel="0" collapsed="false">
      <c r="A32" s="14" t="s">
        <v>924</v>
      </c>
      <c r="B32" s="15" t="s">
        <v>738</v>
      </c>
      <c r="C32" s="15" t="s">
        <v>907</v>
      </c>
      <c r="D32" s="15" t="s">
        <v>220</v>
      </c>
      <c r="E32" s="15" t="s">
        <v>925</v>
      </c>
      <c r="F32" s="15" t="s">
        <v>862</v>
      </c>
      <c r="G32" s="15" t="s">
        <v>926</v>
      </c>
      <c r="H32" s="15" t="s">
        <v>910</v>
      </c>
      <c r="I32" s="15" t="s">
        <v>927</v>
      </c>
      <c r="J32" s="16"/>
      <c r="K32" s="14" t="s">
        <v>19</v>
      </c>
      <c r="L32" s="14" t="s">
        <v>86</v>
      </c>
      <c r="M32" s="14" t="s">
        <v>738</v>
      </c>
      <c r="N32" s="14" t="s">
        <v>87</v>
      </c>
      <c r="O32" s="15" t="s">
        <v>88</v>
      </c>
      <c r="P32" s="15" t="s">
        <v>140</v>
      </c>
      <c r="Q32" s="17" t="s">
        <v>90</v>
      </c>
      <c r="R32" s="17"/>
      <c r="S32" s="15" t="s">
        <v>928</v>
      </c>
    </row>
    <row r="33" customFormat="false" ht="32.8" hidden="false" customHeight="false" outlineLevel="0" collapsed="false">
      <c r="A33" s="14" t="s">
        <v>929</v>
      </c>
      <c r="B33" s="15" t="s">
        <v>738</v>
      </c>
      <c r="C33" s="15" t="s">
        <v>907</v>
      </c>
      <c r="D33" s="15" t="s">
        <v>930</v>
      </c>
      <c r="E33" s="15" t="s">
        <v>931</v>
      </c>
      <c r="F33" s="15" t="s">
        <v>742</v>
      </c>
      <c r="G33" s="15" t="s">
        <v>932</v>
      </c>
      <c r="H33" s="15" t="s">
        <v>933</v>
      </c>
      <c r="I33" s="15" t="s">
        <v>934</v>
      </c>
      <c r="J33" s="16"/>
      <c r="K33" s="14" t="s">
        <v>20</v>
      </c>
      <c r="L33" s="14" t="s">
        <v>108</v>
      </c>
      <c r="M33" s="14" t="s">
        <v>738</v>
      </c>
      <c r="N33" s="14" t="s">
        <v>87</v>
      </c>
      <c r="O33" s="15" t="s">
        <v>88</v>
      </c>
      <c r="P33" s="15" t="s">
        <v>398</v>
      </c>
      <c r="Q33" s="17" t="s">
        <v>90</v>
      </c>
      <c r="R33" s="17"/>
      <c r="S33" s="15" t="s">
        <v>408</v>
      </c>
    </row>
    <row r="34" customFormat="false" ht="32.8" hidden="false" customHeight="false" outlineLevel="0" collapsed="false">
      <c r="A34" s="14" t="s">
        <v>935</v>
      </c>
      <c r="B34" s="15" t="s">
        <v>738</v>
      </c>
      <c r="C34" s="15" t="s">
        <v>907</v>
      </c>
      <c r="D34" s="15" t="s">
        <v>936</v>
      </c>
      <c r="E34" s="15" t="s">
        <v>937</v>
      </c>
      <c r="F34" s="15" t="s">
        <v>742</v>
      </c>
      <c r="G34" s="15" t="s">
        <v>938</v>
      </c>
      <c r="H34" s="15" t="s">
        <v>939</v>
      </c>
      <c r="I34" s="15" t="s">
        <v>940</v>
      </c>
      <c r="J34" s="16"/>
      <c r="K34" s="14" t="s">
        <v>19</v>
      </c>
      <c r="L34" s="14" t="s">
        <v>86</v>
      </c>
      <c r="M34" s="14" t="s">
        <v>738</v>
      </c>
      <c r="N34" s="14" t="s">
        <v>87</v>
      </c>
      <c r="O34" s="15" t="s">
        <v>88</v>
      </c>
      <c r="P34" s="15" t="s">
        <v>398</v>
      </c>
      <c r="Q34" s="17" t="s">
        <v>90</v>
      </c>
      <c r="R34" s="17"/>
      <c r="S34" s="15" t="s">
        <v>941</v>
      </c>
    </row>
    <row r="35" customFormat="false" ht="32.8" hidden="false" customHeight="false" outlineLevel="0" collapsed="false">
      <c r="A35" s="14" t="s">
        <v>942</v>
      </c>
      <c r="B35" s="15" t="s">
        <v>738</v>
      </c>
      <c r="C35" s="15" t="s">
        <v>907</v>
      </c>
      <c r="D35" s="15" t="s">
        <v>943</v>
      </c>
      <c r="E35" s="15" t="s">
        <v>944</v>
      </c>
      <c r="F35" s="15" t="s">
        <v>742</v>
      </c>
      <c r="G35" s="15" t="s">
        <v>945</v>
      </c>
      <c r="H35" s="15" t="s">
        <v>946</v>
      </c>
      <c r="I35" s="15" t="s">
        <v>940</v>
      </c>
      <c r="J35" s="16"/>
      <c r="K35" s="14" t="s">
        <v>19</v>
      </c>
      <c r="L35" s="14" t="s">
        <v>86</v>
      </c>
      <c r="M35" s="14" t="s">
        <v>738</v>
      </c>
      <c r="N35" s="14" t="s">
        <v>87</v>
      </c>
      <c r="O35" s="15" t="s">
        <v>88</v>
      </c>
      <c r="P35" s="15" t="s">
        <v>398</v>
      </c>
      <c r="Q35" s="17" t="s">
        <v>90</v>
      </c>
      <c r="R35" s="17"/>
      <c r="S35" s="15" t="s">
        <v>947</v>
      </c>
    </row>
    <row r="36" customFormat="false" ht="32.8" hidden="false" customHeight="false" outlineLevel="0" collapsed="false">
      <c r="A36" s="14" t="s">
        <v>948</v>
      </c>
      <c r="B36" s="15" t="s">
        <v>738</v>
      </c>
      <c r="C36" s="15" t="s">
        <v>907</v>
      </c>
      <c r="D36" s="15" t="s">
        <v>949</v>
      </c>
      <c r="E36" s="15" t="s">
        <v>950</v>
      </c>
      <c r="F36" s="15" t="s">
        <v>742</v>
      </c>
      <c r="G36" s="15" t="s">
        <v>951</v>
      </c>
      <c r="H36" s="15" t="s">
        <v>952</v>
      </c>
      <c r="I36" s="15" t="s">
        <v>953</v>
      </c>
      <c r="J36" s="16"/>
      <c r="K36" s="14" t="s">
        <v>20</v>
      </c>
      <c r="L36" s="14" t="s">
        <v>108</v>
      </c>
      <c r="M36" s="14" t="s">
        <v>738</v>
      </c>
      <c r="N36" s="14" t="s">
        <v>87</v>
      </c>
      <c r="O36" s="15" t="s">
        <v>88</v>
      </c>
      <c r="P36" s="15" t="s">
        <v>398</v>
      </c>
      <c r="Q36" s="17" t="s">
        <v>90</v>
      </c>
      <c r="R36" s="17"/>
      <c r="S36" s="15" t="s">
        <v>954</v>
      </c>
    </row>
    <row r="37" customFormat="false" ht="32.8" hidden="false" customHeight="false" outlineLevel="0" collapsed="false">
      <c r="A37" s="14" t="s">
        <v>955</v>
      </c>
      <c r="B37" s="15" t="s">
        <v>738</v>
      </c>
      <c r="C37" s="15" t="s">
        <v>907</v>
      </c>
      <c r="D37" s="15" t="s">
        <v>956</v>
      </c>
      <c r="E37" s="15" t="s">
        <v>957</v>
      </c>
      <c r="F37" s="15" t="s">
        <v>958</v>
      </c>
      <c r="G37" s="15" t="s">
        <v>959</v>
      </c>
      <c r="H37" s="15" t="s">
        <v>960</v>
      </c>
      <c r="I37" s="15" t="s">
        <v>961</v>
      </c>
      <c r="J37" s="16"/>
      <c r="K37" s="14" t="s">
        <v>19</v>
      </c>
      <c r="L37" s="14" t="s">
        <v>86</v>
      </c>
      <c r="M37" s="14" t="s">
        <v>738</v>
      </c>
      <c r="N37" s="14" t="s">
        <v>87</v>
      </c>
      <c r="O37" s="15" t="s">
        <v>88</v>
      </c>
      <c r="P37" s="15" t="s">
        <v>140</v>
      </c>
      <c r="Q37" s="17" t="s">
        <v>90</v>
      </c>
      <c r="R37" s="17"/>
      <c r="S37" s="15" t="s">
        <v>962</v>
      </c>
    </row>
    <row r="38" customFormat="false" ht="32.8" hidden="false" customHeight="false" outlineLevel="0" collapsed="false">
      <c r="A38" s="14" t="s">
        <v>963</v>
      </c>
      <c r="B38" s="15" t="s">
        <v>738</v>
      </c>
      <c r="C38" s="15" t="s">
        <v>907</v>
      </c>
      <c r="D38" s="15" t="s">
        <v>964</v>
      </c>
      <c r="E38" s="15" t="s">
        <v>965</v>
      </c>
      <c r="F38" s="15" t="s">
        <v>958</v>
      </c>
      <c r="G38" s="15" t="s">
        <v>966</v>
      </c>
      <c r="H38" s="15" t="s">
        <v>967</v>
      </c>
      <c r="I38" s="15" t="s">
        <v>968</v>
      </c>
      <c r="J38" s="16"/>
      <c r="K38" s="14" t="s">
        <v>19</v>
      </c>
      <c r="L38" s="14" t="s">
        <v>86</v>
      </c>
      <c r="M38" s="14" t="s">
        <v>738</v>
      </c>
      <c r="N38" s="14" t="s">
        <v>87</v>
      </c>
      <c r="O38" s="15" t="s">
        <v>88</v>
      </c>
      <c r="P38" s="15" t="s">
        <v>140</v>
      </c>
      <c r="Q38" s="17" t="s">
        <v>90</v>
      </c>
      <c r="R38" s="17"/>
      <c r="S38" s="15" t="s">
        <v>969</v>
      </c>
    </row>
    <row r="39" customFormat="false" ht="43.25" hidden="false" customHeight="false" outlineLevel="0" collapsed="false">
      <c r="A39" s="14" t="s">
        <v>970</v>
      </c>
      <c r="B39" s="15" t="s">
        <v>738</v>
      </c>
      <c r="C39" s="15" t="s">
        <v>971</v>
      </c>
      <c r="D39" s="15" t="s">
        <v>972</v>
      </c>
      <c r="E39" s="15" t="s">
        <v>973</v>
      </c>
      <c r="F39" s="15" t="s">
        <v>974</v>
      </c>
      <c r="G39" s="15" t="s">
        <v>975</v>
      </c>
      <c r="H39" s="15" t="s">
        <v>976</v>
      </c>
      <c r="I39" s="15" t="s">
        <v>977</v>
      </c>
      <c r="J39" s="16"/>
      <c r="K39" s="14" t="s">
        <v>19</v>
      </c>
      <c r="L39" s="14" t="s">
        <v>86</v>
      </c>
      <c r="M39" s="14" t="s">
        <v>738</v>
      </c>
      <c r="N39" s="14" t="s">
        <v>87</v>
      </c>
      <c r="O39" s="15" t="s">
        <v>88</v>
      </c>
      <c r="P39" s="15" t="s">
        <v>89</v>
      </c>
      <c r="Q39" s="17" t="s">
        <v>90</v>
      </c>
      <c r="R39" s="17"/>
      <c r="S39" s="15" t="s">
        <v>978</v>
      </c>
    </row>
    <row r="40" customFormat="false" ht="43.25" hidden="false" customHeight="false" outlineLevel="0" collapsed="false">
      <c r="A40" s="14" t="s">
        <v>979</v>
      </c>
      <c r="B40" s="15" t="s">
        <v>738</v>
      </c>
      <c r="C40" s="15" t="s">
        <v>971</v>
      </c>
      <c r="D40" s="15" t="s">
        <v>972</v>
      </c>
      <c r="E40" s="15" t="s">
        <v>980</v>
      </c>
      <c r="F40" s="15" t="s">
        <v>974</v>
      </c>
      <c r="G40" s="15" t="s">
        <v>981</v>
      </c>
      <c r="H40" s="15" t="s">
        <v>982</v>
      </c>
      <c r="I40" s="15" t="s">
        <v>983</v>
      </c>
      <c r="J40" s="16"/>
      <c r="K40" s="14" t="s">
        <v>19</v>
      </c>
      <c r="L40" s="14" t="s">
        <v>86</v>
      </c>
      <c r="M40" s="14" t="s">
        <v>738</v>
      </c>
      <c r="N40" s="14" t="s">
        <v>87</v>
      </c>
      <c r="O40" s="15" t="s">
        <v>88</v>
      </c>
      <c r="P40" s="15" t="s">
        <v>89</v>
      </c>
      <c r="Q40" s="17" t="s">
        <v>90</v>
      </c>
      <c r="R40" s="17"/>
      <c r="S40" s="15" t="s">
        <v>978</v>
      </c>
    </row>
    <row r="41" customFormat="false" ht="43.25" hidden="false" customHeight="false" outlineLevel="0" collapsed="false">
      <c r="A41" s="14" t="s">
        <v>984</v>
      </c>
      <c r="B41" s="15" t="s">
        <v>738</v>
      </c>
      <c r="C41" s="15" t="s">
        <v>971</v>
      </c>
      <c r="D41" s="15" t="s">
        <v>972</v>
      </c>
      <c r="E41" s="15" t="s">
        <v>985</v>
      </c>
      <c r="F41" s="15" t="s">
        <v>974</v>
      </c>
      <c r="G41" s="15" t="s">
        <v>986</v>
      </c>
      <c r="H41" s="15" t="s">
        <v>987</v>
      </c>
      <c r="I41" s="15" t="s">
        <v>988</v>
      </c>
      <c r="J41" s="16"/>
      <c r="K41" s="14" t="s">
        <v>19</v>
      </c>
      <c r="L41" s="14" t="s">
        <v>86</v>
      </c>
      <c r="M41" s="14" t="s">
        <v>738</v>
      </c>
      <c r="N41" s="14" t="s">
        <v>87</v>
      </c>
      <c r="O41" s="15" t="s">
        <v>88</v>
      </c>
      <c r="P41" s="15" t="s">
        <v>89</v>
      </c>
      <c r="Q41" s="17" t="s">
        <v>90</v>
      </c>
      <c r="R41" s="17"/>
      <c r="S41" s="15" t="s">
        <v>978</v>
      </c>
    </row>
    <row r="42" customFormat="false" ht="43.25" hidden="false" customHeight="false" outlineLevel="0" collapsed="false">
      <c r="A42" s="14" t="s">
        <v>989</v>
      </c>
      <c r="B42" s="15" t="s">
        <v>738</v>
      </c>
      <c r="C42" s="15" t="s">
        <v>971</v>
      </c>
      <c r="D42" s="15" t="s">
        <v>972</v>
      </c>
      <c r="E42" s="15" t="s">
        <v>990</v>
      </c>
      <c r="F42" s="15" t="s">
        <v>974</v>
      </c>
      <c r="G42" s="15" t="s">
        <v>991</v>
      </c>
      <c r="H42" s="15" t="s">
        <v>992</v>
      </c>
      <c r="I42" s="15" t="s">
        <v>993</v>
      </c>
      <c r="J42" s="16"/>
      <c r="K42" s="14" t="s">
        <v>19</v>
      </c>
      <c r="L42" s="14" t="s">
        <v>86</v>
      </c>
      <c r="M42" s="14" t="s">
        <v>738</v>
      </c>
      <c r="N42" s="14" t="s">
        <v>87</v>
      </c>
      <c r="O42" s="15" t="s">
        <v>88</v>
      </c>
      <c r="P42" s="15" t="s">
        <v>89</v>
      </c>
      <c r="Q42" s="17" t="s">
        <v>90</v>
      </c>
      <c r="R42" s="17"/>
      <c r="S42" s="15" t="s">
        <v>978</v>
      </c>
    </row>
    <row r="43" customFormat="false" ht="43.25" hidden="false" customHeight="false" outlineLevel="0" collapsed="false">
      <c r="A43" s="14" t="s">
        <v>994</v>
      </c>
      <c r="B43" s="15" t="s">
        <v>738</v>
      </c>
      <c r="C43" s="15" t="s">
        <v>971</v>
      </c>
      <c r="D43" s="15" t="s">
        <v>995</v>
      </c>
      <c r="E43" s="15" t="s">
        <v>996</v>
      </c>
      <c r="F43" s="15" t="s">
        <v>974</v>
      </c>
      <c r="G43" s="15" t="s">
        <v>997</v>
      </c>
      <c r="H43" s="15" t="s">
        <v>976</v>
      </c>
      <c r="I43" s="15" t="s">
        <v>988</v>
      </c>
      <c r="J43" s="16"/>
      <c r="K43" s="14" t="s">
        <v>19</v>
      </c>
      <c r="L43" s="14" t="s">
        <v>86</v>
      </c>
      <c r="M43" s="14" t="s">
        <v>738</v>
      </c>
      <c r="N43" s="14" t="s">
        <v>87</v>
      </c>
      <c r="O43" s="15" t="s">
        <v>88</v>
      </c>
      <c r="P43" s="15" t="s">
        <v>89</v>
      </c>
      <c r="Q43" s="17" t="s">
        <v>90</v>
      </c>
      <c r="R43" s="17"/>
      <c r="S43" s="15" t="s">
        <v>998</v>
      </c>
    </row>
    <row r="44" customFormat="false" ht="43.25" hidden="false" customHeight="false" outlineLevel="0" collapsed="false">
      <c r="A44" s="14" t="s">
        <v>999</v>
      </c>
      <c r="B44" s="15" t="s">
        <v>738</v>
      </c>
      <c r="C44" s="15" t="s">
        <v>971</v>
      </c>
      <c r="D44" s="15" t="s">
        <v>995</v>
      </c>
      <c r="E44" s="15" t="s">
        <v>1000</v>
      </c>
      <c r="F44" s="15" t="s">
        <v>974</v>
      </c>
      <c r="G44" s="15" t="s">
        <v>1001</v>
      </c>
      <c r="H44" s="15" t="s">
        <v>982</v>
      </c>
      <c r="I44" s="15" t="s">
        <v>1002</v>
      </c>
      <c r="J44" s="16"/>
      <c r="K44" s="14" t="s">
        <v>19</v>
      </c>
      <c r="L44" s="14" t="s">
        <v>86</v>
      </c>
      <c r="M44" s="14" t="s">
        <v>738</v>
      </c>
      <c r="N44" s="14" t="s">
        <v>87</v>
      </c>
      <c r="O44" s="15" t="s">
        <v>88</v>
      </c>
      <c r="P44" s="15" t="s">
        <v>89</v>
      </c>
      <c r="Q44" s="17" t="s">
        <v>90</v>
      </c>
      <c r="R44" s="17"/>
      <c r="S44" s="15" t="s">
        <v>998</v>
      </c>
    </row>
    <row r="45" customFormat="false" ht="43.25" hidden="false" customHeight="false" outlineLevel="0" collapsed="false">
      <c r="A45" s="14" t="s">
        <v>1003</v>
      </c>
      <c r="B45" s="15" t="s">
        <v>738</v>
      </c>
      <c r="C45" s="15" t="s">
        <v>971</v>
      </c>
      <c r="D45" s="15" t="s">
        <v>995</v>
      </c>
      <c r="E45" s="15" t="s">
        <v>1004</v>
      </c>
      <c r="F45" s="15" t="s">
        <v>974</v>
      </c>
      <c r="G45" s="15" t="s">
        <v>1005</v>
      </c>
      <c r="H45" s="15" t="s">
        <v>987</v>
      </c>
      <c r="I45" s="15" t="s">
        <v>1006</v>
      </c>
      <c r="J45" s="16"/>
      <c r="K45" s="14" t="s">
        <v>19</v>
      </c>
      <c r="L45" s="14" t="s">
        <v>86</v>
      </c>
      <c r="M45" s="14" t="s">
        <v>738</v>
      </c>
      <c r="N45" s="14" t="s">
        <v>87</v>
      </c>
      <c r="O45" s="15" t="s">
        <v>88</v>
      </c>
      <c r="P45" s="15" t="s">
        <v>89</v>
      </c>
      <c r="Q45" s="17" t="s">
        <v>90</v>
      </c>
      <c r="R45" s="17"/>
      <c r="S45" s="15" t="s">
        <v>998</v>
      </c>
    </row>
    <row r="46" customFormat="false" ht="43.25" hidden="false" customHeight="false" outlineLevel="0" collapsed="false">
      <c r="A46" s="14" t="s">
        <v>1007</v>
      </c>
      <c r="B46" s="15" t="s">
        <v>738</v>
      </c>
      <c r="C46" s="15" t="s">
        <v>971</v>
      </c>
      <c r="D46" s="15" t="s">
        <v>995</v>
      </c>
      <c r="E46" s="15" t="s">
        <v>1008</v>
      </c>
      <c r="F46" s="15" t="s">
        <v>974</v>
      </c>
      <c r="G46" s="15" t="s">
        <v>1009</v>
      </c>
      <c r="H46" s="15" t="s">
        <v>992</v>
      </c>
      <c r="I46" s="15" t="s">
        <v>1010</v>
      </c>
      <c r="J46" s="16"/>
      <c r="K46" s="14" t="s">
        <v>19</v>
      </c>
      <c r="L46" s="14" t="s">
        <v>86</v>
      </c>
      <c r="M46" s="14" t="s">
        <v>738</v>
      </c>
      <c r="N46" s="14" t="s">
        <v>87</v>
      </c>
      <c r="O46" s="15" t="s">
        <v>88</v>
      </c>
      <c r="P46" s="15" t="s">
        <v>89</v>
      </c>
      <c r="Q46" s="17" t="s">
        <v>90</v>
      </c>
      <c r="R46" s="17"/>
      <c r="S46" s="15" t="s">
        <v>998</v>
      </c>
    </row>
    <row r="47" customFormat="false" ht="32.8" hidden="false" customHeight="false" outlineLevel="0" collapsed="false">
      <c r="A47" s="14" t="s">
        <v>1011</v>
      </c>
      <c r="B47" s="15" t="s">
        <v>738</v>
      </c>
      <c r="C47" s="15" t="s">
        <v>971</v>
      </c>
      <c r="D47" s="15" t="s">
        <v>1012</v>
      </c>
      <c r="E47" s="15" t="s">
        <v>1013</v>
      </c>
      <c r="F47" s="15" t="s">
        <v>742</v>
      </c>
      <c r="G47" s="15" t="s">
        <v>1014</v>
      </c>
      <c r="H47" s="15" t="s">
        <v>1015</v>
      </c>
      <c r="I47" s="15" t="s">
        <v>1016</v>
      </c>
      <c r="J47" s="16"/>
      <c r="K47" s="14" t="s">
        <v>21</v>
      </c>
      <c r="L47" s="14" t="s">
        <v>99</v>
      </c>
      <c r="M47" s="14" t="s">
        <v>738</v>
      </c>
      <c r="N47" s="14" t="s">
        <v>87</v>
      </c>
      <c r="O47" s="15" t="s">
        <v>88</v>
      </c>
      <c r="P47" s="15" t="s">
        <v>398</v>
      </c>
      <c r="Q47" s="17" t="s">
        <v>90</v>
      </c>
      <c r="R47" s="17"/>
      <c r="S47" s="15" t="s">
        <v>1017</v>
      </c>
    </row>
    <row r="48" customFormat="false" ht="32.8" hidden="false" customHeight="false" outlineLevel="0" collapsed="false">
      <c r="A48" s="14" t="s">
        <v>1018</v>
      </c>
      <c r="B48" s="15" t="s">
        <v>738</v>
      </c>
      <c r="C48" s="15" t="s">
        <v>971</v>
      </c>
      <c r="D48" s="15" t="s">
        <v>1019</v>
      </c>
      <c r="E48" s="15" t="s">
        <v>1020</v>
      </c>
      <c r="F48" s="15" t="s">
        <v>742</v>
      </c>
      <c r="G48" s="15" t="s">
        <v>1021</v>
      </c>
      <c r="H48" s="15" t="s">
        <v>1022</v>
      </c>
      <c r="I48" s="15" t="s">
        <v>1023</v>
      </c>
      <c r="J48" s="16"/>
      <c r="K48" s="14" t="s">
        <v>21</v>
      </c>
      <c r="L48" s="14" t="s">
        <v>99</v>
      </c>
      <c r="M48" s="14" t="s">
        <v>738</v>
      </c>
      <c r="N48" s="14" t="s">
        <v>87</v>
      </c>
      <c r="O48" s="15" t="s">
        <v>88</v>
      </c>
      <c r="P48" s="15" t="s">
        <v>398</v>
      </c>
      <c r="Q48" s="17" t="s">
        <v>90</v>
      </c>
      <c r="R48" s="17"/>
      <c r="S48" s="15" t="s">
        <v>1024</v>
      </c>
    </row>
    <row r="49" customFormat="false" ht="32.8" hidden="false" customHeight="false" outlineLevel="0" collapsed="false">
      <c r="A49" s="14" t="s">
        <v>1025</v>
      </c>
      <c r="B49" s="15" t="s">
        <v>738</v>
      </c>
      <c r="C49" s="15" t="s">
        <v>1026</v>
      </c>
      <c r="D49" s="15" t="s">
        <v>1027</v>
      </c>
      <c r="E49" s="15" t="s">
        <v>1028</v>
      </c>
      <c r="F49" s="15" t="s">
        <v>742</v>
      </c>
      <c r="G49" s="15" t="s">
        <v>1029</v>
      </c>
      <c r="H49" s="15" t="s">
        <v>1030</v>
      </c>
      <c r="I49" s="15" t="s">
        <v>1031</v>
      </c>
      <c r="J49" s="16"/>
      <c r="K49" s="14" t="s">
        <v>19</v>
      </c>
      <c r="L49" s="14" t="s">
        <v>86</v>
      </c>
      <c r="M49" s="14" t="s">
        <v>738</v>
      </c>
      <c r="N49" s="14" t="s">
        <v>87</v>
      </c>
      <c r="O49" s="15" t="s">
        <v>88</v>
      </c>
      <c r="P49" s="15" t="s">
        <v>398</v>
      </c>
      <c r="Q49" s="17" t="s">
        <v>90</v>
      </c>
      <c r="R49" s="17"/>
      <c r="S49" s="15" t="s">
        <v>1032</v>
      </c>
    </row>
    <row r="50" customFormat="false" ht="32.8" hidden="false" customHeight="false" outlineLevel="0" collapsed="false">
      <c r="A50" s="14" t="s">
        <v>1033</v>
      </c>
      <c r="B50" s="15" t="s">
        <v>738</v>
      </c>
      <c r="C50" s="15" t="s">
        <v>1026</v>
      </c>
      <c r="D50" s="15" t="s">
        <v>446</v>
      </c>
      <c r="E50" s="15" t="s">
        <v>1034</v>
      </c>
      <c r="F50" s="15" t="s">
        <v>742</v>
      </c>
      <c r="G50" s="15" t="s">
        <v>1035</v>
      </c>
      <c r="H50" s="15" t="s">
        <v>1036</v>
      </c>
      <c r="I50" s="15" t="s">
        <v>1037</v>
      </c>
      <c r="J50" s="16"/>
      <c r="K50" s="14" t="s">
        <v>19</v>
      </c>
      <c r="L50" s="14" t="s">
        <v>108</v>
      </c>
      <c r="M50" s="14" t="s">
        <v>738</v>
      </c>
      <c r="N50" s="14" t="s">
        <v>87</v>
      </c>
      <c r="O50" s="15" t="s">
        <v>88</v>
      </c>
      <c r="P50" s="15" t="s">
        <v>398</v>
      </c>
      <c r="Q50" s="17" t="s">
        <v>90</v>
      </c>
      <c r="R50" s="17"/>
      <c r="S50" s="15" t="s">
        <v>1038</v>
      </c>
    </row>
    <row r="51" customFormat="false" ht="32.8" hidden="false" customHeight="false" outlineLevel="0" collapsed="false">
      <c r="A51" s="14" t="s">
        <v>1039</v>
      </c>
      <c r="B51" s="15" t="s">
        <v>738</v>
      </c>
      <c r="C51" s="15" t="s">
        <v>1040</v>
      </c>
      <c r="D51" s="15" t="s">
        <v>1027</v>
      </c>
      <c r="E51" s="15" t="s">
        <v>1041</v>
      </c>
      <c r="F51" s="15" t="s">
        <v>742</v>
      </c>
      <c r="G51" s="15" t="s">
        <v>1042</v>
      </c>
      <c r="H51" s="15" t="s">
        <v>1043</v>
      </c>
      <c r="I51" s="15" t="s">
        <v>1044</v>
      </c>
      <c r="J51" s="16"/>
      <c r="K51" s="14" t="s">
        <v>19</v>
      </c>
      <c r="L51" s="14" t="s">
        <v>86</v>
      </c>
      <c r="M51" s="14" t="s">
        <v>738</v>
      </c>
      <c r="N51" s="14" t="s">
        <v>87</v>
      </c>
      <c r="O51" s="15" t="s">
        <v>88</v>
      </c>
      <c r="P51" s="15" t="s">
        <v>398</v>
      </c>
      <c r="Q51" s="17" t="s">
        <v>90</v>
      </c>
      <c r="R51" s="17"/>
      <c r="S51" s="15" t="s">
        <v>1045</v>
      </c>
    </row>
    <row r="52" customFormat="false" ht="53.7" hidden="false" customHeight="false" outlineLevel="0" collapsed="false">
      <c r="A52" s="14" t="s">
        <v>1046</v>
      </c>
      <c r="B52" s="15" t="s">
        <v>738</v>
      </c>
      <c r="C52" s="15" t="s">
        <v>1040</v>
      </c>
      <c r="D52" s="15" t="s">
        <v>1047</v>
      </c>
      <c r="E52" s="15" t="s">
        <v>1048</v>
      </c>
      <c r="F52" s="15" t="s">
        <v>742</v>
      </c>
      <c r="G52" s="15" t="s">
        <v>1049</v>
      </c>
      <c r="H52" s="15" t="s">
        <v>1050</v>
      </c>
      <c r="I52" s="15" t="s">
        <v>1051</v>
      </c>
      <c r="J52" s="16"/>
      <c r="K52" s="14" t="s">
        <v>20</v>
      </c>
      <c r="L52" s="14" t="s">
        <v>108</v>
      </c>
      <c r="M52" s="14" t="s">
        <v>738</v>
      </c>
      <c r="N52" s="14" t="s">
        <v>87</v>
      </c>
      <c r="O52" s="15" t="s">
        <v>88</v>
      </c>
      <c r="P52" s="15" t="s">
        <v>398</v>
      </c>
      <c r="Q52" s="17" t="s">
        <v>90</v>
      </c>
      <c r="R52" s="17"/>
      <c r="S52" s="15" t="s">
        <v>1052</v>
      </c>
    </row>
    <row r="53" customFormat="false" ht="32.8" hidden="false" customHeight="false" outlineLevel="0" collapsed="false">
      <c r="A53" s="14" t="s">
        <v>1053</v>
      </c>
      <c r="B53" s="15" t="s">
        <v>738</v>
      </c>
      <c r="C53" s="15" t="s">
        <v>1040</v>
      </c>
      <c r="D53" s="15" t="s">
        <v>1054</v>
      </c>
      <c r="E53" s="15" t="s">
        <v>1055</v>
      </c>
      <c r="F53" s="15" t="s">
        <v>742</v>
      </c>
      <c r="G53" s="15" t="s">
        <v>1056</v>
      </c>
      <c r="H53" s="15" t="s">
        <v>1057</v>
      </c>
      <c r="I53" s="15" t="s">
        <v>1058</v>
      </c>
      <c r="J53" s="16"/>
      <c r="K53" s="14" t="s">
        <v>21</v>
      </c>
      <c r="L53" s="14" t="s">
        <v>99</v>
      </c>
      <c r="M53" s="14" t="s">
        <v>738</v>
      </c>
      <c r="N53" s="14" t="s">
        <v>87</v>
      </c>
      <c r="O53" s="15" t="s">
        <v>88</v>
      </c>
      <c r="P53" s="15" t="s">
        <v>398</v>
      </c>
      <c r="Q53" s="17" t="s">
        <v>90</v>
      </c>
      <c r="R53" s="17"/>
      <c r="S53" s="15" t="s">
        <v>1059</v>
      </c>
    </row>
    <row r="54" customFormat="false" ht="32.8" hidden="false" customHeight="false" outlineLevel="0" collapsed="false">
      <c r="A54" s="14" t="s">
        <v>1060</v>
      </c>
      <c r="B54" s="15" t="s">
        <v>738</v>
      </c>
      <c r="C54" s="15" t="s">
        <v>1061</v>
      </c>
      <c r="D54" s="15" t="s">
        <v>1062</v>
      </c>
      <c r="E54" s="15" t="s">
        <v>1063</v>
      </c>
      <c r="F54" s="15" t="s">
        <v>742</v>
      </c>
      <c r="G54" s="15" t="s">
        <v>1064</v>
      </c>
      <c r="H54" s="15" t="s">
        <v>1065</v>
      </c>
      <c r="I54" s="15" t="s">
        <v>1066</v>
      </c>
      <c r="J54" s="16"/>
      <c r="K54" s="14" t="s">
        <v>19</v>
      </c>
      <c r="L54" s="14" t="s">
        <v>86</v>
      </c>
      <c r="M54" s="14" t="s">
        <v>738</v>
      </c>
      <c r="N54" s="14" t="s">
        <v>346</v>
      </c>
      <c r="O54" s="15" t="s">
        <v>88</v>
      </c>
      <c r="P54" s="15" t="s">
        <v>398</v>
      </c>
      <c r="Q54" s="17" t="s">
        <v>90</v>
      </c>
      <c r="R54" s="17"/>
      <c r="S54" s="15" t="s">
        <v>1067</v>
      </c>
    </row>
    <row r="55" customFormat="false" ht="32.8" hidden="false" customHeight="false" outlineLevel="0" collapsed="false">
      <c r="A55" s="14" t="s">
        <v>1068</v>
      </c>
      <c r="B55" s="15" t="s">
        <v>738</v>
      </c>
      <c r="C55" s="15" t="s">
        <v>1061</v>
      </c>
      <c r="D55" s="15" t="s">
        <v>1069</v>
      </c>
      <c r="E55" s="15" t="s">
        <v>1070</v>
      </c>
      <c r="F55" s="15" t="s">
        <v>742</v>
      </c>
      <c r="G55" s="15" t="s">
        <v>1071</v>
      </c>
      <c r="H55" s="15" t="s">
        <v>1072</v>
      </c>
      <c r="I55" s="15" t="s">
        <v>1073</v>
      </c>
      <c r="J55" s="16"/>
      <c r="K55" s="14" t="s">
        <v>19</v>
      </c>
      <c r="L55" s="14" t="s">
        <v>86</v>
      </c>
      <c r="M55" s="14" t="s">
        <v>738</v>
      </c>
      <c r="N55" s="14" t="s">
        <v>346</v>
      </c>
      <c r="O55" s="15" t="s">
        <v>88</v>
      </c>
      <c r="P55" s="15" t="s">
        <v>398</v>
      </c>
      <c r="Q55" s="17" t="s">
        <v>90</v>
      </c>
      <c r="R55" s="17"/>
      <c r="S55" s="15" t="s">
        <v>1074</v>
      </c>
    </row>
    <row r="56" customFormat="false" ht="32.8" hidden="false" customHeight="false" outlineLevel="0" collapsed="false">
      <c r="A56" s="14" t="s">
        <v>1075</v>
      </c>
      <c r="B56" s="15" t="s">
        <v>738</v>
      </c>
      <c r="C56" s="15" t="s">
        <v>1061</v>
      </c>
      <c r="D56" s="15" t="s">
        <v>1076</v>
      </c>
      <c r="E56" s="15" t="s">
        <v>1077</v>
      </c>
      <c r="F56" s="15" t="s">
        <v>1078</v>
      </c>
      <c r="G56" s="15" t="s">
        <v>1079</v>
      </c>
      <c r="H56" s="15" t="s">
        <v>1080</v>
      </c>
      <c r="I56" s="15" t="s">
        <v>1081</v>
      </c>
      <c r="J56" s="16"/>
      <c r="K56" s="14" t="s">
        <v>19</v>
      </c>
      <c r="L56" s="14" t="s">
        <v>86</v>
      </c>
      <c r="M56" s="14" t="s">
        <v>738</v>
      </c>
      <c r="N56" s="14" t="s">
        <v>87</v>
      </c>
      <c r="O56" s="15" t="s">
        <v>88</v>
      </c>
      <c r="P56" s="15" t="s">
        <v>140</v>
      </c>
      <c r="Q56" s="17" t="s">
        <v>90</v>
      </c>
      <c r="R56" s="17"/>
      <c r="S56" s="15" t="s">
        <v>1082</v>
      </c>
    </row>
    <row r="57" customFormat="false" ht="22.35" hidden="false" customHeight="false" outlineLevel="0" collapsed="false">
      <c r="A57" s="14" t="s">
        <v>1083</v>
      </c>
      <c r="B57" s="15" t="s">
        <v>738</v>
      </c>
      <c r="C57" s="15" t="s">
        <v>1061</v>
      </c>
      <c r="D57" s="15" t="s">
        <v>1084</v>
      </c>
      <c r="E57" s="15" t="s">
        <v>1085</v>
      </c>
      <c r="F57" s="15" t="s">
        <v>1086</v>
      </c>
      <c r="G57" s="15" t="s">
        <v>1087</v>
      </c>
      <c r="H57" s="15" t="s">
        <v>362</v>
      </c>
      <c r="I57" s="15" t="s">
        <v>1088</v>
      </c>
      <c r="J57" s="16"/>
      <c r="K57" s="14" t="s">
        <v>19</v>
      </c>
      <c r="L57" s="14" t="s">
        <v>86</v>
      </c>
      <c r="M57" s="14" t="s">
        <v>738</v>
      </c>
      <c r="N57" s="14" t="s">
        <v>87</v>
      </c>
      <c r="O57" s="15" t="s">
        <v>88</v>
      </c>
      <c r="P57" s="15" t="s">
        <v>140</v>
      </c>
      <c r="Q57" s="17" t="s">
        <v>90</v>
      </c>
      <c r="R57" s="17"/>
      <c r="S57" s="15" t="s">
        <v>1082</v>
      </c>
    </row>
    <row r="58" customFormat="false" ht="22.35" hidden="false" customHeight="false" outlineLevel="0" collapsed="false">
      <c r="A58" s="14" t="s">
        <v>1089</v>
      </c>
      <c r="B58" s="15" t="s">
        <v>738</v>
      </c>
      <c r="C58" s="15" t="s">
        <v>186</v>
      </c>
      <c r="D58" s="15" t="s">
        <v>1090</v>
      </c>
      <c r="E58" s="15" t="s">
        <v>1091</v>
      </c>
      <c r="F58" s="15" t="s">
        <v>1092</v>
      </c>
      <c r="G58" s="15" t="s">
        <v>1093</v>
      </c>
      <c r="H58" s="15" t="s">
        <v>1094</v>
      </c>
      <c r="I58" s="15" t="s">
        <v>1095</v>
      </c>
      <c r="J58" s="16"/>
      <c r="K58" s="14" t="s">
        <v>19</v>
      </c>
      <c r="L58" s="14" t="s">
        <v>86</v>
      </c>
      <c r="M58" s="14" t="s">
        <v>738</v>
      </c>
      <c r="N58" s="14" t="s">
        <v>87</v>
      </c>
      <c r="O58" s="15" t="s">
        <v>88</v>
      </c>
      <c r="P58" s="15" t="s">
        <v>398</v>
      </c>
      <c r="Q58" s="17" t="s">
        <v>90</v>
      </c>
      <c r="R58" s="17"/>
      <c r="S58" s="15" t="s">
        <v>1096</v>
      </c>
    </row>
    <row r="59" customFormat="false" ht="22.35" hidden="false" customHeight="false" outlineLevel="0" collapsed="false">
      <c r="A59" s="14" t="s">
        <v>1097</v>
      </c>
      <c r="B59" s="15" t="s">
        <v>738</v>
      </c>
      <c r="C59" s="15" t="s">
        <v>186</v>
      </c>
      <c r="D59" s="15" t="s">
        <v>1098</v>
      </c>
      <c r="E59" s="15" t="s">
        <v>1099</v>
      </c>
      <c r="F59" s="15" t="s">
        <v>1100</v>
      </c>
      <c r="G59" s="15" t="s">
        <v>1101</v>
      </c>
      <c r="H59" s="15" t="s">
        <v>1102</v>
      </c>
      <c r="I59" s="15" t="s">
        <v>1103</v>
      </c>
      <c r="J59" s="16"/>
      <c r="K59" s="14" t="s">
        <v>19</v>
      </c>
      <c r="L59" s="14" t="s">
        <v>86</v>
      </c>
      <c r="M59" s="14" t="s">
        <v>738</v>
      </c>
      <c r="N59" s="14" t="s">
        <v>346</v>
      </c>
      <c r="O59" s="15" t="s">
        <v>88</v>
      </c>
      <c r="P59" s="15" t="s">
        <v>398</v>
      </c>
      <c r="Q59" s="17" t="s">
        <v>90</v>
      </c>
      <c r="R59" s="17"/>
      <c r="S59" s="15" t="s">
        <v>1104</v>
      </c>
    </row>
    <row r="60" customFormat="false" ht="32.8" hidden="false" customHeight="false" outlineLevel="0" collapsed="false">
      <c r="A60" s="14" t="s">
        <v>1105</v>
      </c>
      <c r="B60" s="15" t="s">
        <v>738</v>
      </c>
      <c r="C60" s="15" t="s">
        <v>1106</v>
      </c>
      <c r="D60" s="15" t="s">
        <v>1107</v>
      </c>
      <c r="E60" s="15" t="s">
        <v>1108</v>
      </c>
      <c r="F60" s="15" t="s">
        <v>742</v>
      </c>
      <c r="G60" s="15" t="s">
        <v>1109</v>
      </c>
      <c r="H60" s="15" t="s">
        <v>1110</v>
      </c>
      <c r="I60" s="15" t="s">
        <v>1111</v>
      </c>
      <c r="J60" s="16"/>
      <c r="K60" s="14" t="s">
        <v>21</v>
      </c>
      <c r="L60" s="14" t="s">
        <v>99</v>
      </c>
      <c r="M60" s="14" t="s">
        <v>738</v>
      </c>
      <c r="N60" s="14" t="s">
        <v>87</v>
      </c>
      <c r="O60" s="15" t="s">
        <v>88</v>
      </c>
      <c r="P60" s="15" t="s">
        <v>398</v>
      </c>
      <c r="Q60" s="17" t="s">
        <v>90</v>
      </c>
      <c r="R60" s="17"/>
      <c r="S60" s="15" t="s">
        <v>804</v>
      </c>
    </row>
    <row r="61" customFormat="false" ht="32.8" hidden="false" customHeight="false" outlineLevel="0" collapsed="false">
      <c r="A61" s="14" t="s">
        <v>1112</v>
      </c>
      <c r="B61" s="15" t="s">
        <v>738</v>
      </c>
      <c r="C61" s="15" t="s">
        <v>1106</v>
      </c>
      <c r="D61" s="15" t="s">
        <v>1113</v>
      </c>
      <c r="E61" s="15" t="s">
        <v>1114</v>
      </c>
      <c r="F61" s="15" t="s">
        <v>742</v>
      </c>
      <c r="G61" s="15" t="s">
        <v>1115</v>
      </c>
      <c r="H61" s="15" t="s">
        <v>1116</v>
      </c>
      <c r="I61" s="15" t="s">
        <v>1058</v>
      </c>
      <c r="J61" s="16"/>
      <c r="K61" s="14" t="s">
        <v>21</v>
      </c>
      <c r="L61" s="14" t="s">
        <v>99</v>
      </c>
      <c r="M61" s="14" t="s">
        <v>738</v>
      </c>
      <c r="N61" s="14" t="s">
        <v>87</v>
      </c>
      <c r="O61" s="15" t="s">
        <v>88</v>
      </c>
      <c r="P61" s="15" t="s">
        <v>398</v>
      </c>
      <c r="Q61" s="17" t="s">
        <v>90</v>
      </c>
      <c r="R61" s="17"/>
      <c r="S61" s="15" t="s">
        <v>804</v>
      </c>
    </row>
    <row r="62" customFormat="false" ht="32.8" hidden="false" customHeight="false" outlineLevel="0" collapsed="false">
      <c r="A62" s="14" t="s">
        <v>1117</v>
      </c>
      <c r="B62" s="15" t="s">
        <v>738</v>
      </c>
      <c r="C62" s="15" t="s">
        <v>1118</v>
      </c>
      <c r="D62" s="15" t="s">
        <v>1119</v>
      </c>
      <c r="E62" s="15" t="s">
        <v>1120</v>
      </c>
      <c r="F62" s="15" t="s">
        <v>1121</v>
      </c>
      <c r="G62" s="15" t="s">
        <v>1122</v>
      </c>
      <c r="H62" s="15" t="s">
        <v>1123</v>
      </c>
      <c r="I62" s="15" t="s">
        <v>1124</v>
      </c>
      <c r="J62" s="16"/>
      <c r="K62" s="14" t="s">
        <v>19</v>
      </c>
      <c r="L62" s="14" t="s">
        <v>108</v>
      </c>
      <c r="M62" s="14" t="s">
        <v>738</v>
      </c>
      <c r="N62" s="14" t="s">
        <v>346</v>
      </c>
      <c r="O62" s="15" t="s">
        <v>88</v>
      </c>
      <c r="P62" s="15" t="s">
        <v>398</v>
      </c>
      <c r="Q62" s="17" t="s">
        <v>90</v>
      </c>
      <c r="R62" s="17"/>
      <c r="S62" s="15" t="s">
        <v>1125</v>
      </c>
    </row>
    <row r="63" customFormat="false" ht="22.35" hidden="false" customHeight="false" outlineLevel="0" collapsed="false">
      <c r="A63" s="14" t="s">
        <v>1126</v>
      </c>
      <c r="B63" s="15" t="s">
        <v>738</v>
      </c>
      <c r="C63" s="15" t="s">
        <v>1127</v>
      </c>
      <c r="D63" s="15" t="s">
        <v>1128</v>
      </c>
      <c r="E63" s="15" t="s">
        <v>1129</v>
      </c>
      <c r="F63" s="15" t="s">
        <v>1130</v>
      </c>
      <c r="G63" s="15" t="s">
        <v>1131</v>
      </c>
      <c r="H63" s="15" t="s">
        <v>1132</v>
      </c>
      <c r="I63" s="15" t="s">
        <v>1133</v>
      </c>
      <c r="J63" s="16"/>
      <c r="K63" s="14" t="s">
        <v>19</v>
      </c>
      <c r="L63" s="14" t="s">
        <v>86</v>
      </c>
      <c r="M63" s="14" t="s">
        <v>738</v>
      </c>
      <c r="N63" s="14" t="s">
        <v>87</v>
      </c>
      <c r="O63" s="15" t="s">
        <v>88</v>
      </c>
      <c r="P63" s="15" t="s">
        <v>398</v>
      </c>
      <c r="Q63" s="17" t="s">
        <v>90</v>
      </c>
      <c r="R63" s="17"/>
      <c r="S63" s="15" t="s">
        <v>1134</v>
      </c>
    </row>
    <row r="64" customFormat="false" ht="22.35" hidden="false" customHeight="false" outlineLevel="0" collapsed="false">
      <c r="A64" s="14" t="s">
        <v>1135</v>
      </c>
      <c r="B64" s="15" t="s">
        <v>738</v>
      </c>
      <c r="C64" s="15" t="s">
        <v>1127</v>
      </c>
      <c r="D64" s="15" t="s">
        <v>1136</v>
      </c>
      <c r="E64" s="15" t="s">
        <v>1137</v>
      </c>
      <c r="F64" s="15" t="s">
        <v>1138</v>
      </c>
      <c r="G64" s="15" t="s">
        <v>1139</v>
      </c>
      <c r="H64" s="15" t="s">
        <v>1140</v>
      </c>
      <c r="I64" s="15" t="s">
        <v>1141</v>
      </c>
      <c r="J64" s="16"/>
      <c r="K64" s="14" t="s">
        <v>21</v>
      </c>
      <c r="L64" s="14" t="s">
        <v>99</v>
      </c>
      <c r="M64" s="14" t="s">
        <v>738</v>
      </c>
      <c r="N64" s="14" t="s">
        <v>346</v>
      </c>
      <c r="O64" s="15" t="s">
        <v>88</v>
      </c>
      <c r="P64" s="15" t="s">
        <v>398</v>
      </c>
      <c r="Q64" s="17" t="s">
        <v>90</v>
      </c>
      <c r="R64" s="17"/>
      <c r="S64" s="15" t="s">
        <v>1142</v>
      </c>
    </row>
  </sheetData>
  <autoFilter ref="A1:S64"/>
  <conditionalFormatting sqref="K2:K64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64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64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64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64" type="list">
      <formula1>"P0,P1,P2,P3"</formula1>
      <formula2>0</formula2>
    </dataValidation>
    <dataValidation allowBlank="false" errorStyle="stop" operator="between" showDropDown="false" showErrorMessage="false" showInputMessage="false" sqref="L2:L64" type="list">
      <formula1>"Critical,High,Medium,Low"</formula1>
      <formula2>0</formula2>
    </dataValidation>
    <dataValidation allowBlank="false" errorStyle="stop" operator="between" showDropDown="false" showErrorMessage="false" showInputMessage="false" sqref="N2:N64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22.35" hidden="false" customHeight="false" outlineLevel="0" collapsed="false">
      <c r="A2" s="14" t="s">
        <v>1143</v>
      </c>
      <c r="B2" s="15" t="s">
        <v>63</v>
      </c>
      <c r="C2" s="15" t="s">
        <v>1144</v>
      </c>
      <c r="D2" s="15" t="s">
        <v>1145</v>
      </c>
      <c r="E2" s="15" t="s">
        <v>1146</v>
      </c>
      <c r="F2" s="15" t="s">
        <v>1147</v>
      </c>
      <c r="G2" s="15" t="s">
        <v>463</v>
      </c>
      <c r="H2" s="15" t="s">
        <v>1148</v>
      </c>
      <c r="I2" s="15" t="s">
        <v>1149</v>
      </c>
      <c r="J2" s="16"/>
      <c r="K2" s="14" t="s">
        <v>19</v>
      </c>
      <c r="L2" s="14" t="s">
        <v>86</v>
      </c>
      <c r="M2" s="14" t="s">
        <v>1150</v>
      </c>
      <c r="N2" s="14" t="s">
        <v>87</v>
      </c>
      <c r="O2" s="15" t="s">
        <v>88</v>
      </c>
      <c r="P2" s="15" t="s">
        <v>89</v>
      </c>
      <c r="Q2" s="17" t="s">
        <v>90</v>
      </c>
      <c r="R2" s="17"/>
      <c r="S2" s="15" t="s">
        <v>1151</v>
      </c>
    </row>
    <row r="3" customFormat="false" ht="22.35" hidden="false" customHeight="false" outlineLevel="0" collapsed="false">
      <c r="A3" s="14" t="s">
        <v>1152</v>
      </c>
      <c r="B3" s="15" t="s">
        <v>63</v>
      </c>
      <c r="C3" s="15" t="s">
        <v>1144</v>
      </c>
      <c r="D3" s="15" t="s">
        <v>1153</v>
      </c>
      <c r="E3" s="15" t="s">
        <v>1154</v>
      </c>
      <c r="F3" s="15" t="s">
        <v>1155</v>
      </c>
      <c r="G3" s="15" t="s">
        <v>1156</v>
      </c>
      <c r="H3" s="15" t="s">
        <v>1157</v>
      </c>
      <c r="I3" s="15" t="s">
        <v>1158</v>
      </c>
      <c r="J3" s="16"/>
      <c r="K3" s="14" t="s">
        <v>19</v>
      </c>
      <c r="L3" s="14" t="s">
        <v>86</v>
      </c>
      <c r="M3" s="14" t="s">
        <v>208</v>
      </c>
      <c r="N3" s="14" t="s">
        <v>87</v>
      </c>
      <c r="O3" s="15" t="s">
        <v>88</v>
      </c>
      <c r="P3" s="15" t="s">
        <v>89</v>
      </c>
      <c r="Q3" s="17" t="s">
        <v>90</v>
      </c>
      <c r="R3" s="17"/>
      <c r="S3" s="15" t="s">
        <v>1159</v>
      </c>
    </row>
    <row r="4" customFormat="false" ht="32.8" hidden="false" customHeight="false" outlineLevel="0" collapsed="false">
      <c r="A4" s="14" t="s">
        <v>1160</v>
      </c>
      <c r="B4" s="15" t="s">
        <v>63</v>
      </c>
      <c r="C4" s="15" t="s">
        <v>1144</v>
      </c>
      <c r="D4" s="15" t="s">
        <v>1161</v>
      </c>
      <c r="E4" s="15" t="s">
        <v>1162</v>
      </c>
      <c r="F4" s="15" t="s">
        <v>1163</v>
      </c>
      <c r="G4" s="15" t="s">
        <v>1164</v>
      </c>
      <c r="H4" s="15" t="s">
        <v>1165</v>
      </c>
      <c r="I4" s="15" t="s">
        <v>1166</v>
      </c>
      <c r="J4" s="16"/>
      <c r="K4" s="14" t="s">
        <v>19</v>
      </c>
      <c r="L4" s="14" t="s">
        <v>86</v>
      </c>
      <c r="M4" s="14" t="s">
        <v>1150</v>
      </c>
      <c r="N4" s="14" t="s">
        <v>87</v>
      </c>
      <c r="O4" s="15" t="s">
        <v>88</v>
      </c>
      <c r="P4" s="15" t="s">
        <v>89</v>
      </c>
      <c r="Q4" s="17" t="s">
        <v>90</v>
      </c>
      <c r="R4" s="17"/>
      <c r="S4" s="15" t="s">
        <v>1167</v>
      </c>
    </row>
    <row r="5" customFormat="false" ht="22.35" hidden="false" customHeight="false" outlineLevel="0" collapsed="false">
      <c r="A5" s="14" t="s">
        <v>1168</v>
      </c>
      <c r="B5" s="15" t="s">
        <v>63</v>
      </c>
      <c r="C5" s="15" t="s">
        <v>1144</v>
      </c>
      <c r="D5" s="15" t="s">
        <v>1169</v>
      </c>
      <c r="E5" s="15" t="s">
        <v>1170</v>
      </c>
      <c r="F5" s="15" t="s">
        <v>1163</v>
      </c>
      <c r="G5" s="15" t="s">
        <v>1171</v>
      </c>
      <c r="H5" s="15" t="s">
        <v>1172</v>
      </c>
      <c r="I5" s="15" t="s">
        <v>1173</v>
      </c>
      <c r="J5" s="16"/>
      <c r="K5" s="14" t="s">
        <v>20</v>
      </c>
      <c r="L5" s="14" t="s">
        <v>108</v>
      </c>
      <c r="M5" s="14" t="s">
        <v>1150</v>
      </c>
      <c r="N5" s="14" t="s">
        <v>87</v>
      </c>
      <c r="O5" s="15" t="s">
        <v>88</v>
      </c>
      <c r="P5" s="15" t="s">
        <v>89</v>
      </c>
      <c r="Q5" s="17" t="s">
        <v>90</v>
      </c>
      <c r="R5" s="17"/>
      <c r="S5" s="15" t="s">
        <v>1174</v>
      </c>
    </row>
    <row r="6" customFormat="false" ht="22.35" hidden="false" customHeight="false" outlineLevel="0" collapsed="false">
      <c r="A6" s="14" t="s">
        <v>1175</v>
      </c>
      <c r="B6" s="15" t="s">
        <v>63</v>
      </c>
      <c r="C6" s="15" t="s">
        <v>1144</v>
      </c>
      <c r="D6" s="15" t="s">
        <v>1176</v>
      </c>
      <c r="E6" s="15" t="s">
        <v>1177</v>
      </c>
      <c r="F6" s="15" t="s">
        <v>1178</v>
      </c>
      <c r="G6" s="15" t="s">
        <v>1171</v>
      </c>
      <c r="H6" s="15" t="s">
        <v>1179</v>
      </c>
      <c r="I6" s="15" t="s">
        <v>1180</v>
      </c>
      <c r="J6" s="16"/>
      <c r="K6" s="14" t="s">
        <v>20</v>
      </c>
      <c r="L6" s="14" t="s">
        <v>108</v>
      </c>
      <c r="M6" s="14" t="s">
        <v>208</v>
      </c>
      <c r="N6" s="14" t="s">
        <v>87</v>
      </c>
      <c r="O6" s="15" t="s">
        <v>88</v>
      </c>
      <c r="P6" s="15" t="s">
        <v>140</v>
      </c>
      <c r="Q6" s="17" t="s">
        <v>90</v>
      </c>
      <c r="R6" s="17"/>
      <c r="S6" s="15" t="s">
        <v>1174</v>
      </c>
    </row>
    <row r="7" customFormat="false" ht="22.35" hidden="false" customHeight="false" outlineLevel="0" collapsed="false">
      <c r="A7" s="14" t="s">
        <v>1181</v>
      </c>
      <c r="B7" s="15" t="s">
        <v>63</v>
      </c>
      <c r="C7" s="15" t="s">
        <v>1144</v>
      </c>
      <c r="D7" s="15" t="s">
        <v>1182</v>
      </c>
      <c r="E7" s="15" t="s">
        <v>1183</v>
      </c>
      <c r="F7" s="15" t="s">
        <v>1163</v>
      </c>
      <c r="G7" s="15" t="s">
        <v>1184</v>
      </c>
      <c r="H7" s="15" t="s">
        <v>1185</v>
      </c>
      <c r="I7" s="15" t="s">
        <v>1186</v>
      </c>
      <c r="J7" s="16"/>
      <c r="K7" s="14" t="s">
        <v>19</v>
      </c>
      <c r="L7" s="14" t="s">
        <v>86</v>
      </c>
      <c r="M7" s="14" t="s">
        <v>170</v>
      </c>
      <c r="N7" s="14" t="s">
        <v>87</v>
      </c>
      <c r="O7" s="15" t="s">
        <v>88</v>
      </c>
      <c r="P7" s="15" t="s">
        <v>89</v>
      </c>
      <c r="Q7" s="17" t="s">
        <v>90</v>
      </c>
      <c r="R7" s="17"/>
      <c r="S7" s="15" t="s">
        <v>1134</v>
      </c>
    </row>
    <row r="8" customFormat="false" ht="32.8" hidden="false" customHeight="false" outlineLevel="0" collapsed="false">
      <c r="A8" s="14" t="s">
        <v>1187</v>
      </c>
      <c r="B8" s="15" t="s">
        <v>63</v>
      </c>
      <c r="C8" s="15" t="s">
        <v>1144</v>
      </c>
      <c r="D8" s="15" t="s">
        <v>186</v>
      </c>
      <c r="E8" s="15" t="s">
        <v>1188</v>
      </c>
      <c r="F8" s="15" t="s">
        <v>1189</v>
      </c>
      <c r="G8" s="15" t="s">
        <v>1190</v>
      </c>
      <c r="H8" s="15" t="s">
        <v>1191</v>
      </c>
      <c r="I8" s="15" t="s">
        <v>1192</v>
      </c>
      <c r="J8" s="16"/>
      <c r="K8" s="14" t="s">
        <v>19</v>
      </c>
      <c r="L8" s="14" t="s">
        <v>86</v>
      </c>
      <c r="M8" s="14" t="s">
        <v>1150</v>
      </c>
      <c r="N8" s="14" t="s">
        <v>87</v>
      </c>
      <c r="O8" s="15" t="s">
        <v>88</v>
      </c>
      <c r="P8" s="15" t="s">
        <v>89</v>
      </c>
      <c r="Q8" s="17" t="s">
        <v>90</v>
      </c>
      <c r="R8" s="17"/>
      <c r="S8" s="15" t="s">
        <v>231</v>
      </c>
    </row>
    <row r="9" customFormat="false" ht="22.35" hidden="false" customHeight="false" outlineLevel="0" collapsed="false">
      <c r="A9" s="14" t="s">
        <v>1193</v>
      </c>
      <c r="B9" s="15" t="s">
        <v>63</v>
      </c>
      <c r="C9" s="15" t="s">
        <v>1144</v>
      </c>
      <c r="D9" s="15" t="s">
        <v>1194</v>
      </c>
      <c r="E9" s="15" t="s">
        <v>1195</v>
      </c>
      <c r="F9" s="15" t="s">
        <v>1196</v>
      </c>
      <c r="G9" s="15" t="s">
        <v>1197</v>
      </c>
      <c r="H9" s="15" t="s">
        <v>1198</v>
      </c>
      <c r="I9" s="15" t="s">
        <v>1199</v>
      </c>
      <c r="J9" s="16"/>
      <c r="K9" s="14" t="s">
        <v>19</v>
      </c>
      <c r="L9" s="14" t="s">
        <v>86</v>
      </c>
      <c r="M9" s="14" t="s">
        <v>1150</v>
      </c>
      <c r="N9" s="14" t="s">
        <v>87</v>
      </c>
      <c r="O9" s="15" t="s">
        <v>88</v>
      </c>
      <c r="P9" s="15" t="s">
        <v>89</v>
      </c>
      <c r="Q9" s="17" t="s">
        <v>90</v>
      </c>
      <c r="R9" s="17"/>
      <c r="S9" s="15" t="s">
        <v>1200</v>
      </c>
    </row>
    <row r="10" customFormat="false" ht="43.25" hidden="false" customHeight="false" outlineLevel="0" collapsed="false">
      <c r="A10" s="14" t="s">
        <v>1201</v>
      </c>
      <c r="B10" s="15" t="s">
        <v>63</v>
      </c>
      <c r="C10" s="15" t="s">
        <v>1144</v>
      </c>
      <c r="D10" s="15" t="s">
        <v>1202</v>
      </c>
      <c r="E10" s="15" t="s">
        <v>1203</v>
      </c>
      <c r="F10" s="15" t="s">
        <v>1163</v>
      </c>
      <c r="G10" s="15" t="s">
        <v>1204</v>
      </c>
      <c r="H10" s="15" t="s">
        <v>1205</v>
      </c>
      <c r="I10" s="15" t="s">
        <v>1206</v>
      </c>
      <c r="J10" s="16"/>
      <c r="K10" s="14" t="s">
        <v>19</v>
      </c>
      <c r="L10" s="14" t="s">
        <v>86</v>
      </c>
      <c r="M10" s="14" t="s">
        <v>1150</v>
      </c>
      <c r="N10" s="14" t="s">
        <v>87</v>
      </c>
      <c r="O10" s="15" t="s">
        <v>88</v>
      </c>
      <c r="P10" s="15" t="s">
        <v>89</v>
      </c>
      <c r="Q10" s="17" t="s">
        <v>90</v>
      </c>
      <c r="R10" s="17"/>
      <c r="S10" s="15" t="s">
        <v>1207</v>
      </c>
    </row>
    <row r="11" customFormat="false" ht="22.35" hidden="false" customHeight="false" outlineLevel="0" collapsed="false">
      <c r="A11" s="14" t="s">
        <v>1208</v>
      </c>
      <c r="B11" s="15" t="s">
        <v>63</v>
      </c>
      <c r="C11" s="15" t="s">
        <v>1144</v>
      </c>
      <c r="D11" s="15" t="s">
        <v>1209</v>
      </c>
      <c r="E11" s="15" t="s">
        <v>1210</v>
      </c>
      <c r="F11" s="15" t="s">
        <v>1211</v>
      </c>
      <c r="G11" s="15" t="s">
        <v>96</v>
      </c>
      <c r="H11" s="15" t="s">
        <v>1212</v>
      </c>
      <c r="I11" s="15" t="s">
        <v>1213</v>
      </c>
      <c r="J11" s="16"/>
      <c r="K11" s="14" t="s">
        <v>19</v>
      </c>
      <c r="L11" s="14" t="s">
        <v>86</v>
      </c>
      <c r="M11" s="14" t="s">
        <v>1214</v>
      </c>
      <c r="N11" s="14" t="s">
        <v>87</v>
      </c>
      <c r="O11" s="15" t="s">
        <v>88</v>
      </c>
      <c r="P11" s="15" t="s">
        <v>89</v>
      </c>
      <c r="Q11" s="17" t="s">
        <v>90</v>
      </c>
      <c r="R11" s="17"/>
      <c r="S11" s="15" t="s">
        <v>1215</v>
      </c>
    </row>
    <row r="12" customFormat="false" ht="32.8" hidden="false" customHeight="false" outlineLevel="0" collapsed="false">
      <c r="A12" s="14" t="s">
        <v>1216</v>
      </c>
      <c r="B12" s="15" t="s">
        <v>63</v>
      </c>
      <c r="C12" s="15" t="s">
        <v>1144</v>
      </c>
      <c r="D12" s="15" t="s">
        <v>1217</v>
      </c>
      <c r="E12" s="15" t="s">
        <v>1218</v>
      </c>
      <c r="F12" s="15" t="s">
        <v>1219</v>
      </c>
      <c r="G12" s="15" t="s">
        <v>96</v>
      </c>
      <c r="H12" s="15" t="s">
        <v>1220</v>
      </c>
      <c r="I12" s="15" t="s">
        <v>1221</v>
      </c>
      <c r="J12" s="16"/>
      <c r="K12" s="14" t="s">
        <v>19</v>
      </c>
      <c r="L12" s="14" t="s">
        <v>86</v>
      </c>
      <c r="M12" s="14" t="s">
        <v>1214</v>
      </c>
      <c r="N12" s="14" t="s">
        <v>87</v>
      </c>
      <c r="O12" s="15" t="s">
        <v>88</v>
      </c>
      <c r="P12" s="15" t="s">
        <v>89</v>
      </c>
      <c r="Q12" s="17" t="s">
        <v>90</v>
      </c>
      <c r="R12" s="17"/>
      <c r="S12" s="15" t="s">
        <v>1215</v>
      </c>
    </row>
    <row r="13" customFormat="false" ht="22.35" hidden="false" customHeight="false" outlineLevel="0" collapsed="false">
      <c r="A13" s="14" t="s">
        <v>1222</v>
      </c>
      <c r="B13" s="15" t="s">
        <v>63</v>
      </c>
      <c r="C13" s="15" t="s">
        <v>1144</v>
      </c>
      <c r="D13" s="15" t="s">
        <v>1223</v>
      </c>
      <c r="E13" s="15" t="s">
        <v>1224</v>
      </c>
      <c r="F13" s="15" t="s">
        <v>1225</v>
      </c>
      <c r="G13" s="15" t="s">
        <v>1087</v>
      </c>
      <c r="H13" s="15" t="s">
        <v>1226</v>
      </c>
      <c r="I13" s="15" t="s">
        <v>1227</v>
      </c>
      <c r="J13" s="16"/>
      <c r="K13" s="14" t="s">
        <v>19</v>
      </c>
      <c r="L13" s="14" t="s">
        <v>86</v>
      </c>
      <c r="M13" s="14" t="s">
        <v>208</v>
      </c>
      <c r="N13" s="14" t="s">
        <v>87</v>
      </c>
      <c r="O13" s="15" t="s">
        <v>88</v>
      </c>
      <c r="P13" s="15" t="s">
        <v>140</v>
      </c>
      <c r="Q13" s="17" t="s">
        <v>90</v>
      </c>
      <c r="R13" s="17"/>
      <c r="S13" s="15" t="s">
        <v>1082</v>
      </c>
    </row>
    <row r="14" customFormat="false" ht="22.35" hidden="false" customHeight="false" outlineLevel="0" collapsed="false">
      <c r="A14" s="14" t="s">
        <v>1228</v>
      </c>
      <c r="B14" s="15" t="s">
        <v>63</v>
      </c>
      <c r="C14" s="15" t="s">
        <v>1229</v>
      </c>
      <c r="D14" s="15" t="s">
        <v>1145</v>
      </c>
      <c r="E14" s="15" t="s">
        <v>1230</v>
      </c>
      <c r="F14" s="15" t="s">
        <v>1147</v>
      </c>
      <c r="G14" s="15" t="s">
        <v>463</v>
      </c>
      <c r="H14" s="15" t="s">
        <v>1231</v>
      </c>
      <c r="I14" s="15" t="s">
        <v>1232</v>
      </c>
      <c r="J14" s="16"/>
      <c r="K14" s="14" t="s">
        <v>19</v>
      </c>
      <c r="L14" s="14" t="s">
        <v>86</v>
      </c>
      <c r="M14" s="14" t="s">
        <v>1150</v>
      </c>
      <c r="N14" s="14" t="s">
        <v>87</v>
      </c>
      <c r="O14" s="15" t="s">
        <v>88</v>
      </c>
      <c r="P14" s="15" t="s">
        <v>89</v>
      </c>
      <c r="Q14" s="17" t="s">
        <v>90</v>
      </c>
      <c r="R14" s="17"/>
      <c r="S14" s="15" t="s">
        <v>1233</v>
      </c>
    </row>
    <row r="15" customFormat="false" ht="22.35" hidden="false" customHeight="false" outlineLevel="0" collapsed="false">
      <c r="A15" s="14" t="s">
        <v>1234</v>
      </c>
      <c r="B15" s="15" t="s">
        <v>63</v>
      </c>
      <c r="C15" s="15" t="s">
        <v>1229</v>
      </c>
      <c r="D15" s="15" t="s">
        <v>1153</v>
      </c>
      <c r="E15" s="15" t="s">
        <v>1235</v>
      </c>
      <c r="F15" s="15" t="s">
        <v>1155</v>
      </c>
      <c r="G15" s="15" t="s">
        <v>1156</v>
      </c>
      <c r="H15" s="15" t="s">
        <v>1157</v>
      </c>
      <c r="I15" s="15" t="s">
        <v>1236</v>
      </c>
      <c r="J15" s="16"/>
      <c r="K15" s="14" t="s">
        <v>19</v>
      </c>
      <c r="L15" s="14" t="s">
        <v>86</v>
      </c>
      <c r="M15" s="14" t="s">
        <v>208</v>
      </c>
      <c r="N15" s="14" t="s">
        <v>87</v>
      </c>
      <c r="O15" s="15" t="s">
        <v>88</v>
      </c>
      <c r="P15" s="15" t="s">
        <v>89</v>
      </c>
      <c r="Q15" s="17" t="s">
        <v>90</v>
      </c>
      <c r="R15" s="17"/>
      <c r="S15" s="15" t="s">
        <v>1237</v>
      </c>
    </row>
    <row r="16" customFormat="false" ht="32.8" hidden="false" customHeight="false" outlineLevel="0" collapsed="false">
      <c r="A16" s="14" t="s">
        <v>1238</v>
      </c>
      <c r="B16" s="15" t="s">
        <v>63</v>
      </c>
      <c r="C16" s="15" t="s">
        <v>1229</v>
      </c>
      <c r="D16" s="15" t="s">
        <v>1161</v>
      </c>
      <c r="E16" s="15" t="s">
        <v>1239</v>
      </c>
      <c r="F16" s="15" t="s">
        <v>1163</v>
      </c>
      <c r="G16" s="15" t="s">
        <v>1164</v>
      </c>
      <c r="H16" s="15" t="s">
        <v>1165</v>
      </c>
      <c r="I16" s="15" t="s">
        <v>1166</v>
      </c>
      <c r="J16" s="16"/>
      <c r="K16" s="14" t="s">
        <v>19</v>
      </c>
      <c r="L16" s="14" t="s">
        <v>86</v>
      </c>
      <c r="M16" s="14" t="s">
        <v>1150</v>
      </c>
      <c r="N16" s="14" t="s">
        <v>87</v>
      </c>
      <c r="O16" s="15" t="s">
        <v>88</v>
      </c>
      <c r="P16" s="15" t="s">
        <v>89</v>
      </c>
      <c r="Q16" s="17" t="s">
        <v>90</v>
      </c>
      <c r="R16" s="17"/>
      <c r="S16" s="15" t="s">
        <v>1240</v>
      </c>
    </row>
    <row r="17" customFormat="false" ht="22.35" hidden="false" customHeight="false" outlineLevel="0" collapsed="false">
      <c r="A17" s="14" t="s">
        <v>1241</v>
      </c>
      <c r="B17" s="15" t="s">
        <v>63</v>
      </c>
      <c r="C17" s="15" t="s">
        <v>1229</v>
      </c>
      <c r="D17" s="15" t="s">
        <v>1169</v>
      </c>
      <c r="E17" s="15" t="s">
        <v>1242</v>
      </c>
      <c r="F17" s="15" t="s">
        <v>1163</v>
      </c>
      <c r="G17" s="15" t="s">
        <v>1243</v>
      </c>
      <c r="H17" s="15" t="s">
        <v>1172</v>
      </c>
      <c r="I17" s="15" t="s">
        <v>1173</v>
      </c>
      <c r="J17" s="16"/>
      <c r="K17" s="14" t="s">
        <v>20</v>
      </c>
      <c r="L17" s="14" t="s">
        <v>108</v>
      </c>
      <c r="M17" s="14" t="s">
        <v>1150</v>
      </c>
      <c r="N17" s="14" t="s">
        <v>87</v>
      </c>
      <c r="O17" s="15" t="s">
        <v>88</v>
      </c>
      <c r="P17" s="15" t="s">
        <v>89</v>
      </c>
      <c r="Q17" s="17" t="s">
        <v>90</v>
      </c>
      <c r="R17" s="17"/>
      <c r="S17" s="15" t="s">
        <v>1244</v>
      </c>
    </row>
    <row r="18" customFormat="false" ht="22.35" hidden="false" customHeight="false" outlineLevel="0" collapsed="false">
      <c r="A18" s="14" t="s">
        <v>1245</v>
      </c>
      <c r="B18" s="15" t="s">
        <v>63</v>
      </c>
      <c r="C18" s="15" t="s">
        <v>1229</v>
      </c>
      <c r="D18" s="15" t="s">
        <v>1176</v>
      </c>
      <c r="E18" s="15" t="s">
        <v>1246</v>
      </c>
      <c r="F18" s="15" t="s">
        <v>1178</v>
      </c>
      <c r="G18" s="15" t="s">
        <v>1243</v>
      </c>
      <c r="H18" s="15" t="s">
        <v>1179</v>
      </c>
      <c r="I18" s="15" t="s">
        <v>1180</v>
      </c>
      <c r="J18" s="16"/>
      <c r="K18" s="14" t="s">
        <v>20</v>
      </c>
      <c r="L18" s="14" t="s">
        <v>108</v>
      </c>
      <c r="M18" s="14" t="s">
        <v>208</v>
      </c>
      <c r="N18" s="14" t="s">
        <v>87</v>
      </c>
      <c r="O18" s="15" t="s">
        <v>88</v>
      </c>
      <c r="P18" s="15" t="s">
        <v>140</v>
      </c>
      <c r="Q18" s="17" t="s">
        <v>90</v>
      </c>
      <c r="R18" s="17"/>
      <c r="S18" s="15" t="s">
        <v>1244</v>
      </c>
    </row>
    <row r="19" customFormat="false" ht="22.35" hidden="false" customHeight="false" outlineLevel="0" collapsed="false">
      <c r="A19" s="14" t="s">
        <v>1247</v>
      </c>
      <c r="B19" s="15" t="s">
        <v>63</v>
      </c>
      <c r="C19" s="15" t="s">
        <v>1229</v>
      </c>
      <c r="D19" s="15" t="s">
        <v>1182</v>
      </c>
      <c r="E19" s="15" t="s">
        <v>1248</v>
      </c>
      <c r="F19" s="15" t="s">
        <v>1163</v>
      </c>
      <c r="G19" s="15" t="s">
        <v>1249</v>
      </c>
      <c r="H19" s="15" t="s">
        <v>1185</v>
      </c>
      <c r="I19" s="15" t="s">
        <v>1186</v>
      </c>
      <c r="J19" s="16"/>
      <c r="K19" s="14" t="s">
        <v>19</v>
      </c>
      <c r="L19" s="14" t="s">
        <v>86</v>
      </c>
      <c r="M19" s="14" t="s">
        <v>170</v>
      </c>
      <c r="N19" s="14" t="s">
        <v>87</v>
      </c>
      <c r="O19" s="15" t="s">
        <v>88</v>
      </c>
      <c r="P19" s="15" t="s">
        <v>89</v>
      </c>
      <c r="Q19" s="17" t="s">
        <v>90</v>
      </c>
      <c r="R19" s="17"/>
      <c r="S19" s="15" t="s">
        <v>1134</v>
      </c>
    </row>
    <row r="20" customFormat="false" ht="32.8" hidden="false" customHeight="false" outlineLevel="0" collapsed="false">
      <c r="A20" s="14" t="s">
        <v>1250</v>
      </c>
      <c r="B20" s="15" t="s">
        <v>63</v>
      </c>
      <c r="C20" s="15" t="s">
        <v>1229</v>
      </c>
      <c r="D20" s="15" t="s">
        <v>186</v>
      </c>
      <c r="E20" s="15" t="s">
        <v>1251</v>
      </c>
      <c r="F20" s="15" t="s">
        <v>1189</v>
      </c>
      <c r="G20" s="15" t="s">
        <v>1190</v>
      </c>
      <c r="H20" s="15" t="s">
        <v>1191</v>
      </c>
      <c r="I20" s="15" t="s">
        <v>1192</v>
      </c>
      <c r="J20" s="16"/>
      <c r="K20" s="14" t="s">
        <v>19</v>
      </c>
      <c r="L20" s="14" t="s">
        <v>86</v>
      </c>
      <c r="M20" s="14" t="s">
        <v>1150</v>
      </c>
      <c r="N20" s="14" t="s">
        <v>87</v>
      </c>
      <c r="O20" s="15" t="s">
        <v>88</v>
      </c>
      <c r="P20" s="15" t="s">
        <v>89</v>
      </c>
      <c r="Q20" s="17" t="s">
        <v>90</v>
      </c>
      <c r="R20" s="17"/>
      <c r="S20" s="15" t="s">
        <v>231</v>
      </c>
    </row>
    <row r="21" customFormat="false" ht="22.35" hidden="false" customHeight="false" outlineLevel="0" collapsed="false">
      <c r="A21" s="14" t="s">
        <v>1252</v>
      </c>
      <c r="B21" s="15" t="s">
        <v>63</v>
      </c>
      <c r="C21" s="15" t="s">
        <v>1229</v>
      </c>
      <c r="D21" s="15" t="s">
        <v>1194</v>
      </c>
      <c r="E21" s="15" t="s">
        <v>1253</v>
      </c>
      <c r="F21" s="15" t="s">
        <v>1196</v>
      </c>
      <c r="G21" s="15" t="s">
        <v>1197</v>
      </c>
      <c r="H21" s="15" t="s">
        <v>1198</v>
      </c>
      <c r="I21" s="15" t="s">
        <v>1199</v>
      </c>
      <c r="J21" s="16"/>
      <c r="K21" s="14" t="s">
        <v>19</v>
      </c>
      <c r="L21" s="14" t="s">
        <v>86</v>
      </c>
      <c r="M21" s="14" t="s">
        <v>1150</v>
      </c>
      <c r="N21" s="14" t="s">
        <v>87</v>
      </c>
      <c r="O21" s="15" t="s">
        <v>88</v>
      </c>
      <c r="P21" s="15" t="s">
        <v>89</v>
      </c>
      <c r="Q21" s="17" t="s">
        <v>90</v>
      </c>
      <c r="R21" s="17"/>
      <c r="S21" s="15" t="s">
        <v>1200</v>
      </c>
    </row>
    <row r="22" customFormat="false" ht="43.25" hidden="false" customHeight="false" outlineLevel="0" collapsed="false">
      <c r="A22" s="14" t="s">
        <v>1254</v>
      </c>
      <c r="B22" s="15" t="s">
        <v>63</v>
      </c>
      <c r="C22" s="15" t="s">
        <v>1229</v>
      </c>
      <c r="D22" s="15" t="s">
        <v>1202</v>
      </c>
      <c r="E22" s="15" t="s">
        <v>1255</v>
      </c>
      <c r="F22" s="15" t="s">
        <v>1163</v>
      </c>
      <c r="G22" s="15" t="s">
        <v>1204</v>
      </c>
      <c r="H22" s="15" t="s">
        <v>1205</v>
      </c>
      <c r="I22" s="15" t="s">
        <v>1206</v>
      </c>
      <c r="J22" s="16"/>
      <c r="K22" s="14" t="s">
        <v>19</v>
      </c>
      <c r="L22" s="14" t="s">
        <v>86</v>
      </c>
      <c r="M22" s="14" t="s">
        <v>1150</v>
      </c>
      <c r="N22" s="14" t="s">
        <v>87</v>
      </c>
      <c r="O22" s="15" t="s">
        <v>88</v>
      </c>
      <c r="P22" s="15" t="s">
        <v>89</v>
      </c>
      <c r="Q22" s="17" t="s">
        <v>90</v>
      </c>
      <c r="R22" s="17"/>
      <c r="S22" s="15" t="s">
        <v>1207</v>
      </c>
    </row>
    <row r="23" customFormat="false" ht="22.35" hidden="false" customHeight="false" outlineLevel="0" collapsed="false">
      <c r="A23" s="14" t="s">
        <v>1256</v>
      </c>
      <c r="B23" s="15" t="s">
        <v>63</v>
      </c>
      <c r="C23" s="15" t="s">
        <v>1229</v>
      </c>
      <c r="D23" s="15" t="s">
        <v>1209</v>
      </c>
      <c r="E23" s="15" t="s">
        <v>1257</v>
      </c>
      <c r="F23" s="15" t="s">
        <v>1258</v>
      </c>
      <c r="G23" s="15" t="s">
        <v>96</v>
      </c>
      <c r="H23" s="15" t="s">
        <v>1212</v>
      </c>
      <c r="I23" s="15" t="s">
        <v>1213</v>
      </c>
      <c r="J23" s="16"/>
      <c r="K23" s="14" t="s">
        <v>19</v>
      </c>
      <c r="L23" s="14" t="s">
        <v>86</v>
      </c>
      <c r="M23" s="14" t="s">
        <v>1214</v>
      </c>
      <c r="N23" s="14" t="s">
        <v>87</v>
      </c>
      <c r="O23" s="15" t="s">
        <v>88</v>
      </c>
      <c r="P23" s="15" t="s">
        <v>89</v>
      </c>
      <c r="Q23" s="17" t="s">
        <v>90</v>
      </c>
      <c r="R23" s="17"/>
      <c r="S23" s="15" t="s">
        <v>1215</v>
      </c>
    </row>
    <row r="24" customFormat="false" ht="32.8" hidden="false" customHeight="false" outlineLevel="0" collapsed="false">
      <c r="A24" s="14" t="s">
        <v>1259</v>
      </c>
      <c r="B24" s="15" t="s">
        <v>63</v>
      </c>
      <c r="C24" s="15" t="s">
        <v>1229</v>
      </c>
      <c r="D24" s="15" t="s">
        <v>1217</v>
      </c>
      <c r="E24" s="15" t="s">
        <v>1260</v>
      </c>
      <c r="F24" s="15" t="s">
        <v>1219</v>
      </c>
      <c r="G24" s="15" t="s">
        <v>96</v>
      </c>
      <c r="H24" s="15" t="s">
        <v>1220</v>
      </c>
      <c r="I24" s="15" t="s">
        <v>1221</v>
      </c>
      <c r="J24" s="16"/>
      <c r="K24" s="14" t="s">
        <v>19</v>
      </c>
      <c r="L24" s="14" t="s">
        <v>86</v>
      </c>
      <c r="M24" s="14" t="s">
        <v>1214</v>
      </c>
      <c r="N24" s="14" t="s">
        <v>87</v>
      </c>
      <c r="O24" s="15" t="s">
        <v>88</v>
      </c>
      <c r="P24" s="15" t="s">
        <v>89</v>
      </c>
      <c r="Q24" s="17" t="s">
        <v>90</v>
      </c>
      <c r="R24" s="17"/>
      <c r="S24" s="15" t="s">
        <v>1215</v>
      </c>
    </row>
    <row r="25" customFormat="false" ht="22.35" hidden="false" customHeight="false" outlineLevel="0" collapsed="false">
      <c r="A25" s="14" t="s">
        <v>1261</v>
      </c>
      <c r="B25" s="15" t="s">
        <v>63</v>
      </c>
      <c r="C25" s="15" t="s">
        <v>1229</v>
      </c>
      <c r="D25" s="15" t="s">
        <v>1223</v>
      </c>
      <c r="E25" s="15" t="s">
        <v>1262</v>
      </c>
      <c r="F25" s="15" t="s">
        <v>1225</v>
      </c>
      <c r="G25" s="15" t="s">
        <v>1087</v>
      </c>
      <c r="H25" s="15" t="s">
        <v>1226</v>
      </c>
      <c r="I25" s="15" t="s">
        <v>1227</v>
      </c>
      <c r="J25" s="16"/>
      <c r="K25" s="14" t="s">
        <v>19</v>
      </c>
      <c r="L25" s="14" t="s">
        <v>86</v>
      </c>
      <c r="M25" s="14" t="s">
        <v>208</v>
      </c>
      <c r="N25" s="14" t="s">
        <v>87</v>
      </c>
      <c r="O25" s="15" t="s">
        <v>88</v>
      </c>
      <c r="P25" s="15" t="s">
        <v>140</v>
      </c>
      <c r="Q25" s="17" t="s">
        <v>90</v>
      </c>
      <c r="R25" s="17"/>
      <c r="S25" s="15" t="s">
        <v>1082</v>
      </c>
    </row>
    <row r="26" customFormat="false" ht="22.35" hidden="false" customHeight="false" outlineLevel="0" collapsed="false">
      <c r="A26" s="14" t="s">
        <v>1263</v>
      </c>
      <c r="B26" s="15" t="s">
        <v>63</v>
      </c>
      <c r="C26" s="15" t="s">
        <v>1144</v>
      </c>
      <c r="D26" s="15" t="s">
        <v>1264</v>
      </c>
      <c r="E26" s="15" t="s">
        <v>1265</v>
      </c>
      <c r="F26" s="15" t="s">
        <v>1266</v>
      </c>
      <c r="G26" s="15" t="s">
        <v>1267</v>
      </c>
      <c r="H26" s="15" t="s">
        <v>1268</v>
      </c>
      <c r="I26" s="15" t="s">
        <v>1269</v>
      </c>
      <c r="J26" s="16"/>
      <c r="K26" s="14" t="s">
        <v>19</v>
      </c>
      <c r="L26" s="14" t="s">
        <v>86</v>
      </c>
      <c r="M26" s="14" t="s">
        <v>1150</v>
      </c>
      <c r="N26" s="14" t="s">
        <v>87</v>
      </c>
      <c r="O26" s="15" t="s">
        <v>88</v>
      </c>
      <c r="P26" s="15" t="s">
        <v>89</v>
      </c>
      <c r="Q26" s="17" t="s">
        <v>90</v>
      </c>
      <c r="R26" s="17"/>
      <c r="S26" s="15" t="s">
        <v>1270</v>
      </c>
    </row>
    <row r="27" customFormat="false" ht="22.35" hidden="false" customHeight="false" outlineLevel="0" collapsed="false">
      <c r="A27" s="14" t="s">
        <v>1271</v>
      </c>
      <c r="B27" s="15" t="s">
        <v>63</v>
      </c>
      <c r="C27" s="15" t="s">
        <v>1144</v>
      </c>
      <c r="D27" s="15" t="s">
        <v>1272</v>
      </c>
      <c r="E27" s="15" t="s">
        <v>1273</v>
      </c>
      <c r="F27" s="15" t="s">
        <v>1274</v>
      </c>
      <c r="G27" s="15" t="s">
        <v>1275</v>
      </c>
      <c r="H27" s="15" t="s">
        <v>1276</v>
      </c>
      <c r="I27" s="15" t="s">
        <v>1277</v>
      </c>
      <c r="J27" s="16"/>
      <c r="K27" s="14" t="s">
        <v>19</v>
      </c>
      <c r="L27" s="14" t="s">
        <v>86</v>
      </c>
      <c r="M27" s="14" t="s">
        <v>1150</v>
      </c>
      <c r="N27" s="14" t="s">
        <v>87</v>
      </c>
      <c r="O27" s="15" t="s">
        <v>88</v>
      </c>
      <c r="P27" s="15" t="s">
        <v>89</v>
      </c>
      <c r="Q27" s="17" t="s">
        <v>90</v>
      </c>
      <c r="R27" s="17"/>
      <c r="S27" s="15" t="s">
        <v>1278</v>
      </c>
    </row>
    <row r="28" customFormat="false" ht="32.8" hidden="false" customHeight="false" outlineLevel="0" collapsed="false">
      <c r="A28" s="14" t="s">
        <v>1279</v>
      </c>
      <c r="B28" s="15" t="s">
        <v>63</v>
      </c>
      <c r="C28" s="15" t="s">
        <v>1144</v>
      </c>
      <c r="D28" s="15" t="s">
        <v>1280</v>
      </c>
      <c r="E28" s="15" t="s">
        <v>1281</v>
      </c>
      <c r="F28" s="15" t="s">
        <v>1282</v>
      </c>
      <c r="G28" s="15" t="s">
        <v>96</v>
      </c>
      <c r="H28" s="15" t="s">
        <v>1283</v>
      </c>
      <c r="I28" s="15" t="s">
        <v>1284</v>
      </c>
      <c r="J28" s="16"/>
      <c r="K28" s="14" t="s">
        <v>19</v>
      </c>
      <c r="L28" s="14" t="s">
        <v>86</v>
      </c>
      <c r="M28" s="14" t="s">
        <v>1150</v>
      </c>
      <c r="N28" s="14" t="s">
        <v>87</v>
      </c>
      <c r="O28" s="15" t="s">
        <v>88</v>
      </c>
      <c r="P28" s="15" t="s">
        <v>89</v>
      </c>
      <c r="Q28" s="17" t="s">
        <v>90</v>
      </c>
      <c r="R28" s="17"/>
      <c r="S28" s="15" t="s">
        <v>1285</v>
      </c>
    </row>
    <row r="29" customFormat="false" ht="22.35" hidden="false" customHeight="false" outlineLevel="0" collapsed="false">
      <c r="A29" s="14" t="s">
        <v>1286</v>
      </c>
      <c r="B29" s="15" t="s">
        <v>63</v>
      </c>
      <c r="C29" s="15" t="s">
        <v>1144</v>
      </c>
      <c r="D29" s="15" t="s">
        <v>1287</v>
      </c>
      <c r="E29" s="15" t="s">
        <v>1288</v>
      </c>
      <c r="F29" s="15" t="s">
        <v>1289</v>
      </c>
      <c r="G29" s="15" t="s">
        <v>1290</v>
      </c>
      <c r="H29" s="15" t="s">
        <v>1291</v>
      </c>
      <c r="I29" s="15" t="s">
        <v>1292</v>
      </c>
      <c r="J29" s="16"/>
      <c r="K29" s="14" t="s">
        <v>20</v>
      </c>
      <c r="L29" s="14" t="s">
        <v>108</v>
      </c>
      <c r="M29" s="14" t="s">
        <v>170</v>
      </c>
      <c r="N29" s="14" t="s">
        <v>87</v>
      </c>
      <c r="O29" s="15" t="s">
        <v>88</v>
      </c>
      <c r="P29" s="15" t="s">
        <v>89</v>
      </c>
      <c r="Q29" s="17" t="s">
        <v>90</v>
      </c>
      <c r="R29" s="17"/>
      <c r="S29" s="15" t="s">
        <v>1293</v>
      </c>
    </row>
    <row r="30" customFormat="false" ht="22.35" hidden="false" customHeight="false" outlineLevel="0" collapsed="false">
      <c r="A30" s="14" t="s">
        <v>1294</v>
      </c>
      <c r="B30" s="15" t="s">
        <v>63</v>
      </c>
      <c r="C30" s="15" t="s">
        <v>1144</v>
      </c>
      <c r="D30" s="15" t="s">
        <v>1295</v>
      </c>
      <c r="E30" s="15" t="s">
        <v>1296</v>
      </c>
      <c r="F30" s="15" t="s">
        <v>1297</v>
      </c>
      <c r="G30" s="15" t="s">
        <v>96</v>
      </c>
      <c r="H30" s="15" t="s">
        <v>1298</v>
      </c>
      <c r="I30" s="15" t="s">
        <v>1299</v>
      </c>
      <c r="J30" s="16"/>
      <c r="K30" s="14" t="s">
        <v>20</v>
      </c>
      <c r="L30" s="14" t="s">
        <v>108</v>
      </c>
      <c r="M30" s="14" t="s">
        <v>1150</v>
      </c>
      <c r="N30" s="14" t="s">
        <v>109</v>
      </c>
      <c r="O30" s="15" t="s">
        <v>88</v>
      </c>
      <c r="P30" s="15" t="s">
        <v>89</v>
      </c>
      <c r="Q30" s="17" t="s">
        <v>90</v>
      </c>
      <c r="R30" s="17"/>
      <c r="S30" s="15" t="s">
        <v>1300</v>
      </c>
    </row>
    <row r="31" customFormat="false" ht="32.8" hidden="false" customHeight="false" outlineLevel="0" collapsed="false">
      <c r="A31" s="14" t="s">
        <v>1301</v>
      </c>
      <c r="B31" s="15" t="s">
        <v>63</v>
      </c>
      <c r="C31" s="15" t="s">
        <v>1144</v>
      </c>
      <c r="D31" s="15" t="s">
        <v>1302</v>
      </c>
      <c r="E31" s="15" t="s">
        <v>1303</v>
      </c>
      <c r="F31" s="15" t="s">
        <v>1304</v>
      </c>
      <c r="G31" s="15" t="s">
        <v>1305</v>
      </c>
      <c r="H31" s="15" t="s">
        <v>1306</v>
      </c>
      <c r="I31" s="15" t="s">
        <v>1307</v>
      </c>
      <c r="J31" s="16"/>
      <c r="K31" s="14" t="s">
        <v>20</v>
      </c>
      <c r="L31" s="14" t="s">
        <v>108</v>
      </c>
      <c r="M31" s="14" t="s">
        <v>208</v>
      </c>
      <c r="N31" s="14" t="s">
        <v>109</v>
      </c>
      <c r="O31" s="15" t="s">
        <v>88</v>
      </c>
      <c r="P31" s="15" t="s">
        <v>89</v>
      </c>
      <c r="Q31" s="17" t="s">
        <v>90</v>
      </c>
      <c r="R31" s="17"/>
      <c r="S31" s="15" t="s">
        <v>1308</v>
      </c>
    </row>
    <row r="32" customFormat="false" ht="22.35" hidden="false" customHeight="false" outlineLevel="0" collapsed="false">
      <c r="A32" s="14" t="s">
        <v>1309</v>
      </c>
      <c r="B32" s="15" t="s">
        <v>63</v>
      </c>
      <c r="C32" s="15" t="s">
        <v>1144</v>
      </c>
      <c r="D32" s="15" t="s">
        <v>1310</v>
      </c>
      <c r="E32" s="15" t="s">
        <v>1311</v>
      </c>
      <c r="F32" s="15" t="s">
        <v>1312</v>
      </c>
      <c r="G32" s="15" t="s">
        <v>1313</v>
      </c>
      <c r="H32" s="15" t="s">
        <v>967</v>
      </c>
      <c r="I32" s="15" t="s">
        <v>1314</v>
      </c>
      <c r="J32" s="16"/>
      <c r="K32" s="14" t="s">
        <v>20</v>
      </c>
      <c r="L32" s="14" t="s">
        <v>108</v>
      </c>
      <c r="M32" s="14" t="s">
        <v>208</v>
      </c>
      <c r="N32" s="14" t="s">
        <v>87</v>
      </c>
      <c r="O32" s="15" t="s">
        <v>88</v>
      </c>
      <c r="P32" s="15" t="s">
        <v>140</v>
      </c>
      <c r="Q32" s="17" t="s">
        <v>90</v>
      </c>
      <c r="R32" s="17"/>
      <c r="S32" s="15" t="s">
        <v>1315</v>
      </c>
    </row>
    <row r="33" customFormat="false" ht="32.8" hidden="false" customHeight="false" outlineLevel="0" collapsed="false">
      <c r="A33" s="14" t="s">
        <v>1316</v>
      </c>
      <c r="B33" s="15" t="s">
        <v>63</v>
      </c>
      <c r="C33" s="15" t="s">
        <v>1144</v>
      </c>
      <c r="D33" s="15" t="s">
        <v>1317</v>
      </c>
      <c r="E33" s="15" t="s">
        <v>1318</v>
      </c>
      <c r="F33" s="15" t="s">
        <v>1319</v>
      </c>
      <c r="G33" s="15" t="s">
        <v>1320</v>
      </c>
      <c r="H33" s="15" t="s">
        <v>1321</v>
      </c>
      <c r="I33" s="15" t="s">
        <v>1322</v>
      </c>
      <c r="J33" s="16"/>
      <c r="K33" s="14" t="s">
        <v>20</v>
      </c>
      <c r="L33" s="14" t="s">
        <v>108</v>
      </c>
      <c r="M33" s="14" t="s">
        <v>208</v>
      </c>
      <c r="N33" s="14" t="s">
        <v>87</v>
      </c>
      <c r="O33" s="15" t="s">
        <v>88</v>
      </c>
      <c r="P33" s="15" t="s">
        <v>89</v>
      </c>
      <c r="Q33" s="17" t="s">
        <v>90</v>
      </c>
      <c r="R33" s="17"/>
      <c r="S33" s="15" t="s">
        <v>1323</v>
      </c>
    </row>
    <row r="34" customFormat="false" ht="22.35" hidden="false" customHeight="false" outlineLevel="0" collapsed="false">
      <c r="A34" s="14" t="s">
        <v>1324</v>
      </c>
      <c r="B34" s="15" t="s">
        <v>63</v>
      </c>
      <c r="C34" s="15" t="s">
        <v>1144</v>
      </c>
      <c r="D34" s="15" t="s">
        <v>1325</v>
      </c>
      <c r="E34" s="15" t="s">
        <v>1326</v>
      </c>
      <c r="F34" s="15" t="s">
        <v>1327</v>
      </c>
      <c r="G34" s="15" t="s">
        <v>1328</v>
      </c>
      <c r="H34" s="15" t="s">
        <v>1329</v>
      </c>
      <c r="I34" s="15" t="s">
        <v>1330</v>
      </c>
      <c r="J34" s="16"/>
      <c r="K34" s="14" t="s">
        <v>20</v>
      </c>
      <c r="L34" s="14" t="s">
        <v>108</v>
      </c>
      <c r="M34" s="14" t="s">
        <v>1150</v>
      </c>
      <c r="N34" s="14" t="s">
        <v>87</v>
      </c>
      <c r="O34" s="15" t="s">
        <v>88</v>
      </c>
      <c r="P34" s="15" t="s">
        <v>140</v>
      </c>
      <c r="Q34" s="17" t="s">
        <v>90</v>
      </c>
      <c r="R34" s="17"/>
      <c r="S34" s="15" t="s">
        <v>1300</v>
      </c>
    </row>
    <row r="35" customFormat="false" ht="22.35" hidden="false" customHeight="false" outlineLevel="0" collapsed="false">
      <c r="A35" s="14" t="s">
        <v>1331</v>
      </c>
      <c r="B35" s="15" t="s">
        <v>63</v>
      </c>
      <c r="C35" s="15" t="s">
        <v>1144</v>
      </c>
      <c r="D35" s="15" t="s">
        <v>1332</v>
      </c>
      <c r="E35" s="15" t="s">
        <v>1333</v>
      </c>
      <c r="F35" s="15" t="s">
        <v>1334</v>
      </c>
      <c r="G35" s="15" t="s">
        <v>1335</v>
      </c>
      <c r="H35" s="15" t="s">
        <v>967</v>
      </c>
      <c r="I35" s="15" t="s">
        <v>1336</v>
      </c>
      <c r="J35" s="16"/>
      <c r="K35" s="14" t="s">
        <v>21</v>
      </c>
      <c r="L35" s="14" t="s">
        <v>99</v>
      </c>
      <c r="M35" s="14" t="s">
        <v>1150</v>
      </c>
      <c r="N35" s="14" t="s">
        <v>109</v>
      </c>
      <c r="O35" s="15" t="s">
        <v>88</v>
      </c>
      <c r="P35" s="15" t="s">
        <v>89</v>
      </c>
      <c r="Q35" s="17" t="s">
        <v>90</v>
      </c>
      <c r="R35" s="17"/>
      <c r="S35" s="15" t="s">
        <v>1337</v>
      </c>
    </row>
    <row r="36" customFormat="false" ht="22.35" hidden="false" customHeight="false" outlineLevel="0" collapsed="false">
      <c r="A36" s="14" t="s">
        <v>1338</v>
      </c>
      <c r="B36" s="15" t="s">
        <v>63</v>
      </c>
      <c r="C36" s="15" t="s">
        <v>1229</v>
      </c>
      <c r="D36" s="15" t="s">
        <v>1339</v>
      </c>
      <c r="E36" s="15" t="s">
        <v>1340</v>
      </c>
      <c r="F36" s="15" t="s">
        <v>1289</v>
      </c>
      <c r="G36" s="15" t="s">
        <v>1341</v>
      </c>
      <c r="H36" s="15" t="s">
        <v>1342</v>
      </c>
      <c r="I36" s="15" t="s">
        <v>1343</v>
      </c>
      <c r="J36" s="16"/>
      <c r="K36" s="14" t="s">
        <v>19</v>
      </c>
      <c r="L36" s="14" t="s">
        <v>86</v>
      </c>
      <c r="M36" s="14" t="s">
        <v>208</v>
      </c>
      <c r="N36" s="14" t="s">
        <v>87</v>
      </c>
      <c r="O36" s="15" t="s">
        <v>88</v>
      </c>
      <c r="P36" s="15" t="s">
        <v>89</v>
      </c>
      <c r="Q36" s="17" t="s">
        <v>90</v>
      </c>
      <c r="R36" s="17"/>
      <c r="S36" s="15" t="s">
        <v>1344</v>
      </c>
    </row>
    <row r="37" customFormat="false" ht="22.35" hidden="false" customHeight="false" outlineLevel="0" collapsed="false">
      <c r="A37" s="14" t="s">
        <v>1345</v>
      </c>
      <c r="B37" s="15" t="s">
        <v>63</v>
      </c>
      <c r="C37" s="15" t="s">
        <v>1229</v>
      </c>
      <c r="D37" s="15" t="s">
        <v>1346</v>
      </c>
      <c r="E37" s="15" t="s">
        <v>1347</v>
      </c>
      <c r="F37" s="15" t="s">
        <v>1348</v>
      </c>
      <c r="G37" s="15" t="s">
        <v>96</v>
      </c>
      <c r="H37" s="15" t="s">
        <v>1349</v>
      </c>
      <c r="I37" s="15" t="s">
        <v>1350</v>
      </c>
      <c r="J37" s="16"/>
      <c r="K37" s="14" t="s">
        <v>19</v>
      </c>
      <c r="L37" s="14" t="s">
        <v>86</v>
      </c>
      <c r="M37" s="14" t="s">
        <v>1150</v>
      </c>
      <c r="N37" s="14" t="s">
        <v>87</v>
      </c>
      <c r="O37" s="15" t="s">
        <v>88</v>
      </c>
      <c r="P37" s="15" t="s">
        <v>89</v>
      </c>
      <c r="Q37" s="17" t="s">
        <v>90</v>
      </c>
      <c r="R37" s="17"/>
      <c r="S37" s="15" t="s">
        <v>1351</v>
      </c>
    </row>
    <row r="38" customFormat="false" ht="22.35" hidden="false" customHeight="false" outlineLevel="0" collapsed="false">
      <c r="A38" s="14" t="s">
        <v>1352</v>
      </c>
      <c r="B38" s="15" t="s">
        <v>63</v>
      </c>
      <c r="C38" s="15" t="s">
        <v>1229</v>
      </c>
      <c r="D38" s="15" t="s">
        <v>1280</v>
      </c>
      <c r="E38" s="15" t="s">
        <v>1353</v>
      </c>
      <c r="F38" s="15" t="s">
        <v>63</v>
      </c>
      <c r="G38" s="15" t="s">
        <v>96</v>
      </c>
      <c r="H38" s="15" t="s">
        <v>1354</v>
      </c>
      <c r="I38" s="15" t="s">
        <v>1355</v>
      </c>
      <c r="J38" s="16"/>
      <c r="K38" s="14" t="s">
        <v>19</v>
      </c>
      <c r="L38" s="14" t="s">
        <v>86</v>
      </c>
      <c r="M38" s="14" t="s">
        <v>1150</v>
      </c>
      <c r="N38" s="14" t="s">
        <v>87</v>
      </c>
      <c r="O38" s="15" t="s">
        <v>88</v>
      </c>
      <c r="P38" s="15" t="s">
        <v>89</v>
      </c>
      <c r="Q38" s="17" t="s">
        <v>90</v>
      </c>
      <c r="R38" s="17"/>
      <c r="S38" s="15" t="s">
        <v>1356</v>
      </c>
    </row>
    <row r="39" customFormat="false" ht="22.35" hidden="false" customHeight="false" outlineLevel="0" collapsed="false">
      <c r="A39" s="14" t="s">
        <v>1357</v>
      </c>
      <c r="B39" s="15" t="s">
        <v>63</v>
      </c>
      <c r="C39" s="15" t="s">
        <v>1229</v>
      </c>
      <c r="D39" s="15" t="s">
        <v>1358</v>
      </c>
      <c r="E39" s="15" t="s">
        <v>1359</v>
      </c>
      <c r="F39" s="15" t="s">
        <v>63</v>
      </c>
      <c r="G39" s="15" t="s">
        <v>1360</v>
      </c>
      <c r="H39" s="15" t="s">
        <v>1361</v>
      </c>
      <c r="I39" s="15" t="s">
        <v>1362</v>
      </c>
      <c r="J39" s="16"/>
      <c r="K39" s="14" t="s">
        <v>20</v>
      </c>
      <c r="L39" s="14" t="s">
        <v>108</v>
      </c>
      <c r="M39" s="14" t="s">
        <v>1150</v>
      </c>
      <c r="N39" s="14" t="s">
        <v>346</v>
      </c>
      <c r="O39" s="15" t="s">
        <v>88</v>
      </c>
      <c r="P39" s="15" t="s">
        <v>89</v>
      </c>
      <c r="Q39" s="17" t="s">
        <v>90</v>
      </c>
      <c r="R39" s="17"/>
      <c r="S39" s="15" t="s">
        <v>1363</v>
      </c>
    </row>
    <row r="40" customFormat="false" ht="22.35" hidden="false" customHeight="false" outlineLevel="0" collapsed="false">
      <c r="A40" s="14" t="s">
        <v>1364</v>
      </c>
      <c r="B40" s="15" t="s">
        <v>63</v>
      </c>
      <c r="C40" s="15" t="s">
        <v>1229</v>
      </c>
      <c r="D40" s="15" t="s">
        <v>1287</v>
      </c>
      <c r="E40" s="15" t="s">
        <v>1365</v>
      </c>
      <c r="F40" s="15" t="s">
        <v>1289</v>
      </c>
      <c r="G40" s="15" t="s">
        <v>1366</v>
      </c>
      <c r="H40" s="15" t="s">
        <v>1342</v>
      </c>
      <c r="I40" s="15" t="s">
        <v>1367</v>
      </c>
      <c r="J40" s="16"/>
      <c r="K40" s="14" t="s">
        <v>20</v>
      </c>
      <c r="L40" s="14" t="s">
        <v>108</v>
      </c>
      <c r="M40" s="14" t="s">
        <v>170</v>
      </c>
      <c r="N40" s="14" t="s">
        <v>87</v>
      </c>
      <c r="O40" s="15" t="s">
        <v>88</v>
      </c>
      <c r="P40" s="15" t="s">
        <v>89</v>
      </c>
      <c r="Q40" s="17" t="s">
        <v>90</v>
      </c>
      <c r="R40" s="17"/>
      <c r="S40" s="15" t="s">
        <v>1368</v>
      </c>
    </row>
    <row r="41" customFormat="false" ht="22.35" hidden="false" customHeight="false" outlineLevel="0" collapsed="false">
      <c r="A41" s="14" t="s">
        <v>1369</v>
      </c>
      <c r="B41" s="15" t="s">
        <v>63</v>
      </c>
      <c r="C41" s="15" t="s">
        <v>1229</v>
      </c>
      <c r="D41" s="15" t="s">
        <v>1370</v>
      </c>
      <c r="E41" s="15" t="s">
        <v>1371</v>
      </c>
      <c r="F41" s="15" t="s">
        <v>1372</v>
      </c>
      <c r="G41" s="15" t="s">
        <v>1373</v>
      </c>
      <c r="H41" s="15" t="s">
        <v>1329</v>
      </c>
      <c r="I41" s="15" t="s">
        <v>1374</v>
      </c>
      <c r="J41" s="16"/>
      <c r="K41" s="14" t="s">
        <v>20</v>
      </c>
      <c r="L41" s="14" t="s">
        <v>108</v>
      </c>
      <c r="M41" s="14" t="s">
        <v>1150</v>
      </c>
      <c r="N41" s="14" t="s">
        <v>87</v>
      </c>
      <c r="O41" s="15" t="s">
        <v>88</v>
      </c>
      <c r="P41" s="15" t="s">
        <v>140</v>
      </c>
      <c r="Q41" s="17" t="s">
        <v>90</v>
      </c>
      <c r="R41" s="17"/>
      <c r="S41" s="15" t="s">
        <v>1351</v>
      </c>
    </row>
    <row r="42" customFormat="false" ht="22.35" hidden="false" customHeight="false" outlineLevel="0" collapsed="false">
      <c r="A42" s="14" t="s">
        <v>1375</v>
      </c>
      <c r="B42" s="15" t="s">
        <v>63</v>
      </c>
      <c r="C42" s="15" t="s">
        <v>1376</v>
      </c>
      <c r="D42" s="15" t="s">
        <v>1377</v>
      </c>
      <c r="E42" s="15" t="s">
        <v>1378</v>
      </c>
      <c r="F42" s="15" t="s">
        <v>460</v>
      </c>
      <c r="G42" s="15" t="s">
        <v>1379</v>
      </c>
      <c r="H42" s="15" t="s">
        <v>1380</v>
      </c>
      <c r="I42" s="15" t="s">
        <v>1381</v>
      </c>
      <c r="J42" s="16"/>
      <c r="K42" s="14" t="s">
        <v>19</v>
      </c>
      <c r="L42" s="14" t="s">
        <v>86</v>
      </c>
      <c r="M42" s="14" t="s">
        <v>1150</v>
      </c>
      <c r="N42" s="14" t="s">
        <v>87</v>
      </c>
      <c r="O42" s="15" t="s">
        <v>88</v>
      </c>
      <c r="P42" s="15" t="s">
        <v>89</v>
      </c>
      <c r="Q42" s="17" t="s">
        <v>90</v>
      </c>
      <c r="R42" s="17"/>
      <c r="S42" s="15" t="s">
        <v>1382</v>
      </c>
    </row>
    <row r="43" customFormat="false" ht="22.35" hidden="false" customHeight="false" outlineLevel="0" collapsed="false">
      <c r="A43" s="14" t="s">
        <v>1383</v>
      </c>
      <c r="B43" s="15" t="s">
        <v>63</v>
      </c>
      <c r="C43" s="15" t="s">
        <v>1376</v>
      </c>
      <c r="D43" s="15" t="s">
        <v>1384</v>
      </c>
      <c r="E43" s="15" t="s">
        <v>1385</v>
      </c>
      <c r="F43" s="15" t="s">
        <v>460</v>
      </c>
      <c r="G43" s="15" t="s">
        <v>1379</v>
      </c>
      <c r="H43" s="15" t="s">
        <v>1386</v>
      </c>
      <c r="I43" s="15" t="s">
        <v>1387</v>
      </c>
      <c r="J43" s="16"/>
      <c r="K43" s="14" t="s">
        <v>19</v>
      </c>
      <c r="L43" s="14" t="s">
        <v>86</v>
      </c>
      <c r="M43" s="14" t="s">
        <v>1150</v>
      </c>
      <c r="N43" s="14" t="s">
        <v>87</v>
      </c>
      <c r="O43" s="15" t="s">
        <v>88</v>
      </c>
      <c r="P43" s="15" t="s">
        <v>89</v>
      </c>
      <c r="Q43" s="17" t="s">
        <v>90</v>
      </c>
      <c r="R43" s="17"/>
      <c r="S43" s="15" t="s">
        <v>1388</v>
      </c>
    </row>
    <row r="44" customFormat="false" ht="22.35" hidden="false" customHeight="false" outlineLevel="0" collapsed="false">
      <c r="A44" s="14" t="s">
        <v>1389</v>
      </c>
      <c r="B44" s="15" t="s">
        <v>63</v>
      </c>
      <c r="C44" s="15" t="s">
        <v>1376</v>
      </c>
      <c r="D44" s="15" t="s">
        <v>1390</v>
      </c>
      <c r="E44" s="15" t="s">
        <v>1391</v>
      </c>
      <c r="F44" s="15" t="s">
        <v>460</v>
      </c>
      <c r="G44" s="15" t="s">
        <v>96</v>
      </c>
      <c r="H44" s="15" t="s">
        <v>1392</v>
      </c>
      <c r="I44" s="15" t="s">
        <v>1393</v>
      </c>
      <c r="J44" s="16"/>
      <c r="K44" s="14" t="s">
        <v>19</v>
      </c>
      <c r="L44" s="14" t="s">
        <v>86</v>
      </c>
      <c r="M44" s="14" t="s">
        <v>170</v>
      </c>
      <c r="N44" s="14" t="s">
        <v>87</v>
      </c>
      <c r="O44" s="15" t="s">
        <v>88</v>
      </c>
      <c r="P44" s="15" t="s">
        <v>89</v>
      </c>
      <c r="Q44" s="17" t="s">
        <v>90</v>
      </c>
      <c r="R44" s="17"/>
      <c r="S44" s="15" t="s">
        <v>474</v>
      </c>
    </row>
    <row r="45" customFormat="false" ht="22.35" hidden="false" customHeight="false" outlineLevel="0" collapsed="false">
      <c r="A45" s="14" t="s">
        <v>1394</v>
      </c>
      <c r="B45" s="15" t="s">
        <v>63</v>
      </c>
      <c r="C45" s="15" t="s">
        <v>1376</v>
      </c>
      <c r="D45" s="15" t="s">
        <v>1395</v>
      </c>
      <c r="E45" s="15" t="s">
        <v>1396</v>
      </c>
      <c r="F45" s="15" t="s">
        <v>470</v>
      </c>
      <c r="G45" s="15" t="s">
        <v>96</v>
      </c>
      <c r="H45" s="15" t="s">
        <v>1397</v>
      </c>
      <c r="I45" s="15" t="s">
        <v>1398</v>
      </c>
      <c r="J45" s="16"/>
      <c r="K45" s="14" t="s">
        <v>19</v>
      </c>
      <c r="L45" s="14" t="s">
        <v>86</v>
      </c>
      <c r="M45" s="14" t="s">
        <v>1214</v>
      </c>
      <c r="N45" s="14" t="s">
        <v>87</v>
      </c>
      <c r="O45" s="15" t="s">
        <v>88</v>
      </c>
      <c r="P45" s="15" t="s">
        <v>89</v>
      </c>
      <c r="Q45" s="17" t="s">
        <v>90</v>
      </c>
      <c r="R45" s="17"/>
      <c r="S45" s="15" t="s">
        <v>1399</v>
      </c>
    </row>
    <row r="46" customFormat="false" ht="22.35" hidden="false" customHeight="false" outlineLevel="0" collapsed="false">
      <c r="A46" s="14" t="s">
        <v>1400</v>
      </c>
      <c r="B46" s="15" t="s">
        <v>63</v>
      </c>
      <c r="C46" s="15" t="s">
        <v>1376</v>
      </c>
      <c r="D46" s="15" t="s">
        <v>1401</v>
      </c>
      <c r="E46" s="15" t="s">
        <v>1402</v>
      </c>
      <c r="F46" s="15" t="s">
        <v>1403</v>
      </c>
      <c r="G46" s="15" t="s">
        <v>1404</v>
      </c>
      <c r="H46" s="15" t="s">
        <v>1405</v>
      </c>
      <c r="I46" s="15" t="s">
        <v>1406</v>
      </c>
      <c r="J46" s="16"/>
      <c r="K46" s="14" t="s">
        <v>19</v>
      </c>
      <c r="L46" s="14" t="s">
        <v>86</v>
      </c>
      <c r="M46" s="14" t="s">
        <v>1150</v>
      </c>
      <c r="N46" s="14" t="s">
        <v>87</v>
      </c>
      <c r="O46" s="15" t="s">
        <v>88</v>
      </c>
      <c r="P46" s="15" t="s">
        <v>89</v>
      </c>
      <c r="Q46" s="17" t="s">
        <v>90</v>
      </c>
      <c r="R46" s="17"/>
      <c r="S46" s="15" t="s">
        <v>1407</v>
      </c>
    </row>
    <row r="47" customFormat="false" ht="22.35" hidden="false" customHeight="false" outlineLevel="0" collapsed="false">
      <c r="A47" s="14" t="s">
        <v>1408</v>
      </c>
      <c r="B47" s="15" t="s">
        <v>63</v>
      </c>
      <c r="C47" s="15" t="s">
        <v>1409</v>
      </c>
      <c r="D47" s="15" t="s">
        <v>1410</v>
      </c>
      <c r="E47" s="15" t="s">
        <v>1411</v>
      </c>
      <c r="F47" s="15" t="s">
        <v>1412</v>
      </c>
      <c r="G47" s="15" t="s">
        <v>96</v>
      </c>
      <c r="H47" s="15" t="s">
        <v>1413</v>
      </c>
      <c r="I47" s="15" t="s">
        <v>1414</v>
      </c>
      <c r="J47" s="16"/>
      <c r="K47" s="14" t="s">
        <v>20</v>
      </c>
      <c r="L47" s="14" t="s">
        <v>108</v>
      </c>
      <c r="M47" s="14" t="s">
        <v>1150</v>
      </c>
      <c r="N47" s="14" t="s">
        <v>109</v>
      </c>
      <c r="O47" s="15" t="s">
        <v>88</v>
      </c>
      <c r="P47" s="15" t="s">
        <v>89</v>
      </c>
      <c r="Q47" s="17" t="s">
        <v>90</v>
      </c>
      <c r="R47" s="17"/>
      <c r="S47" s="15" t="s">
        <v>1415</v>
      </c>
    </row>
    <row r="48" customFormat="false" ht="22.35" hidden="false" customHeight="false" outlineLevel="0" collapsed="false">
      <c r="A48" s="14" t="s">
        <v>1416</v>
      </c>
      <c r="B48" s="15" t="s">
        <v>63</v>
      </c>
      <c r="C48" s="15" t="s">
        <v>1409</v>
      </c>
      <c r="D48" s="15" t="s">
        <v>1417</v>
      </c>
      <c r="E48" s="15" t="s">
        <v>1418</v>
      </c>
      <c r="F48" s="15" t="s">
        <v>1419</v>
      </c>
      <c r="G48" s="15" t="s">
        <v>1420</v>
      </c>
      <c r="H48" s="15" t="s">
        <v>1421</v>
      </c>
      <c r="I48" s="15" t="s">
        <v>1422</v>
      </c>
      <c r="J48" s="16"/>
      <c r="K48" s="14" t="s">
        <v>19</v>
      </c>
      <c r="L48" s="14" t="s">
        <v>86</v>
      </c>
      <c r="M48" s="14" t="s">
        <v>1150</v>
      </c>
      <c r="N48" s="14" t="s">
        <v>87</v>
      </c>
      <c r="O48" s="15" t="s">
        <v>88</v>
      </c>
      <c r="P48" s="15" t="s">
        <v>89</v>
      </c>
      <c r="Q48" s="17" t="s">
        <v>90</v>
      </c>
      <c r="R48" s="17"/>
      <c r="S48" s="15" t="s">
        <v>1423</v>
      </c>
    </row>
    <row r="49" customFormat="false" ht="32.8" hidden="false" customHeight="false" outlineLevel="0" collapsed="false">
      <c r="A49" s="14" t="s">
        <v>1424</v>
      </c>
      <c r="B49" s="15" t="s">
        <v>63</v>
      </c>
      <c r="C49" s="15" t="s">
        <v>483</v>
      </c>
      <c r="D49" s="15" t="s">
        <v>1425</v>
      </c>
      <c r="E49" s="15" t="s">
        <v>1426</v>
      </c>
      <c r="F49" s="15" t="s">
        <v>494</v>
      </c>
      <c r="G49" s="15" t="s">
        <v>1427</v>
      </c>
      <c r="H49" s="15" t="s">
        <v>1428</v>
      </c>
      <c r="I49" s="15" t="s">
        <v>1429</v>
      </c>
      <c r="J49" s="16"/>
      <c r="K49" s="14" t="s">
        <v>19</v>
      </c>
      <c r="L49" s="14" t="s">
        <v>86</v>
      </c>
      <c r="M49" s="14" t="s">
        <v>1150</v>
      </c>
      <c r="N49" s="14" t="s">
        <v>87</v>
      </c>
      <c r="O49" s="15" t="s">
        <v>88</v>
      </c>
      <c r="P49" s="15" t="s">
        <v>89</v>
      </c>
      <c r="Q49" s="17" t="s">
        <v>90</v>
      </c>
      <c r="R49" s="17"/>
      <c r="S49" s="15" t="s">
        <v>1430</v>
      </c>
    </row>
    <row r="50" customFormat="false" ht="22.35" hidden="false" customHeight="false" outlineLevel="0" collapsed="false">
      <c r="A50" s="14" t="s">
        <v>1431</v>
      </c>
      <c r="B50" s="15" t="s">
        <v>63</v>
      </c>
      <c r="C50" s="15" t="s">
        <v>483</v>
      </c>
      <c r="D50" s="15" t="s">
        <v>1432</v>
      </c>
      <c r="E50" s="15" t="s">
        <v>1433</v>
      </c>
      <c r="F50" s="15" t="s">
        <v>1434</v>
      </c>
      <c r="G50" s="15" t="s">
        <v>1435</v>
      </c>
      <c r="H50" s="15" t="s">
        <v>1436</v>
      </c>
      <c r="I50" s="15" t="s">
        <v>1437</v>
      </c>
      <c r="J50" s="16"/>
      <c r="K50" s="14" t="s">
        <v>19</v>
      </c>
      <c r="L50" s="14" t="s">
        <v>86</v>
      </c>
      <c r="M50" s="14" t="s">
        <v>1150</v>
      </c>
      <c r="N50" s="14" t="s">
        <v>87</v>
      </c>
      <c r="O50" s="15" t="s">
        <v>88</v>
      </c>
      <c r="P50" s="15" t="s">
        <v>89</v>
      </c>
      <c r="Q50" s="17" t="s">
        <v>90</v>
      </c>
      <c r="R50" s="17"/>
      <c r="S50" s="15" t="s">
        <v>1438</v>
      </c>
    </row>
    <row r="51" customFormat="false" ht="22.35" hidden="false" customHeight="false" outlineLevel="0" collapsed="false">
      <c r="A51" s="14" t="s">
        <v>1439</v>
      </c>
      <c r="B51" s="15" t="s">
        <v>63</v>
      </c>
      <c r="C51" s="15" t="s">
        <v>483</v>
      </c>
      <c r="D51" s="15" t="s">
        <v>1440</v>
      </c>
      <c r="E51" s="15" t="s">
        <v>1441</v>
      </c>
      <c r="F51" s="15" t="s">
        <v>494</v>
      </c>
      <c r="G51" s="15" t="s">
        <v>510</v>
      </c>
      <c r="H51" s="15" t="s">
        <v>1442</v>
      </c>
      <c r="I51" s="15" t="s">
        <v>1443</v>
      </c>
      <c r="J51" s="16"/>
      <c r="K51" s="14" t="s">
        <v>19</v>
      </c>
      <c r="L51" s="14" t="s">
        <v>86</v>
      </c>
      <c r="M51" s="14" t="s">
        <v>170</v>
      </c>
      <c r="N51" s="14" t="s">
        <v>87</v>
      </c>
      <c r="O51" s="15" t="s">
        <v>88</v>
      </c>
      <c r="P51" s="15" t="s">
        <v>89</v>
      </c>
      <c r="Q51" s="17" t="s">
        <v>90</v>
      </c>
      <c r="R51" s="17"/>
      <c r="S51" s="15" t="s">
        <v>1444</v>
      </c>
    </row>
    <row r="52" customFormat="false" ht="22.35" hidden="false" customHeight="false" outlineLevel="0" collapsed="false">
      <c r="A52" s="14" t="s">
        <v>1445</v>
      </c>
      <c r="B52" s="15" t="s">
        <v>63</v>
      </c>
      <c r="C52" s="15" t="s">
        <v>483</v>
      </c>
      <c r="D52" s="15" t="s">
        <v>1446</v>
      </c>
      <c r="E52" s="15" t="s">
        <v>1447</v>
      </c>
      <c r="F52" s="15" t="s">
        <v>1448</v>
      </c>
      <c r="G52" s="15" t="s">
        <v>96</v>
      </c>
      <c r="H52" s="15" t="s">
        <v>1449</v>
      </c>
      <c r="I52" s="15" t="s">
        <v>1450</v>
      </c>
      <c r="J52" s="16"/>
      <c r="K52" s="14" t="s">
        <v>19</v>
      </c>
      <c r="L52" s="14" t="s">
        <v>86</v>
      </c>
      <c r="M52" s="14" t="s">
        <v>1214</v>
      </c>
      <c r="N52" s="14" t="s">
        <v>87</v>
      </c>
      <c r="O52" s="15" t="s">
        <v>88</v>
      </c>
      <c r="P52" s="15" t="s">
        <v>89</v>
      </c>
      <c r="Q52" s="17" t="s">
        <v>90</v>
      </c>
      <c r="R52" s="17"/>
      <c r="S52" s="15" t="s">
        <v>1451</v>
      </c>
    </row>
    <row r="53" customFormat="false" ht="22.35" hidden="false" customHeight="false" outlineLevel="0" collapsed="false">
      <c r="A53" s="14" t="s">
        <v>1452</v>
      </c>
      <c r="B53" s="15" t="s">
        <v>63</v>
      </c>
      <c r="C53" s="15" t="s">
        <v>483</v>
      </c>
      <c r="D53" s="15" t="s">
        <v>1453</v>
      </c>
      <c r="E53" s="15" t="s">
        <v>1454</v>
      </c>
      <c r="F53" s="15" t="s">
        <v>612</v>
      </c>
      <c r="G53" s="15" t="s">
        <v>96</v>
      </c>
      <c r="H53" s="15" t="s">
        <v>1455</v>
      </c>
      <c r="I53" s="15" t="s">
        <v>1456</v>
      </c>
      <c r="J53" s="16"/>
      <c r="K53" s="14" t="s">
        <v>20</v>
      </c>
      <c r="L53" s="14" t="s">
        <v>108</v>
      </c>
      <c r="M53" s="14" t="s">
        <v>170</v>
      </c>
      <c r="N53" s="14" t="s">
        <v>87</v>
      </c>
      <c r="O53" s="15" t="s">
        <v>88</v>
      </c>
      <c r="P53" s="15" t="s">
        <v>89</v>
      </c>
      <c r="Q53" s="17" t="s">
        <v>90</v>
      </c>
      <c r="R53" s="17"/>
      <c r="S53" s="15" t="s">
        <v>546</v>
      </c>
    </row>
    <row r="54" customFormat="false" ht="22.35" hidden="false" customHeight="false" outlineLevel="0" collapsed="false">
      <c r="A54" s="14" t="s">
        <v>1457</v>
      </c>
      <c r="B54" s="15" t="s">
        <v>63</v>
      </c>
      <c r="C54" s="15" t="s">
        <v>483</v>
      </c>
      <c r="D54" s="15" t="s">
        <v>1458</v>
      </c>
      <c r="E54" s="15" t="s">
        <v>1459</v>
      </c>
      <c r="F54" s="15" t="s">
        <v>1460</v>
      </c>
      <c r="G54" s="15" t="s">
        <v>1461</v>
      </c>
      <c r="H54" s="15" t="s">
        <v>1462</v>
      </c>
      <c r="I54" s="15" t="s">
        <v>1463</v>
      </c>
      <c r="J54" s="16"/>
      <c r="K54" s="14" t="s">
        <v>20</v>
      </c>
      <c r="L54" s="14" t="s">
        <v>108</v>
      </c>
      <c r="M54" s="14" t="s">
        <v>1150</v>
      </c>
      <c r="N54" s="14" t="s">
        <v>109</v>
      </c>
      <c r="O54" s="15" t="s">
        <v>88</v>
      </c>
      <c r="P54" s="15" t="s">
        <v>89</v>
      </c>
      <c r="Q54" s="17" t="s">
        <v>90</v>
      </c>
      <c r="R54" s="17"/>
      <c r="S54" s="15" t="s">
        <v>1464</v>
      </c>
    </row>
    <row r="55" customFormat="false" ht="22.35" hidden="false" customHeight="false" outlineLevel="0" collapsed="false">
      <c r="A55" s="14" t="s">
        <v>1465</v>
      </c>
      <c r="B55" s="15" t="s">
        <v>63</v>
      </c>
      <c r="C55" s="15" t="s">
        <v>1466</v>
      </c>
      <c r="D55" s="15" t="s">
        <v>1467</v>
      </c>
      <c r="E55" s="15" t="s">
        <v>1468</v>
      </c>
      <c r="F55" s="15" t="s">
        <v>1469</v>
      </c>
      <c r="G55" s="15" t="s">
        <v>96</v>
      </c>
      <c r="H55" s="15" t="s">
        <v>1470</v>
      </c>
      <c r="I55" s="15" t="s">
        <v>1471</v>
      </c>
      <c r="J55" s="16"/>
      <c r="K55" s="14" t="s">
        <v>19</v>
      </c>
      <c r="L55" s="14" t="s">
        <v>86</v>
      </c>
      <c r="M55" s="14" t="s">
        <v>1214</v>
      </c>
      <c r="N55" s="14" t="s">
        <v>87</v>
      </c>
      <c r="O55" s="15" t="s">
        <v>88</v>
      </c>
      <c r="P55" s="15" t="s">
        <v>89</v>
      </c>
      <c r="Q55" s="17" t="s">
        <v>90</v>
      </c>
      <c r="R55" s="17"/>
      <c r="S55" s="15" t="s">
        <v>1215</v>
      </c>
    </row>
    <row r="56" customFormat="false" ht="22.35" hidden="false" customHeight="false" outlineLevel="0" collapsed="false">
      <c r="A56" s="14" t="s">
        <v>1472</v>
      </c>
      <c r="B56" s="15" t="s">
        <v>63</v>
      </c>
      <c r="C56" s="15" t="s">
        <v>1466</v>
      </c>
      <c r="D56" s="15" t="s">
        <v>1473</v>
      </c>
      <c r="E56" s="15" t="s">
        <v>1474</v>
      </c>
      <c r="F56" s="15" t="s">
        <v>1475</v>
      </c>
      <c r="G56" s="15" t="s">
        <v>96</v>
      </c>
      <c r="H56" s="15" t="s">
        <v>1476</v>
      </c>
      <c r="I56" s="15" t="s">
        <v>1477</v>
      </c>
      <c r="J56" s="16"/>
      <c r="K56" s="14" t="s">
        <v>20</v>
      </c>
      <c r="L56" s="14" t="s">
        <v>108</v>
      </c>
      <c r="M56" s="14" t="s">
        <v>1214</v>
      </c>
      <c r="N56" s="14" t="s">
        <v>109</v>
      </c>
      <c r="O56" s="15" t="s">
        <v>88</v>
      </c>
      <c r="P56" s="15" t="s">
        <v>1478</v>
      </c>
      <c r="Q56" s="17" t="s">
        <v>90</v>
      </c>
      <c r="R56" s="17"/>
      <c r="S56" s="15" t="s">
        <v>1215</v>
      </c>
    </row>
    <row r="57" customFormat="false" ht="43.25" hidden="false" customHeight="false" outlineLevel="0" collapsed="false">
      <c r="A57" s="14" t="s">
        <v>1479</v>
      </c>
      <c r="B57" s="15" t="s">
        <v>63</v>
      </c>
      <c r="C57" s="15" t="s">
        <v>1466</v>
      </c>
      <c r="D57" s="15" t="s">
        <v>1480</v>
      </c>
      <c r="E57" s="15" t="s">
        <v>1481</v>
      </c>
      <c r="F57" s="15" t="s">
        <v>1482</v>
      </c>
      <c r="G57" s="15" t="s">
        <v>1483</v>
      </c>
      <c r="H57" s="15" t="s">
        <v>1484</v>
      </c>
      <c r="I57" s="15" t="s">
        <v>1485</v>
      </c>
      <c r="J57" s="16"/>
      <c r="K57" s="14" t="s">
        <v>19</v>
      </c>
      <c r="L57" s="14" t="s">
        <v>86</v>
      </c>
      <c r="M57" s="14" t="s">
        <v>1214</v>
      </c>
      <c r="N57" s="14" t="s">
        <v>346</v>
      </c>
      <c r="O57" s="15" t="s">
        <v>88</v>
      </c>
      <c r="P57" s="15" t="s">
        <v>89</v>
      </c>
      <c r="Q57" s="17" t="s">
        <v>90</v>
      </c>
      <c r="R57" s="17"/>
      <c r="S57" s="15" t="s">
        <v>1486</v>
      </c>
    </row>
    <row r="58" customFormat="false" ht="32.8" hidden="false" customHeight="false" outlineLevel="0" collapsed="false">
      <c r="A58" s="14" t="s">
        <v>1487</v>
      </c>
      <c r="B58" s="15" t="s">
        <v>63</v>
      </c>
      <c r="C58" s="15" t="s">
        <v>1466</v>
      </c>
      <c r="D58" s="15" t="s">
        <v>1488</v>
      </c>
      <c r="E58" s="15" t="s">
        <v>1489</v>
      </c>
      <c r="F58" s="15" t="s">
        <v>1490</v>
      </c>
      <c r="G58" s="15" t="s">
        <v>1491</v>
      </c>
      <c r="H58" s="15" t="s">
        <v>1484</v>
      </c>
      <c r="I58" s="15" t="s">
        <v>1492</v>
      </c>
      <c r="J58" s="16"/>
      <c r="K58" s="14" t="s">
        <v>20</v>
      </c>
      <c r="L58" s="14" t="s">
        <v>108</v>
      </c>
      <c r="M58" s="14" t="s">
        <v>208</v>
      </c>
      <c r="N58" s="14" t="s">
        <v>346</v>
      </c>
      <c r="O58" s="15" t="s">
        <v>88</v>
      </c>
      <c r="P58" s="15" t="s">
        <v>89</v>
      </c>
      <c r="Q58" s="17" t="s">
        <v>90</v>
      </c>
      <c r="R58" s="17"/>
      <c r="S58" s="15" t="s">
        <v>1493</v>
      </c>
    </row>
    <row r="59" customFormat="false" ht="22.35" hidden="false" customHeight="false" outlineLevel="0" collapsed="false">
      <c r="A59" s="14" t="s">
        <v>1494</v>
      </c>
      <c r="B59" s="15" t="s">
        <v>63</v>
      </c>
      <c r="C59" s="15" t="s">
        <v>1466</v>
      </c>
      <c r="D59" s="15" t="s">
        <v>1495</v>
      </c>
      <c r="E59" s="15" t="s">
        <v>1496</v>
      </c>
      <c r="F59" s="15" t="s">
        <v>1497</v>
      </c>
      <c r="G59" s="15" t="s">
        <v>1498</v>
      </c>
      <c r="H59" s="15" t="s">
        <v>1499</v>
      </c>
      <c r="I59" s="15" t="s">
        <v>1500</v>
      </c>
      <c r="J59" s="16"/>
      <c r="K59" s="14" t="s">
        <v>19</v>
      </c>
      <c r="L59" s="14" t="s">
        <v>86</v>
      </c>
      <c r="M59" s="14" t="s">
        <v>1214</v>
      </c>
      <c r="N59" s="14" t="s">
        <v>87</v>
      </c>
      <c r="O59" s="15" t="s">
        <v>88</v>
      </c>
      <c r="P59" s="15" t="s">
        <v>89</v>
      </c>
      <c r="Q59" s="17" t="s">
        <v>90</v>
      </c>
      <c r="R59" s="17"/>
      <c r="S59" s="15" t="s">
        <v>1215</v>
      </c>
    </row>
    <row r="60" customFormat="false" ht="22.35" hidden="false" customHeight="false" outlineLevel="0" collapsed="false">
      <c r="A60" s="14" t="s">
        <v>1501</v>
      </c>
      <c r="B60" s="15" t="s">
        <v>63</v>
      </c>
      <c r="C60" s="15" t="s">
        <v>1466</v>
      </c>
      <c r="D60" s="15" t="s">
        <v>1502</v>
      </c>
      <c r="E60" s="15" t="s">
        <v>1503</v>
      </c>
      <c r="F60" s="15" t="s">
        <v>1504</v>
      </c>
      <c r="G60" s="15" t="s">
        <v>1505</v>
      </c>
      <c r="H60" s="15" t="s">
        <v>1397</v>
      </c>
      <c r="I60" s="15" t="s">
        <v>1506</v>
      </c>
      <c r="J60" s="16"/>
      <c r="K60" s="14" t="s">
        <v>19</v>
      </c>
      <c r="L60" s="14" t="s">
        <v>86</v>
      </c>
      <c r="M60" s="14" t="s">
        <v>1214</v>
      </c>
      <c r="N60" s="14" t="s">
        <v>87</v>
      </c>
      <c r="O60" s="15" t="s">
        <v>88</v>
      </c>
      <c r="P60" s="15" t="s">
        <v>89</v>
      </c>
      <c r="Q60" s="17" t="s">
        <v>90</v>
      </c>
      <c r="R60" s="17"/>
      <c r="S60" s="15" t="s">
        <v>1507</v>
      </c>
    </row>
  </sheetData>
  <autoFilter ref="A1:S60"/>
  <conditionalFormatting sqref="K2:K60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60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60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60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60" type="list">
      <formula1>"P0,P1,P2,P3"</formula1>
      <formula2>0</formula2>
    </dataValidation>
    <dataValidation allowBlank="false" errorStyle="stop" operator="between" showDropDown="false" showErrorMessage="false" showInputMessage="false" sqref="L2:L60" type="list">
      <formula1>"Critical,High,Medium,Low"</formula1>
      <formula2>0</formula2>
    </dataValidation>
    <dataValidation allowBlank="false" errorStyle="stop" operator="between" showDropDown="false" showErrorMessage="false" showInputMessage="false" sqref="N2:N6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32.8" hidden="false" customHeight="false" outlineLevel="0" collapsed="false">
      <c r="A2" s="14" t="s">
        <v>1508</v>
      </c>
      <c r="B2" s="15" t="s">
        <v>1509</v>
      </c>
      <c r="C2" s="15" t="s">
        <v>186</v>
      </c>
      <c r="D2" s="15" t="s">
        <v>1510</v>
      </c>
      <c r="E2" s="15" t="s">
        <v>1511</v>
      </c>
      <c r="F2" s="15" t="s">
        <v>1512</v>
      </c>
      <c r="G2" s="15" t="s">
        <v>1513</v>
      </c>
      <c r="H2" s="15" t="s">
        <v>1514</v>
      </c>
      <c r="I2" s="15" t="s">
        <v>1515</v>
      </c>
      <c r="J2" s="16"/>
      <c r="K2" s="14" t="s">
        <v>19</v>
      </c>
      <c r="L2" s="14" t="s">
        <v>86</v>
      </c>
      <c r="M2" s="14" t="s">
        <v>208</v>
      </c>
      <c r="N2" s="14" t="s">
        <v>87</v>
      </c>
      <c r="O2" s="15" t="s">
        <v>88</v>
      </c>
      <c r="P2" s="15" t="s">
        <v>89</v>
      </c>
      <c r="Q2" s="17" t="s">
        <v>90</v>
      </c>
      <c r="R2" s="17"/>
      <c r="S2" s="15" t="s">
        <v>1516</v>
      </c>
    </row>
    <row r="3" customFormat="false" ht="22.35" hidden="false" customHeight="false" outlineLevel="0" collapsed="false">
      <c r="A3" s="14" t="s">
        <v>1517</v>
      </c>
      <c r="B3" s="15" t="s">
        <v>1509</v>
      </c>
      <c r="C3" s="15" t="s">
        <v>186</v>
      </c>
      <c r="D3" s="15" t="s">
        <v>1518</v>
      </c>
      <c r="E3" s="15" t="s">
        <v>1519</v>
      </c>
      <c r="F3" s="15" t="s">
        <v>1520</v>
      </c>
      <c r="G3" s="15" t="s">
        <v>1521</v>
      </c>
      <c r="H3" s="15" t="s">
        <v>1522</v>
      </c>
      <c r="I3" s="15" t="s">
        <v>1523</v>
      </c>
      <c r="J3" s="16"/>
      <c r="K3" s="14" t="s">
        <v>19</v>
      </c>
      <c r="L3" s="14" t="s">
        <v>86</v>
      </c>
      <c r="M3" s="14" t="s">
        <v>208</v>
      </c>
      <c r="N3" s="14" t="s">
        <v>87</v>
      </c>
      <c r="O3" s="15" t="s">
        <v>88</v>
      </c>
      <c r="P3" s="15" t="s">
        <v>89</v>
      </c>
      <c r="Q3" s="17" t="s">
        <v>90</v>
      </c>
      <c r="R3" s="17"/>
      <c r="S3" s="15" t="s">
        <v>1104</v>
      </c>
    </row>
    <row r="4" customFormat="false" ht="22.35" hidden="false" customHeight="false" outlineLevel="0" collapsed="false">
      <c r="A4" s="14" t="s">
        <v>1524</v>
      </c>
      <c r="B4" s="15" t="s">
        <v>1509</v>
      </c>
      <c r="C4" s="15" t="s">
        <v>233</v>
      </c>
      <c r="D4" s="15" t="s">
        <v>1525</v>
      </c>
      <c r="E4" s="15" t="s">
        <v>1526</v>
      </c>
      <c r="F4" s="15" t="s">
        <v>1527</v>
      </c>
      <c r="G4" s="15" t="s">
        <v>1528</v>
      </c>
      <c r="H4" s="15" t="s">
        <v>1421</v>
      </c>
      <c r="I4" s="15" t="s">
        <v>1529</v>
      </c>
      <c r="J4" s="16"/>
      <c r="K4" s="14" t="s">
        <v>19</v>
      </c>
      <c r="L4" s="14" t="s">
        <v>86</v>
      </c>
      <c r="M4" s="14" t="s">
        <v>170</v>
      </c>
      <c r="N4" s="14" t="s">
        <v>87</v>
      </c>
      <c r="O4" s="15" t="s">
        <v>88</v>
      </c>
      <c r="P4" s="15" t="s">
        <v>89</v>
      </c>
      <c r="Q4" s="17" t="s">
        <v>90</v>
      </c>
      <c r="R4" s="17"/>
      <c r="S4" s="15" t="s">
        <v>156</v>
      </c>
    </row>
    <row r="5" customFormat="false" ht="22.35" hidden="false" customHeight="false" outlineLevel="0" collapsed="false">
      <c r="A5" s="14" t="s">
        <v>1530</v>
      </c>
      <c r="B5" s="15" t="s">
        <v>1509</v>
      </c>
      <c r="C5" s="15" t="s">
        <v>233</v>
      </c>
      <c r="D5" s="15" t="s">
        <v>1531</v>
      </c>
      <c r="E5" s="15" t="s">
        <v>1532</v>
      </c>
      <c r="F5" s="15" t="s">
        <v>1533</v>
      </c>
      <c r="G5" s="15" t="s">
        <v>1534</v>
      </c>
      <c r="H5" s="15" t="s">
        <v>1535</v>
      </c>
      <c r="I5" s="15" t="s">
        <v>1536</v>
      </c>
      <c r="J5" s="16"/>
      <c r="K5" s="14" t="s">
        <v>19</v>
      </c>
      <c r="L5" s="14" t="s">
        <v>86</v>
      </c>
      <c r="M5" s="14" t="s">
        <v>170</v>
      </c>
      <c r="N5" s="14" t="s">
        <v>87</v>
      </c>
      <c r="O5" s="15" t="s">
        <v>88</v>
      </c>
      <c r="P5" s="15" t="s">
        <v>89</v>
      </c>
      <c r="Q5" s="17" t="s">
        <v>90</v>
      </c>
      <c r="R5" s="17"/>
      <c r="S5" s="15" t="s">
        <v>100</v>
      </c>
    </row>
    <row r="6" customFormat="false" ht="22.35" hidden="false" customHeight="false" outlineLevel="0" collapsed="false">
      <c r="A6" s="14" t="s">
        <v>1537</v>
      </c>
      <c r="B6" s="15" t="s">
        <v>1509</v>
      </c>
      <c r="C6" s="15" t="s">
        <v>233</v>
      </c>
      <c r="D6" s="15" t="s">
        <v>1538</v>
      </c>
      <c r="E6" s="15" t="s">
        <v>1539</v>
      </c>
      <c r="F6" s="15" t="s">
        <v>1540</v>
      </c>
      <c r="G6" s="15" t="s">
        <v>1541</v>
      </c>
      <c r="H6" s="15" t="s">
        <v>1542</v>
      </c>
      <c r="I6" s="15" t="s">
        <v>1543</v>
      </c>
      <c r="J6" s="16"/>
      <c r="K6" s="14" t="s">
        <v>20</v>
      </c>
      <c r="L6" s="14" t="s">
        <v>108</v>
      </c>
      <c r="M6" s="14" t="s">
        <v>208</v>
      </c>
      <c r="N6" s="14" t="s">
        <v>87</v>
      </c>
      <c r="O6" s="15" t="s">
        <v>88</v>
      </c>
      <c r="P6" s="15" t="s">
        <v>89</v>
      </c>
      <c r="Q6" s="17" t="s">
        <v>90</v>
      </c>
      <c r="R6" s="17"/>
      <c r="S6" s="15" t="s">
        <v>655</v>
      </c>
    </row>
    <row r="7" customFormat="false" ht="22.35" hidden="false" customHeight="false" outlineLevel="0" collapsed="false">
      <c r="A7" s="14" t="s">
        <v>1544</v>
      </c>
      <c r="B7" s="15" t="s">
        <v>1509</v>
      </c>
      <c r="C7" s="15" t="s">
        <v>1106</v>
      </c>
      <c r="D7" s="15" t="s">
        <v>1545</v>
      </c>
      <c r="E7" s="15" t="s">
        <v>1546</v>
      </c>
      <c r="F7" s="15" t="s">
        <v>1547</v>
      </c>
      <c r="G7" s="15"/>
      <c r="H7" s="15" t="s">
        <v>1548</v>
      </c>
      <c r="I7" s="15" t="s">
        <v>1549</v>
      </c>
      <c r="J7" s="16"/>
      <c r="K7" s="14" t="s">
        <v>19</v>
      </c>
      <c r="L7" s="14" t="s">
        <v>86</v>
      </c>
      <c r="M7" s="14" t="s">
        <v>208</v>
      </c>
      <c r="N7" s="14" t="s">
        <v>87</v>
      </c>
      <c r="O7" s="15" t="s">
        <v>88</v>
      </c>
      <c r="P7" s="15" t="s">
        <v>89</v>
      </c>
      <c r="Q7" s="17" t="s">
        <v>90</v>
      </c>
      <c r="R7" s="17"/>
      <c r="S7" s="15" t="s">
        <v>537</v>
      </c>
    </row>
    <row r="8" customFormat="false" ht="22.35" hidden="false" customHeight="false" outlineLevel="0" collapsed="false">
      <c r="A8" s="14" t="s">
        <v>1550</v>
      </c>
      <c r="B8" s="15" t="s">
        <v>1509</v>
      </c>
      <c r="C8" s="15" t="s">
        <v>1106</v>
      </c>
      <c r="D8" s="15" t="s">
        <v>1551</v>
      </c>
      <c r="E8" s="15" t="s">
        <v>1552</v>
      </c>
      <c r="F8" s="15" t="s">
        <v>1553</v>
      </c>
      <c r="G8" s="15"/>
      <c r="H8" s="15" t="s">
        <v>1554</v>
      </c>
      <c r="I8" s="15" t="s">
        <v>1555</v>
      </c>
      <c r="J8" s="16"/>
      <c r="K8" s="14" t="s">
        <v>20</v>
      </c>
      <c r="L8" s="14" t="s">
        <v>108</v>
      </c>
      <c r="M8" s="14" t="s">
        <v>208</v>
      </c>
      <c r="N8" s="14" t="s">
        <v>87</v>
      </c>
      <c r="O8" s="15" t="s">
        <v>88</v>
      </c>
      <c r="P8" s="15" t="s">
        <v>89</v>
      </c>
      <c r="Q8" s="17" t="s">
        <v>90</v>
      </c>
      <c r="R8" s="17"/>
      <c r="S8" s="15" t="s">
        <v>1556</v>
      </c>
    </row>
    <row r="9" customFormat="false" ht="22.35" hidden="false" customHeight="false" outlineLevel="0" collapsed="false">
      <c r="A9" s="14" t="s">
        <v>1557</v>
      </c>
      <c r="B9" s="15" t="s">
        <v>1509</v>
      </c>
      <c r="C9" s="15" t="s">
        <v>1106</v>
      </c>
      <c r="D9" s="15" t="s">
        <v>1558</v>
      </c>
      <c r="E9" s="15" t="s">
        <v>1559</v>
      </c>
      <c r="F9" s="15" t="s">
        <v>1560</v>
      </c>
      <c r="G9" s="15"/>
      <c r="H9" s="15" t="s">
        <v>1561</v>
      </c>
      <c r="I9" s="15" t="s">
        <v>1562</v>
      </c>
      <c r="J9" s="16"/>
      <c r="K9" s="14" t="s">
        <v>20</v>
      </c>
      <c r="L9" s="14" t="s">
        <v>108</v>
      </c>
      <c r="M9" s="14" t="s">
        <v>208</v>
      </c>
      <c r="N9" s="14" t="s">
        <v>87</v>
      </c>
      <c r="O9" s="15" t="s">
        <v>88</v>
      </c>
      <c r="P9" s="15" t="s">
        <v>89</v>
      </c>
      <c r="Q9" s="17" t="s">
        <v>90</v>
      </c>
      <c r="R9" s="17"/>
      <c r="S9" s="15" t="s">
        <v>1563</v>
      </c>
    </row>
    <row r="10" customFormat="false" ht="22.35" hidden="false" customHeight="false" outlineLevel="0" collapsed="false">
      <c r="A10" s="14" t="s">
        <v>1564</v>
      </c>
      <c r="B10" s="15" t="s">
        <v>1509</v>
      </c>
      <c r="C10" s="15" t="s">
        <v>1565</v>
      </c>
      <c r="D10" s="15" t="s">
        <v>1566</v>
      </c>
      <c r="E10" s="15" t="s">
        <v>1567</v>
      </c>
      <c r="F10" s="15" t="s">
        <v>1568</v>
      </c>
      <c r="G10" s="15" t="s">
        <v>1569</v>
      </c>
      <c r="H10" s="15" t="s">
        <v>1226</v>
      </c>
      <c r="I10" s="15" t="s">
        <v>1570</v>
      </c>
      <c r="J10" s="16"/>
      <c r="K10" s="14" t="s">
        <v>19</v>
      </c>
      <c r="L10" s="14" t="s">
        <v>86</v>
      </c>
      <c r="M10" s="14" t="s">
        <v>208</v>
      </c>
      <c r="N10" s="14" t="s">
        <v>87</v>
      </c>
      <c r="O10" s="15" t="s">
        <v>88</v>
      </c>
      <c r="P10" s="15" t="s">
        <v>89</v>
      </c>
      <c r="Q10" s="17" t="s">
        <v>90</v>
      </c>
      <c r="R10" s="17"/>
      <c r="S10" s="15" t="s">
        <v>1571</v>
      </c>
    </row>
    <row r="11" customFormat="false" ht="22.35" hidden="false" customHeight="false" outlineLevel="0" collapsed="false">
      <c r="A11" s="14" t="s">
        <v>1572</v>
      </c>
      <c r="B11" s="15" t="s">
        <v>1509</v>
      </c>
      <c r="C11" s="15" t="s">
        <v>1565</v>
      </c>
      <c r="D11" s="15" t="s">
        <v>1573</v>
      </c>
      <c r="E11" s="15" t="s">
        <v>1574</v>
      </c>
      <c r="F11" s="15" t="s">
        <v>1575</v>
      </c>
      <c r="G11" s="15" t="s">
        <v>1087</v>
      </c>
      <c r="H11" s="15" t="s">
        <v>1329</v>
      </c>
      <c r="I11" s="15" t="s">
        <v>1576</v>
      </c>
      <c r="J11" s="16"/>
      <c r="K11" s="14" t="s">
        <v>19</v>
      </c>
      <c r="L11" s="14" t="s">
        <v>86</v>
      </c>
      <c r="M11" s="14" t="s">
        <v>208</v>
      </c>
      <c r="N11" s="14" t="s">
        <v>87</v>
      </c>
      <c r="O11" s="15" t="s">
        <v>88</v>
      </c>
      <c r="P11" s="15" t="s">
        <v>89</v>
      </c>
      <c r="Q11" s="17" t="s">
        <v>90</v>
      </c>
      <c r="R11" s="17"/>
      <c r="S11" s="15" t="s">
        <v>1082</v>
      </c>
    </row>
    <row r="12" customFormat="false" ht="22.35" hidden="false" customHeight="false" outlineLevel="0" collapsed="false">
      <c r="A12" s="14" t="s">
        <v>1577</v>
      </c>
      <c r="B12" s="15" t="s">
        <v>1509</v>
      </c>
      <c r="C12" s="15" t="s">
        <v>1565</v>
      </c>
      <c r="D12" s="15" t="s">
        <v>1578</v>
      </c>
      <c r="E12" s="15" t="s">
        <v>1579</v>
      </c>
      <c r="F12" s="15" t="s">
        <v>1372</v>
      </c>
      <c r="G12" s="15" t="s">
        <v>1580</v>
      </c>
      <c r="H12" s="15" t="s">
        <v>1329</v>
      </c>
      <c r="I12" s="15" t="s">
        <v>1581</v>
      </c>
      <c r="J12" s="16"/>
      <c r="K12" s="14" t="s">
        <v>19</v>
      </c>
      <c r="L12" s="14" t="s">
        <v>86</v>
      </c>
      <c r="M12" s="14" t="s">
        <v>208</v>
      </c>
      <c r="N12" s="14" t="s">
        <v>87</v>
      </c>
      <c r="O12" s="15" t="s">
        <v>88</v>
      </c>
      <c r="P12" s="15" t="s">
        <v>89</v>
      </c>
      <c r="Q12" s="17" t="s">
        <v>90</v>
      </c>
      <c r="R12" s="17"/>
      <c r="S12" s="15" t="s">
        <v>1082</v>
      </c>
    </row>
    <row r="13" customFormat="false" ht="22.35" hidden="false" customHeight="false" outlineLevel="0" collapsed="false">
      <c r="A13" s="14" t="s">
        <v>1582</v>
      </c>
      <c r="B13" s="15" t="s">
        <v>1509</v>
      </c>
      <c r="C13" s="15" t="s">
        <v>1565</v>
      </c>
      <c r="D13" s="15" t="s">
        <v>1583</v>
      </c>
      <c r="E13" s="15" t="s">
        <v>1584</v>
      </c>
      <c r="F13" s="15" t="s">
        <v>1372</v>
      </c>
      <c r="G13" s="15" t="s">
        <v>1585</v>
      </c>
      <c r="H13" s="15" t="s">
        <v>1329</v>
      </c>
      <c r="I13" s="15" t="s">
        <v>1586</v>
      </c>
      <c r="J13" s="16"/>
      <c r="K13" s="14" t="s">
        <v>20</v>
      </c>
      <c r="L13" s="14" t="s">
        <v>108</v>
      </c>
      <c r="M13" s="14" t="s">
        <v>208</v>
      </c>
      <c r="N13" s="14" t="s">
        <v>87</v>
      </c>
      <c r="O13" s="15" t="s">
        <v>88</v>
      </c>
      <c r="P13" s="15" t="s">
        <v>89</v>
      </c>
      <c r="Q13" s="17" t="s">
        <v>90</v>
      </c>
      <c r="R13" s="17"/>
      <c r="S13" s="15" t="s">
        <v>1082</v>
      </c>
    </row>
    <row r="14" customFormat="false" ht="22.35" hidden="false" customHeight="false" outlineLevel="0" collapsed="false">
      <c r="A14" s="14" t="s">
        <v>1587</v>
      </c>
      <c r="B14" s="15" t="s">
        <v>1509</v>
      </c>
      <c r="C14" s="15" t="s">
        <v>1565</v>
      </c>
      <c r="D14" s="15" t="s">
        <v>1588</v>
      </c>
      <c r="E14" s="15" t="s">
        <v>1589</v>
      </c>
      <c r="F14" s="15" t="s">
        <v>1372</v>
      </c>
      <c r="G14" s="15" t="s">
        <v>1590</v>
      </c>
      <c r="H14" s="15" t="s">
        <v>967</v>
      </c>
      <c r="I14" s="15" t="s">
        <v>1591</v>
      </c>
      <c r="J14" s="16"/>
      <c r="K14" s="14" t="s">
        <v>20</v>
      </c>
      <c r="L14" s="14" t="s">
        <v>108</v>
      </c>
      <c r="M14" s="14" t="s">
        <v>208</v>
      </c>
      <c r="N14" s="14" t="s">
        <v>87</v>
      </c>
      <c r="O14" s="15" t="s">
        <v>88</v>
      </c>
      <c r="P14" s="15" t="s">
        <v>89</v>
      </c>
      <c r="Q14" s="17" t="s">
        <v>90</v>
      </c>
      <c r="R14" s="17"/>
      <c r="S14" s="15" t="s">
        <v>1592</v>
      </c>
    </row>
    <row r="15" customFormat="false" ht="22.35" hidden="false" customHeight="false" outlineLevel="0" collapsed="false">
      <c r="A15" s="14" t="s">
        <v>1593</v>
      </c>
      <c r="B15" s="15" t="s">
        <v>1509</v>
      </c>
      <c r="C15" s="15" t="s">
        <v>1565</v>
      </c>
      <c r="D15" s="15" t="s">
        <v>1594</v>
      </c>
      <c r="E15" s="15" t="s">
        <v>1595</v>
      </c>
      <c r="F15" s="15" t="s">
        <v>1372</v>
      </c>
      <c r="G15" s="15" t="s">
        <v>1596</v>
      </c>
      <c r="H15" s="15" t="s">
        <v>1329</v>
      </c>
      <c r="I15" s="15" t="s">
        <v>1597</v>
      </c>
      <c r="J15" s="16"/>
      <c r="K15" s="14" t="s">
        <v>20</v>
      </c>
      <c r="L15" s="14" t="s">
        <v>108</v>
      </c>
      <c r="M15" s="14" t="s">
        <v>208</v>
      </c>
      <c r="N15" s="14" t="s">
        <v>87</v>
      </c>
      <c r="O15" s="15" t="s">
        <v>88</v>
      </c>
      <c r="P15" s="15" t="s">
        <v>89</v>
      </c>
      <c r="Q15" s="17" t="s">
        <v>90</v>
      </c>
      <c r="R15" s="17"/>
      <c r="S15" s="15" t="s">
        <v>1598</v>
      </c>
    </row>
    <row r="16" customFormat="false" ht="22.35" hidden="false" customHeight="false" outlineLevel="0" collapsed="false">
      <c r="A16" s="14" t="s">
        <v>1599</v>
      </c>
      <c r="B16" s="15" t="s">
        <v>1509</v>
      </c>
      <c r="C16" s="15" t="s">
        <v>401</v>
      </c>
      <c r="D16" s="15" t="s">
        <v>1600</v>
      </c>
      <c r="E16" s="15" t="s">
        <v>1601</v>
      </c>
      <c r="F16" s="15" t="s">
        <v>1602</v>
      </c>
      <c r="G16" s="15" t="s">
        <v>1603</v>
      </c>
      <c r="H16" s="15" t="s">
        <v>1329</v>
      </c>
      <c r="I16" s="15" t="s">
        <v>1604</v>
      </c>
      <c r="J16" s="16"/>
      <c r="K16" s="14" t="s">
        <v>19</v>
      </c>
      <c r="L16" s="14" t="s">
        <v>86</v>
      </c>
      <c r="M16" s="14" t="s">
        <v>208</v>
      </c>
      <c r="N16" s="14" t="s">
        <v>87</v>
      </c>
      <c r="O16" s="15" t="s">
        <v>88</v>
      </c>
      <c r="P16" s="15" t="s">
        <v>89</v>
      </c>
      <c r="Q16" s="17" t="s">
        <v>90</v>
      </c>
      <c r="R16" s="17"/>
      <c r="S16" s="15" t="s">
        <v>1605</v>
      </c>
    </row>
    <row r="17" customFormat="false" ht="22.35" hidden="false" customHeight="false" outlineLevel="0" collapsed="false">
      <c r="A17" s="14" t="s">
        <v>1606</v>
      </c>
      <c r="B17" s="15" t="s">
        <v>1509</v>
      </c>
      <c r="C17" s="15" t="s">
        <v>1607</v>
      </c>
      <c r="D17" s="15" t="s">
        <v>1608</v>
      </c>
      <c r="E17" s="15" t="s">
        <v>1609</v>
      </c>
      <c r="F17" s="15" t="s">
        <v>1372</v>
      </c>
      <c r="G17" s="15" t="s">
        <v>1610</v>
      </c>
      <c r="H17" s="15" t="s">
        <v>1329</v>
      </c>
      <c r="I17" s="15" t="s">
        <v>434</v>
      </c>
      <c r="J17" s="16"/>
      <c r="K17" s="14" t="s">
        <v>21</v>
      </c>
      <c r="L17" s="14" t="s">
        <v>99</v>
      </c>
      <c r="M17" s="14" t="s">
        <v>208</v>
      </c>
      <c r="N17" s="14" t="s">
        <v>87</v>
      </c>
      <c r="O17" s="15" t="s">
        <v>88</v>
      </c>
      <c r="P17" s="15" t="s">
        <v>89</v>
      </c>
      <c r="Q17" s="17" t="s">
        <v>90</v>
      </c>
      <c r="R17" s="17"/>
      <c r="S17" s="15" t="s">
        <v>444</v>
      </c>
    </row>
    <row r="18" customFormat="false" ht="22.35" hidden="false" customHeight="false" outlineLevel="0" collapsed="false">
      <c r="A18" s="14" t="s">
        <v>1611</v>
      </c>
      <c r="B18" s="15" t="s">
        <v>1509</v>
      </c>
      <c r="C18" s="15" t="s">
        <v>1607</v>
      </c>
      <c r="D18" s="15" t="s">
        <v>1612</v>
      </c>
      <c r="E18" s="15" t="s">
        <v>1613</v>
      </c>
      <c r="F18" s="15" t="s">
        <v>1372</v>
      </c>
      <c r="G18" s="15" t="s">
        <v>1614</v>
      </c>
      <c r="H18" s="15" t="s">
        <v>1329</v>
      </c>
      <c r="I18" s="15" t="s">
        <v>1615</v>
      </c>
      <c r="J18" s="16"/>
      <c r="K18" s="14" t="s">
        <v>21</v>
      </c>
      <c r="L18" s="14" t="s">
        <v>99</v>
      </c>
      <c r="M18" s="14" t="s">
        <v>208</v>
      </c>
      <c r="N18" s="14" t="s">
        <v>87</v>
      </c>
      <c r="O18" s="15" t="s">
        <v>88</v>
      </c>
      <c r="P18" s="15" t="s">
        <v>89</v>
      </c>
      <c r="Q18" s="17" t="s">
        <v>90</v>
      </c>
      <c r="R18" s="17"/>
      <c r="S18" s="15" t="s">
        <v>1616</v>
      </c>
    </row>
    <row r="19" customFormat="false" ht="22.35" hidden="false" customHeight="false" outlineLevel="0" collapsed="false">
      <c r="A19" s="14" t="s">
        <v>1617</v>
      </c>
      <c r="B19" s="15" t="s">
        <v>1509</v>
      </c>
      <c r="C19" s="15" t="s">
        <v>1607</v>
      </c>
      <c r="D19" s="15" t="s">
        <v>1618</v>
      </c>
      <c r="E19" s="15" t="s">
        <v>1619</v>
      </c>
      <c r="F19" s="15" t="s">
        <v>1620</v>
      </c>
      <c r="G19" s="15" t="s">
        <v>96</v>
      </c>
      <c r="H19" s="15" t="s">
        <v>1621</v>
      </c>
      <c r="I19" s="15" t="s">
        <v>1622</v>
      </c>
      <c r="J19" s="16"/>
      <c r="K19" s="14" t="s">
        <v>21</v>
      </c>
      <c r="L19" s="14" t="s">
        <v>99</v>
      </c>
      <c r="M19" s="14" t="s">
        <v>208</v>
      </c>
      <c r="N19" s="14" t="s">
        <v>346</v>
      </c>
      <c r="O19" s="15" t="s">
        <v>88</v>
      </c>
      <c r="P19" s="15" t="s">
        <v>89</v>
      </c>
      <c r="Q19" s="17" t="s">
        <v>90</v>
      </c>
      <c r="R19" s="17"/>
      <c r="S19" s="15" t="s">
        <v>1623</v>
      </c>
    </row>
    <row r="20" customFormat="false" ht="22.35" hidden="false" customHeight="false" outlineLevel="0" collapsed="false">
      <c r="A20" s="14" t="s">
        <v>1624</v>
      </c>
      <c r="B20" s="15" t="s">
        <v>1509</v>
      </c>
      <c r="C20" s="15" t="s">
        <v>149</v>
      </c>
      <c r="D20" s="15" t="s">
        <v>1625</v>
      </c>
      <c r="E20" s="15" t="s">
        <v>1626</v>
      </c>
      <c r="F20" s="15" t="s">
        <v>510</v>
      </c>
      <c r="G20" s="15"/>
      <c r="H20" s="15" t="s">
        <v>1627</v>
      </c>
      <c r="I20" s="15" t="s">
        <v>1628</v>
      </c>
      <c r="J20" s="16"/>
      <c r="K20" s="14" t="s">
        <v>19</v>
      </c>
      <c r="L20" s="14" t="s">
        <v>86</v>
      </c>
      <c r="M20" s="14" t="s">
        <v>170</v>
      </c>
      <c r="N20" s="14" t="s">
        <v>87</v>
      </c>
      <c r="O20" s="15" t="s">
        <v>88</v>
      </c>
      <c r="P20" s="15" t="s">
        <v>89</v>
      </c>
      <c r="Q20" s="17" t="s">
        <v>90</v>
      </c>
      <c r="R20" s="17"/>
      <c r="S20" s="15" t="s">
        <v>156</v>
      </c>
    </row>
    <row r="21" customFormat="false" ht="22.35" hidden="false" customHeight="false" outlineLevel="0" collapsed="false">
      <c r="A21" s="14" t="s">
        <v>1629</v>
      </c>
      <c r="B21" s="15" t="s">
        <v>1509</v>
      </c>
      <c r="C21" s="15" t="s">
        <v>149</v>
      </c>
      <c r="D21" s="15" t="s">
        <v>1630</v>
      </c>
      <c r="E21" s="15" t="s">
        <v>1631</v>
      </c>
      <c r="F21" s="15" t="s">
        <v>167</v>
      </c>
      <c r="G21" s="15"/>
      <c r="H21" s="15" t="s">
        <v>1632</v>
      </c>
      <c r="I21" s="15" t="s">
        <v>1633</v>
      </c>
      <c r="J21" s="16"/>
      <c r="K21" s="14" t="s">
        <v>20</v>
      </c>
      <c r="L21" s="14" t="s">
        <v>108</v>
      </c>
      <c r="M21" s="14" t="s">
        <v>170</v>
      </c>
      <c r="N21" s="14" t="s">
        <v>87</v>
      </c>
      <c r="O21" s="15" t="s">
        <v>88</v>
      </c>
      <c r="P21" s="15" t="s">
        <v>140</v>
      </c>
      <c r="Q21" s="17" t="s">
        <v>90</v>
      </c>
      <c r="R21" s="17"/>
      <c r="S21" s="15" t="s">
        <v>164</v>
      </c>
    </row>
    <row r="22" customFormat="false" ht="22.35" hidden="false" customHeight="false" outlineLevel="0" collapsed="false">
      <c r="A22" s="14" t="s">
        <v>1634</v>
      </c>
      <c r="B22" s="15" t="s">
        <v>1509</v>
      </c>
      <c r="C22" s="15" t="s">
        <v>149</v>
      </c>
      <c r="D22" s="15" t="s">
        <v>1635</v>
      </c>
      <c r="E22" s="15" t="s">
        <v>1636</v>
      </c>
      <c r="F22" s="15" t="s">
        <v>1637</v>
      </c>
      <c r="G22" s="15"/>
      <c r="H22" s="15" t="s">
        <v>1638</v>
      </c>
      <c r="I22" s="15" t="s">
        <v>1639</v>
      </c>
      <c r="J22" s="16"/>
      <c r="K22" s="14" t="s">
        <v>20</v>
      </c>
      <c r="L22" s="14" t="s">
        <v>108</v>
      </c>
      <c r="M22" s="14" t="s">
        <v>208</v>
      </c>
      <c r="N22" s="14" t="s">
        <v>87</v>
      </c>
      <c r="O22" s="15" t="s">
        <v>88</v>
      </c>
      <c r="P22" s="15" t="s">
        <v>89</v>
      </c>
      <c r="Q22" s="17" t="s">
        <v>90</v>
      </c>
      <c r="R22" s="17"/>
      <c r="S22" s="15" t="s">
        <v>156</v>
      </c>
    </row>
    <row r="23" customFormat="false" ht="22.35" hidden="false" customHeight="false" outlineLevel="0" collapsed="false">
      <c r="A23" s="14" t="s">
        <v>1640</v>
      </c>
      <c r="B23" s="15" t="s">
        <v>1509</v>
      </c>
      <c r="C23" s="15" t="s">
        <v>149</v>
      </c>
      <c r="D23" s="15" t="s">
        <v>1641</v>
      </c>
      <c r="E23" s="15" t="s">
        <v>1642</v>
      </c>
      <c r="F23" s="15" t="s">
        <v>1643</v>
      </c>
      <c r="G23" s="15"/>
      <c r="H23" s="15" t="s">
        <v>1644</v>
      </c>
      <c r="I23" s="15" t="s">
        <v>1645</v>
      </c>
      <c r="J23" s="16"/>
      <c r="K23" s="14" t="s">
        <v>20</v>
      </c>
      <c r="L23" s="14" t="s">
        <v>108</v>
      </c>
      <c r="M23" s="14" t="s">
        <v>170</v>
      </c>
      <c r="N23" s="14" t="s">
        <v>87</v>
      </c>
      <c r="O23" s="15" t="s">
        <v>88</v>
      </c>
      <c r="P23" s="15" t="s">
        <v>89</v>
      </c>
      <c r="Q23" s="17" t="s">
        <v>90</v>
      </c>
      <c r="R23" s="17"/>
      <c r="S23" s="15" t="s">
        <v>474</v>
      </c>
    </row>
    <row r="24" customFormat="false" ht="22.35" hidden="false" customHeight="false" outlineLevel="0" collapsed="false">
      <c r="A24" s="14" t="s">
        <v>1646</v>
      </c>
      <c r="B24" s="15" t="s">
        <v>1509</v>
      </c>
      <c r="C24" s="15" t="s">
        <v>149</v>
      </c>
      <c r="D24" s="15" t="s">
        <v>1647</v>
      </c>
      <c r="E24" s="15" t="s">
        <v>1648</v>
      </c>
      <c r="F24" s="15" t="s">
        <v>335</v>
      </c>
      <c r="G24" s="15"/>
      <c r="H24" s="15" t="s">
        <v>1649</v>
      </c>
      <c r="I24" s="15" t="s">
        <v>1650</v>
      </c>
      <c r="J24" s="16"/>
      <c r="K24" s="14" t="s">
        <v>20</v>
      </c>
      <c r="L24" s="14" t="s">
        <v>108</v>
      </c>
      <c r="M24" s="14" t="s">
        <v>170</v>
      </c>
      <c r="N24" s="14" t="s">
        <v>87</v>
      </c>
      <c r="O24" s="15" t="s">
        <v>88</v>
      </c>
      <c r="P24" s="15" t="s">
        <v>89</v>
      </c>
      <c r="Q24" s="17" t="s">
        <v>90</v>
      </c>
      <c r="R24" s="17"/>
      <c r="S24" s="15" t="s">
        <v>546</v>
      </c>
    </row>
    <row r="25" customFormat="false" ht="22.35" hidden="false" customHeight="false" outlineLevel="0" collapsed="false">
      <c r="A25" s="14" t="s">
        <v>1651</v>
      </c>
      <c r="B25" s="15" t="s">
        <v>1509</v>
      </c>
      <c r="C25" s="15" t="s">
        <v>577</v>
      </c>
      <c r="D25" s="15" t="s">
        <v>1652</v>
      </c>
      <c r="E25" s="15" t="s">
        <v>1653</v>
      </c>
      <c r="F25" s="15" t="s">
        <v>510</v>
      </c>
      <c r="G25" s="15" t="s">
        <v>1654</v>
      </c>
      <c r="H25" s="15" t="s">
        <v>1655</v>
      </c>
      <c r="I25" s="15" t="s">
        <v>1656</v>
      </c>
      <c r="J25" s="16"/>
      <c r="K25" s="14" t="s">
        <v>20</v>
      </c>
      <c r="L25" s="14" t="s">
        <v>108</v>
      </c>
      <c r="M25" s="14" t="s">
        <v>208</v>
      </c>
      <c r="N25" s="14" t="s">
        <v>87</v>
      </c>
      <c r="O25" s="15" t="s">
        <v>88</v>
      </c>
      <c r="P25" s="15" t="s">
        <v>89</v>
      </c>
      <c r="Q25" s="17" t="s">
        <v>90</v>
      </c>
      <c r="R25" s="17"/>
      <c r="S25" s="15" t="s">
        <v>637</v>
      </c>
    </row>
    <row r="26" customFormat="false" ht="43.25" hidden="false" customHeight="false" outlineLevel="0" collapsed="false">
      <c r="A26" s="14" t="s">
        <v>1657</v>
      </c>
      <c r="B26" s="15" t="s">
        <v>1509</v>
      </c>
      <c r="C26" s="15" t="s">
        <v>577</v>
      </c>
      <c r="D26" s="15" t="s">
        <v>1658</v>
      </c>
      <c r="E26" s="15" t="s">
        <v>1659</v>
      </c>
      <c r="F26" s="15" t="s">
        <v>1660</v>
      </c>
      <c r="G26" s="15" t="s">
        <v>1661</v>
      </c>
      <c r="H26" s="15" t="s">
        <v>1662</v>
      </c>
      <c r="I26" s="15" t="s">
        <v>1663</v>
      </c>
      <c r="J26" s="16"/>
      <c r="K26" s="14" t="s">
        <v>21</v>
      </c>
      <c r="L26" s="14" t="s">
        <v>99</v>
      </c>
      <c r="M26" s="14" t="s">
        <v>208</v>
      </c>
      <c r="N26" s="14" t="s">
        <v>87</v>
      </c>
      <c r="O26" s="15" t="s">
        <v>88</v>
      </c>
      <c r="P26" s="15" t="s">
        <v>89</v>
      </c>
      <c r="Q26" s="17" t="s">
        <v>90</v>
      </c>
      <c r="R26" s="17"/>
      <c r="S26" s="15" t="s">
        <v>591</v>
      </c>
    </row>
    <row r="27" customFormat="false" ht="22.35" hidden="false" customHeight="false" outlineLevel="0" collapsed="false">
      <c r="A27" s="14" t="s">
        <v>1664</v>
      </c>
      <c r="B27" s="15" t="s">
        <v>1509</v>
      </c>
      <c r="C27" s="15" t="s">
        <v>577</v>
      </c>
      <c r="D27" s="15" t="s">
        <v>1665</v>
      </c>
      <c r="E27" s="15" t="s">
        <v>1666</v>
      </c>
      <c r="F27" s="15" t="s">
        <v>1667</v>
      </c>
      <c r="G27" s="15"/>
      <c r="H27" s="15" t="s">
        <v>1668</v>
      </c>
      <c r="I27" s="15" t="s">
        <v>1669</v>
      </c>
      <c r="J27" s="16"/>
      <c r="K27" s="14" t="s">
        <v>20</v>
      </c>
      <c r="L27" s="14" t="s">
        <v>108</v>
      </c>
      <c r="M27" s="14" t="s">
        <v>208</v>
      </c>
      <c r="N27" s="14" t="s">
        <v>87</v>
      </c>
      <c r="O27" s="15" t="s">
        <v>88</v>
      </c>
      <c r="P27" s="15" t="s">
        <v>89</v>
      </c>
      <c r="Q27" s="17" t="s">
        <v>90</v>
      </c>
      <c r="R27" s="17"/>
      <c r="S27" s="15" t="s">
        <v>608</v>
      </c>
    </row>
    <row r="28" customFormat="false" ht="22.35" hidden="false" customHeight="false" outlineLevel="0" collapsed="false">
      <c r="A28" s="14" t="s">
        <v>1670</v>
      </c>
      <c r="B28" s="15" t="s">
        <v>1509</v>
      </c>
      <c r="C28" s="15" t="s">
        <v>577</v>
      </c>
      <c r="D28" s="15" t="s">
        <v>1671</v>
      </c>
      <c r="E28" s="15" t="s">
        <v>1672</v>
      </c>
      <c r="F28" s="15" t="s">
        <v>1673</v>
      </c>
      <c r="G28" s="15"/>
      <c r="H28" s="15" t="s">
        <v>1674</v>
      </c>
      <c r="I28" s="15" t="s">
        <v>1675</v>
      </c>
      <c r="J28" s="16"/>
      <c r="K28" s="14" t="s">
        <v>20</v>
      </c>
      <c r="L28" s="14" t="s">
        <v>108</v>
      </c>
      <c r="M28" s="14" t="s">
        <v>208</v>
      </c>
      <c r="N28" s="14" t="s">
        <v>87</v>
      </c>
      <c r="O28" s="15" t="s">
        <v>88</v>
      </c>
      <c r="P28" s="15" t="s">
        <v>89</v>
      </c>
      <c r="Q28" s="17" t="s">
        <v>90</v>
      </c>
      <c r="R28" s="17"/>
      <c r="S28" s="15" t="s">
        <v>608</v>
      </c>
    </row>
    <row r="29" customFormat="false" ht="22.35" hidden="false" customHeight="false" outlineLevel="0" collapsed="false">
      <c r="A29" s="14" t="s">
        <v>1676</v>
      </c>
      <c r="B29" s="15" t="s">
        <v>1509</v>
      </c>
      <c r="C29" s="15" t="s">
        <v>459</v>
      </c>
      <c r="D29" s="15" t="s">
        <v>1677</v>
      </c>
      <c r="E29" s="15" t="s">
        <v>1678</v>
      </c>
      <c r="F29" s="15" t="s">
        <v>1679</v>
      </c>
      <c r="G29" s="15"/>
      <c r="H29" s="15" t="s">
        <v>1680</v>
      </c>
      <c r="I29" s="15" t="s">
        <v>1681</v>
      </c>
      <c r="J29" s="16"/>
      <c r="K29" s="14" t="s">
        <v>19</v>
      </c>
      <c r="L29" s="14" t="s">
        <v>86</v>
      </c>
      <c r="M29" s="14" t="s">
        <v>1214</v>
      </c>
      <c r="N29" s="14" t="s">
        <v>87</v>
      </c>
      <c r="O29" s="15" t="s">
        <v>88</v>
      </c>
      <c r="P29" s="15" t="s">
        <v>89</v>
      </c>
      <c r="Q29" s="17" t="s">
        <v>90</v>
      </c>
      <c r="R29" s="17"/>
      <c r="S29" s="15" t="s">
        <v>1215</v>
      </c>
    </row>
    <row r="30" customFormat="false" ht="22.35" hidden="false" customHeight="false" outlineLevel="0" collapsed="false">
      <c r="A30" s="14" t="s">
        <v>1682</v>
      </c>
      <c r="B30" s="15" t="s">
        <v>1509</v>
      </c>
      <c r="C30" s="15" t="s">
        <v>459</v>
      </c>
      <c r="D30" s="15" t="s">
        <v>1683</v>
      </c>
      <c r="E30" s="15" t="s">
        <v>1684</v>
      </c>
      <c r="F30" s="15" t="s">
        <v>434</v>
      </c>
      <c r="G30" s="15"/>
      <c r="H30" s="15" t="s">
        <v>1685</v>
      </c>
      <c r="I30" s="15" t="s">
        <v>1686</v>
      </c>
      <c r="J30" s="16"/>
      <c r="K30" s="14" t="s">
        <v>19</v>
      </c>
      <c r="L30" s="14" t="s">
        <v>86</v>
      </c>
      <c r="M30" s="14" t="s">
        <v>1214</v>
      </c>
      <c r="N30" s="14" t="s">
        <v>87</v>
      </c>
      <c r="O30" s="15" t="s">
        <v>88</v>
      </c>
      <c r="P30" s="15" t="s">
        <v>89</v>
      </c>
      <c r="Q30" s="17" t="s">
        <v>90</v>
      </c>
      <c r="R30" s="17"/>
      <c r="S30" s="15" t="s">
        <v>1687</v>
      </c>
    </row>
    <row r="31" customFormat="false" ht="22.35" hidden="false" customHeight="false" outlineLevel="0" collapsed="false">
      <c r="A31" s="14" t="s">
        <v>1688</v>
      </c>
      <c r="B31" s="15" t="s">
        <v>1509</v>
      </c>
      <c r="C31" s="15" t="s">
        <v>1689</v>
      </c>
      <c r="D31" s="15" t="s">
        <v>1690</v>
      </c>
      <c r="E31" s="15" t="s">
        <v>1691</v>
      </c>
      <c r="F31" s="15" t="s">
        <v>1692</v>
      </c>
      <c r="G31" s="15"/>
      <c r="H31" s="15" t="s">
        <v>1693</v>
      </c>
      <c r="I31" s="15" t="s">
        <v>1694</v>
      </c>
      <c r="J31" s="16"/>
      <c r="K31" s="14" t="s">
        <v>19</v>
      </c>
      <c r="L31" s="14" t="s">
        <v>86</v>
      </c>
      <c r="M31" s="14" t="s">
        <v>170</v>
      </c>
      <c r="N31" s="14" t="s">
        <v>87</v>
      </c>
      <c r="O31" s="15" t="s">
        <v>88</v>
      </c>
      <c r="P31" s="15" t="s">
        <v>89</v>
      </c>
      <c r="Q31" s="17" t="s">
        <v>90</v>
      </c>
      <c r="R31" s="17"/>
      <c r="S31" s="15" t="s">
        <v>1215</v>
      </c>
    </row>
    <row r="32" customFormat="false" ht="22.35" hidden="false" customHeight="false" outlineLevel="0" collapsed="false">
      <c r="A32" s="14" t="s">
        <v>1695</v>
      </c>
      <c r="B32" s="15" t="s">
        <v>1509</v>
      </c>
      <c r="C32" s="15" t="s">
        <v>1689</v>
      </c>
      <c r="D32" s="15" t="s">
        <v>1696</v>
      </c>
      <c r="E32" s="15" t="s">
        <v>1697</v>
      </c>
      <c r="F32" s="15" t="s">
        <v>1698</v>
      </c>
      <c r="G32" s="15"/>
      <c r="H32" s="15" t="s">
        <v>1699</v>
      </c>
      <c r="I32" s="15" t="s">
        <v>1700</v>
      </c>
      <c r="J32" s="16"/>
      <c r="K32" s="14" t="s">
        <v>19</v>
      </c>
      <c r="L32" s="14" t="s">
        <v>86</v>
      </c>
      <c r="M32" s="14" t="s">
        <v>1214</v>
      </c>
      <c r="N32" s="14" t="s">
        <v>87</v>
      </c>
      <c r="O32" s="15" t="s">
        <v>88</v>
      </c>
      <c r="P32" s="15" t="s">
        <v>89</v>
      </c>
      <c r="Q32" s="17" t="s">
        <v>90</v>
      </c>
      <c r="R32" s="17"/>
      <c r="S32" s="15" t="s">
        <v>1215</v>
      </c>
    </row>
    <row r="33" customFormat="false" ht="22.35" hidden="false" customHeight="false" outlineLevel="0" collapsed="false">
      <c r="A33" s="14" t="s">
        <v>1701</v>
      </c>
      <c r="B33" s="15" t="s">
        <v>1509</v>
      </c>
      <c r="C33" s="15" t="s">
        <v>1702</v>
      </c>
      <c r="D33" s="15" t="s">
        <v>1703</v>
      </c>
      <c r="E33" s="15" t="s">
        <v>1704</v>
      </c>
      <c r="F33" s="15" t="s">
        <v>1705</v>
      </c>
      <c r="G33" s="15"/>
      <c r="H33" s="15" t="s">
        <v>1421</v>
      </c>
      <c r="I33" s="15" t="s">
        <v>1706</v>
      </c>
      <c r="J33" s="16"/>
      <c r="K33" s="14" t="s">
        <v>20</v>
      </c>
      <c r="L33" s="14" t="s">
        <v>108</v>
      </c>
      <c r="M33" s="14" t="s">
        <v>208</v>
      </c>
      <c r="N33" s="14" t="s">
        <v>87</v>
      </c>
      <c r="O33" s="15" t="s">
        <v>88</v>
      </c>
      <c r="P33" s="15" t="s">
        <v>89</v>
      </c>
      <c r="Q33" s="17" t="s">
        <v>90</v>
      </c>
      <c r="R33" s="17"/>
      <c r="S33" s="15" t="s">
        <v>156</v>
      </c>
    </row>
    <row r="34" customFormat="false" ht="22.35" hidden="false" customHeight="false" outlineLevel="0" collapsed="false">
      <c r="A34" s="14" t="s">
        <v>1707</v>
      </c>
      <c r="B34" s="15" t="s">
        <v>1509</v>
      </c>
      <c r="C34" s="15" t="s">
        <v>1702</v>
      </c>
      <c r="D34" s="15" t="s">
        <v>1708</v>
      </c>
      <c r="E34" s="15" t="s">
        <v>1709</v>
      </c>
      <c r="F34" s="15" t="s">
        <v>1710</v>
      </c>
      <c r="G34" s="15"/>
      <c r="H34" s="15" t="s">
        <v>1711</v>
      </c>
      <c r="I34" s="15" t="s">
        <v>1712</v>
      </c>
      <c r="J34" s="16"/>
      <c r="K34" s="14" t="s">
        <v>19</v>
      </c>
      <c r="L34" s="14" t="s">
        <v>86</v>
      </c>
      <c r="M34" s="14" t="s">
        <v>1214</v>
      </c>
      <c r="N34" s="14" t="s">
        <v>87</v>
      </c>
      <c r="O34" s="15" t="s">
        <v>88</v>
      </c>
      <c r="P34" s="15" t="s">
        <v>89</v>
      </c>
      <c r="Q34" s="17" t="s">
        <v>90</v>
      </c>
      <c r="R34" s="17"/>
      <c r="S34" s="15" t="s">
        <v>1215</v>
      </c>
    </row>
    <row r="35" customFormat="false" ht="22.35" hidden="false" customHeight="false" outlineLevel="0" collapsed="false">
      <c r="A35" s="14" t="s">
        <v>1713</v>
      </c>
      <c r="B35" s="15" t="s">
        <v>1509</v>
      </c>
      <c r="C35" s="15" t="s">
        <v>1714</v>
      </c>
      <c r="D35" s="15" t="s">
        <v>1715</v>
      </c>
      <c r="E35" s="15" t="s">
        <v>1716</v>
      </c>
      <c r="F35" s="15" t="s">
        <v>335</v>
      </c>
      <c r="G35" s="15"/>
      <c r="H35" s="15" t="s">
        <v>1717</v>
      </c>
      <c r="I35" s="15" t="s">
        <v>1718</v>
      </c>
      <c r="J35" s="16"/>
      <c r="K35" s="14" t="s">
        <v>20</v>
      </c>
      <c r="L35" s="14" t="s">
        <v>108</v>
      </c>
      <c r="M35" s="14" t="s">
        <v>1214</v>
      </c>
      <c r="N35" s="14" t="s">
        <v>87</v>
      </c>
      <c r="O35" s="15" t="s">
        <v>88</v>
      </c>
      <c r="P35" s="15" t="s">
        <v>89</v>
      </c>
      <c r="Q35" s="17" t="s">
        <v>90</v>
      </c>
      <c r="R35" s="17"/>
      <c r="S35" s="15" t="s">
        <v>1215</v>
      </c>
    </row>
    <row r="36" customFormat="false" ht="22.35" hidden="false" customHeight="false" outlineLevel="0" collapsed="false">
      <c r="A36" s="14" t="s">
        <v>1719</v>
      </c>
      <c r="B36" s="15" t="s">
        <v>1509</v>
      </c>
      <c r="C36" s="15" t="s">
        <v>1714</v>
      </c>
      <c r="D36" s="15" t="s">
        <v>1720</v>
      </c>
      <c r="E36" s="15" t="s">
        <v>1721</v>
      </c>
      <c r="F36" s="15" t="s">
        <v>1127</v>
      </c>
      <c r="G36" s="15"/>
      <c r="H36" s="15" t="s">
        <v>1722</v>
      </c>
      <c r="I36" s="15" t="s">
        <v>1723</v>
      </c>
      <c r="J36" s="16"/>
      <c r="K36" s="14" t="s">
        <v>20</v>
      </c>
      <c r="L36" s="14" t="s">
        <v>108</v>
      </c>
      <c r="M36" s="14" t="s">
        <v>1214</v>
      </c>
      <c r="N36" s="14" t="s">
        <v>87</v>
      </c>
      <c r="O36" s="15" t="s">
        <v>88</v>
      </c>
      <c r="P36" s="15" t="s">
        <v>89</v>
      </c>
      <c r="Q36" s="17" t="s">
        <v>90</v>
      </c>
      <c r="R36" s="17"/>
      <c r="S36" s="15" t="s">
        <v>1215</v>
      </c>
    </row>
    <row r="37" customFormat="false" ht="22.35" hidden="false" customHeight="false" outlineLevel="0" collapsed="false">
      <c r="A37" s="14" t="s">
        <v>1724</v>
      </c>
      <c r="B37" s="15" t="s">
        <v>1509</v>
      </c>
      <c r="C37" s="15" t="s">
        <v>1714</v>
      </c>
      <c r="D37" s="15" t="s">
        <v>1725</v>
      </c>
      <c r="E37" s="15" t="s">
        <v>1726</v>
      </c>
      <c r="F37" s="15" t="s">
        <v>1727</v>
      </c>
      <c r="G37" s="15"/>
      <c r="H37" s="15" t="s">
        <v>1728</v>
      </c>
      <c r="I37" s="15" t="s">
        <v>1729</v>
      </c>
      <c r="J37" s="16"/>
      <c r="K37" s="14" t="s">
        <v>19</v>
      </c>
      <c r="L37" s="14" t="s">
        <v>86</v>
      </c>
      <c r="M37" s="14" t="s">
        <v>170</v>
      </c>
      <c r="N37" s="14" t="s">
        <v>87</v>
      </c>
      <c r="O37" s="15" t="s">
        <v>88</v>
      </c>
      <c r="P37" s="15" t="s">
        <v>89</v>
      </c>
      <c r="Q37" s="17" t="s">
        <v>90</v>
      </c>
      <c r="R37" s="17"/>
      <c r="S37" s="15" t="s">
        <v>1215</v>
      </c>
    </row>
    <row r="38" customFormat="false" ht="22.35" hidden="false" customHeight="false" outlineLevel="0" collapsed="false">
      <c r="A38" s="14" t="s">
        <v>1730</v>
      </c>
      <c r="B38" s="15" t="s">
        <v>1509</v>
      </c>
      <c r="C38" s="15" t="s">
        <v>102</v>
      </c>
      <c r="D38" s="15" t="s">
        <v>1731</v>
      </c>
      <c r="E38" s="15" t="s">
        <v>1732</v>
      </c>
      <c r="F38" s="15" t="s">
        <v>1733</v>
      </c>
      <c r="G38" s="15"/>
      <c r="H38" s="15" t="s">
        <v>1734</v>
      </c>
      <c r="I38" s="15" t="s">
        <v>1735</v>
      </c>
      <c r="J38" s="16"/>
      <c r="K38" s="14" t="s">
        <v>21</v>
      </c>
      <c r="L38" s="14" t="s">
        <v>99</v>
      </c>
      <c r="M38" s="14" t="s">
        <v>208</v>
      </c>
      <c r="N38" s="14" t="s">
        <v>87</v>
      </c>
      <c r="O38" s="15" t="s">
        <v>88</v>
      </c>
      <c r="P38" s="15" t="s">
        <v>89</v>
      </c>
      <c r="Q38" s="17" t="s">
        <v>90</v>
      </c>
      <c r="R38" s="17"/>
      <c r="S38" s="15" t="s">
        <v>110</v>
      </c>
    </row>
    <row r="39" customFormat="false" ht="22.35" hidden="false" customHeight="false" outlineLevel="0" collapsed="false">
      <c r="A39" s="14" t="s">
        <v>1736</v>
      </c>
      <c r="B39" s="15" t="s">
        <v>1509</v>
      </c>
      <c r="C39" s="15" t="s">
        <v>1737</v>
      </c>
      <c r="D39" s="15" t="s">
        <v>1738</v>
      </c>
      <c r="E39" s="15" t="s">
        <v>1739</v>
      </c>
      <c r="F39" s="15" t="s">
        <v>1740</v>
      </c>
      <c r="G39" s="15"/>
      <c r="H39" s="15" t="s">
        <v>1741</v>
      </c>
      <c r="I39" s="15" t="s">
        <v>1742</v>
      </c>
      <c r="J39" s="16"/>
      <c r="K39" s="14" t="s">
        <v>21</v>
      </c>
      <c r="L39" s="14" t="s">
        <v>99</v>
      </c>
      <c r="M39" s="14" t="s">
        <v>1743</v>
      </c>
      <c r="N39" s="14" t="s">
        <v>87</v>
      </c>
      <c r="O39" s="15" t="s">
        <v>88</v>
      </c>
      <c r="P39" s="15" t="s">
        <v>89</v>
      </c>
      <c r="Q39" s="17" t="s">
        <v>90</v>
      </c>
      <c r="R39" s="17"/>
      <c r="S39" s="15" t="s">
        <v>110</v>
      </c>
    </row>
    <row r="40" customFormat="false" ht="22.35" hidden="false" customHeight="false" outlineLevel="0" collapsed="false">
      <c r="A40" s="14" t="s">
        <v>1744</v>
      </c>
      <c r="B40" s="15" t="s">
        <v>1509</v>
      </c>
      <c r="C40" s="15" t="s">
        <v>674</v>
      </c>
      <c r="D40" s="15" t="s">
        <v>1745</v>
      </c>
      <c r="E40" s="15" t="s">
        <v>1746</v>
      </c>
      <c r="F40" s="15" t="s">
        <v>1747</v>
      </c>
      <c r="G40" s="15"/>
      <c r="H40" s="15" t="s">
        <v>1748</v>
      </c>
      <c r="I40" s="15" t="s">
        <v>1749</v>
      </c>
      <c r="J40" s="16"/>
      <c r="K40" s="14" t="s">
        <v>22</v>
      </c>
      <c r="L40" s="14" t="s">
        <v>338</v>
      </c>
      <c r="M40" s="14" t="s">
        <v>208</v>
      </c>
      <c r="N40" s="14" t="s">
        <v>87</v>
      </c>
      <c r="O40" s="15" t="s">
        <v>88</v>
      </c>
      <c r="P40" s="15" t="s">
        <v>89</v>
      </c>
      <c r="Q40" s="17" t="s">
        <v>90</v>
      </c>
      <c r="R40" s="17"/>
      <c r="S40" s="15" t="s">
        <v>680</v>
      </c>
    </row>
    <row r="41" customFormat="false" ht="22.35" hidden="false" customHeight="false" outlineLevel="0" collapsed="false">
      <c r="A41" s="14" t="s">
        <v>1750</v>
      </c>
      <c r="B41" s="15" t="s">
        <v>1509</v>
      </c>
      <c r="C41" s="15" t="s">
        <v>853</v>
      </c>
      <c r="D41" s="15" t="s">
        <v>1751</v>
      </c>
      <c r="E41" s="15" t="s">
        <v>1752</v>
      </c>
      <c r="F41" s="15" t="s">
        <v>1372</v>
      </c>
      <c r="G41" s="15"/>
      <c r="H41" s="15" t="s">
        <v>1329</v>
      </c>
      <c r="I41" s="15" t="s">
        <v>1753</v>
      </c>
      <c r="J41" s="16"/>
      <c r="K41" s="14" t="s">
        <v>21</v>
      </c>
      <c r="L41" s="14" t="s">
        <v>99</v>
      </c>
      <c r="M41" s="14" t="s">
        <v>208</v>
      </c>
      <c r="N41" s="14" t="s">
        <v>87</v>
      </c>
      <c r="O41" s="15" t="s">
        <v>88</v>
      </c>
      <c r="P41" s="15" t="s">
        <v>89</v>
      </c>
      <c r="Q41" s="17" t="s">
        <v>90</v>
      </c>
      <c r="R41" s="17"/>
      <c r="S41" s="15" t="s">
        <v>1754</v>
      </c>
    </row>
    <row r="42" customFormat="false" ht="22.35" hidden="false" customHeight="false" outlineLevel="0" collapsed="false">
      <c r="A42" s="14" t="s">
        <v>1755</v>
      </c>
      <c r="B42" s="15" t="s">
        <v>1509</v>
      </c>
      <c r="C42" s="15" t="s">
        <v>186</v>
      </c>
      <c r="D42" s="15" t="s">
        <v>1756</v>
      </c>
      <c r="E42" s="15" t="s">
        <v>1757</v>
      </c>
      <c r="F42" s="15" t="s">
        <v>510</v>
      </c>
      <c r="G42" s="15" t="s">
        <v>1758</v>
      </c>
      <c r="H42" s="15" t="s">
        <v>1759</v>
      </c>
      <c r="I42" s="15" t="s">
        <v>1760</v>
      </c>
      <c r="J42" s="16"/>
      <c r="K42" s="14" t="s">
        <v>20</v>
      </c>
      <c r="L42" s="14" t="s">
        <v>108</v>
      </c>
      <c r="M42" s="14" t="s">
        <v>208</v>
      </c>
      <c r="N42" s="14" t="s">
        <v>87</v>
      </c>
      <c r="O42" s="15" t="s">
        <v>88</v>
      </c>
      <c r="P42" s="15" t="s">
        <v>89</v>
      </c>
      <c r="Q42" s="17" t="s">
        <v>90</v>
      </c>
      <c r="R42" s="17"/>
      <c r="S42" s="15" t="s">
        <v>655</v>
      </c>
    </row>
    <row r="43" customFormat="false" ht="32.8" hidden="false" customHeight="false" outlineLevel="0" collapsed="false">
      <c r="A43" s="14" t="s">
        <v>1761</v>
      </c>
      <c r="B43" s="15" t="s">
        <v>1509</v>
      </c>
      <c r="C43" s="15" t="s">
        <v>1762</v>
      </c>
      <c r="D43" s="15" t="s">
        <v>1763</v>
      </c>
      <c r="E43" s="15" t="s">
        <v>1764</v>
      </c>
      <c r="F43" s="15" t="s">
        <v>1765</v>
      </c>
      <c r="G43" s="15" t="s">
        <v>1766</v>
      </c>
      <c r="H43" s="15" t="s">
        <v>1767</v>
      </c>
      <c r="I43" s="15" t="s">
        <v>1768</v>
      </c>
      <c r="J43" s="16"/>
      <c r="K43" s="14" t="s">
        <v>22</v>
      </c>
      <c r="L43" s="14" t="s">
        <v>338</v>
      </c>
      <c r="M43" s="14" t="s">
        <v>208</v>
      </c>
      <c r="N43" s="14" t="s">
        <v>346</v>
      </c>
      <c r="O43" s="15" t="s">
        <v>88</v>
      </c>
      <c r="P43" s="15" t="s">
        <v>89</v>
      </c>
      <c r="Q43" s="17" t="s">
        <v>90</v>
      </c>
      <c r="R43" s="17"/>
      <c r="S43" s="15" t="s">
        <v>1769</v>
      </c>
    </row>
  </sheetData>
  <autoFilter ref="A1:S43"/>
  <conditionalFormatting sqref="K2:K43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43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43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43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43" type="list">
      <formula1>"P0,P1,P2,P3"</formula1>
      <formula2>0</formula2>
    </dataValidation>
    <dataValidation allowBlank="false" errorStyle="stop" operator="between" showDropDown="false" showErrorMessage="false" showInputMessage="false" sqref="L2:L43" type="list">
      <formula1>"Critical,High,Medium,Low"</formula1>
      <formula2>0</formula2>
    </dataValidation>
    <dataValidation allowBlank="false" errorStyle="stop" operator="between" showDropDown="false" showErrorMessage="false" showInputMessage="false" sqref="N2:N43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43.25" hidden="false" customHeight="false" outlineLevel="0" collapsed="false">
      <c r="A2" s="14" t="s">
        <v>1770</v>
      </c>
      <c r="B2" s="15" t="s">
        <v>1771</v>
      </c>
      <c r="C2" s="15" t="s">
        <v>79</v>
      </c>
      <c r="D2" s="15" t="s">
        <v>1772</v>
      </c>
      <c r="E2" s="15" t="s">
        <v>81</v>
      </c>
      <c r="F2" s="15" t="s">
        <v>82</v>
      </c>
      <c r="G2" s="15" t="s">
        <v>83</v>
      </c>
      <c r="H2" s="15" t="s">
        <v>84</v>
      </c>
      <c r="I2" s="15" t="s">
        <v>85</v>
      </c>
      <c r="J2" s="16"/>
      <c r="K2" s="14" t="s">
        <v>19</v>
      </c>
      <c r="L2" s="14" t="s">
        <v>86</v>
      </c>
      <c r="M2" s="14" t="s">
        <v>1773</v>
      </c>
      <c r="N2" s="14" t="s">
        <v>87</v>
      </c>
      <c r="O2" s="15" t="s">
        <v>88</v>
      </c>
      <c r="P2" s="15" t="s">
        <v>89</v>
      </c>
      <c r="Q2" s="17" t="s">
        <v>90</v>
      </c>
      <c r="R2" s="17"/>
      <c r="S2" s="15" t="s">
        <v>1774</v>
      </c>
    </row>
    <row r="3" customFormat="false" ht="32.8" hidden="false" customHeight="false" outlineLevel="0" collapsed="false">
      <c r="A3" s="14" t="s">
        <v>1775</v>
      </c>
      <c r="B3" s="15" t="s">
        <v>1771</v>
      </c>
      <c r="C3" s="15" t="s">
        <v>119</v>
      </c>
      <c r="D3" s="15" t="s">
        <v>1776</v>
      </c>
      <c r="E3" s="15" t="s">
        <v>121</v>
      </c>
      <c r="F3" s="15" t="s">
        <v>122</v>
      </c>
      <c r="G3" s="15" t="s">
        <v>123</v>
      </c>
      <c r="H3" s="15" t="s">
        <v>124</v>
      </c>
      <c r="I3" s="15" t="s">
        <v>125</v>
      </c>
      <c r="J3" s="16"/>
      <c r="K3" s="14" t="s">
        <v>19</v>
      </c>
      <c r="L3" s="14" t="s">
        <v>86</v>
      </c>
      <c r="M3" s="14" t="s">
        <v>1773</v>
      </c>
      <c r="N3" s="14" t="s">
        <v>87</v>
      </c>
      <c r="O3" s="15" t="s">
        <v>88</v>
      </c>
      <c r="P3" s="15" t="s">
        <v>89</v>
      </c>
      <c r="Q3" s="17" t="s">
        <v>90</v>
      </c>
      <c r="R3" s="17"/>
      <c r="S3" s="15" t="s">
        <v>1777</v>
      </c>
    </row>
    <row r="4" customFormat="false" ht="43.25" hidden="false" customHeight="false" outlineLevel="0" collapsed="false">
      <c r="A4" s="14" t="s">
        <v>1778</v>
      </c>
      <c r="B4" s="15" t="s">
        <v>1771</v>
      </c>
      <c r="C4" s="15" t="s">
        <v>119</v>
      </c>
      <c r="D4" s="15" t="s">
        <v>1779</v>
      </c>
      <c r="E4" s="15" t="s">
        <v>129</v>
      </c>
      <c r="F4" s="15" t="s">
        <v>130</v>
      </c>
      <c r="G4" s="15" t="s">
        <v>131</v>
      </c>
      <c r="H4" s="15" t="s">
        <v>132</v>
      </c>
      <c r="I4" s="15" t="s">
        <v>133</v>
      </c>
      <c r="J4" s="16"/>
      <c r="K4" s="14" t="s">
        <v>21</v>
      </c>
      <c r="L4" s="14" t="s">
        <v>86</v>
      </c>
      <c r="M4" s="14" t="s">
        <v>1773</v>
      </c>
      <c r="N4" s="14" t="s">
        <v>87</v>
      </c>
      <c r="O4" s="15" t="s">
        <v>88</v>
      </c>
      <c r="P4" s="15" t="s">
        <v>89</v>
      </c>
      <c r="Q4" s="17" t="s">
        <v>90</v>
      </c>
      <c r="R4" s="17"/>
      <c r="S4" s="15" t="s">
        <v>1780</v>
      </c>
    </row>
    <row r="5" customFormat="false" ht="32.8" hidden="false" customHeight="false" outlineLevel="0" collapsed="false">
      <c r="A5" s="14" t="s">
        <v>1781</v>
      </c>
      <c r="B5" s="15" t="s">
        <v>1771</v>
      </c>
      <c r="C5" s="15" t="s">
        <v>149</v>
      </c>
      <c r="D5" s="15" t="s">
        <v>1782</v>
      </c>
      <c r="E5" s="15" t="s">
        <v>151</v>
      </c>
      <c r="F5" s="15" t="s">
        <v>152</v>
      </c>
      <c r="G5" s="15" t="s">
        <v>153</v>
      </c>
      <c r="H5" s="15" t="s">
        <v>154</v>
      </c>
      <c r="I5" s="15" t="s">
        <v>155</v>
      </c>
      <c r="J5" s="16"/>
      <c r="K5" s="14" t="s">
        <v>19</v>
      </c>
      <c r="L5" s="14" t="s">
        <v>86</v>
      </c>
      <c r="M5" s="14" t="s">
        <v>1773</v>
      </c>
      <c r="N5" s="14" t="s">
        <v>87</v>
      </c>
      <c r="O5" s="15" t="s">
        <v>88</v>
      </c>
      <c r="P5" s="15" t="s">
        <v>89</v>
      </c>
      <c r="Q5" s="17" t="s">
        <v>90</v>
      </c>
      <c r="R5" s="17"/>
      <c r="S5" s="15" t="s">
        <v>1783</v>
      </c>
    </row>
    <row r="6" customFormat="false" ht="32.8" hidden="false" customHeight="false" outlineLevel="0" collapsed="false">
      <c r="A6" s="14" t="s">
        <v>1784</v>
      </c>
      <c r="B6" s="15" t="s">
        <v>1771</v>
      </c>
      <c r="C6" s="15" t="s">
        <v>186</v>
      </c>
      <c r="D6" s="15" t="s">
        <v>1785</v>
      </c>
      <c r="E6" s="15" t="s">
        <v>204</v>
      </c>
      <c r="F6" s="15" t="s">
        <v>197</v>
      </c>
      <c r="G6" s="15" t="s">
        <v>205</v>
      </c>
      <c r="H6" s="15" t="s">
        <v>206</v>
      </c>
      <c r="I6" s="15" t="s">
        <v>207</v>
      </c>
      <c r="J6" s="16"/>
      <c r="K6" s="14" t="s">
        <v>21</v>
      </c>
      <c r="L6" s="14" t="s">
        <v>86</v>
      </c>
      <c r="M6" s="14" t="s">
        <v>1773</v>
      </c>
      <c r="N6" s="14" t="s">
        <v>87</v>
      </c>
      <c r="O6" s="15" t="s">
        <v>88</v>
      </c>
      <c r="P6" s="15" t="s">
        <v>89</v>
      </c>
      <c r="Q6" s="17" t="s">
        <v>90</v>
      </c>
      <c r="R6" s="17"/>
      <c r="S6" s="15" t="s">
        <v>1786</v>
      </c>
    </row>
    <row r="7" customFormat="false" ht="32.8" hidden="false" customHeight="false" outlineLevel="0" collapsed="false">
      <c r="A7" s="14" t="s">
        <v>1787</v>
      </c>
      <c r="B7" s="15" t="s">
        <v>1771</v>
      </c>
      <c r="C7" s="15" t="s">
        <v>186</v>
      </c>
      <c r="D7" s="15" t="s">
        <v>1788</v>
      </c>
      <c r="E7" s="15" t="s">
        <v>219</v>
      </c>
      <c r="F7" s="15" t="s">
        <v>220</v>
      </c>
      <c r="G7" s="15" t="s">
        <v>161</v>
      </c>
      <c r="H7" s="15" t="s">
        <v>221</v>
      </c>
      <c r="I7" s="15" t="s">
        <v>222</v>
      </c>
      <c r="J7" s="16"/>
      <c r="K7" s="14" t="s">
        <v>21</v>
      </c>
      <c r="L7" s="14" t="s">
        <v>86</v>
      </c>
      <c r="M7" s="14" t="s">
        <v>1773</v>
      </c>
      <c r="N7" s="14" t="s">
        <v>87</v>
      </c>
      <c r="O7" s="15" t="s">
        <v>88</v>
      </c>
      <c r="P7" s="15" t="s">
        <v>89</v>
      </c>
      <c r="Q7" s="17" t="s">
        <v>90</v>
      </c>
      <c r="R7" s="17"/>
      <c r="S7" s="15" t="s">
        <v>1789</v>
      </c>
    </row>
    <row r="8" customFormat="false" ht="32.8" hidden="false" customHeight="false" outlineLevel="0" collapsed="false">
      <c r="A8" s="14" t="s">
        <v>1790</v>
      </c>
      <c r="B8" s="15" t="s">
        <v>1771</v>
      </c>
      <c r="C8" s="15" t="s">
        <v>186</v>
      </c>
      <c r="D8" s="15" t="s">
        <v>1791</v>
      </c>
      <c r="E8" s="15" t="s">
        <v>226</v>
      </c>
      <c r="F8" s="15" t="s">
        <v>227</v>
      </c>
      <c r="G8" s="15" t="s">
        <v>228</v>
      </c>
      <c r="H8" s="15" t="s">
        <v>229</v>
      </c>
      <c r="I8" s="15" t="s">
        <v>230</v>
      </c>
      <c r="J8" s="16"/>
      <c r="K8" s="14" t="s">
        <v>21</v>
      </c>
      <c r="L8" s="14" t="s">
        <v>86</v>
      </c>
      <c r="M8" s="14" t="s">
        <v>1773</v>
      </c>
      <c r="N8" s="14" t="s">
        <v>87</v>
      </c>
      <c r="O8" s="15" t="s">
        <v>88</v>
      </c>
      <c r="P8" s="15" t="s">
        <v>89</v>
      </c>
      <c r="Q8" s="17" t="s">
        <v>90</v>
      </c>
      <c r="R8" s="17"/>
      <c r="S8" s="15" t="s">
        <v>1792</v>
      </c>
    </row>
    <row r="9" customFormat="false" ht="32.8" hidden="false" customHeight="false" outlineLevel="0" collapsed="false">
      <c r="A9" s="14" t="s">
        <v>1793</v>
      </c>
      <c r="B9" s="15" t="s">
        <v>1771</v>
      </c>
      <c r="C9" s="15" t="s">
        <v>233</v>
      </c>
      <c r="D9" s="15" t="s">
        <v>1794</v>
      </c>
      <c r="E9" s="15" t="s">
        <v>235</v>
      </c>
      <c r="F9" s="15" t="s">
        <v>236</v>
      </c>
      <c r="G9" s="15" t="s">
        <v>237</v>
      </c>
      <c r="H9" s="15" t="s">
        <v>238</v>
      </c>
      <c r="I9" s="15" t="s">
        <v>239</v>
      </c>
      <c r="J9" s="16"/>
      <c r="K9" s="14" t="s">
        <v>19</v>
      </c>
      <c r="L9" s="14" t="s">
        <v>86</v>
      </c>
      <c r="M9" s="14" t="s">
        <v>1773</v>
      </c>
      <c r="N9" s="14" t="s">
        <v>87</v>
      </c>
      <c r="O9" s="15" t="s">
        <v>88</v>
      </c>
      <c r="P9" s="15" t="s">
        <v>89</v>
      </c>
      <c r="Q9" s="17" t="s">
        <v>90</v>
      </c>
      <c r="R9" s="17"/>
      <c r="S9" s="15" t="s">
        <v>1795</v>
      </c>
    </row>
    <row r="10" customFormat="false" ht="32.8" hidden="false" customHeight="false" outlineLevel="0" collapsed="false">
      <c r="A10" s="14" t="s">
        <v>1796</v>
      </c>
      <c r="B10" s="15" t="s">
        <v>1771</v>
      </c>
      <c r="C10" s="15" t="s">
        <v>233</v>
      </c>
      <c r="D10" s="15" t="s">
        <v>1797</v>
      </c>
      <c r="E10" s="15" t="s">
        <v>241</v>
      </c>
      <c r="F10" s="15" t="s">
        <v>242</v>
      </c>
      <c r="G10" s="15" t="s">
        <v>243</v>
      </c>
      <c r="H10" s="15" t="s">
        <v>244</v>
      </c>
      <c r="I10" s="15" t="s">
        <v>245</v>
      </c>
      <c r="J10" s="16"/>
      <c r="K10" s="14" t="s">
        <v>19</v>
      </c>
      <c r="L10" s="14" t="s">
        <v>86</v>
      </c>
      <c r="M10" s="14" t="s">
        <v>1773</v>
      </c>
      <c r="N10" s="14" t="s">
        <v>87</v>
      </c>
      <c r="O10" s="15" t="s">
        <v>88</v>
      </c>
      <c r="P10" s="15" t="s">
        <v>89</v>
      </c>
      <c r="Q10" s="17" t="s">
        <v>90</v>
      </c>
      <c r="R10" s="17"/>
      <c r="S10" s="15" t="s">
        <v>1798</v>
      </c>
    </row>
    <row r="11" customFormat="false" ht="32.8" hidden="false" customHeight="false" outlineLevel="0" collapsed="false">
      <c r="A11" s="14" t="s">
        <v>1799</v>
      </c>
      <c r="B11" s="15" t="s">
        <v>1771</v>
      </c>
      <c r="C11" s="15" t="s">
        <v>233</v>
      </c>
      <c r="D11" s="15" t="s">
        <v>1800</v>
      </c>
      <c r="E11" s="15" t="s">
        <v>249</v>
      </c>
      <c r="F11" s="15" t="s">
        <v>250</v>
      </c>
      <c r="G11" s="15" t="s">
        <v>251</v>
      </c>
      <c r="H11" s="15" t="s">
        <v>252</v>
      </c>
      <c r="I11" s="15" t="s">
        <v>253</v>
      </c>
      <c r="J11" s="16"/>
      <c r="K11" s="14" t="s">
        <v>20</v>
      </c>
      <c r="L11" s="14" t="s">
        <v>86</v>
      </c>
      <c r="M11" s="14" t="s">
        <v>1773</v>
      </c>
      <c r="N11" s="14" t="s">
        <v>87</v>
      </c>
      <c r="O11" s="15" t="s">
        <v>88</v>
      </c>
      <c r="P11" s="15" t="s">
        <v>89</v>
      </c>
      <c r="Q11" s="17" t="s">
        <v>90</v>
      </c>
      <c r="R11" s="17"/>
      <c r="S11" s="15" t="s">
        <v>1801</v>
      </c>
    </row>
    <row r="12" customFormat="false" ht="43.25" hidden="false" customHeight="false" outlineLevel="0" collapsed="false">
      <c r="A12" s="14" t="s">
        <v>1802</v>
      </c>
      <c r="B12" s="15" t="s">
        <v>1771</v>
      </c>
      <c r="C12" s="15" t="s">
        <v>256</v>
      </c>
      <c r="D12" s="15" t="s">
        <v>1803</v>
      </c>
      <c r="E12" s="15" t="s">
        <v>258</v>
      </c>
      <c r="F12" s="15" t="s">
        <v>259</v>
      </c>
      <c r="G12" s="15" t="s">
        <v>260</v>
      </c>
      <c r="H12" s="15" t="s">
        <v>261</v>
      </c>
      <c r="I12" s="15" t="s">
        <v>262</v>
      </c>
      <c r="J12" s="16"/>
      <c r="K12" s="14" t="s">
        <v>21</v>
      </c>
      <c r="L12" s="14" t="s">
        <v>86</v>
      </c>
      <c r="M12" s="14" t="s">
        <v>1773</v>
      </c>
      <c r="N12" s="14" t="s">
        <v>87</v>
      </c>
      <c r="O12" s="15" t="s">
        <v>88</v>
      </c>
      <c r="P12" s="15" t="s">
        <v>89</v>
      </c>
      <c r="Q12" s="17" t="s">
        <v>90</v>
      </c>
      <c r="R12" s="17"/>
      <c r="S12" s="15" t="s">
        <v>1804</v>
      </c>
    </row>
    <row r="13" customFormat="false" ht="32.8" hidden="false" customHeight="false" outlineLevel="0" collapsed="false">
      <c r="A13" s="14" t="s">
        <v>1805</v>
      </c>
      <c r="B13" s="15" t="s">
        <v>1771</v>
      </c>
      <c r="C13" s="15" t="s">
        <v>256</v>
      </c>
      <c r="D13" s="15" t="s">
        <v>1806</v>
      </c>
      <c r="E13" s="15" t="s">
        <v>318</v>
      </c>
      <c r="F13" s="15" t="s">
        <v>319</v>
      </c>
      <c r="G13" s="15" t="s">
        <v>320</v>
      </c>
      <c r="H13" s="15" t="s">
        <v>321</v>
      </c>
      <c r="I13" s="15" t="s">
        <v>322</v>
      </c>
      <c r="J13" s="16"/>
      <c r="K13" s="14" t="s">
        <v>21</v>
      </c>
      <c r="L13" s="14" t="s">
        <v>86</v>
      </c>
      <c r="M13" s="14" t="s">
        <v>1773</v>
      </c>
      <c r="N13" s="14" t="s">
        <v>87</v>
      </c>
      <c r="O13" s="15" t="s">
        <v>88</v>
      </c>
      <c r="P13" s="15" t="s">
        <v>89</v>
      </c>
      <c r="Q13" s="17" t="s">
        <v>90</v>
      </c>
      <c r="R13" s="17"/>
      <c r="S13" s="15" t="s">
        <v>1807</v>
      </c>
    </row>
    <row r="14" customFormat="false" ht="32.8" hidden="false" customHeight="false" outlineLevel="0" collapsed="false">
      <c r="A14" s="14" t="s">
        <v>1808</v>
      </c>
      <c r="B14" s="15" t="s">
        <v>1771</v>
      </c>
      <c r="C14" s="15" t="s">
        <v>256</v>
      </c>
      <c r="D14" s="15" t="s">
        <v>1809</v>
      </c>
      <c r="E14" s="15" t="s">
        <v>341</v>
      </c>
      <c r="F14" s="15" t="s">
        <v>342</v>
      </c>
      <c r="G14" s="15" t="s">
        <v>343</v>
      </c>
      <c r="H14" s="15" t="s">
        <v>344</v>
      </c>
      <c r="I14" s="15" t="s">
        <v>345</v>
      </c>
      <c r="J14" s="16"/>
      <c r="K14" s="14" t="s">
        <v>21</v>
      </c>
      <c r="L14" s="14" t="s">
        <v>108</v>
      </c>
      <c r="M14" s="14" t="s">
        <v>1773</v>
      </c>
      <c r="N14" s="14" t="s">
        <v>346</v>
      </c>
      <c r="O14" s="15" t="s">
        <v>88</v>
      </c>
      <c r="P14" s="15" t="s">
        <v>89</v>
      </c>
      <c r="Q14" s="17" t="s">
        <v>90</v>
      </c>
      <c r="R14" s="17"/>
      <c r="S14" s="15" t="s">
        <v>1810</v>
      </c>
    </row>
    <row r="15" customFormat="false" ht="32.8" hidden="false" customHeight="false" outlineLevel="0" collapsed="false">
      <c r="A15" s="14" t="s">
        <v>1811</v>
      </c>
      <c r="B15" s="15" t="s">
        <v>1771</v>
      </c>
      <c r="C15" s="15" t="s">
        <v>349</v>
      </c>
      <c r="D15" s="15" t="s">
        <v>1812</v>
      </c>
      <c r="E15" s="15" t="s">
        <v>351</v>
      </c>
      <c r="F15" s="15" t="s">
        <v>352</v>
      </c>
      <c r="G15" s="15" t="s">
        <v>353</v>
      </c>
      <c r="H15" s="15" t="s">
        <v>354</v>
      </c>
      <c r="I15" s="15" t="s">
        <v>355</v>
      </c>
      <c r="J15" s="16"/>
      <c r="K15" s="14" t="s">
        <v>20</v>
      </c>
      <c r="L15" s="14" t="s">
        <v>86</v>
      </c>
      <c r="M15" s="14" t="s">
        <v>1773</v>
      </c>
      <c r="N15" s="14" t="s">
        <v>87</v>
      </c>
      <c r="O15" s="15" t="s">
        <v>88</v>
      </c>
      <c r="P15" s="15" t="s">
        <v>140</v>
      </c>
      <c r="Q15" s="17" t="s">
        <v>90</v>
      </c>
      <c r="R15" s="17"/>
      <c r="S15" s="15" t="s">
        <v>1813</v>
      </c>
    </row>
    <row r="16" customFormat="false" ht="32.8" hidden="false" customHeight="false" outlineLevel="0" collapsed="false">
      <c r="A16" s="14" t="s">
        <v>1814</v>
      </c>
      <c r="B16" s="15" t="s">
        <v>1771</v>
      </c>
      <c r="C16" s="15" t="s">
        <v>349</v>
      </c>
      <c r="D16" s="15" t="s">
        <v>1815</v>
      </c>
      <c r="E16" s="15" t="s">
        <v>359</v>
      </c>
      <c r="F16" s="15" t="s">
        <v>360</v>
      </c>
      <c r="G16" s="15" t="s">
        <v>361</v>
      </c>
      <c r="H16" s="15" t="s">
        <v>362</v>
      </c>
      <c r="I16" s="15" t="s">
        <v>363</v>
      </c>
      <c r="J16" s="16"/>
      <c r="K16" s="14" t="s">
        <v>20</v>
      </c>
      <c r="L16" s="14" t="s">
        <v>86</v>
      </c>
      <c r="M16" s="14" t="s">
        <v>1773</v>
      </c>
      <c r="N16" s="14" t="s">
        <v>87</v>
      </c>
      <c r="O16" s="15" t="s">
        <v>88</v>
      </c>
      <c r="P16" s="15" t="s">
        <v>140</v>
      </c>
      <c r="Q16" s="17" t="s">
        <v>90</v>
      </c>
      <c r="R16" s="17"/>
      <c r="S16" s="15" t="s">
        <v>1816</v>
      </c>
    </row>
    <row r="17" customFormat="false" ht="32.8" hidden="false" customHeight="false" outlineLevel="0" collapsed="false">
      <c r="A17" s="14" t="s">
        <v>1817</v>
      </c>
      <c r="B17" s="15" t="s">
        <v>1771</v>
      </c>
      <c r="C17" s="15" t="s">
        <v>349</v>
      </c>
      <c r="D17" s="15" t="s">
        <v>1818</v>
      </c>
      <c r="E17" s="15" t="s">
        <v>367</v>
      </c>
      <c r="F17" s="15" t="s">
        <v>360</v>
      </c>
      <c r="G17" s="15" t="s">
        <v>368</v>
      </c>
      <c r="H17" s="15" t="s">
        <v>369</v>
      </c>
      <c r="I17" s="15" t="s">
        <v>370</v>
      </c>
      <c r="J17" s="16"/>
      <c r="K17" s="14" t="s">
        <v>20</v>
      </c>
      <c r="L17" s="14" t="s">
        <v>86</v>
      </c>
      <c r="M17" s="14" t="s">
        <v>1773</v>
      </c>
      <c r="N17" s="14" t="s">
        <v>87</v>
      </c>
      <c r="O17" s="15" t="s">
        <v>88</v>
      </c>
      <c r="P17" s="15" t="s">
        <v>140</v>
      </c>
      <c r="Q17" s="17" t="s">
        <v>90</v>
      </c>
      <c r="R17" s="17"/>
      <c r="S17" s="15" t="s">
        <v>1819</v>
      </c>
    </row>
    <row r="18" customFormat="false" ht="43.25" hidden="false" customHeight="false" outlineLevel="0" collapsed="false">
      <c r="A18" s="14" t="s">
        <v>1820</v>
      </c>
      <c r="B18" s="15" t="s">
        <v>1771</v>
      </c>
      <c r="C18" s="15" t="s">
        <v>349</v>
      </c>
      <c r="D18" s="15" t="s">
        <v>1821</v>
      </c>
      <c r="E18" s="15" t="s">
        <v>374</v>
      </c>
      <c r="F18" s="15" t="s">
        <v>360</v>
      </c>
      <c r="G18" s="15" t="s">
        <v>375</v>
      </c>
      <c r="H18" s="15" t="s">
        <v>362</v>
      </c>
      <c r="I18" s="15" t="s">
        <v>376</v>
      </c>
      <c r="J18" s="16"/>
      <c r="K18" s="14" t="s">
        <v>20</v>
      </c>
      <c r="L18" s="14" t="s">
        <v>86</v>
      </c>
      <c r="M18" s="14" t="s">
        <v>1773</v>
      </c>
      <c r="N18" s="14" t="s">
        <v>87</v>
      </c>
      <c r="O18" s="15" t="s">
        <v>88</v>
      </c>
      <c r="P18" s="15" t="s">
        <v>140</v>
      </c>
      <c r="Q18" s="17" t="s">
        <v>90</v>
      </c>
      <c r="R18" s="17"/>
      <c r="S18" s="15" t="s">
        <v>1822</v>
      </c>
    </row>
    <row r="19" customFormat="false" ht="32.8" hidden="false" customHeight="false" outlineLevel="0" collapsed="false">
      <c r="A19" s="14" t="s">
        <v>1823</v>
      </c>
      <c r="B19" s="15" t="s">
        <v>1771</v>
      </c>
      <c r="C19" s="15" t="s">
        <v>349</v>
      </c>
      <c r="D19" s="15" t="s">
        <v>1824</v>
      </c>
      <c r="E19" s="15" t="s">
        <v>380</v>
      </c>
      <c r="F19" s="15" t="s">
        <v>360</v>
      </c>
      <c r="G19" s="15" t="s">
        <v>381</v>
      </c>
      <c r="H19" s="15" t="s">
        <v>362</v>
      </c>
      <c r="I19" s="15" t="s">
        <v>382</v>
      </c>
      <c r="J19" s="16"/>
      <c r="K19" s="14" t="s">
        <v>20</v>
      </c>
      <c r="L19" s="14" t="s">
        <v>86</v>
      </c>
      <c r="M19" s="14" t="s">
        <v>1773</v>
      </c>
      <c r="N19" s="14" t="s">
        <v>87</v>
      </c>
      <c r="O19" s="15" t="s">
        <v>88</v>
      </c>
      <c r="P19" s="15" t="s">
        <v>140</v>
      </c>
      <c r="Q19" s="17" t="s">
        <v>90</v>
      </c>
      <c r="R19" s="17"/>
      <c r="S19" s="15" t="s">
        <v>1825</v>
      </c>
    </row>
    <row r="20" customFormat="false" ht="32.8" hidden="false" customHeight="false" outlineLevel="0" collapsed="false">
      <c r="A20" s="14" t="s">
        <v>1826</v>
      </c>
      <c r="B20" s="15" t="s">
        <v>1771</v>
      </c>
      <c r="C20" s="15" t="s">
        <v>349</v>
      </c>
      <c r="D20" s="15" t="s">
        <v>1827</v>
      </c>
      <c r="E20" s="15" t="s">
        <v>386</v>
      </c>
      <c r="F20" s="15" t="s">
        <v>360</v>
      </c>
      <c r="G20" s="15" t="s">
        <v>387</v>
      </c>
      <c r="H20" s="15" t="s">
        <v>388</v>
      </c>
      <c r="I20" s="15" t="s">
        <v>389</v>
      </c>
      <c r="J20" s="16"/>
      <c r="K20" s="14" t="s">
        <v>20</v>
      </c>
      <c r="L20" s="14" t="s">
        <v>86</v>
      </c>
      <c r="M20" s="14" t="s">
        <v>1773</v>
      </c>
      <c r="N20" s="14" t="s">
        <v>87</v>
      </c>
      <c r="O20" s="15" t="s">
        <v>88</v>
      </c>
      <c r="P20" s="15" t="s">
        <v>140</v>
      </c>
      <c r="Q20" s="17" t="s">
        <v>90</v>
      </c>
      <c r="R20" s="17"/>
      <c r="S20" s="15" t="s">
        <v>1828</v>
      </c>
    </row>
    <row r="21" customFormat="false" ht="32.8" hidden="false" customHeight="false" outlineLevel="0" collapsed="false">
      <c r="A21" s="14" t="s">
        <v>1829</v>
      </c>
      <c r="B21" s="15" t="s">
        <v>1771</v>
      </c>
      <c r="C21" s="15" t="s">
        <v>401</v>
      </c>
      <c r="D21" s="15" t="s">
        <v>1830</v>
      </c>
      <c r="E21" s="15" t="s">
        <v>403</v>
      </c>
      <c r="F21" s="15" t="s">
        <v>404</v>
      </c>
      <c r="G21" s="15" t="s">
        <v>405</v>
      </c>
      <c r="H21" s="15" t="s">
        <v>406</v>
      </c>
      <c r="I21" s="15" t="s">
        <v>407</v>
      </c>
      <c r="J21" s="16"/>
      <c r="K21" s="14" t="s">
        <v>20</v>
      </c>
      <c r="L21" s="14" t="s">
        <v>108</v>
      </c>
      <c r="M21" s="14" t="s">
        <v>1773</v>
      </c>
      <c r="N21" s="14" t="s">
        <v>87</v>
      </c>
      <c r="O21" s="15" t="s">
        <v>88</v>
      </c>
      <c r="P21" s="15" t="s">
        <v>398</v>
      </c>
      <c r="Q21" s="17" t="s">
        <v>90</v>
      </c>
      <c r="R21" s="17"/>
      <c r="S21" s="15" t="s">
        <v>1831</v>
      </c>
    </row>
    <row r="22" customFormat="false" ht="32.8" hidden="false" customHeight="false" outlineLevel="0" collapsed="false">
      <c r="A22" s="14" t="s">
        <v>1832</v>
      </c>
      <c r="B22" s="15" t="s">
        <v>1771</v>
      </c>
      <c r="C22" s="15" t="s">
        <v>401</v>
      </c>
      <c r="D22" s="15" t="s">
        <v>1833</v>
      </c>
      <c r="E22" s="15" t="s">
        <v>411</v>
      </c>
      <c r="F22" s="15" t="s">
        <v>360</v>
      </c>
      <c r="G22" s="15" t="s">
        <v>412</v>
      </c>
      <c r="H22" s="15" t="s">
        <v>362</v>
      </c>
      <c r="I22" s="15" t="s">
        <v>413</v>
      </c>
      <c r="J22" s="16"/>
      <c r="K22" s="14" t="s">
        <v>20</v>
      </c>
      <c r="L22" s="14" t="s">
        <v>86</v>
      </c>
      <c r="M22" s="14" t="s">
        <v>1773</v>
      </c>
      <c r="N22" s="14" t="s">
        <v>87</v>
      </c>
      <c r="O22" s="15" t="s">
        <v>88</v>
      </c>
      <c r="P22" s="15" t="s">
        <v>140</v>
      </c>
      <c r="Q22" s="17" t="s">
        <v>90</v>
      </c>
      <c r="R22" s="17"/>
      <c r="S22" s="15" t="s">
        <v>1834</v>
      </c>
    </row>
    <row r="23" customFormat="false" ht="32.8" hidden="false" customHeight="false" outlineLevel="0" collapsed="false">
      <c r="A23" s="14" t="s">
        <v>1835</v>
      </c>
      <c r="B23" s="15" t="s">
        <v>1771</v>
      </c>
      <c r="C23" s="15" t="s">
        <v>401</v>
      </c>
      <c r="D23" s="15" t="s">
        <v>1836</v>
      </c>
      <c r="E23" s="15" t="s">
        <v>416</v>
      </c>
      <c r="F23" s="15" t="s">
        <v>360</v>
      </c>
      <c r="G23" s="15" t="s">
        <v>417</v>
      </c>
      <c r="H23" s="15" t="s">
        <v>362</v>
      </c>
      <c r="I23" s="15" t="s">
        <v>418</v>
      </c>
      <c r="J23" s="16"/>
      <c r="K23" s="14" t="s">
        <v>20</v>
      </c>
      <c r="L23" s="14" t="s">
        <v>86</v>
      </c>
      <c r="M23" s="14" t="s">
        <v>1773</v>
      </c>
      <c r="N23" s="14" t="s">
        <v>87</v>
      </c>
      <c r="O23" s="15" t="s">
        <v>88</v>
      </c>
      <c r="P23" s="15" t="s">
        <v>140</v>
      </c>
      <c r="Q23" s="17" t="s">
        <v>90</v>
      </c>
      <c r="R23" s="17"/>
      <c r="S23" s="15" t="s">
        <v>1837</v>
      </c>
    </row>
    <row r="24" customFormat="false" ht="32.8" hidden="false" customHeight="false" outlineLevel="0" collapsed="false">
      <c r="A24" s="14" t="s">
        <v>1838</v>
      </c>
      <c r="B24" s="15" t="s">
        <v>1771</v>
      </c>
      <c r="C24" s="15" t="s">
        <v>401</v>
      </c>
      <c r="D24" s="15" t="s">
        <v>1839</v>
      </c>
      <c r="E24" s="15" t="s">
        <v>422</v>
      </c>
      <c r="F24" s="15" t="s">
        <v>360</v>
      </c>
      <c r="G24" s="15" t="s">
        <v>423</v>
      </c>
      <c r="H24" s="15" t="s">
        <v>424</v>
      </c>
      <c r="I24" s="15" t="s">
        <v>425</v>
      </c>
      <c r="J24" s="16"/>
      <c r="K24" s="14" t="s">
        <v>20</v>
      </c>
      <c r="L24" s="14" t="s">
        <v>86</v>
      </c>
      <c r="M24" s="14" t="s">
        <v>1773</v>
      </c>
      <c r="N24" s="14" t="s">
        <v>87</v>
      </c>
      <c r="O24" s="15" t="s">
        <v>88</v>
      </c>
      <c r="P24" s="15" t="s">
        <v>140</v>
      </c>
      <c r="Q24" s="17" t="s">
        <v>90</v>
      </c>
      <c r="R24" s="17"/>
      <c r="S24" s="15" t="s">
        <v>1840</v>
      </c>
    </row>
    <row r="25" customFormat="false" ht="32.8" hidden="false" customHeight="false" outlineLevel="0" collapsed="false">
      <c r="A25" s="14" t="s">
        <v>1841</v>
      </c>
      <c r="B25" s="15" t="s">
        <v>1771</v>
      </c>
      <c r="C25" s="15" t="s">
        <v>433</v>
      </c>
      <c r="D25" s="15" t="s">
        <v>1842</v>
      </c>
      <c r="E25" s="15" t="s">
        <v>435</v>
      </c>
      <c r="F25" s="15" t="s">
        <v>360</v>
      </c>
      <c r="G25" s="15" t="s">
        <v>436</v>
      </c>
      <c r="H25" s="15" t="s">
        <v>362</v>
      </c>
      <c r="I25" s="15" t="s">
        <v>437</v>
      </c>
      <c r="J25" s="16"/>
      <c r="K25" s="14" t="s">
        <v>19</v>
      </c>
      <c r="L25" s="14" t="s">
        <v>86</v>
      </c>
      <c r="M25" s="14" t="s">
        <v>1773</v>
      </c>
      <c r="N25" s="14" t="s">
        <v>87</v>
      </c>
      <c r="O25" s="15" t="s">
        <v>88</v>
      </c>
      <c r="P25" s="15" t="s">
        <v>89</v>
      </c>
      <c r="Q25" s="17" t="s">
        <v>90</v>
      </c>
      <c r="R25" s="17"/>
      <c r="S25" s="15" t="s">
        <v>1843</v>
      </c>
    </row>
    <row r="26" customFormat="false" ht="32.8" hidden="false" customHeight="false" outlineLevel="0" collapsed="false">
      <c r="A26" s="14" t="s">
        <v>1844</v>
      </c>
      <c r="B26" s="15" t="s">
        <v>1771</v>
      </c>
      <c r="C26" s="15" t="s">
        <v>433</v>
      </c>
      <c r="D26" s="15" t="s">
        <v>1845</v>
      </c>
      <c r="E26" s="15" t="s">
        <v>441</v>
      </c>
      <c r="F26" s="15" t="s">
        <v>360</v>
      </c>
      <c r="G26" s="15" t="s">
        <v>442</v>
      </c>
      <c r="H26" s="15" t="s">
        <v>362</v>
      </c>
      <c r="I26" s="15" t="s">
        <v>443</v>
      </c>
      <c r="J26" s="16"/>
      <c r="K26" s="14" t="s">
        <v>20</v>
      </c>
      <c r="L26" s="14" t="s">
        <v>86</v>
      </c>
      <c r="M26" s="14" t="s">
        <v>1773</v>
      </c>
      <c r="N26" s="14" t="s">
        <v>87</v>
      </c>
      <c r="O26" s="15" t="s">
        <v>88</v>
      </c>
      <c r="P26" s="15" t="s">
        <v>89</v>
      </c>
      <c r="Q26" s="17" t="s">
        <v>90</v>
      </c>
      <c r="R26" s="17"/>
      <c r="S26" s="15" t="s">
        <v>1846</v>
      </c>
    </row>
    <row r="27" customFormat="false" ht="32.8" hidden="false" customHeight="false" outlineLevel="0" collapsed="false">
      <c r="A27" s="14" t="s">
        <v>1847</v>
      </c>
      <c r="B27" s="15" t="s">
        <v>1771</v>
      </c>
      <c r="C27" s="15" t="s">
        <v>459</v>
      </c>
      <c r="D27" s="15" t="s">
        <v>1848</v>
      </c>
      <c r="E27" s="15" t="s">
        <v>461</v>
      </c>
      <c r="F27" s="15" t="s">
        <v>462</v>
      </c>
      <c r="G27" s="15" t="s">
        <v>463</v>
      </c>
      <c r="H27" s="15" t="s">
        <v>464</v>
      </c>
      <c r="I27" s="15" t="s">
        <v>465</v>
      </c>
      <c r="J27" s="16"/>
      <c r="K27" s="14" t="s">
        <v>19</v>
      </c>
      <c r="L27" s="14" t="s">
        <v>86</v>
      </c>
      <c r="M27" s="14" t="s">
        <v>1773</v>
      </c>
      <c r="N27" s="14" t="s">
        <v>87</v>
      </c>
      <c r="O27" s="15" t="s">
        <v>88</v>
      </c>
      <c r="P27" s="15" t="s">
        <v>89</v>
      </c>
      <c r="Q27" s="17" t="s">
        <v>90</v>
      </c>
      <c r="R27" s="17"/>
      <c r="S27" s="15" t="s">
        <v>1849</v>
      </c>
    </row>
    <row r="28" customFormat="false" ht="32.8" hidden="false" customHeight="false" outlineLevel="0" collapsed="false">
      <c r="A28" s="14" t="s">
        <v>1850</v>
      </c>
      <c r="B28" s="15" t="s">
        <v>1771</v>
      </c>
      <c r="C28" s="15" t="s">
        <v>459</v>
      </c>
      <c r="D28" s="15" t="s">
        <v>1851</v>
      </c>
      <c r="E28" s="15" t="s">
        <v>477</v>
      </c>
      <c r="F28" s="15" t="s">
        <v>478</v>
      </c>
      <c r="G28" s="15" t="s">
        <v>479</v>
      </c>
      <c r="H28" s="15" t="s">
        <v>480</v>
      </c>
      <c r="I28" s="15" t="s">
        <v>481</v>
      </c>
      <c r="J28" s="16"/>
      <c r="K28" s="14" t="s">
        <v>20</v>
      </c>
      <c r="L28" s="14" t="s">
        <v>86</v>
      </c>
      <c r="M28" s="14" t="s">
        <v>1773</v>
      </c>
      <c r="N28" s="14" t="s">
        <v>87</v>
      </c>
      <c r="O28" s="15" t="s">
        <v>88</v>
      </c>
      <c r="P28" s="15" t="s">
        <v>89</v>
      </c>
      <c r="Q28" s="17" t="s">
        <v>90</v>
      </c>
      <c r="R28" s="17"/>
      <c r="S28" s="15" t="s">
        <v>1852</v>
      </c>
    </row>
    <row r="29" customFormat="false" ht="32.8" hidden="false" customHeight="false" outlineLevel="0" collapsed="false">
      <c r="A29" s="14" t="s">
        <v>1853</v>
      </c>
      <c r="B29" s="15" t="s">
        <v>1771</v>
      </c>
      <c r="C29" s="15" t="s">
        <v>483</v>
      </c>
      <c r="D29" s="15" t="s">
        <v>1854</v>
      </c>
      <c r="E29" s="15" t="s">
        <v>485</v>
      </c>
      <c r="F29" s="15" t="s">
        <v>486</v>
      </c>
      <c r="G29" s="15" t="s">
        <v>487</v>
      </c>
      <c r="H29" s="15" t="s">
        <v>488</v>
      </c>
      <c r="I29" s="15" t="s">
        <v>489</v>
      </c>
      <c r="J29" s="16"/>
      <c r="K29" s="14" t="s">
        <v>20</v>
      </c>
      <c r="L29" s="14" t="s">
        <v>86</v>
      </c>
      <c r="M29" s="14" t="s">
        <v>1773</v>
      </c>
      <c r="N29" s="14" t="s">
        <v>87</v>
      </c>
      <c r="O29" s="15" t="s">
        <v>88</v>
      </c>
      <c r="P29" s="15" t="s">
        <v>89</v>
      </c>
      <c r="Q29" s="17" t="s">
        <v>90</v>
      </c>
      <c r="R29" s="17"/>
      <c r="S29" s="15" t="s">
        <v>1855</v>
      </c>
    </row>
    <row r="30" customFormat="false" ht="32.8" hidden="false" customHeight="false" outlineLevel="0" collapsed="false">
      <c r="A30" s="14" t="s">
        <v>1856</v>
      </c>
      <c r="B30" s="15" t="s">
        <v>1771</v>
      </c>
      <c r="C30" s="15" t="s">
        <v>483</v>
      </c>
      <c r="D30" s="15" t="s">
        <v>1857</v>
      </c>
      <c r="E30" s="15" t="s">
        <v>493</v>
      </c>
      <c r="F30" s="15" t="s">
        <v>494</v>
      </c>
      <c r="G30" s="15" t="s">
        <v>320</v>
      </c>
      <c r="H30" s="15" t="s">
        <v>495</v>
      </c>
      <c r="I30" s="15" t="s">
        <v>496</v>
      </c>
      <c r="J30" s="16"/>
      <c r="K30" s="14" t="s">
        <v>20</v>
      </c>
      <c r="L30" s="14" t="s">
        <v>86</v>
      </c>
      <c r="M30" s="14" t="s">
        <v>1773</v>
      </c>
      <c r="N30" s="14" t="s">
        <v>87</v>
      </c>
      <c r="O30" s="15" t="s">
        <v>88</v>
      </c>
      <c r="P30" s="15" t="s">
        <v>89</v>
      </c>
      <c r="Q30" s="17" t="s">
        <v>90</v>
      </c>
      <c r="R30" s="17"/>
      <c r="S30" s="15" t="s">
        <v>1858</v>
      </c>
    </row>
    <row r="31" customFormat="false" ht="32.8" hidden="false" customHeight="false" outlineLevel="0" collapsed="false">
      <c r="A31" s="14" t="s">
        <v>1859</v>
      </c>
      <c r="B31" s="15" t="s">
        <v>1771</v>
      </c>
      <c r="C31" s="15" t="s">
        <v>483</v>
      </c>
      <c r="D31" s="15" t="s">
        <v>1860</v>
      </c>
      <c r="E31" s="15" t="s">
        <v>500</v>
      </c>
      <c r="F31" s="15" t="s">
        <v>501</v>
      </c>
      <c r="G31" s="15" t="s">
        <v>502</v>
      </c>
      <c r="H31" s="15" t="s">
        <v>503</v>
      </c>
      <c r="I31" s="15" t="s">
        <v>504</v>
      </c>
      <c r="J31" s="16"/>
      <c r="K31" s="14" t="s">
        <v>19</v>
      </c>
      <c r="L31" s="14" t="s">
        <v>86</v>
      </c>
      <c r="M31" s="14" t="s">
        <v>1773</v>
      </c>
      <c r="N31" s="14" t="s">
        <v>87</v>
      </c>
      <c r="O31" s="15" t="s">
        <v>88</v>
      </c>
      <c r="P31" s="15" t="s">
        <v>89</v>
      </c>
      <c r="Q31" s="17" t="s">
        <v>90</v>
      </c>
      <c r="R31" s="17"/>
      <c r="S31" s="15" t="s">
        <v>1861</v>
      </c>
    </row>
    <row r="32" customFormat="false" ht="32.8" hidden="false" customHeight="false" outlineLevel="0" collapsed="false">
      <c r="A32" s="14" t="s">
        <v>1862</v>
      </c>
      <c r="B32" s="15" t="s">
        <v>1771</v>
      </c>
      <c r="C32" s="15" t="s">
        <v>483</v>
      </c>
      <c r="D32" s="15" t="s">
        <v>1863</v>
      </c>
      <c r="E32" s="15" t="s">
        <v>532</v>
      </c>
      <c r="F32" s="15" t="s">
        <v>533</v>
      </c>
      <c r="G32" s="15" t="s">
        <v>534</v>
      </c>
      <c r="H32" s="15" t="s">
        <v>535</v>
      </c>
      <c r="I32" s="15" t="s">
        <v>536</v>
      </c>
      <c r="J32" s="16"/>
      <c r="K32" s="14" t="s">
        <v>20</v>
      </c>
      <c r="L32" s="14" t="s">
        <v>86</v>
      </c>
      <c r="M32" s="14" t="s">
        <v>1773</v>
      </c>
      <c r="N32" s="14" t="s">
        <v>87</v>
      </c>
      <c r="O32" s="15" t="s">
        <v>88</v>
      </c>
      <c r="P32" s="15" t="s">
        <v>89</v>
      </c>
      <c r="Q32" s="17" t="s">
        <v>90</v>
      </c>
      <c r="R32" s="17"/>
      <c r="S32" s="15" t="s">
        <v>1864</v>
      </c>
    </row>
    <row r="33" customFormat="false" ht="32.8" hidden="false" customHeight="false" outlineLevel="0" collapsed="false">
      <c r="A33" s="14" t="s">
        <v>1865</v>
      </c>
      <c r="B33" s="15" t="s">
        <v>1771</v>
      </c>
      <c r="C33" s="15" t="s">
        <v>483</v>
      </c>
      <c r="D33" s="15" t="s">
        <v>1866</v>
      </c>
      <c r="E33" s="15" t="s">
        <v>540</v>
      </c>
      <c r="F33" s="15" t="s">
        <v>541</v>
      </c>
      <c r="G33" s="15" t="s">
        <v>542</v>
      </c>
      <c r="H33" s="15" t="s">
        <v>543</v>
      </c>
      <c r="I33" s="15" t="s">
        <v>544</v>
      </c>
      <c r="J33" s="16"/>
      <c r="K33" s="14" t="s">
        <v>20</v>
      </c>
      <c r="L33" s="14" t="s">
        <v>86</v>
      </c>
      <c r="M33" s="14" t="s">
        <v>1773</v>
      </c>
      <c r="N33" s="14" t="s">
        <v>87</v>
      </c>
      <c r="O33" s="15" t="s">
        <v>88</v>
      </c>
      <c r="P33" s="15" t="s">
        <v>89</v>
      </c>
      <c r="Q33" s="17" t="s">
        <v>90</v>
      </c>
      <c r="R33" s="17"/>
      <c r="S33" s="15" t="s">
        <v>1867</v>
      </c>
    </row>
    <row r="34" customFormat="false" ht="32.8" hidden="false" customHeight="false" outlineLevel="0" collapsed="false">
      <c r="A34" s="14" t="s">
        <v>1868</v>
      </c>
      <c r="B34" s="15" t="s">
        <v>1771</v>
      </c>
      <c r="C34" s="15" t="s">
        <v>548</v>
      </c>
      <c r="D34" s="15" t="s">
        <v>1869</v>
      </c>
      <c r="E34" s="15" t="s">
        <v>556</v>
      </c>
      <c r="F34" s="15" t="s">
        <v>557</v>
      </c>
      <c r="G34" s="15" t="s">
        <v>558</v>
      </c>
      <c r="H34" s="15" t="s">
        <v>559</v>
      </c>
      <c r="I34" s="15" t="s">
        <v>560</v>
      </c>
      <c r="J34" s="16"/>
      <c r="K34" s="14" t="s">
        <v>21</v>
      </c>
      <c r="L34" s="14" t="s">
        <v>86</v>
      </c>
      <c r="M34" s="14" t="s">
        <v>1773</v>
      </c>
      <c r="N34" s="14" t="s">
        <v>87</v>
      </c>
      <c r="O34" s="15" t="s">
        <v>88</v>
      </c>
      <c r="P34" s="15" t="s">
        <v>89</v>
      </c>
      <c r="Q34" s="17" t="s">
        <v>90</v>
      </c>
      <c r="R34" s="17"/>
      <c r="S34" s="15" t="s">
        <v>1870</v>
      </c>
    </row>
    <row r="35" customFormat="false" ht="32.8" hidden="false" customHeight="false" outlineLevel="0" collapsed="false">
      <c r="A35" s="14" t="s">
        <v>1871</v>
      </c>
      <c r="B35" s="15" t="s">
        <v>1771</v>
      </c>
      <c r="C35" s="15" t="s">
        <v>577</v>
      </c>
      <c r="D35" s="15" t="s">
        <v>1872</v>
      </c>
      <c r="E35" s="15" t="s">
        <v>603</v>
      </c>
      <c r="F35" s="15" t="s">
        <v>604</v>
      </c>
      <c r="G35" s="15" t="s">
        <v>605</v>
      </c>
      <c r="H35" s="15" t="s">
        <v>606</v>
      </c>
      <c r="I35" s="15" t="s">
        <v>607</v>
      </c>
      <c r="J35" s="16"/>
      <c r="K35" s="14" t="s">
        <v>19</v>
      </c>
      <c r="L35" s="14" t="s">
        <v>86</v>
      </c>
      <c r="M35" s="14" t="s">
        <v>1773</v>
      </c>
      <c r="N35" s="14" t="s">
        <v>87</v>
      </c>
      <c r="O35" s="15" t="s">
        <v>88</v>
      </c>
      <c r="P35" s="15" t="s">
        <v>89</v>
      </c>
      <c r="Q35" s="17" t="s">
        <v>90</v>
      </c>
      <c r="R35" s="17"/>
      <c r="S35" s="15" t="s">
        <v>1873</v>
      </c>
    </row>
    <row r="36" customFormat="false" ht="32.8" hidden="false" customHeight="false" outlineLevel="0" collapsed="false">
      <c r="A36" s="14" t="s">
        <v>1874</v>
      </c>
      <c r="B36" s="15" t="s">
        <v>1771</v>
      </c>
      <c r="C36" s="15" t="s">
        <v>577</v>
      </c>
      <c r="D36" s="15" t="s">
        <v>1875</v>
      </c>
      <c r="E36" s="15" t="s">
        <v>618</v>
      </c>
      <c r="F36" s="15" t="s">
        <v>619</v>
      </c>
      <c r="G36" s="15" t="s">
        <v>96</v>
      </c>
      <c r="H36" s="15" t="s">
        <v>620</v>
      </c>
      <c r="I36" s="15" t="s">
        <v>621</v>
      </c>
      <c r="J36" s="16"/>
      <c r="K36" s="14" t="s">
        <v>21</v>
      </c>
      <c r="L36" s="14" t="s">
        <v>86</v>
      </c>
      <c r="M36" s="14" t="s">
        <v>1773</v>
      </c>
      <c r="N36" s="14" t="s">
        <v>87</v>
      </c>
      <c r="O36" s="15" t="s">
        <v>88</v>
      </c>
      <c r="P36" s="15" t="s">
        <v>89</v>
      </c>
      <c r="Q36" s="17" t="s">
        <v>90</v>
      </c>
      <c r="R36" s="17"/>
      <c r="S36" s="15" t="s">
        <v>1876</v>
      </c>
    </row>
    <row r="37" customFormat="false" ht="32.8" hidden="false" customHeight="false" outlineLevel="0" collapsed="false">
      <c r="A37" s="14" t="s">
        <v>1877</v>
      </c>
      <c r="B37" s="15" t="s">
        <v>1771</v>
      </c>
      <c r="C37" s="15" t="s">
        <v>577</v>
      </c>
      <c r="D37" s="15" t="s">
        <v>1878</v>
      </c>
      <c r="E37" s="15" t="s">
        <v>632</v>
      </c>
      <c r="F37" s="15" t="s">
        <v>633</v>
      </c>
      <c r="G37" s="15" t="s">
        <v>634</v>
      </c>
      <c r="H37" s="15" t="s">
        <v>635</v>
      </c>
      <c r="I37" s="15" t="s">
        <v>636</v>
      </c>
      <c r="J37" s="16"/>
      <c r="K37" s="14" t="s">
        <v>21</v>
      </c>
      <c r="L37" s="14" t="s">
        <v>86</v>
      </c>
      <c r="M37" s="14" t="s">
        <v>1773</v>
      </c>
      <c r="N37" s="14" t="s">
        <v>87</v>
      </c>
      <c r="O37" s="15" t="s">
        <v>88</v>
      </c>
      <c r="P37" s="15" t="s">
        <v>89</v>
      </c>
      <c r="Q37" s="17" t="s">
        <v>90</v>
      </c>
      <c r="R37" s="17"/>
      <c r="S37" s="15" t="s">
        <v>1879</v>
      </c>
    </row>
    <row r="38" customFormat="false" ht="32.8" hidden="false" customHeight="false" outlineLevel="0" collapsed="false">
      <c r="A38" s="14" t="s">
        <v>1880</v>
      </c>
      <c r="B38" s="15" t="s">
        <v>1771</v>
      </c>
      <c r="C38" s="15" t="s">
        <v>577</v>
      </c>
      <c r="D38" s="15" t="s">
        <v>1881</v>
      </c>
      <c r="E38" s="15" t="s">
        <v>646</v>
      </c>
      <c r="F38" s="15" t="s">
        <v>647</v>
      </c>
      <c r="G38" s="15" t="s">
        <v>648</v>
      </c>
      <c r="H38" s="15" t="s">
        <v>649</v>
      </c>
      <c r="I38" s="15" t="s">
        <v>650</v>
      </c>
      <c r="J38" s="16"/>
      <c r="K38" s="14" t="s">
        <v>21</v>
      </c>
      <c r="L38" s="14" t="s">
        <v>86</v>
      </c>
      <c r="M38" s="14" t="s">
        <v>1773</v>
      </c>
      <c r="N38" s="14" t="s">
        <v>87</v>
      </c>
      <c r="O38" s="15" t="s">
        <v>88</v>
      </c>
      <c r="P38" s="15" t="s">
        <v>89</v>
      </c>
      <c r="Q38" s="17" t="s">
        <v>90</v>
      </c>
      <c r="R38" s="17"/>
      <c r="S38" s="15" t="s">
        <v>1882</v>
      </c>
    </row>
    <row r="39" customFormat="false" ht="32.8" hidden="false" customHeight="false" outlineLevel="0" collapsed="false">
      <c r="A39" s="14" t="s">
        <v>1883</v>
      </c>
      <c r="B39" s="15" t="s">
        <v>1771</v>
      </c>
      <c r="C39" s="15" t="s">
        <v>689</v>
      </c>
      <c r="D39" s="15" t="s">
        <v>1884</v>
      </c>
      <c r="E39" s="15" t="s">
        <v>697</v>
      </c>
      <c r="F39" s="15" t="s">
        <v>342</v>
      </c>
      <c r="G39" s="15" t="s">
        <v>698</v>
      </c>
      <c r="H39" s="15" t="s">
        <v>699</v>
      </c>
      <c r="I39" s="15" t="s">
        <v>700</v>
      </c>
      <c r="J39" s="16"/>
      <c r="K39" s="14" t="s">
        <v>21</v>
      </c>
      <c r="L39" s="14" t="s">
        <v>86</v>
      </c>
      <c r="M39" s="14" t="s">
        <v>1773</v>
      </c>
      <c r="N39" s="14" t="s">
        <v>346</v>
      </c>
      <c r="O39" s="15" t="s">
        <v>88</v>
      </c>
      <c r="P39" s="15" t="s">
        <v>89</v>
      </c>
      <c r="Q39" s="17" t="s">
        <v>90</v>
      </c>
      <c r="R39" s="17"/>
      <c r="S39" s="15" t="s">
        <v>1885</v>
      </c>
    </row>
    <row r="40" customFormat="false" ht="32.8" hidden="false" customHeight="false" outlineLevel="0" collapsed="false">
      <c r="A40" s="14" t="s">
        <v>1886</v>
      </c>
      <c r="B40" s="15" t="s">
        <v>1771</v>
      </c>
      <c r="C40" s="15" t="s">
        <v>689</v>
      </c>
      <c r="D40" s="15" t="s">
        <v>1887</v>
      </c>
      <c r="E40" s="15" t="s">
        <v>704</v>
      </c>
      <c r="F40" s="15" t="s">
        <v>342</v>
      </c>
      <c r="G40" s="15" t="s">
        <v>705</v>
      </c>
      <c r="H40" s="15" t="s">
        <v>706</v>
      </c>
      <c r="I40" s="15" t="s">
        <v>707</v>
      </c>
      <c r="J40" s="16"/>
      <c r="K40" s="14" t="s">
        <v>21</v>
      </c>
      <c r="L40" s="14" t="s">
        <v>86</v>
      </c>
      <c r="M40" s="14" t="s">
        <v>1773</v>
      </c>
      <c r="N40" s="14" t="s">
        <v>346</v>
      </c>
      <c r="O40" s="15" t="s">
        <v>88</v>
      </c>
      <c r="P40" s="15" t="s">
        <v>89</v>
      </c>
      <c r="Q40" s="17" t="s">
        <v>90</v>
      </c>
      <c r="R40" s="17"/>
      <c r="S40" s="15" t="s">
        <v>1888</v>
      </c>
    </row>
    <row r="41" customFormat="false" ht="43.25" hidden="false" customHeight="false" outlineLevel="0" collapsed="false">
      <c r="A41" s="14" t="s">
        <v>1889</v>
      </c>
      <c r="B41" s="15" t="s">
        <v>1890</v>
      </c>
      <c r="C41" s="15" t="s">
        <v>739</v>
      </c>
      <c r="D41" s="15" t="s">
        <v>1891</v>
      </c>
      <c r="E41" s="15" t="s">
        <v>741</v>
      </c>
      <c r="F41" s="15" t="s">
        <v>742</v>
      </c>
      <c r="G41" s="15" t="s">
        <v>743</v>
      </c>
      <c r="H41" s="15" t="s">
        <v>744</v>
      </c>
      <c r="I41" s="15" t="s">
        <v>745</v>
      </c>
      <c r="J41" s="16"/>
      <c r="K41" s="14" t="s">
        <v>19</v>
      </c>
      <c r="L41" s="14" t="s">
        <v>86</v>
      </c>
      <c r="M41" s="14" t="s">
        <v>1773</v>
      </c>
      <c r="N41" s="14" t="s">
        <v>87</v>
      </c>
      <c r="O41" s="15" t="s">
        <v>88</v>
      </c>
      <c r="P41" s="15" t="s">
        <v>398</v>
      </c>
      <c r="Q41" s="17" t="s">
        <v>90</v>
      </c>
      <c r="R41" s="17"/>
      <c r="S41" s="15" t="s">
        <v>1892</v>
      </c>
    </row>
    <row r="42" customFormat="false" ht="32.8" hidden="false" customHeight="false" outlineLevel="0" collapsed="false">
      <c r="A42" s="14" t="s">
        <v>1893</v>
      </c>
      <c r="B42" s="15" t="s">
        <v>1890</v>
      </c>
      <c r="C42" s="15" t="s">
        <v>829</v>
      </c>
      <c r="D42" s="15" t="s">
        <v>1894</v>
      </c>
      <c r="E42" s="15" t="s">
        <v>838</v>
      </c>
      <c r="F42" s="15" t="s">
        <v>839</v>
      </c>
      <c r="G42" s="15" t="s">
        <v>840</v>
      </c>
      <c r="H42" s="15" t="s">
        <v>841</v>
      </c>
      <c r="I42" s="15" t="s">
        <v>842</v>
      </c>
      <c r="J42" s="16"/>
      <c r="K42" s="14" t="s">
        <v>20</v>
      </c>
      <c r="L42" s="14" t="s">
        <v>86</v>
      </c>
      <c r="M42" s="14" t="s">
        <v>1773</v>
      </c>
      <c r="N42" s="14" t="s">
        <v>87</v>
      </c>
      <c r="O42" s="15" t="s">
        <v>88</v>
      </c>
      <c r="P42" s="15" t="s">
        <v>398</v>
      </c>
      <c r="Q42" s="17" t="s">
        <v>90</v>
      </c>
      <c r="R42" s="17"/>
      <c r="S42" s="15" t="s">
        <v>1895</v>
      </c>
    </row>
    <row r="43" customFormat="false" ht="32.8" hidden="false" customHeight="false" outlineLevel="0" collapsed="false">
      <c r="A43" s="14" t="s">
        <v>1896</v>
      </c>
      <c r="B43" s="15" t="s">
        <v>1890</v>
      </c>
      <c r="C43" s="15" t="s">
        <v>256</v>
      </c>
      <c r="D43" s="15" t="s">
        <v>1897</v>
      </c>
      <c r="E43" s="15" t="s">
        <v>861</v>
      </c>
      <c r="F43" s="15" t="s">
        <v>862</v>
      </c>
      <c r="G43" s="15" t="s">
        <v>863</v>
      </c>
      <c r="H43" s="15" t="s">
        <v>864</v>
      </c>
      <c r="I43" s="15" t="s">
        <v>865</v>
      </c>
      <c r="J43" s="16"/>
      <c r="K43" s="14" t="s">
        <v>20</v>
      </c>
      <c r="L43" s="14" t="s">
        <v>86</v>
      </c>
      <c r="M43" s="14" t="s">
        <v>1773</v>
      </c>
      <c r="N43" s="14" t="s">
        <v>87</v>
      </c>
      <c r="O43" s="15" t="s">
        <v>88</v>
      </c>
      <c r="P43" s="15" t="s">
        <v>140</v>
      </c>
      <c r="Q43" s="17" t="s">
        <v>90</v>
      </c>
      <c r="R43" s="17"/>
      <c r="S43" s="15" t="s">
        <v>1898</v>
      </c>
    </row>
    <row r="44" customFormat="false" ht="32.8" hidden="false" customHeight="false" outlineLevel="0" collapsed="false">
      <c r="A44" s="14" t="s">
        <v>1899</v>
      </c>
      <c r="B44" s="15" t="s">
        <v>1890</v>
      </c>
      <c r="C44" s="15" t="s">
        <v>256</v>
      </c>
      <c r="D44" s="15" t="s">
        <v>1897</v>
      </c>
      <c r="E44" s="15" t="s">
        <v>868</v>
      </c>
      <c r="F44" s="15" t="s">
        <v>862</v>
      </c>
      <c r="G44" s="15" t="s">
        <v>869</v>
      </c>
      <c r="H44" s="15" t="s">
        <v>864</v>
      </c>
      <c r="I44" s="15" t="s">
        <v>870</v>
      </c>
      <c r="J44" s="16"/>
      <c r="K44" s="14" t="s">
        <v>20</v>
      </c>
      <c r="L44" s="14" t="s">
        <v>86</v>
      </c>
      <c r="M44" s="14" t="s">
        <v>1773</v>
      </c>
      <c r="N44" s="14" t="s">
        <v>87</v>
      </c>
      <c r="O44" s="15" t="s">
        <v>88</v>
      </c>
      <c r="P44" s="15" t="s">
        <v>140</v>
      </c>
      <c r="Q44" s="17" t="s">
        <v>90</v>
      </c>
      <c r="R44" s="17"/>
      <c r="S44" s="15" t="s">
        <v>1900</v>
      </c>
    </row>
    <row r="45" customFormat="false" ht="32.8" hidden="false" customHeight="false" outlineLevel="0" collapsed="false">
      <c r="A45" s="14" t="s">
        <v>1901</v>
      </c>
      <c r="B45" s="15" t="s">
        <v>1890</v>
      </c>
      <c r="C45" s="15" t="s">
        <v>256</v>
      </c>
      <c r="D45" s="15" t="s">
        <v>1897</v>
      </c>
      <c r="E45" s="15" t="s">
        <v>876</v>
      </c>
      <c r="F45" s="15" t="s">
        <v>862</v>
      </c>
      <c r="G45" s="15" t="s">
        <v>877</v>
      </c>
      <c r="H45" s="15" t="s">
        <v>864</v>
      </c>
      <c r="I45" s="15" t="s">
        <v>878</v>
      </c>
      <c r="J45" s="16"/>
      <c r="K45" s="14" t="s">
        <v>20</v>
      </c>
      <c r="L45" s="14" t="s">
        <v>86</v>
      </c>
      <c r="M45" s="14" t="s">
        <v>1773</v>
      </c>
      <c r="N45" s="14" t="s">
        <v>87</v>
      </c>
      <c r="O45" s="15" t="s">
        <v>88</v>
      </c>
      <c r="P45" s="15" t="s">
        <v>140</v>
      </c>
      <c r="Q45" s="17" t="s">
        <v>90</v>
      </c>
      <c r="R45" s="17"/>
      <c r="S45" s="15" t="s">
        <v>1902</v>
      </c>
    </row>
    <row r="46" customFormat="false" ht="32.8" hidden="false" customHeight="false" outlineLevel="0" collapsed="false">
      <c r="A46" s="14" t="s">
        <v>1903</v>
      </c>
      <c r="B46" s="15" t="s">
        <v>1890</v>
      </c>
      <c r="C46" s="15" t="s">
        <v>907</v>
      </c>
      <c r="D46" s="15" t="s">
        <v>1904</v>
      </c>
      <c r="E46" s="15" t="s">
        <v>908</v>
      </c>
      <c r="F46" s="15" t="s">
        <v>862</v>
      </c>
      <c r="G46" s="15" t="s">
        <v>909</v>
      </c>
      <c r="H46" s="15" t="s">
        <v>910</v>
      </c>
      <c r="I46" s="15" t="s">
        <v>911</v>
      </c>
      <c r="J46" s="16"/>
      <c r="K46" s="14" t="s">
        <v>20</v>
      </c>
      <c r="L46" s="14" t="s">
        <v>86</v>
      </c>
      <c r="M46" s="14" t="s">
        <v>1773</v>
      </c>
      <c r="N46" s="14" t="s">
        <v>87</v>
      </c>
      <c r="O46" s="15" t="s">
        <v>88</v>
      </c>
      <c r="P46" s="15" t="s">
        <v>140</v>
      </c>
      <c r="Q46" s="17" t="s">
        <v>90</v>
      </c>
      <c r="R46" s="17"/>
      <c r="S46" s="15" t="s">
        <v>1905</v>
      </c>
    </row>
    <row r="47" customFormat="false" ht="32.8" hidden="false" customHeight="false" outlineLevel="0" collapsed="false">
      <c r="A47" s="14" t="s">
        <v>1906</v>
      </c>
      <c r="B47" s="15" t="s">
        <v>1890</v>
      </c>
      <c r="C47" s="15" t="s">
        <v>907</v>
      </c>
      <c r="D47" s="15" t="s">
        <v>1904</v>
      </c>
      <c r="E47" s="15" t="s">
        <v>913</v>
      </c>
      <c r="F47" s="15" t="s">
        <v>862</v>
      </c>
      <c r="G47" s="15" t="s">
        <v>914</v>
      </c>
      <c r="H47" s="15" t="s">
        <v>910</v>
      </c>
      <c r="I47" s="15" t="s">
        <v>915</v>
      </c>
      <c r="J47" s="16"/>
      <c r="K47" s="14" t="s">
        <v>20</v>
      </c>
      <c r="L47" s="14" t="s">
        <v>86</v>
      </c>
      <c r="M47" s="14" t="s">
        <v>1773</v>
      </c>
      <c r="N47" s="14" t="s">
        <v>87</v>
      </c>
      <c r="O47" s="15" t="s">
        <v>88</v>
      </c>
      <c r="P47" s="15" t="s">
        <v>140</v>
      </c>
      <c r="Q47" s="17" t="s">
        <v>90</v>
      </c>
      <c r="R47" s="17"/>
      <c r="S47" s="15" t="s">
        <v>1907</v>
      </c>
    </row>
    <row r="48" customFormat="false" ht="32.8" hidden="false" customHeight="false" outlineLevel="0" collapsed="false">
      <c r="A48" s="14" t="s">
        <v>1908</v>
      </c>
      <c r="B48" s="15" t="s">
        <v>1890</v>
      </c>
      <c r="C48" s="15" t="s">
        <v>907</v>
      </c>
      <c r="D48" s="15" t="s">
        <v>1904</v>
      </c>
      <c r="E48" s="15" t="s">
        <v>917</v>
      </c>
      <c r="F48" s="15" t="s">
        <v>862</v>
      </c>
      <c r="G48" s="15" t="s">
        <v>918</v>
      </c>
      <c r="H48" s="15" t="s">
        <v>910</v>
      </c>
      <c r="I48" s="15" t="s">
        <v>919</v>
      </c>
      <c r="J48" s="16"/>
      <c r="K48" s="14" t="s">
        <v>20</v>
      </c>
      <c r="L48" s="14" t="s">
        <v>86</v>
      </c>
      <c r="M48" s="14" t="s">
        <v>1773</v>
      </c>
      <c r="N48" s="14" t="s">
        <v>87</v>
      </c>
      <c r="O48" s="15" t="s">
        <v>88</v>
      </c>
      <c r="P48" s="15" t="s">
        <v>140</v>
      </c>
      <c r="Q48" s="17" t="s">
        <v>90</v>
      </c>
      <c r="R48" s="17"/>
      <c r="S48" s="15" t="s">
        <v>1909</v>
      </c>
    </row>
    <row r="49" customFormat="false" ht="32.8" hidden="false" customHeight="false" outlineLevel="0" collapsed="false">
      <c r="A49" s="14" t="s">
        <v>1910</v>
      </c>
      <c r="B49" s="15" t="s">
        <v>1890</v>
      </c>
      <c r="C49" s="15" t="s">
        <v>907</v>
      </c>
      <c r="D49" s="15" t="s">
        <v>1904</v>
      </c>
      <c r="E49" s="15" t="s">
        <v>921</v>
      </c>
      <c r="F49" s="15" t="s">
        <v>862</v>
      </c>
      <c r="G49" s="15" t="s">
        <v>922</v>
      </c>
      <c r="H49" s="15" t="s">
        <v>910</v>
      </c>
      <c r="I49" s="15" t="s">
        <v>923</v>
      </c>
      <c r="J49" s="16"/>
      <c r="K49" s="14" t="s">
        <v>20</v>
      </c>
      <c r="L49" s="14" t="s">
        <v>86</v>
      </c>
      <c r="M49" s="14" t="s">
        <v>1773</v>
      </c>
      <c r="N49" s="14" t="s">
        <v>87</v>
      </c>
      <c r="O49" s="15" t="s">
        <v>88</v>
      </c>
      <c r="P49" s="15" t="s">
        <v>140</v>
      </c>
      <c r="Q49" s="17" t="s">
        <v>90</v>
      </c>
      <c r="R49" s="17"/>
      <c r="S49" s="15" t="s">
        <v>1911</v>
      </c>
    </row>
    <row r="50" customFormat="false" ht="32.8" hidden="false" customHeight="false" outlineLevel="0" collapsed="false">
      <c r="A50" s="14" t="s">
        <v>1912</v>
      </c>
      <c r="B50" s="15" t="s">
        <v>1890</v>
      </c>
      <c r="C50" s="15" t="s">
        <v>907</v>
      </c>
      <c r="D50" s="15" t="s">
        <v>1904</v>
      </c>
      <c r="E50" s="15" t="s">
        <v>925</v>
      </c>
      <c r="F50" s="15" t="s">
        <v>862</v>
      </c>
      <c r="G50" s="15" t="s">
        <v>926</v>
      </c>
      <c r="H50" s="15" t="s">
        <v>910</v>
      </c>
      <c r="I50" s="15" t="s">
        <v>927</v>
      </c>
      <c r="J50" s="16"/>
      <c r="K50" s="14" t="s">
        <v>20</v>
      </c>
      <c r="L50" s="14" t="s">
        <v>86</v>
      </c>
      <c r="M50" s="14" t="s">
        <v>1773</v>
      </c>
      <c r="N50" s="14" t="s">
        <v>87</v>
      </c>
      <c r="O50" s="15" t="s">
        <v>88</v>
      </c>
      <c r="P50" s="15" t="s">
        <v>140</v>
      </c>
      <c r="Q50" s="17" t="s">
        <v>90</v>
      </c>
      <c r="R50" s="17"/>
      <c r="S50" s="15" t="s">
        <v>1913</v>
      </c>
    </row>
    <row r="51" customFormat="false" ht="32.8" hidden="false" customHeight="false" outlineLevel="0" collapsed="false">
      <c r="A51" s="14" t="s">
        <v>1914</v>
      </c>
      <c r="B51" s="15" t="s">
        <v>1890</v>
      </c>
      <c r="C51" s="15" t="s">
        <v>907</v>
      </c>
      <c r="D51" s="15" t="s">
        <v>1915</v>
      </c>
      <c r="E51" s="15" t="s">
        <v>957</v>
      </c>
      <c r="F51" s="15" t="s">
        <v>958</v>
      </c>
      <c r="G51" s="15" t="s">
        <v>959</v>
      </c>
      <c r="H51" s="15" t="s">
        <v>960</v>
      </c>
      <c r="I51" s="15" t="s">
        <v>961</v>
      </c>
      <c r="J51" s="16"/>
      <c r="K51" s="14" t="s">
        <v>20</v>
      </c>
      <c r="L51" s="14" t="s">
        <v>86</v>
      </c>
      <c r="M51" s="14" t="s">
        <v>1773</v>
      </c>
      <c r="N51" s="14" t="s">
        <v>87</v>
      </c>
      <c r="O51" s="15" t="s">
        <v>88</v>
      </c>
      <c r="P51" s="15" t="s">
        <v>140</v>
      </c>
      <c r="Q51" s="17" t="s">
        <v>90</v>
      </c>
      <c r="R51" s="17"/>
      <c r="S51" s="15" t="s">
        <v>1916</v>
      </c>
    </row>
    <row r="52" customFormat="false" ht="32.8" hidden="false" customHeight="false" outlineLevel="0" collapsed="false">
      <c r="A52" s="14" t="s">
        <v>1917</v>
      </c>
      <c r="B52" s="15" t="s">
        <v>1890</v>
      </c>
      <c r="C52" s="15" t="s">
        <v>907</v>
      </c>
      <c r="D52" s="15" t="s">
        <v>1918</v>
      </c>
      <c r="E52" s="15" t="s">
        <v>965</v>
      </c>
      <c r="F52" s="15" t="s">
        <v>958</v>
      </c>
      <c r="G52" s="15" t="s">
        <v>966</v>
      </c>
      <c r="H52" s="15" t="s">
        <v>967</v>
      </c>
      <c r="I52" s="15" t="s">
        <v>968</v>
      </c>
      <c r="J52" s="16"/>
      <c r="K52" s="14" t="s">
        <v>20</v>
      </c>
      <c r="L52" s="14" t="s">
        <v>86</v>
      </c>
      <c r="M52" s="14" t="s">
        <v>1773</v>
      </c>
      <c r="N52" s="14" t="s">
        <v>87</v>
      </c>
      <c r="O52" s="15" t="s">
        <v>88</v>
      </c>
      <c r="P52" s="15" t="s">
        <v>140</v>
      </c>
      <c r="Q52" s="17" t="s">
        <v>90</v>
      </c>
      <c r="R52" s="17"/>
      <c r="S52" s="15" t="s">
        <v>1919</v>
      </c>
    </row>
    <row r="53" customFormat="false" ht="43.25" hidden="false" customHeight="false" outlineLevel="0" collapsed="false">
      <c r="A53" s="14" t="s">
        <v>1920</v>
      </c>
      <c r="B53" s="15" t="s">
        <v>1890</v>
      </c>
      <c r="C53" s="15" t="s">
        <v>971</v>
      </c>
      <c r="D53" s="15" t="s">
        <v>1921</v>
      </c>
      <c r="E53" s="15" t="s">
        <v>973</v>
      </c>
      <c r="F53" s="15" t="s">
        <v>974</v>
      </c>
      <c r="G53" s="15" t="s">
        <v>975</v>
      </c>
      <c r="H53" s="15" t="s">
        <v>976</v>
      </c>
      <c r="I53" s="15" t="s">
        <v>977</v>
      </c>
      <c r="J53" s="16"/>
      <c r="K53" s="14" t="s">
        <v>20</v>
      </c>
      <c r="L53" s="14" t="s">
        <v>86</v>
      </c>
      <c r="M53" s="14" t="s">
        <v>1773</v>
      </c>
      <c r="N53" s="14" t="s">
        <v>87</v>
      </c>
      <c r="O53" s="15" t="s">
        <v>88</v>
      </c>
      <c r="P53" s="15" t="s">
        <v>89</v>
      </c>
      <c r="Q53" s="17" t="s">
        <v>90</v>
      </c>
      <c r="R53" s="17"/>
      <c r="S53" s="15" t="s">
        <v>1922</v>
      </c>
    </row>
    <row r="54" customFormat="false" ht="43.25" hidden="false" customHeight="false" outlineLevel="0" collapsed="false">
      <c r="A54" s="14" t="s">
        <v>1923</v>
      </c>
      <c r="B54" s="15" t="s">
        <v>1890</v>
      </c>
      <c r="C54" s="15" t="s">
        <v>971</v>
      </c>
      <c r="D54" s="15" t="s">
        <v>1921</v>
      </c>
      <c r="E54" s="15" t="s">
        <v>990</v>
      </c>
      <c r="F54" s="15" t="s">
        <v>974</v>
      </c>
      <c r="G54" s="15" t="s">
        <v>991</v>
      </c>
      <c r="H54" s="15" t="s">
        <v>992</v>
      </c>
      <c r="I54" s="15" t="s">
        <v>993</v>
      </c>
      <c r="J54" s="16"/>
      <c r="K54" s="14" t="s">
        <v>20</v>
      </c>
      <c r="L54" s="14" t="s">
        <v>86</v>
      </c>
      <c r="M54" s="14" t="s">
        <v>1773</v>
      </c>
      <c r="N54" s="14" t="s">
        <v>87</v>
      </c>
      <c r="O54" s="15" t="s">
        <v>88</v>
      </c>
      <c r="P54" s="15" t="s">
        <v>89</v>
      </c>
      <c r="Q54" s="17" t="s">
        <v>90</v>
      </c>
      <c r="R54" s="17"/>
      <c r="S54" s="15" t="s">
        <v>1924</v>
      </c>
    </row>
    <row r="55" customFormat="false" ht="43.25" hidden="false" customHeight="false" outlineLevel="0" collapsed="false">
      <c r="A55" s="14" t="s">
        <v>1925</v>
      </c>
      <c r="B55" s="15" t="s">
        <v>1890</v>
      </c>
      <c r="C55" s="15" t="s">
        <v>971</v>
      </c>
      <c r="D55" s="15" t="s">
        <v>1926</v>
      </c>
      <c r="E55" s="15" t="s">
        <v>996</v>
      </c>
      <c r="F55" s="15" t="s">
        <v>974</v>
      </c>
      <c r="G55" s="15" t="s">
        <v>997</v>
      </c>
      <c r="H55" s="15" t="s">
        <v>976</v>
      </c>
      <c r="I55" s="15" t="s">
        <v>988</v>
      </c>
      <c r="J55" s="16"/>
      <c r="K55" s="14" t="s">
        <v>20</v>
      </c>
      <c r="L55" s="14" t="s">
        <v>86</v>
      </c>
      <c r="M55" s="14" t="s">
        <v>1773</v>
      </c>
      <c r="N55" s="14" t="s">
        <v>87</v>
      </c>
      <c r="O55" s="15" t="s">
        <v>88</v>
      </c>
      <c r="P55" s="15" t="s">
        <v>89</v>
      </c>
      <c r="Q55" s="17" t="s">
        <v>90</v>
      </c>
      <c r="R55" s="17"/>
      <c r="S55" s="15" t="s">
        <v>1927</v>
      </c>
    </row>
    <row r="56" customFormat="false" ht="43.25" hidden="false" customHeight="false" outlineLevel="0" collapsed="false">
      <c r="A56" s="14" t="s">
        <v>1928</v>
      </c>
      <c r="B56" s="15" t="s">
        <v>1890</v>
      </c>
      <c r="C56" s="15" t="s">
        <v>971</v>
      </c>
      <c r="D56" s="15" t="s">
        <v>1926</v>
      </c>
      <c r="E56" s="15" t="s">
        <v>1008</v>
      </c>
      <c r="F56" s="15" t="s">
        <v>974</v>
      </c>
      <c r="G56" s="15" t="s">
        <v>1009</v>
      </c>
      <c r="H56" s="15" t="s">
        <v>992</v>
      </c>
      <c r="I56" s="15" t="s">
        <v>1010</v>
      </c>
      <c r="J56" s="16"/>
      <c r="K56" s="14" t="s">
        <v>20</v>
      </c>
      <c r="L56" s="14" t="s">
        <v>86</v>
      </c>
      <c r="M56" s="14" t="s">
        <v>1773</v>
      </c>
      <c r="N56" s="14" t="s">
        <v>87</v>
      </c>
      <c r="O56" s="15" t="s">
        <v>88</v>
      </c>
      <c r="P56" s="15" t="s">
        <v>89</v>
      </c>
      <c r="Q56" s="17" t="s">
        <v>90</v>
      </c>
      <c r="R56" s="17"/>
      <c r="S56" s="15" t="s">
        <v>1929</v>
      </c>
    </row>
    <row r="57" customFormat="false" ht="32.8" hidden="false" customHeight="false" outlineLevel="0" collapsed="false">
      <c r="A57" s="14" t="s">
        <v>1930</v>
      </c>
      <c r="B57" s="15" t="s">
        <v>1890</v>
      </c>
      <c r="C57" s="15" t="s">
        <v>1061</v>
      </c>
      <c r="D57" s="15" t="s">
        <v>1931</v>
      </c>
      <c r="E57" s="15" t="s">
        <v>1077</v>
      </c>
      <c r="F57" s="15" t="s">
        <v>1078</v>
      </c>
      <c r="G57" s="15" t="s">
        <v>1079</v>
      </c>
      <c r="H57" s="15" t="s">
        <v>1080</v>
      </c>
      <c r="I57" s="15" t="s">
        <v>1081</v>
      </c>
      <c r="J57" s="16"/>
      <c r="K57" s="14" t="s">
        <v>20</v>
      </c>
      <c r="L57" s="14" t="s">
        <v>86</v>
      </c>
      <c r="M57" s="14" t="s">
        <v>1773</v>
      </c>
      <c r="N57" s="14" t="s">
        <v>87</v>
      </c>
      <c r="O57" s="15" t="s">
        <v>88</v>
      </c>
      <c r="P57" s="15" t="s">
        <v>140</v>
      </c>
      <c r="Q57" s="17" t="s">
        <v>90</v>
      </c>
      <c r="R57" s="17"/>
      <c r="S57" s="15" t="s">
        <v>1932</v>
      </c>
    </row>
    <row r="58" customFormat="false" ht="32.8" hidden="false" customHeight="false" outlineLevel="0" collapsed="false">
      <c r="A58" s="14" t="s">
        <v>1933</v>
      </c>
      <c r="B58" s="15" t="s">
        <v>1890</v>
      </c>
      <c r="C58" s="15" t="s">
        <v>1061</v>
      </c>
      <c r="D58" s="15" t="s">
        <v>1934</v>
      </c>
      <c r="E58" s="15" t="s">
        <v>1085</v>
      </c>
      <c r="F58" s="15" t="s">
        <v>1086</v>
      </c>
      <c r="G58" s="15" t="s">
        <v>1087</v>
      </c>
      <c r="H58" s="15" t="s">
        <v>362</v>
      </c>
      <c r="I58" s="15" t="s">
        <v>1088</v>
      </c>
      <c r="J58" s="16"/>
      <c r="K58" s="14" t="s">
        <v>20</v>
      </c>
      <c r="L58" s="14" t="s">
        <v>86</v>
      </c>
      <c r="M58" s="14" t="s">
        <v>1773</v>
      </c>
      <c r="N58" s="14" t="s">
        <v>87</v>
      </c>
      <c r="O58" s="15" t="s">
        <v>88</v>
      </c>
      <c r="P58" s="15" t="s">
        <v>140</v>
      </c>
      <c r="Q58" s="17" t="s">
        <v>90</v>
      </c>
      <c r="R58" s="17"/>
      <c r="S58" s="15" t="s">
        <v>1935</v>
      </c>
    </row>
    <row r="59" customFormat="false" ht="32.8" hidden="false" customHeight="false" outlineLevel="0" collapsed="false">
      <c r="A59" s="14" t="s">
        <v>1936</v>
      </c>
      <c r="B59" s="15" t="s">
        <v>1937</v>
      </c>
      <c r="C59" s="15" t="s">
        <v>1144</v>
      </c>
      <c r="D59" s="15" t="s">
        <v>1938</v>
      </c>
      <c r="E59" s="15" t="s">
        <v>1146</v>
      </c>
      <c r="F59" s="15" t="s">
        <v>1147</v>
      </c>
      <c r="G59" s="15" t="s">
        <v>463</v>
      </c>
      <c r="H59" s="15" t="s">
        <v>1148</v>
      </c>
      <c r="I59" s="15" t="s">
        <v>1149</v>
      </c>
      <c r="J59" s="16"/>
      <c r="K59" s="14" t="s">
        <v>20</v>
      </c>
      <c r="L59" s="14" t="s">
        <v>86</v>
      </c>
      <c r="M59" s="14" t="s">
        <v>1773</v>
      </c>
      <c r="N59" s="14" t="s">
        <v>87</v>
      </c>
      <c r="O59" s="15" t="s">
        <v>88</v>
      </c>
      <c r="P59" s="15" t="s">
        <v>89</v>
      </c>
      <c r="Q59" s="17" t="s">
        <v>90</v>
      </c>
      <c r="R59" s="17"/>
      <c r="S59" s="15" t="s">
        <v>1939</v>
      </c>
    </row>
    <row r="60" customFormat="false" ht="32.8" hidden="false" customHeight="false" outlineLevel="0" collapsed="false">
      <c r="A60" s="14" t="s">
        <v>1940</v>
      </c>
      <c r="B60" s="15" t="s">
        <v>1937</v>
      </c>
      <c r="C60" s="15" t="s">
        <v>1144</v>
      </c>
      <c r="D60" s="15" t="s">
        <v>1941</v>
      </c>
      <c r="E60" s="15" t="s">
        <v>1154</v>
      </c>
      <c r="F60" s="15" t="s">
        <v>1155</v>
      </c>
      <c r="G60" s="15" t="s">
        <v>1156</v>
      </c>
      <c r="H60" s="15" t="s">
        <v>1157</v>
      </c>
      <c r="I60" s="15" t="s">
        <v>1158</v>
      </c>
      <c r="J60" s="16"/>
      <c r="K60" s="14" t="s">
        <v>20</v>
      </c>
      <c r="L60" s="14" t="s">
        <v>86</v>
      </c>
      <c r="M60" s="14" t="s">
        <v>1773</v>
      </c>
      <c r="N60" s="14" t="s">
        <v>87</v>
      </c>
      <c r="O60" s="15" t="s">
        <v>88</v>
      </c>
      <c r="P60" s="15" t="s">
        <v>89</v>
      </c>
      <c r="Q60" s="17" t="s">
        <v>90</v>
      </c>
      <c r="R60" s="17"/>
      <c r="S60" s="15" t="s">
        <v>1942</v>
      </c>
    </row>
    <row r="61" customFormat="false" ht="32.8" hidden="false" customHeight="false" outlineLevel="0" collapsed="false">
      <c r="A61" s="14" t="s">
        <v>1943</v>
      </c>
      <c r="B61" s="15" t="s">
        <v>1937</v>
      </c>
      <c r="C61" s="15" t="s">
        <v>1144</v>
      </c>
      <c r="D61" s="15" t="s">
        <v>1944</v>
      </c>
      <c r="E61" s="15" t="s">
        <v>1162</v>
      </c>
      <c r="F61" s="15" t="s">
        <v>1163</v>
      </c>
      <c r="G61" s="15" t="s">
        <v>1164</v>
      </c>
      <c r="H61" s="15" t="s">
        <v>1165</v>
      </c>
      <c r="I61" s="15" t="s">
        <v>1166</v>
      </c>
      <c r="J61" s="16"/>
      <c r="K61" s="14" t="s">
        <v>19</v>
      </c>
      <c r="L61" s="14" t="s">
        <v>86</v>
      </c>
      <c r="M61" s="14" t="s">
        <v>1773</v>
      </c>
      <c r="N61" s="14" t="s">
        <v>87</v>
      </c>
      <c r="O61" s="15" t="s">
        <v>88</v>
      </c>
      <c r="P61" s="15" t="s">
        <v>89</v>
      </c>
      <c r="Q61" s="17" t="s">
        <v>90</v>
      </c>
      <c r="R61" s="17"/>
      <c r="S61" s="15" t="s">
        <v>1945</v>
      </c>
    </row>
    <row r="62" customFormat="false" ht="32.8" hidden="false" customHeight="false" outlineLevel="0" collapsed="false">
      <c r="A62" s="14" t="s">
        <v>1946</v>
      </c>
      <c r="B62" s="15" t="s">
        <v>1937</v>
      </c>
      <c r="C62" s="15" t="s">
        <v>1144</v>
      </c>
      <c r="D62" s="15" t="s">
        <v>1947</v>
      </c>
      <c r="E62" s="15" t="s">
        <v>1183</v>
      </c>
      <c r="F62" s="15" t="s">
        <v>1163</v>
      </c>
      <c r="G62" s="15" t="s">
        <v>1184</v>
      </c>
      <c r="H62" s="15" t="s">
        <v>1185</v>
      </c>
      <c r="I62" s="15" t="s">
        <v>1186</v>
      </c>
      <c r="J62" s="16"/>
      <c r="K62" s="14" t="s">
        <v>20</v>
      </c>
      <c r="L62" s="14" t="s">
        <v>86</v>
      </c>
      <c r="M62" s="14" t="s">
        <v>1773</v>
      </c>
      <c r="N62" s="14" t="s">
        <v>87</v>
      </c>
      <c r="O62" s="15" t="s">
        <v>88</v>
      </c>
      <c r="P62" s="15" t="s">
        <v>89</v>
      </c>
      <c r="Q62" s="17" t="s">
        <v>90</v>
      </c>
      <c r="R62" s="17"/>
      <c r="S62" s="15" t="s">
        <v>1948</v>
      </c>
    </row>
    <row r="63" customFormat="false" ht="32.8" hidden="false" customHeight="false" outlineLevel="0" collapsed="false">
      <c r="A63" s="14" t="s">
        <v>1949</v>
      </c>
      <c r="B63" s="15" t="s">
        <v>1937</v>
      </c>
      <c r="C63" s="15" t="s">
        <v>1144</v>
      </c>
      <c r="D63" s="15" t="s">
        <v>1950</v>
      </c>
      <c r="E63" s="15" t="s">
        <v>1188</v>
      </c>
      <c r="F63" s="15" t="s">
        <v>1189</v>
      </c>
      <c r="G63" s="15" t="s">
        <v>1190</v>
      </c>
      <c r="H63" s="15" t="s">
        <v>1191</v>
      </c>
      <c r="I63" s="15" t="s">
        <v>1192</v>
      </c>
      <c r="J63" s="16"/>
      <c r="K63" s="14" t="s">
        <v>20</v>
      </c>
      <c r="L63" s="14" t="s">
        <v>86</v>
      </c>
      <c r="M63" s="14" t="s">
        <v>1773</v>
      </c>
      <c r="N63" s="14" t="s">
        <v>87</v>
      </c>
      <c r="O63" s="15" t="s">
        <v>88</v>
      </c>
      <c r="P63" s="15" t="s">
        <v>89</v>
      </c>
      <c r="Q63" s="17" t="s">
        <v>90</v>
      </c>
      <c r="R63" s="17"/>
      <c r="S63" s="15" t="s">
        <v>1951</v>
      </c>
    </row>
    <row r="64" customFormat="false" ht="32.8" hidden="false" customHeight="false" outlineLevel="0" collapsed="false">
      <c r="A64" s="14" t="s">
        <v>1952</v>
      </c>
      <c r="B64" s="15" t="s">
        <v>1937</v>
      </c>
      <c r="C64" s="15" t="s">
        <v>1144</v>
      </c>
      <c r="D64" s="15" t="s">
        <v>1953</v>
      </c>
      <c r="E64" s="15" t="s">
        <v>1195</v>
      </c>
      <c r="F64" s="15" t="s">
        <v>1196</v>
      </c>
      <c r="G64" s="15" t="s">
        <v>1197</v>
      </c>
      <c r="H64" s="15" t="s">
        <v>1198</v>
      </c>
      <c r="I64" s="15" t="s">
        <v>1199</v>
      </c>
      <c r="J64" s="16"/>
      <c r="K64" s="14" t="s">
        <v>20</v>
      </c>
      <c r="L64" s="14" t="s">
        <v>86</v>
      </c>
      <c r="M64" s="14" t="s">
        <v>1773</v>
      </c>
      <c r="N64" s="14" t="s">
        <v>87</v>
      </c>
      <c r="O64" s="15" t="s">
        <v>88</v>
      </c>
      <c r="P64" s="15" t="s">
        <v>89</v>
      </c>
      <c r="Q64" s="17" t="s">
        <v>90</v>
      </c>
      <c r="R64" s="17"/>
      <c r="S64" s="15" t="s">
        <v>1954</v>
      </c>
    </row>
    <row r="65" customFormat="false" ht="43.25" hidden="false" customHeight="false" outlineLevel="0" collapsed="false">
      <c r="A65" s="14" t="s">
        <v>1955</v>
      </c>
      <c r="B65" s="15" t="s">
        <v>1937</v>
      </c>
      <c r="C65" s="15" t="s">
        <v>1144</v>
      </c>
      <c r="D65" s="15" t="s">
        <v>1956</v>
      </c>
      <c r="E65" s="15" t="s">
        <v>1203</v>
      </c>
      <c r="F65" s="15" t="s">
        <v>1163</v>
      </c>
      <c r="G65" s="15" t="s">
        <v>1204</v>
      </c>
      <c r="H65" s="15" t="s">
        <v>1205</v>
      </c>
      <c r="I65" s="15" t="s">
        <v>1206</v>
      </c>
      <c r="J65" s="16"/>
      <c r="K65" s="14" t="s">
        <v>20</v>
      </c>
      <c r="L65" s="14" t="s">
        <v>86</v>
      </c>
      <c r="M65" s="14" t="s">
        <v>1773</v>
      </c>
      <c r="N65" s="14" t="s">
        <v>87</v>
      </c>
      <c r="O65" s="15" t="s">
        <v>88</v>
      </c>
      <c r="P65" s="15" t="s">
        <v>89</v>
      </c>
      <c r="Q65" s="17" t="s">
        <v>90</v>
      </c>
      <c r="R65" s="17"/>
      <c r="S65" s="15" t="s">
        <v>1957</v>
      </c>
    </row>
    <row r="66" customFormat="false" ht="32.8" hidden="false" customHeight="false" outlineLevel="0" collapsed="false">
      <c r="A66" s="14" t="s">
        <v>1958</v>
      </c>
      <c r="B66" s="15" t="s">
        <v>1937</v>
      </c>
      <c r="C66" s="15" t="s">
        <v>1144</v>
      </c>
      <c r="D66" s="15" t="s">
        <v>1959</v>
      </c>
      <c r="E66" s="15" t="s">
        <v>1210</v>
      </c>
      <c r="F66" s="15" t="s">
        <v>1211</v>
      </c>
      <c r="G66" s="15" t="s">
        <v>96</v>
      </c>
      <c r="H66" s="15" t="s">
        <v>1212</v>
      </c>
      <c r="I66" s="15" t="s">
        <v>1213</v>
      </c>
      <c r="J66" s="16"/>
      <c r="K66" s="14" t="s">
        <v>20</v>
      </c>
      <c r="L66" s="14" t="s">
        <v>86</v>
      </c>
      <c r="M66" s="14" t="s">
        <v>1773</v>
      </c>
      <c r="N66" s="14" t="s">
        <v>87</v>
      </c>
      <c r="O66" s="15" t="s">
        <v>88</v>
      </c>
      <c r="P66" s="15" t="s">
        <v>89</v>
      </c>
      <c r="Q66" s="17" t="s">
        <v>90</v>
      </c>
      <c r="R66" s="17"/>
      <c r="S66" s="15" t="s">
        <v>1960</v>
      </c>
    </row>
    <row r="67" customFormat="false" ht="32.8" hidden="false" customHeight="false" outlineLevel="0" collapsed="false">
      <c r="A67" s="14" t="s">
        <v>1961</v>
      </c>
      <c r="B67" s="15" t="s">
        <v>1937</v>
      </c>
      <c r="C67" s="15" t="s">
        <v>1144</v>
      </c>
      <c r="D67" s="15" t="s">
        <v>1962</v>
      </c>
      <c r="E67" s="15" t="s">
        <v>1218</v>
      </c>
      <c r="F67" s="15" t="s">
        <v>1219</v>
      </c>
      <c r="G67" s="15" t="s">
        <v>96</v>
      </c>
      <c r="H67" s="15" t="s">
        <v>1220</v>
      </c>
      <c r="I67" s="15" t="s">
        <v>1221</v>
      </c>
      <c r="J67" s="16"/>
      <c r="K67" s="14" t="s">
        <v>20</v>
      </c>
      <c r="L67" s="14" t="s">
        <v>86</v>
      </c>
      <c r="M67" s="14" t="s">
        <v>1773</v>
      </c>
      <c r="N67" s="14" t="s">
        <v>87</v>
      </c>
      <c r="O67" s="15" t="s">
        <v>88</v>
      </c>
      <c r="P67" s="15" t="s">
        <v>89</v>
      </c>
      <c r="Q67" s="17" t="s">
        <v>90</v>
      </c>
      <c r="R67" s="17"/>
      <c r="S67" s="15" t="s">
        <v>1963</v>
      </c>
    </row>
    <row r="68" customFormat="false" ht="32.8" hidden="false" customHeight="false" outlineLevel="0" collapsed="false">
      <c r="A68" s="14" t="s">
        <v>1964</v>
      </c>
      <c r="B68" s="15" t="s">
        <v>1937</v>
      </c>
      <c r="C68" s="15" t="s">
        <v>1144</v>
      </c>
      <c r="D68" s="15" t="s">
        <v>1965</v>
      </c>
      <c r="E68" s="15" t="s">
        <v>1224</v>
      </c>
      <c r="F68" s="15" t="s">
        <v>1225</v>
      </c>
      <c r="G68" s="15" t="s">
        <v>1087</v>
      </c>
      <c r="H68" s="15" t="s">
        <v>1226</v>
      </c>
      <c r="I68" s="15" t="s">
        <v>1227</v>
      </c>
      <c r="J68" s="16"/>
      <c r="K68" s="14" t="s">
        <v>20</v>
      </c>
      <c r="L68" s="14" t="s">
        <v>86</v>
      </c>
      <c r="M68" s="14" t="s">
        <v>1773</v>
      </c>
      <c r="N68" s="14" t="s">
        <v>87</v>
      </c>
      <c r="O68" s="15" t="s">
        <v>88</v>
      </c>
      <c r="P68" s="15" t="s">
        <v>140</v>
      </c>
      <c r="Q68" s="17" t="s">
        <v>90</v>
      </c>
      <c r="R68" s="17"/>
      <c r="S68" s="15" t="s">
        <v>1966</v>
      </c>
    </row>
    <row r="69" customFormat="false" ht="32.8" hidden="false" customHeight="false" outlineLevel="0" collapsed="false">
      <c r="A69" s="14" t="s">
        <v>1967</v>
      </c>
      <c r="B69" s="15" t="s">
        <v>1937</v>
      </c>
      <c r="C69" s="15" t="s">
        <v>1229</v>
      </c>
      <c r="D69" s="15" t="s">
        <v>1938</v>
      </c>
      <c r="E69" s="15" t="s">
        <v>1230</v>
      </c>
      <c r="F69" s="15" t="s">
        <v>1147</v>
      </c>
      <c r="G69" s="15" t="s">
        <v>463</v>
      </c>
      <c r="H69" s="15" t="s">
        <v>1231</v>
      </c>
      <c r="I69" s="15" t="s">
        <v>1232</v>
      </c>
      <c r="J69" s="16"/>
      <c r="K69" s="14" t="s">
        <v>20</v>
      </c>
      <c r="L69" s="14" t="s">
        <v>86</v>
      </c>
      <c r="M69" s="14" t="s">
        <v>1773</v>
      </c>
      <c r="N69" s="14" t="s">
        <v>87</v>
      </c>
      <c r="O69" s="15" t="s">
        <v>88</v>
      </c>
      <c r="P69" s="15" t="s">
        <v>89</v>
      </c>
      <c r="Q69" s="17" t="s">
        <v>90</v>
      </c>
      <c r="R69" s="17"/>
      <c r="S69" s="15" t="s">
        <v>1968</v>
      </c>
    </row>
    <row r="70" customFormat="false" ht="32.8" hidden="false" customHeight="false" outlineLevel="0" collapsed="false">
      <c r="A70" s="14" t="s">
        <v>1969</v>
      </c>
      <c r="B70" s="15" t="s">
        <v>1937</v>
      </c>
      <c r="C70" s="15" t="s">
        <v>1229</v>
      </c>
      <c r="D70" s="15" t="s">
        <v>1941</v>
      </c>
      <c r="E70" s="15" t="s">
        <v>1235</v>
      </c>
      <c r="F70" s="15" t="s">
        <v>1155</v>
      </c>
      <c r="G70" s="15" t="s">
        <v>1156</v>
      </c>
      <c r="H70" s="15" t="s">
        <v>1157</v>
      </c>
      <c r="I70" s="15" t="s">
        <v>1236</v>
      </c>
      <c r="J70" s="16"/>
      <c r="K70" s="14" t="s">
        <v>20</v>
      </c>
      <c r="L70" s="14" t="s">
        <v>86</v>
      </c>
      <c r="M70" s="14" t="s">
        <v>1773</v>
      </c>
      <c r="N70" s="14" t="s">
        <v>87</v>
      </c>
      <c r="O70" s="15" t="s">
        <v>88</v>
      </c>
      <c r="P70" s="15" t="s">
        <v>89</v>
      </c>
      <c r="Q70" s="17" t="s">
        <v>90</v>
      </c>
      <c r="R70" s="17"/>
      <c r="S70" s="15" t="s">
        <v>1970</v>
      </c>
    </row>
    <row r="71" customFormat="false" ht="32.8" hidden="false" customHeight="false" outlineLevel="0" collapsed="false">
      <c r="A71" s="14" t="s">
        <v>1971</v>
      </c>
      <c r="B71" s="15" t="s">
        <v>1937</v>
      </c>
      <c r="C71" s="15" t="s">
        <v>1229</v>
      </c>
      <c r="D71" s="15" t="s">
        <v>1944</v>
      </c>
      <c r="E71" s="15" t="s">
        <v>1239</v>
      </c>
      <c r="F71" s="15" t="s">
        <v>1163</v>
      </c>
      <c r="G71" s="15" t="s">
        <v>1164</v>
      </c>
      <c r="H71" s="15" t="s">
        <v>1165</v>
      </c>
      <c r="I71" s="15" t="s">
        <v>1166</v>
      </c>
      <c r="J71" s="16"/>
      <c r="K71" s="14" t="s">
        <v>19</v>
      </c>
      <c r="L71" s="14" t="s">
        <v>86</v>
      </c>
      <c r="M71" s="14" t="s">
        <v>1773</v>
      </c>
      <c r="N71" s="14" t="s">
        <v>87</v>
      </c>
      <c r="O71" s="15" t="s">
        <v>88</v>
      </c>
      <c r="P71" s="15" t="s">
        <v>89</v>
      </c>
      <c r="Q71" s="17" t="s">
        <v>90</v>
      </c>
      <c r="R71" s="17"/>
      <c r="S71" s="15" t="s">
        <v>1972</v>
      </c>
    </row>
    <row r="72" customFormat="false" ht="32.8" hidden="false" customHeight="false" outlineLevel="0" collapsed="false">
      <c r="A72" s="14" t="s">
        <v>1973</v>
      </c>
      <c r="B72" s="15" t="s">
        <v>1937</v>
      </c>
      <c r="C72" s="15" t="s">
        <v>1229</v>
      </c>
      <c r="D72" s="15" t="s">
        <v>1947</v>
      </c>
      <c r="E72" s="15" t="s">
        <v>1248</v>
      </c>
      <c r="F72" s="15" t="s">
        <v>1163</v>
      </c>
      <c r="G72" s="15" t="s">
        <v>1249</v>
      </c>
      <c r="H72" s="15" t="s">
        <v>1185</v>
      </c>
      <c r="I72" s="15" t="s">
        <v>1186</v>
      </c>
      <c r="J72" s="16"/>
      <c r="K72" s="14" t="s">
        <v>20</v>
      </c>
      <c r="L72" s="14" t="s">
        <v>86</v>
      </c>
      <c r="M72" s="14" t="s">
        <v>1773</v>
      </c>
      <c r="N72" s="14" t="s">
        <v>87</v>
      </c>
      <c r="O72" s="15" t="s">
        <v>88</v>
      </c>
      <c r="P72" s="15" t="s">
        <v>89</v>
      </c>
      <c r="Q72" s="17" t="s">
        <v>90</v>
      </c>
      <c r="R72" s="17"/>
      <c r="S72" s="15" t="s">
        <v>1974</v>
      </c>
    </row>
    <row r="73" customFormat="false" ht="32.8" hidden="false" customHeight="false" outlineLevel="0" collapsed="false">
      <c r="A73" s="14" t="s">
        <v>1975</v>
      </c>
      <c r="B73" s="15" t="s">
        <v>1937</v>
      </c>
      <c r="C73" s="15" t="s">
        <v>1229</v>
      </c>
      <c r="D73" s="15" t="s">
        <v>1950</v>
      </c>
      <c r="E73" s="15" t="s">
        <v>1251</v>
      </c>
      <c r="F73" s="15" t="s">
        <v>1189</v>
      </c>
      <c r="G73" s="15" t="s">
        <v>1190</v>
      </c>
      <c r="H73" s="15" t="s">
        <v>1191</v>
      </c>
      <c r="I73" s="15" t="s">
        <v>1192</v>
      </c>
      <c r="J73" s="16"/>
      <c r="K73" s="14" t="s">
        <v>20</v>
      </c>
      <c r="L73" s="14" t="s">
        <v>86</v>
      </c>
      <c r="M73" s="14" t="s">
        <v>1773</v>
      </c>
      <c r="N73" s="14" t="s">
        <v>87</v>
      </c>
      <c r="O73" s="15" t="s">
        <v>88</v>
      </c>
      <c r="P73" s="15" t="s">
        <v>89</v>
      </c>
      <c r="Q73" s="17" t="s">
        <v>90</v>
      </c>
      <c r="R73" s="17"/>
      <c r="S73" s="15" t="s">
        <v>1976</v>
      </c>
    </row>
    <row r="74" customFormat="false" ht="32.8" hidden="false" customHeight="false" outlineLevel="0" collapsed="false">
      <c r="A74" s="14" t="s">
        <v>1977</v>
      </c>
      <c r="B74" s="15" t="s">
        <v>1937</v>
      </c>
      <c r="C74" s="15" t="s">
        <v>1229</v>
      </c>
      <c r="D74" s="15" t="s">
        <v>1953</v>
      </c>
      <c r="E74" s="15" t="s">
        <v>1253</v>
      </c>
      <c r="F74" s="15" t="s">
        <v>1196</v>
      </c>
      <c r="G74" s="15" t="s">
        <v>1197</v>
      </c>
      <c r="H74" s="15" t="s">
        <v>1198</v>
      </c>
      <c r="I74" s="15" t="s">
        <v>1199</v>
      </c>
      <c r="J74" s="16"/>
      <c r="K74" s="14" t="s">
        <v>20</v>
      </c>
      <c r="L74" s="14" t="s">
        <v>86</v>
      </c>
      <c r="M74" s="14" t="s">
        <v>1773</v>
      </c>
      <c r="N74" s="14" t="s">
        <v>87</v>
      </c>
      <c r="O74" s="15" t="s">
        <v>88</v>
      </c>
      <c r="P74" s="15" t="s">
        <v>89</v>
      </c>
      <c r="Q74" s="17" t="s">
        <v>90</v>
      </c>
      <c r="R74" s="17"/>
      <c r="S74" s="15" t="s">
        <v>1978</v>
      </c>
    </row>
    <row r="75" customFormat="false" ht="43.25" hidden="false" customHeight="false" outlineLevel="0" collapsed="false">
      <c r="A75" s="14" t="s">
        <v>1979</v>
      </c>
      <c r="B75" s="15" t="s">
        <v>1937</v>
      </c>
      <c r="C75" s="15" t="s">
        <v>1229</v>
      </c>
      <c r="D75" s="15" t="s">
        <v>1956</v>
      </c>
      <c r="E75" s="15" t="s">
        <v>1255</v>
      </c>
      <c r="F75" s="15" t="s">
        <v>1163</v>
      </c>
      <c r="G75" s="15" t="s">
        <v>1204</v>
      </c>
      <c r="H75" s="15" t="s">
        <v>1205</v>
      </c>
      <c r="I75" s="15" t="s">
        <v>1206</v>
      </c>
      <c r="J75" s="16"/>
      <c r="K75" s="14" t="s">
        <v>20</v>
      </c>
      <c r="L75" s="14" t="s">
        <v>86</v>
      </c>
      <c r="M75" s="14" t="s">
        <v>1773</v>
      </c>
      <c r="N75" s="14" t="s">
        <v>87</v>
      </c>
      <c r="O75" s="15" t="s">
        <v>88</v>
      </c>
      <c r="P75" s="15" t="s">
        <v>89</v>
      </c>
      <c r="Q75" s="17" t="s">
        <v>90</v>
      </c>
      <c r="R75" s="17"/>
      <c r="S75" s="15" t="s">
        <v>1980</v>
      </c>
    </row>
    <row r="76" customFormat="false" ht="32.8" hidden="false" customHeight="false" outlineLevel="0" collapsed="false">
      <c r="A76" s="14" t="s">
        <v>1981</v>
      </c>
      <c r="B76" s="15" t="s">
        <v>1937</v>
      </c>
      <c r="C76" s="15" t="s">
        <v>1229</v>
      </c>
      <c r="D76" s="15" t="s">
        <v>1959</v>
      </c>
      <c r="E76" s="15" t="s">
        <v>1257</v>
      </c>
      <c r="F76" s="15" t="s">
        <v>1258</v>
      </c>
      <c r="G76" s="15" t="s">
        <v>96</v>
      </c>
      <c r="H76" s="15" t="s">
        <v>1212</v>
      </c>
      <c r="I76" s="15" t="s">
        <v>1213</v>
      </c>
      <c r="J76" s="16"/>
      <c r="K76" s="14" t="s">
        <v>20</v>
      </c>
      <c r="L76" s="14" t="s">
        <v>86</v>
      </c>
      <c r="M76" s="14" t="s">
        <v>1773</v>
      </c>
      <c r="N76" s="14" t="s">
        <v>87</v>
      </c>
      <c r="O76" s="15" t="s">
        <v>88</v>
      </c>
      <c r="P76" s="15" t="s">
        <v>89</v>
      </c>
      <c r="Q76" s="17" t="s">
        <v>90</v>
      </c>
      <c r="R76" s="17"/>
      <c r="S76" s="15" t="s">
        <v>1982</v>
      </c>
    </row>
    <row r="77" customFormat="false" ht="32.8" hidden="false" customHeight="false" outlineLevel="0" collapsed="false">
      <c r="A77" s="14" t="s">
        <v>1983</v>
      </c>
      <c r="B77" s="15" t="s">
        <v>1937</v>
      </c>
      <c r="C77" s="15" t="s">
        <v>1229</v>
      </c>
      <c r="D77" s="15" t="s">
        <v>1962</v>
      </c>
      <c r="E77" s="15" t="s">
        <v>1260</v>
      </c>
      <c r="F77" s="15" t="s">
        <v>1219</v>
      </c>
      <c r="G77" s="15" t="s">
        <v>96</v>
      </c>
      <c r="H77" s="15" t="s">
        <v>1220</v>
      </c>
      <c r="I77" s="15" t="s">
        <v>1221</v>
      </c>
      <c r="J77" s="16"/>
      <c r="K77" s="14" t="s">
        <v>20</v>
      </c>
      <c r="L77" s="14" t="s">
        <v>86</v>
      </c>
      <c r="M77" s="14" t="s">
        <v>1773</v>
      </c>
      <c r="N77" s="14" t="s">
        <v>87</v>
      </c>
      <c r="O77" s="15" t="s">
        <v>88</v>
      </c>
      <c r="P77" s="15" t="s">
        <v>89</v>
      </c>
      <c r="Q77" s="17" t="s">
        <v>90</v>
      </c>
      <c r="R77" s="17"/>
      <c r="S77" s="15" t="s">
        <v>1984</v>
      </c>
    </row>
    <row r="78" customFormat="false" ht="32.8" hidden="false" customHeight="false" outlineLevel="0" collapsed="false">
      <c r="A78" s="14" t="s">
        <v>1985</v>
      </c>
      <c r="B78" s="15" t="s">
        <v>1937</v>
      </c>
      <c r="C78" s="15" t="s">
        <v>1229</v>
      </c>
      <c r="D78" s="15" t="s">
        <v>1965</v>
      </c>
      <c r="E78" s="15" t="s">
        <v>1262</v>
      </c>
      <c r="F78" s="15" t="s">
        <v>1225</v>
      </c>
      <c r="G78" s="15" t="s">
        <v>1087</v>
      </c>
      <c r="H78" s="15" t="s">
        <v>1226</v>
      </c>
      <c r="I78" s="15" t="s">
        <v>1227</v>
      </c>
      <c r="J78" s="16"/>
      <c r="K78" s="14" t="s">
        <v>20</v>
      </c>
      <c r="L78" s="14" t="s">
        <v>86</v>
      </c>
      <c r="M78" s="14" t="s">
        <v>1773</v>
      </c>
      <c r="N78" s="14" t="s">
        <v>87</v>
      </c>
      <c r="O78" s="15" t="s">
        <v>88</v>
      </c>
      <c r="P78" s="15" t="s">
        <v>140</v>
      </c>
      <c r="Q78" s="17" t="s">
        <v>90</v>
      </c>
      <c r="R78" s="17"/>
      <c r="S78" s="15" t="s">
        <v>1986</v>
      </c>
    </row>
    <row r="79" customFormat="false" ht="32.8" hidden="false" customHeight="false" outlineLevel="0" collapsed="false">
      <c r="A79" s="14" t="s">
        <v>1987</v>
      </c>
      <c r="B79" s="15" t="s">
        <v>1937</v>
      </c>
      <c r="C79" s="15" t="s">
        <v>1144</v>
      </c>
      <c r="D79" s="15" t="s">
        <v>1988</v>
      </c>
      <c r="E79" s="15" t="s">
        <v>1265</v>
      </c>
      <c r="F79" s="15" t="s">
        <v>1266</v>
      </c>
      <c r="G79" s="15" t="s">
        <v>1267</v>
      </c>
      <c r="H79" s="15" t="s">
        <v>1268</v>
      </c>
      <c r="I79" s="15" t="s">
        <v>1269</v>
      </c>
      <c r="J79" s="16"/>
      <c r="K79" s="14" t="s">
        <v>20</v>
      </c>
      <c r="L79" s="14" t="s">
        <v>86</v>
      </c>
      <c r="M79" s="14" t="s">
        <v>1773</v>
      </c>
      <c r="N79" s="14" t="s">
        <v>87</v>
      </c>
      <c r="O79" s="15" t="s">
        <v>88</v>
      </c>
      <c r="P79" s="15" t="s">
        <v>89</v>
      </c>
      <c r="Q79" s="17" t="s">
        <v>90</v>
      </c>
      <c r="R79" s="17"/>
      <c r="S79" s="15" t="s">
        <v>1989</v>
      </c>
    </row>
    <row r="80" customFormat="false" ht="32.8" hidden="false" customHeight="false" outlineLevel="0" collapsed="false">
      <c r="A80" s="14" t="s">
        <v>1990</v>
      </c>
      <c r="B80" s="15" t="s">
        <v>1937</v>
      </c>
      <c r="C80" s="15" t="s">
        <v>1144</v>
      </c>
      <c r="D80" s="15" t="s">
        <v>1991</v>
      </c>
      <c r="E80" s="15" t="s">
        <v>1273</v>
      </c>
      <c r="F80" s="15" t="s">
        <v>1274</v>
      </c>
      <c r="G80" s="15" t="s">
        <v>1275</v>
      </c>
      <c r="H80" s="15" t="s">
        <v>1276</v>
      </c>
      <c r="I80" s="15" t="s">
        <v>1277</v>
      </c>
      <c r="J80" s="16"/>
      <c r="K80" s="14" t="s">
        <v>20</v>
      </c>
      <c r="L80" s="14" t="s">
        <v>86</v>
      </c>
      <c r="M80" s="14" t="s">
        <v>1773</v>
      </c>
      <c r="N80" s="14" t="s">
        <v>87</v>
      </c>
      <c r="O80" s="15" t="s">
        <v>88</v>
      </c>
      <c r="P80" s="15" t="s">
        <v>89</v>
      </c>
      <c r="Q80" s="17" t="s">
        <v>90</v>
      </c>
      <c r="R80" s="17"/>
      <c r="S80" s="15" t="s">
        <v>1992</v>
      </c>
    </row>
    <row r="81" customFormat="false" ht="32.8" hidden="false" customHeight="false" outlineLevel="0" collapsed="false">
      <c r="A81" s="14" t="s">
        <v>1993</v>
      </c>
      <c r="B81" s="15" t="s">
        <v>1937</v>
      </c>
      <c r="C81" s="15" t="s">
        <v>1144</v>
      </c>
      <c r="D81" s="15" t="s">
        <v>1994</v>
      </c>
      <c r="E81" s="15" t="s">
        <v>1281</v>
      </c>
      <c r="F81" s="15" t="s">
        <v>1282</v>
      </c>
      <c r="G81" s="15" t="s">
        <v>96</v>
      </c>
      <c r="H81" s="15" t="s">
        <v>1283</v>
      </c>
      <c r="I81" s="15" t="s">
        <v>1284</v>
      </c>
      <c r="J81" s="16"/>
      <c r="K81" s="14" t="s">
        <v>20</v>
      </c>
      <c r="L81" s="14" t="s">
        <v>86</v>
      </c>
      <c r="M81" s="14" t="s">
        <v>1773</v>
      </c>
      <c r="N81" s="14" t="s">
        <v>87</v>
      </c>
      <c r="O81" s="15" t="s">
        <v>88</v>
      </c>
      <c r="P81" s="15" t="s">
        <v>89</v>
      </c>
      <c r="Q81" s="17" t="s">
        <v>90</v>
      </c>
      <c r="R81" s="17"/>
      <c r="S81" s="15" t="s">
        <v>1995</v>
      </c>
    </row>
    <row r="82" customFormat="false" ht="32.8" hidden="false" customHeight="false" outlineLevel="0" collapsed="false">
      <c r="A82" s="14" t="s">
        <v>1996</v>
      </c>
      <c r="B82" s="15" t="s">
        <v>1937</v>
      </c>
      <c r="C82" s="15" t="s">
        <v>1229</v>
      </c>
      <c r="D82" s="15" t="s">
        <v>1997</v>
      </c>
      <c r="E82" s="15" t="s">
        <v>1340</v>
      </c>
      <c r="F82" s="15" t="s">
        <v>1289</v>
      </c>
      <c r="G82" s="15" t="s">
        <v>1341</v>
      </c>
      <c r="H82" s="15" t="s">
        <v>1342</v>
      </c>
      <c r="I82" s="15" t="s">
        <v>1343</v>
      </c>
      <c r="J82" s="16"/>
      <c r="K82" s="14" t="s">
        <v>20</v>
      </c>
      <c r="L82" s="14" t="s">
        <v>86</v>
      </c>
      <c r="M82" s="14" t="s">
        <v>1773</v>
      </c>
      <c r="N82" s="14" t="s">
        <v>87</v>
      </c>
      <c r="O82" s="15" t="s">
        <v>88</v>
      </c>
      <c r="P82" s="15" t="s">
        <v>89</v>
      </c>
      <c r="Q82" s="17" t="s">
        <v>90</v>
      </c>
      <c r="R82" s="17"/>
      <c r="S82" s="15" t="s">
        <v>1998</v>
      </c>
    </row>
    <row r="83" customFormat="false" ht="32.8" hidden="false" customHeight="false" outlineLevel="0" collapsed="false">
      <c r="A83" s="14" t="s">
        <v>1999</v>
      </c>
      <c r="B83" s="15" t="s">
        <v>1937</v>
      </c>
      <c r="C83" s="15" t="s">
        <v>1229</v>
      </c>
      <c r="D83" s="15" t="s">
        <v>2000</v>
      </c>
      <c r="E83" s="15" t="s">
        <v>1347</v>
      </c>
      <c r="F83" s="15" t="s">
        <v>1348</v>
      </c>
      <c r="G83" s="15" t="s">
        <v>96</v>
      </c>
      <c r="H83" s="15" t="s">
        <v>1349</v>
      </c>
      <c r="I83" s="15" t="s">
        <v>1350</v>
      </c>
      <c r="J83" s="16"/>
      <c r="K83" s="14" t="s">
        <v>20</v>
      </c>
      <c r="L83" s="14" t="s">
        <v>86</v>
      </c>
      <c r="M83" s="14" t="s">
        <v>1773</v>
      </c>
      <c r="N83" s="14" t="s">
        <v>87</v>
      </c>
      <c r="O83" s="15" t="s">
        <v>88</v>
      </c>
      <c r="P83" s="15" t="s">
        <v>89</v>
      </c>
      <c r="Q83" s="17" t="s">
        <v>90</v>
      </c>
      <c r="R83" s="17"/>
      <c r="S83" s="15" t="s">
        <v>2001</v>
      </c>
    </row>
    <row r="84" customFormat="false" ht="32.8" hidden="false" customHeight="false" outlineLevel="0" collapsed="false">
      <c r="A84" s="14" t="s">
        <v>2002</v>
      </c>
      <c r="B84" s="15" t="s">
        <v>1937</v>
      </c>
      <c r="C84" s="15" t="s">
        <v>1229</v>
      </c>
      <c r="D84" s="15" t="s">
        <v>1994</v>
      </c>
      <c r="E84" s="15" t="s">
        <v>1353</v>
      </c>
      <c r="F84" s="15" t="s">
        <v>63</v>
      </c>
      <c r="G84" s="15" t="s">
        <v>96</v>
      </c>
      <c r="H84" s="15" t="s">
        <v>1354</v>
      </c>
      <c r="I84" s="15" t="s">
        <v>1355</v>
      </c>
      <c r="J84" s="16"/>
      <c r="K84" s="14" t="s">
        <v>20</v>
      </c>
      <c r="L84" s="14" t="s">
        <v>86</v>
      </c>
      <c r="M84" s="14" t="s">
        <v>1773</v>
      </c>
      <c r="N84" s="14" t="s">
        <v>87</v>
      </c>
      <c r="O84" s="15" t="s">
        <v>88</v>
      </c>
      <c r="P84" s="15" t="s">
        <v>89</v>
      </c>
      <c r="Q84" s="17" t="s">
        <v>90</v>
      </c>
      <c r="R84" s="17"/>
      <c r="S84" s="15" t="s">
        <v>2003</v>
      </c>
    </row>
    <row r="85" customFormat="false" ht="32.8" hidden="false" customHeight="false" outlineLevel="0" collapsed="false">
      <c r="A85" s="14" t="s">
        <v>2004</v>
      </c>
      <c r="B85" s="15" t="s">
        <v>1937</v>
      </c>
      <c r="C85" s="15" t="s">
        <v>1376</v>
      </c>
      <c r="D85" s="15" t="s">
        <v>2005</v>
      </c>
      <c r="E85" s="15" t="s">
        <v>1378</v>
      </c>
      <c r="F85" s="15" t="s">
        <v>460</v>
      </c>
      <c r="G85" s="15" t="s">
        <v>1379</v>
      </c>
      <c r="H85" s="15" t="s">
        <v>1380</v>
      </c>
      <c r="I85" s="15" t="s">
        <v>1381</v>
      </c>
      <c r="J85" s="16"/>
      <c r="K85" s="14" t="s">
        <v>20</v>
      </c>
      <c r="L85" s="14" t="s">
        <v>86</v>
      </c>
      <c r="M85" s="14" t="s">
        <v>1773</v>
      </c>
      <c r="N85" s="14" t="s">
        <v>87</v>
      </c>
      <c r="O85" s="15" t="s">
        <v>88</v>
      </c>
      <c r="P85" s="15" t="s">
        <v>89</v>
      </c>
      <c r="Q85" s="17" t="s">
        <v>90</v>
      </c>
      <c r="R85" s="17"/>
      <c r="S85" s="15" t="s">
        <v>2006</v>
      </c>
    </row>
    <row r="86" customFormat="false" ht="32.8" hidden="false" customHeight="false" outlineLevel="0" collapsed="false">
      <c r="A86" s="14" t="s">
        <v>2007</v>
      </c>
      <c r="B86" s="15" t="s">
        <v>1937</v>
      </c>
      <c r="C86" s="15" t="s">
        <v>1376</v>
      </c>
      <c r="D86" s="15" t="s">
        <v>2008</v>
      </c>
      <c r="E86" s="15" t="s">
        <v>1385</v>
      </c>
      <c r="F86" s="15" t="s">
        <v>460</v>
      </c>
      <c r="G86" s="15" t="s">
        <v>1379</v>
      </c>
      <c r="H86" s="15" t="s">
        <v>1386</v>
      </c>
      <c r="I86" s="15" t="s">
        <v>1387</v>
      </c>
      <c r="J86" s="16"/>
      <c r="K86" s="14" t="s">
        <v>20</v>
      </c>
      <c r="L86" s="14" t="s">
        <v>86</v>
      </c>
      <c r="M86" s="14" t="s">
        <v>1773</v>
      </c>
      <c r="N86" s="14" t="s">
        <v>87</v>
      </c>
      <c r="O86" s="15" t="s">
        <v>88</v>
      </c>
      <c r="P86" s="15" t="s">
        <v>89</v>
      </c>
      <c r="Q86" s="17" t="s">
        <v>90</v>
      </c>
      <c r="R86" s="17"/>
      <c r="S86" s="15" t="s">
        <v>2009</v>
      </c>
    </row>
    <row r="87" customFormat="false" ht="32.8" hidden="false" customHeight="false" outlineLevel="0" collapsed="false">
      <c r="A87" s="14" t="s">
        <v>2010</v>
      </c>
      <c r="B87" s="15" t="s">
        <v>1937</v>
      </c>
      <c r="C87" s="15" t="s">
        <v>1376</v>
      </c>
      <c r="D87" s="15" t="s">
        <v>2011</v>
      </c>
      <c r="E87" s="15" t="s">
        <v>1391</v>
      </c>
      <c r="F87" s="15" t="s">
        <v>460</v>
      </c>
      <c r="G87" s="15" t="s">
        <v>96</v>
      </c>
      <c r="H87" s="15" t="s">
        <v>1392</v>
      </c>
      <c r="I87" s="15" t="s">
        <v>1393</v>
      </c>
      <c r="J87" s="16"/>
      <c r="K87" s="14" t="s">
        <v>20</v>
      </c>
      <c r="L87" s="14" t="s">
        <v>86</v>
      </c>
      <c r="M87" s="14" t="s">
        <v>1773</v>
      </c>
      <c r="N87" s="14" t="s">
        <v>87</v>
      </c>
      <c r="O87" s="15" t="s">
        <v>88</v>
      </c>
      <c r="P87" s="15" t="s">
        <v>89</v>
      </c>
      <c r="Q87" s="17" t="s">
        <v>90</v>
      </c>
      <c r="R87" s="17"/>
      <c r="S87" s="15" t="s">
        <v>2012</v>
      </c>
    </row>
    <row r="88" customFormat="false" ht="32.8" hidden="false" customHeight="false" outlineLevel="0" collapsed="false">
      <c r="A88" s="14" t="s">
        <v>2013</v>
      </c>
      <c r="B88" s="15" t="s">
        <v>1937</v>
      </c>
      <c r="C88" s="15" t="s">
        <v>1376</v>
      </c>
      <c r="D88" s="15" t="s">
        <v>2014</v>
      </c>
      <c r="E88" s="15" t="s">
        <v>1396</v>
      </c>
      <c r="F88" s="15" t="s">
        <v>470</v>
      </c>
      <c r="G88" s="15" t="s">
        <v>96</v>
      </c>
      <c r="H88" s="15" t="s">
        <v>1397</v>
      </c>
      <c r="I88" s="15" t="s">
        <v>1398</v>
      </c>
      <c r="J88" s="16"/>
      <c r="K88" s="14" t="s">
        <v>20</v>
      </c>
      <c r="L88" s="14" t="s">
        <v>86</v>
      </c>
      <c r="M88" s="14" t="s">
        <v>1773</v>
      </c>
      <c r="N88" s="14" t="s">
        <v>87</v>
      </c>
      <c r="O88" s="15" t="s">
        <v>88</v>
      </c>
      <c r="P88" s="15" t="s">
        <v>89</v>
      </c>
      <c r="Q88" s="17" t="s">
        <v>90</v>
      </c>
      <c r="R88" s="17"/>
      <c r="S88" s="15" t="s">
        <v>2015</v>
      </c>
    </row>
    <row r="89" customFormat="false" ht="32.8" hidden="false" customHeight="false" outlineLevel="0" collapsed="false">
      <c r="A89" s="14" t="s">
        <v>2016</v>
      </c>
      <c r="B89" s="15" t="s">
        <v>1937</v>
      </c>
      <c r="C89" s="15" t="s">
        <v>1376</v>
      </c>
      <c r="D89" s="15" t="s">
        <v>2017</v>
      </c>
      <c r="E89" s="15" t="s">
        <v>1402</v>
      </c>
      <c r="F89" s="15" t="s">
        <v>1403</v>
      </c>
      <c r="G89" s="15" t="s">
        <v>1404</v>
      </c>
      <c r="H89" s="15" t="s">
        <v>1405</v>
      </c>
      <c r="I89" s="15" t="s">
        <v>1406</v>
      </c>
      <c r="J89" s="16"/>
      <c r="K89" s="14" t="s">
        <v>20</v>
      </c>
      <c r="L89" s="14" t="s">
        <v>86</v>
      </c>
      <c r="M89" s="14" t="s">
        <v>1773</v>
      </c>
      <c r="N89" s="14" t="s">
        <v>87</v>
      </c>
      <c r="O89" s="15" t="s">
        <v>88</v>
      </c>
      <c r="P89" s="15" t="s">
        <v>89</v>
      </c>
      <c r="Q89" s="17" t="s">
        <v>90</v>
      </c>
      <c r="R89" s="17"/>
      <c r="S89" s="15" t="s">
        <v>2018</v>
      </c>
    </row>
    <row r="90" customFormat="false" ht="32.8" hidden="false" customHeight="false" outlineLevel="0" collapsed="false">
      <c r="A90" s="14" t="s">
        <v>2019</v>
      </c>
      <c r="B90" s="15" t="s">
        <v>1937</v>
      </c>
      <c r="C90" s="15" t="s">
        <v>1409</v>
      </c>
      <c r="D90" s="15" t="s">
        <v>2020</v>
      </c>
      <c r="E90" s="15" t="s">
        <v>1418</v>
      </c>
      <c r="F90" s="15" t="s">
        <v>1419</v>
      </c>
      <c r="G90" s="15" t="s">
        <v>1420</v>
      </c>
      <c r="H90" s="15" t="s">
        <v>1421</v>
      </c>
      <c r="I90" s="15" t="s">
        <v>1422</v>
      </c>
      <c r="J90" s="16"/>
      <c r="K90" s="14" t="s">
        <v>20</v>
      </c>
      <c r="L90" s="14" t="s">
        <v>86</v>
      </c>
      <c r="M90" s="14" t="s">
        <v>1773</v>
      </c>
      <c r="N90" s="14" t="s">
        <v>87</v>
      </c>
      <c r="O90" s="15" t="s">
        <v>88</v>
      </c>
      <c r="P90" s="15" t="s">
        <v>89</v>
      </c>
      <c r="Q90" s="17" t="s">
        <v>90</v>
      </c>
      <c r="R90" s="17"/>
      <c r="S90" s="15" t="s">
        <v>2021</v>
      </c>
    </row>
    <row r="91" customFormat="false" ht="32.8" hidden="false" customHeight="false" outlineLevel="0" collapsed="false">
      <c r="A91" s="14" t="s">
        <v>2022</v>
      </c>
      <c r="B91" s="15" t="s">
        <v>1937</v>
      </c>
      <c r="C91" s="15" t="s">
        <v>483</v>
      </c>
      <c r="D91" s="15" t="s">
        <v>2023</v>
      </c>
      <c r="E91" s="15" t="s">
        <v>1426</v>
      </c>
      <c r="F91" s="15" t="s">
        <v>494</v>
      </c>
      <c r="G91" s="15" t="s">
        <v>1427</v>
      </c>
      <c r="H91" s="15" t="s">
        <v>1428</v>
      </c>
      <c r="I91" s="15" t="s">
        <v>1429</v>
      </c>
      <c r="J91" s="16"/>
      <c r="K91" s="14" t="s">
        <v>20</v>
      </c>
      <c r="L91" s="14" t="s">
        <v>86</v>
      </c>
      <c r="M91" s="14" t="s">
        <v>1773</v>
      </c>
      <c r="N91" s="14" t="s">
        <v>87</v>
      </c>
      <c r="O91" s="15" t="s">
        <v>88</v>
      </c>
      <c r="P91" s="15" t="s">
        <v>89</v>
      </c>
      <c r="Q91" s="17" t="s">
        <v>90</v>
      </c>
      <c r="R91" s="17"/>
      <c r="S91" s="15" t="s">
        <v>2024</v>
      </c>
    </row>
    <row r="92" customFormat="false" ht="32.8" hidden="false" customHeight="false" outlineLevel="0" collapsed="false">
      <c r="A92" s="14" t="s">
        <v>2025</v>
      </c>
      <c r="B92" s="15" t="s">
        <v>1937</v>
      </c>
      <c r="C92" s="15" t="s">
        <v>483</v>
      </c>
      <c r="D92" s="15" t="s">
        <v>2026</v>
      </c>
      <c r="E92" s="15" t="s">
        <v>1433</v>
      </c>
      <c r="F92" s="15" t="s">
        <v>1434</v>
      </c>
      <c r="G92" s="15" t="s">
        <v>1435</v>
      </c>
      <c r="H92" s="15" t="s">
        <v>1436</v>
      </c>
      <c r="I92" s="15" t="s">
        <v>1437</v>
      </c>
      <c r="J92" s="16"/>
      <c r="K92" s="14" t="s">
        <v>20</v>
      </c>
      <c r="L92" s="14" t="s">
        <v>86</v>
      </c>
      <c r="M92" s="14" t="s">
        <v>1773</v>
      </c>
      <c r="N92" s="14" t="s">
        <v>87</v>
      </c>
      <c r="O92" s="15" t="s">
        <v>88</v>
      </c>
      <c r="P92" s="15" t="s">
        <v>89</v>
      </c>
      <c r="Q92" s="17" t="s">
        <v>90</v>
      </c>
      <c r="R92" s="17"/>
      <c r="S92" s="15" t="s">
        <v>2027</v>
      </c>
    </row>
    <row r="93" customFormat="false" ht="32.8" hidden="false" customHeight="false" outlineLevel="0" collapsed="false">
      <c r="A93" s="14" t="s">
        <v>2028</v>
      </c>
      <c r="B93" s="15" t="s">
        <v>1937</v>
      </c>
      <c r="C93" s="15" t="s">
        <v>483</v>
      </c>
      <c r="D93" s="15" t="s">
        <v>2029</v>
      </c>
      <c r="E93" s="15" t="s">
        <v>1441</v>
      </c>
      <c r="F93" s="15" t="s">
        <v>494</v>
      </c>
      <c r="G93" s="15" t="s">
        <v>510</v>
      </c>
      <c r="H93" s="15" t="s">
        <v>1442</v>
      </c>
      <c r="I93" s="15" t="s">
        <v>1443</v>
      </c>
      <c r="J93" s="16"/>
      <c r="K93" s="14" t="s">
        <v>20</v>
      </c>
      <c r="L93" s="14" t="s">
        <v>86</v>
      </c>
      <c r="M93" s="14" t="s">
        <v>1773</v>
      </c>
      <c r="N93" s="14" t="s">
        <v>87</v>
      </c>
      <c r="O93" s="15" t="s">
        <v>88</v>
      </c>
      <c r="P93" s="15" t="s">
        <v>89</v>
      </c>
      <c r="Q93" s="17" t="s">
        <v>90</v>
      </c>
      <c r="R93" s="17"/>
      <c r="S93" s="15" t="s">
        <v>2030</v>
      </c>
    </row>
    <row r="94" customFormat="false" ht="32.8" hidden="false" customHeight="false" outlineLevel="0" collapsed="false">
      <c r="A94" s="14" t="s">
        <v>2031</v>
      </c>
      <c r="B94" s="15" t="s">
        <v>1937</v>
      </c>
      <c r="C94" s="15" t="s">
        <v>483</v>
      </c>
      <c r="D94" s="15" t="s">
        <v>2032</v>
      </c>
      <c r="E94" s="15" t="s">
        <v>1447</v>
      </c>
      <c r="F94" s="15" t="s">
        <v>1448</v>
      </c>
      <c r="G94" s="15" t="s">
        <v>96</v>
      </c>
      <c r="H94" s="15" t="s">
        <v>1449</v>
      </c>
      <c r="I94" s="15" t="s">
        <v>1450</v>
      </c>
      <c r="J94" s="16"/>
      <c r="K94" s="14" t="s">
        <v>20</v>
      </c>
      <c r="L94" s="14" t="s">
        <v>86</v>
      </c>
      <c r="M94" s="14" t="s">
        <v>1773</v>
      </c>
      <c r="N94" s="14" t="s">
        <v>87</v>
      </c>
      <c r="O94" s="15" t="s">
        <v>88</v>
      </c>
      <c r="P94" s="15" t="s">
        <v>89</v>
      </c>
      <c r="Q94" s="17" t="s">
        <v>90</v>
      </c>
      <c r="R94" s="17"/>
      <c r="S94" s="15" t="s">
        <v>2033</v>
      </c>
    </row>
    <row r="95" customFormat="false" ht="32.8" hidden="false" customHeight="false" outlineLevel="0" collapsed="false">
      <c r="A95" s="14" t="s">
        <v>2034</v>
      </c>
      <c r="B95" s="15" t="s">
        <v>1937</v>
      </c>
      <c r="C95" s="15" t="s">
        <v>1466</v>
      </c>
      <c r="D95" s="15" t="s">
        <v>2035</v>
      </c>
      <c r="E95" s="15" t="s">
        <v>1468</v>
      </c>
      <c r="F95" s="15" t="s">
        <v>1469</v>
      </c>
      <c r="G95" s="15" t="s">
        <v>96</v>
      </c>
      <c r="H95" s="15" t="s">
        <v>1470</v>
      </c>
      <c r="I95" s="15" t="s">
        <v>1471</v>
      </c>
      <c r="J95" s="16"/>
      <c r="K95" s="14" t="s">
        <v>20</v>
      </c>
      <c r="L95" s="14" t="s">
        <v>86</v>
      </c>
      <c r="M95" s="14" t="s">
        <v>1773</v>
      </c>
      <c r="N95" s="14" t="s">
        <v>87</v>
      </c>
      <c r="O95" s="15" t="s">
        <v>88</v>
      </c>
      <c r="P95" s="15" t="s">
        <v>89</v>
      </c>
      <c r="Q95" s="17" t="s">
        <v>90</v>
      </c>
      <c r="R95" s="17"/>
      <c r="S95" s="15" t="s">
        <v>2036</v>
      </c>
    </row>
    <row r="96" customFormat="false" ht="43.25" hidden="false" customHeight="false" outlineLevel="0" collapsed="false">
      <c r="A96" s="14" t="s">
        <v>2037</v>
      </c>
      <c r="B96" s="15" t="s">
        <v>1937</v>
      </c>
      <c r="C96" s="15" t="s">
        <v>1466</v>
      </c>
      <c r="D96" s="15" t="s">
        <v>2038</v>
      </c>
      <c r="E96" s="15" t="s">
        <v>1481</v>
      </c>
      <c r="F96" s="15" t="s">
        <v>1482</v>
      </c>
      <c r="G96" s="15" t="s">
        <v>1483</v>
      </c>
      <c r="H96" s="15" t="s">
        <v>1484</v>
      </c>
      <c r="I96" s="15" t="s">
        <v>1485</v>
      </c>
      <c r="J96" s="16"/>
      <c r="K96" s="14" t="s">
        <v>20</v>
      </c>
      <c r="L96" s="14" t="s">
        <v>86</v>
      </c>
      <c r="M96" s="14" t="s">
        <v>1773</v>
      </c>
      <c r="N96" s="14" t="s">
        <v>346</v>
      </c>
      <c r="O96" s="15" t="s">
        <v>88</v>
      </c>
      <c r="P96" s="15" t="s">
        <v>89</v>
      </c>
      <c r="Q96" s="17" t="s">
        <v>90</v>
      </c>
      <c r="R96" s="17"/>
      <c r="S96" s="15" t="s">
        <v>2039</v>
      </c>
    </row>
    <row r="97" customFormat="false" ht="32.8" hidden="false" customHeight="false" outlineLevel="0" collapsed="false">
      <c r="A97" s="14" t="s">
        <v>2040</v>
      </c>
      <c r="B97" s="15" t="s">
        <v>1937</v>
      </c>
      <c r="C97" s="15" t="s">
        <v>1466</v>
      </c>
      <c r="D97" s="15" t="s">
        <v>2041</v>
      </c>
      <c r="E97" s="15" t="s">
        <v>1496</v>
      </c>
      <c r="F97" s="15" t="s">
        <v>1497</v>
      </c>
      <c r="G97" s="15" t="s">
        <v>1498</v>
      </c>
      <c r="H97" s="15" t="s">
        <v>1499</v>
      </c>
      <c r="I97" s="15" t="s">
        <v>1500</v>
      </c>
      <c r="J97" s="16"/>
      <c r="K97" s="14" t="s">
        <v>20</v>
      </c>
      <c r="L97" s="14" t="s">
        <v>86</v>
      </c>
      <c r="M97" s="14" t="s">
        <v>1773</v>
      </c>
      <c r="N97" s="14" t="s">
        <v>87</v>
      </c>
      <c r="O97" s="15" t="s">
        <v>88</v>
      </c>
      <c r="P97" s="15" t="s">
        <v>89</v>
      </c>
      <c r="Q97" s="17" t="s">
        <v>90</v>
      </c>
      <c r="R97" s="17"/>
      <c r="S97" s="15" t="s">
        <v>2042</v>
      </c>
    </row>
    <row r="98" customFormat="false" ht="32.8" hidden="false" customHeight="false" outlineLevel="0" collapsed="false">
      <c r="A98" s="14" t="s">
        <v>2043</v>
      </c>
      <c r="B98" s="15" t="s">
        <v>1937</v>
      </c>
      <c r="C98" s="15" t="s">
        <v>1466</v>
      </c>
      <c r="D98" s="15" t="s">
        <v>2044</v>
      </c>
      <c r="E98" s="15" t="s">
        <v>1503</v>
      </c>
      <c r="F98" s="15" t="s">
        <v>1504</v>
      </c>
      <c r="G98" s="15" t="s">
        <v>1505</v>
      </c>
      <c r="H98" s="15" t="s">
        <v>1397</v>
      </c>
      <c r="I98" s="15" t="s">
        <v>1506</v>
      </c>
      <c r="J98" s="16"/>
      <c r="K98" s="14" t="s">
        <v>20</v>
      </c>
      <c r="L98" s="14" t="s">
        <v>86</v>
      </c>
      <c r="M98" s="14" t="s">
        <v>1773</v>
      </c>
      <c r="N98" s="14" t="s">
        <v>87</v>
      </c>
      <c r="O98" s="15" t="s">
        <v>88</v>
      </c>
      <c r="P98" s="15" t="s">
        <v>89</v>
      </c>
      <c r="Q98" s="17" t="s">
        <v>90</v>
      </c>
      <c r="R98" s="17"/>
      <c r="S98" s="15" t="s">
        <v>2045</v>
      </c>
    </row>
    <row r="99" customFormat="false" ht="32.8" hidden="false" customHeight="false" outlineLevel="0" collapsed="false">
      <c r="A99" s="14" t="s">
        <v>2046</v>
      </c>
      <c r="B99" s="15" t="s">
        <v>2047</v>
      </c>
      <c r="C99" s="15" t="s">
        <v>233</v>
      </c>
      <c r="D99" s="15" t="s">
        <v>2048</v>
      </c>
      <c r="E99" s="15" t="s">
        <v>1526</v>
      </c>
      <c r="F99" s="15" t="s">
        <v>1527</v>
      </c>
      <c r="G99" s="15" t="s">
        <v>1528</v>
      </c>
      <c r="H99" s="15" t="s">
        <v>1421</v>
      </c>
      <c r="I99" s="15" t="s">
        <v>1529</v>
      </c>
      <c r="J99" s="16"/>
      <c r="K99" s="14" t="s">
        <v>20</v>
      </c>
      <c r="L99" s="14" t="s">
        <v>86</v>
      </c>
      <c r="M99" s="14" t="s">
        <v>1773</v>
      </c>
      <c r="N99" s="14" t="s">
        <v>87</v>
      </c>
      <c r="O99" s="15" t="s">
        <v>88</v>
      </c>
      <c r="P99" s="15" t="s">
        <v>89</v>
      </c>
      <c r="Q99" s="17" t="s">
        <v>90</v>
      </c>
      <c r="R99" s="17"/>
      <c r="S99" s="15" t="s">
        <v>2049</v>
      </c>
    </row>
    <row r="100" customFormat="false" ht="32.8" hidden="false" customHeight="false" outlineLevel="0" collapsed="false">
      <c r="A100" s="14" t="s">
        <v>2050</v>
      </c>
      <c r="B100" s="15" t="s">
        <v>2047</v>
      </c>
      <c r="C100" s="15" t="s">
        <v>233</v>
      </c>
      <c r="D100" s="15" t="s">
        <v>2051</v>
      </c>
      <c r="E100" s="15" t="s">
        <v>1532</v>
      </c>
      <c r="F100" s="15" t="s">
        <v>1533</v>
      </c>
      <c r="G100" s="15" t="s">
        <v>1534</v>
      </c>
      <c r="H100" s="15" t="s">
        <v>1535</v>
      </c>
      <c r="I100" s="15" t="s">
        <v>1536</v>
      </c>
      <c r="J100" s="16"/>
      <c r="K100" s="14" t="s">
        <v>20</v>
      </c>
      <c r="L100" s="14" t="s">
        <v>86</v>
      </c>
      <c r="M100" s="14" t="s">
        <v>1773</v>
      </c>
      <c r="N100" s="14" t="s">
        <v>87</v>
      </c>
      <c r="O100" s="15" t="s">
        <v>88</v>
      </c>
      <c r="P100" s="15" t="s">
        <v>89</v>
      </c>
      <c r="Q100" s="17" t="s">
        <v>90</v>
      </c>
      <c r="R100" s="17"/>
      <c r="S100" s="15" t="s">
        <v>2052</v>
      </c>
    </row>
    <row r="101" customFormat="false" ht="32.8" hidden="false" customHeight="false" outlineLevel="0" collapsed="false">
      <c r="A101" s="14" t="s">
        <v>2053</v>
      </c>
      <c r="B101" s="15" t="s">
        <v>2047</v>
      </c>
      <c r="C101" s="15" t="s">
        <v>1106</v>
      </c>
      <c r="D101" s="15" t="s">
        <v>2054</v>
      </c>
      <c r="E101" s="15" t="s">
        <v>1546</v>
      </c>
      <c r="F101" s="15" t="s">
        <v>1547</v>
      </c>
      <c r="G101" s="15"/>
      <c r="H101" s="15" t="s">
        <v>1548</v>
      </c>
      <c r="I101" s="15" t="s">
        <v>1549</v>
      </c>
      <c r="J101" s="16"/>
      <c r="K101" s="14" t="s">
        <v>21</v>
      </c>
      <c r="L101" s="14" t="s">
        <v>86</v>
      </c>
      <c r="M101" s="14" t="s">
        <v>1773</v>
      </c>
      <c r="N101" s="14" t="s">
        <v>87</v>
      </c>
      <c r="O101" s="15" t="s">
        <v>88</v>
      </c>
      <c r="P101" s="15" t="s">
        <v>89</v>
      </c>
      <c r="Q101" s="17" t="s">
        <v>90</v>
      </c>
      <c r="R101" s="17"/>
      <c r="S101" s="15" t="s">
        <v>2055</v>
      </c>
    </row>
    <row r="102" customFormat="false" ht="32.8" hidden="false" customHeight="false" outlineLevel="0" collapsed="false">
      <c r="A102" s="14" t="s">
        <v>2056</v>
      </c>
      <c r="B102" s="15" t="s">
        <v>2047</v>
      </c>
      <c r="C102" s="15" t="s">
        <v>1565</v>
      </c>
      <c r="D102" s="15" t="s">
        <v>2057</v>
      </c>
      <c r="E102" s="15" t="s">
        <v>1574</v>
      </c>
      <c r="F102" s="15" t="s">
        <v>1575</v>
      </c>
      <c r="G102" s="15" t="s">
        <v>1087</v>
      </c>
      <c r="H102" s="15" t="s">
        <v>1329</v>
      </c>
      <c r="I102" s="15" t="s">
        <v>1576</v>
      </c>
      <c r="J102" s="16"/>
      <c r="K102" s="14" t="s">
        <v>21</v>
      </c>
      <c r="L102" s="14" t="s">
        <v>86</v>
      </c>
      <c r="M102" s="14" t="s">
        <v>1773</v>
      </c>
      <c r="N102" s="14" t="s">
        <v>87</v>
      </c>
      <c r="O102" s="15" t="s">
        <v>88</v>
      </c>
      <c r="P102" s="15" t="s">
        <v>89</v>
      </c>
      <c r="Q102" s="17" t="s">
        <v>90</v>
      </c>
      <c r="R102" s="17"/>
      <c r="S102" s="15" t="s">
        <v>2058</v>
      </c>
    </row>
    <row r="103" customFormat="false" ht="32.8" hidden="false" customHeight="false" outlineLevel="0" collapsed="false">
      <c r="A103" s="14" t="s">
        <v>2059</v>
      </c>
      <c r="B103" s="15" t="s">
        <v>2047</v>
      </c>
      <c r="C103" s="15" t="s">
        <v>1565</v>
      </c>
      <c r="D103" s="15" t="s">
        <v>2060</v>
      </c>
      <c r="E103" s="15" t="s">
        <v>1579</v>
      </c>
      <c r="F103" s="15" t="s">
        <v>1372</v>
      </c>
      <c r="G103" s="15" t="s">
        <v>1580</v>
      </c>
      <c r="H103" s="15" t="s">
        <v>1329</v>
      </c>
      <c r="I103" s="15" t="s">
        <v>1581</v>
      </c>
      <c r="J103" s="16"/>
      <c r="K103" s="14" t="s">
        <v>21</v>
      </c>
      <c r="L103" s="14" t="s">
        <v>86</v>
      </c>
      <c r="M103" s="14" t="s">
        <v>1773</v>
      </c>
      <c r="N103" s="14" t="s">
        <v>87</v>
      </c>
      <c r="O103" s="15" t="s">
        <v>88</v>
      </c>
      <c r="P103" s="15" t="s">
        <v>89</v>
      </c>
      <c r="Q103" s="17" t="s">
        <v>90</v>
      </c>
      <c r="R103" s="17"/>
      <c r="S103" s="15" t="s">
        <v>2061</v>
      </c>
    </row>
    <row r="104" customFormat="false" ht="32.8" hidden="false" customHeight="false" outlineLevel="0" collapsed="false">
      <c r="A104" s="14" t="s">
        <v>2062</v>
      </c>
      <c r="B104" s="15" t="s">
        <v>2047</v>
      </c>
      <c r="C104" s="15" t="s">
        <v>149</v>
      </c>
      <c r="D104" s="15" t="s">
        <v>2063</v>
      </c>
      <c r="E104" s="15" t="s">
        <v>1626</v>
      </c>
      <c r="F104" s="15" t="s">
        <v>510</v>
      </c>
      <c r="G104" s="15"/>
      <c r="H104" s="15" t="s">
        <v>1627</v>
      </c>
      <c r="I104" s="15" t="s">
        <v>1628</v>
      </c>
      <c r="J104" s="16"/>
      <c r="K104" s="14" t="s">
        <v>20</v>
      </c>
      <c r="L104" s="14" t="s">
        <v>86</v>
      </c>
      <c r="M104" s="14" t="s">
        <v>1773</v>
      </c>
      <c r="N104" s="14" t="s">
        <v>87</v>
      </c>
      <c r="O104" s="15" t="s">
        <v>88</v>
      </c>
      <c r="P104" s="15" t="s">
        <v>89</v>
      </c>
      <c r="Q104" s="17" t="s">
        <v>90</v>
      </c>
      <c r="R104" s="17"/>
      <c r="S104" s="15" t="s">
        <v>2064</v>
      </c>
    </row>
    <row r="105" customFormat="false" ht="22.35" hidden="false" customHeight="false" outlineLevel="0" collapsed="false">
      <c r="A105" s="14" t="s">
        <v>2065</v>
      </c>
      <c r="B105" s="15" t="s">
        <v>2066</v>
      </c>
      <c r="C105" s="15" t="s">
        <v>2067</v>
      </c>
      <c r="D105" s="15" t="s">
        <v>2068</v>
      </c>
      <c r="E105" s="15" t="s">
        <v>2069</v>
      </c>
      <c r="F105" s="15" t="s">
        <v>2070</v>
      </c>
      <c r="G105" s="15"/>
      <c r="H105" s="15" t="s">
        <v>2071</v>
      </c>
      <c r="I105" s="15" t="s">
        <v>2072</v>
      </c>
      <c r="J105" s="16"/>
      <c r="K105" s="14" t="s">
        <v>21</v>
      </c>
      <c r="L105" s="14" t="s">
        <v>86</v>
      </c>
      <c r="M105" s="14" t="s">
        <v>1773</v>
      </c>
      <c r="N105" s="14" t="s">
        <v>87</v>
      </c>
      <c r="O105" s="15" t="s">
        <v>88</v>
      </c>
      <c r="P105" s="15" t="s">
        <v>89</v>
      </c>
      <c r="Q105" s="17" t="s">
        <v>90</v>
      </c>
      <c r="R105" s="17"/>
      <c r="S105" s="15" t="s">
        <v>2073</v>
      </c>
    </row>
    <row r="106" customFormat="false" ht="95.5" hidden="false" customHeight="false" outlineLevel="0" collapsed="false">
      <c r="A106" s="14" t="s">
        <v>2074</v>
      </c>
      <c r="B106" s="15" t="s">
        <v>2075</v>
      </c>
      <c r="C106" s="15" t="s">
        <v>2076</v>
      </c>
      <c r="D106" s="15" t="s">
        <v>2077</v>
      </c>
      <c r="E106" s="15" t="s">
        <v>2078</v>
      </c>
      <c r="F106" s="15" t="s">
        <v>2079</v>
      </c>
      <c r="G106" s="15" t="s">
        <v>510</v>
      </c>
      <c r="H106" s="15" t="s">
        <v>2080</v>
      </c>
      <c r="I106" s="15" t="s">
        <v>2081</v>
      </c>
      <c r="J106" s="16"/>
      <c r="K106" s="14" t="s">
        <v>21</v>
      </c>
      <c r="L106" s="14" t="s">
        <v>108</v>
      </c>
      <c r="M106" s="14" t="s">
        <v>1773</v>
      </c>
      <c r="N106" s="14" t="s">
        <v>109</v>
      </c>
      <c r="O106" s="15" t="s">
        <v>88</v>
      </c>
      <c r="P106" s="15" t="s">
        <v>2082</v>
      </c>
      <c r="Q106" s="17" t="s">
        <v>90</v>
      </c>
      <c r="R106" s="17"/>
      <c r="S106" s="15" t="s">
        <v>2083</v>
      </c>
    </row>
    <row r="107" customFormat="false" ht="95.5" hidden="false" customHeight="false" outlineLevel="0" collapsed="false">
      <c r="A107" s="14" t="s">
        <v>2084</v>
      </c>
      <c r="B107" s="15" t="s">
        <v>2075</v>
      </c>
      <c r="C107" s="15" t="s">
        <v>2076</v>
      </c>
      <c r="D107" s="15" t="s">
        <v>2085</v>
      </c>
      <c r="E107" s="15" t="s">
        <v>2086</v>
      </c>
      <c r="F107" s="15" t="s">
        <v>2079</v>
      </c>
      <c r="G107" s="15" t="s">
        <v>510</v>
      </c>
      <c r="H107" s="15" t="s">
        <v>2080</v>
      </c>
      <c r="I107" s="15" t="s">
        <v>2081</v>
      </c>
      <c r="J107" s="16"/>
      <c r="K107" s="14" t="s">
        <v>21</v>
      </c>
      <c r="L107" s="14" t="s">
        <v>108</v>
      </c>
      <c r="M107" s="14" t="s">
        <v>1773</v>
      </c>
      <c r="N107" s="14" t="s">
        <v>109</v>
      </c>
      <c r="O107" s="15" t="s">
        <v>88</v>
      </c>
      <c r="P107" s="15" t="s">
        <v>2087</v>
      </c>
      <c r="Q107" s="17" t="s">
        <v>90</v>
      </c>
      <c r="R107" s="17"/>
      <c r="S107" s="15" t="s">
        <v>2088</v>
      </c>
    </row>
    <row r="108" customFormat="false" ht="95.5" hidden="false" customHeight="false" outlineLevel="0" collapsed="false">
      <c r="A108" s="14" t="s">
        <v>2089</v>
      </c>
      <c r="B108" s="15" t="s">
        <v>2075</v>
      </c>
      <c r="C108" s="15" t="s">
        <v>2076</v>
      </c>
      <c r="D108" s="15" t="s">
        <v>2090</v>
      </c>
      <c r="E108" s="15" t="s">
        <v>2091</v>
      </c>
      <c r="F108" s="15" t="s">
        <v>2079</v>
      </c>
      <c r="G108" s="15" t="s">
        <v>510</v>
      </c>
      <c r="H108" s="15" t="s">
        <v>2080</v>
      </c>
      <c r="I108" s="15" t="s">
        <v>2081</v>
      </c>
      <c r="J108" s="16"/>
      <c r="K108" s="14" t="s">
        <v>21</v>
      </c>
      <c r="L108" s="14" t="s">
        <v>108</v>
      </c>
      <c r="M108" s="14" t="s">
        <v>1773</v>
      </c>
      <c r="N108" s="14" t="s">
        <v>109</v>
      </c>
      <c r="O108" s="15" t="s">
        <v>88</v>
      </c>
      <c r="P108" s="15" t="s">
        <v>2092</v>
      </c>
      <c r="Q108" s="17" t="s">
        <v>90</v>
      </c>
      <c r="R108" s="17"/>
      <c r="S108" s="15" t="s">
        <v>2093</v>
      </c>
    </row>
    <row r="109" customFormat="false" ht="32.8" hidden="false" customHeight="false" outlineLevel="0" collapsed="false">
      <c r="A109" s="14" t="s">
        <v>2094</v>
      </c>
      <c r="B109" s="15" t="s">
        <v>2095</v>
      </c>
      <c r="C109" s="15" t="s">
        <v>2096</v>
      </c>
      <c r="D109" s="15" t="s">
        <v>2097</v>
      </c>
      <c r="E109" s="15" t="s">
        <v>2098</v>
      </c>
      <c r="F109" s="15" t="s">
        <v>335</v>
      </c>
      <c r="G109" s="15" t="s">
        <v>510</v>
      </c>
      <c r="H109" s="15" t="s">
        <v>2099</v>
      </c>
      <c r="I109" s="15" t="s">
        <v>2100</v>
      </c>
      <c r="J109" s="16"/>
      <c r="K109" s="14" t="s">
        <v>20</v>
      </c>
      <c r="L109" s="14" t="s">
        <v>86</v>
      </c>
      <c r="M109" s="14" t="s">
        <v>1773</v>
      </c>
      <c r="N109" s="14" t="s">
        <v>87</v>
      </c>
      <c r="O109" s="15" t="s">
        <v>88</v>
      </c>
      <c r="P109" s="15" t="s">
        <v>89</v>
      </c>
      <c r="Q109" s="17" t="s">
        <v>90</v>
      </c>
      <c r="R109" s="17"/>
      <c r="S109" s="15" t="s">
        <v>2101</v>
      </c>
    </row>
    <row r="110" customFormat="false" ht="32.8" hidden="false" customHeight="false" outlineLevel="0" collapsed="false">
      <c r="A110" s="14" t="s">
        <v>2102</v>
      </c>
      <c r="B110" s="15" t="s">
        <v>2095</v>
      </c>
      <c r="C110" s="15" t="s">
        <v>2096</v>
      </c>
      <c r="D110" s="15" t="s">
        <v>2097</v>
      </c>
      <c r="E110" s="15" t="s">
        <v>2103</v>
      </c>
      <c r="F110" s="15" t="s">
        <v>2104</v>
      </c>
      <c r="G110" s="15" t="s">
        <v>510</v>
      </c>
      <c r="H110" s="15" t="s">
        <v>1680</v>
      </c>
      <c r="I110" s="15" t="s">
        <v>2105</v>
      </c>
      <c r="J110" s="16"/>
      <c r="K110" s="14" t="s">
        <v>20</v>
      </c>
      <c r="L110" s="14" t="s">
        <v>86</v>
      </c>
      <c r="M110" s="14" t="s">
        <v>1773</v>
      </c>
      <c r="N110" s="14" t="s">
        <v>87</v>
      </c>
      <c r="O110" s="15" t="s">
        <v>88</v>
      </c>
      <c r="P110" s="15" t="s">
        <v>89</v>
      </c>
      <c r="Q110" s="17" t="s">
        <v>90</v>
      </c>
      <c r="R110" s="17"/>
      <c r="S110" s="15" t="s">
        <v>2106</v>
      </c>
    </row>
    <row r="111" customFormat="false" ht="32.8" hidden="false" customHeight="false" outlineLevel="0" collapsed="false">
      <c r="A111" s="14" t="s">
        <v>2107</v>
      </c>
      <c r="B111" s="15" t="s">
        <v>2095</v>
      </c>
      <c r="C111" s="15" t="s">
        <v>2096</v>
      </c>
      <c r="D111" s="15" t="s">
        <v>2108</v>
      </c>
      <c r="E111" s="15" t="s">
        <v>2109</v>
      </c>
      <c r="F111" s="15" t="s">
        <v>2110</v>
      </c>
      <c r="G111" s="15" t="s">
        <v>510</v>
      </c>
      <c r="H111" s="15" t="s">
        <v>1680</v>
      </c>
      <c r="I111" s="15" t="s">
        <v>2111</v>
      </c>
      <c r="J111" s="16"/>
      <c r="K111" s="14" t="s">
        <v>19</v>
      </c>
      <c r="L111" s="14" t="s">
        <v>86</v>
      </c>
      <c r="M111" s="14" t="s">
        <v>1773</v>
      </c>
      <c r="N111" s="14" t="s">
        <v>87</v>
      </c>
      <c r="O111" s="15" t="s">
        <v>88</v>
      </c>
      <c r="P111" s="15" t="s">
        <v>89</v>
      </c>
      <c r="Q111" s="17" t="s">
        <v>90</v>
      </c>
      <c r="R111" s="17"/>
      <c r="S111" s="15" t="s">
        <v>2112</v>
      </c>
    </row>
    <row r="112" customFormat="false" ht="32.8" hidden="false" customHeight="false" outlineLevel="0" collapsed="false">
      <c r="A112" s="14" t="s">
        <v>2113</v>
      </c>
      <c r="B112" s="15" t="s">
        <v>2095</v>
      </c>
      <c r="C112" s="15" t="s">
        <v>2096</v>
      </c>
      <c r="D112" s="15" t="s">
        <v>2097</v>
      </c>
      <c r="E112" s="15" t="s">
        <v>2114</v>
      </c>
      <c r="F112" s="15" t="s">
        <v>460</v>
      </c>
      <c r="G112" s="15" t="s">
        <v>510</v>
      </c>
      <c r="H112" s="15" t="s">
        <v>1680</v>
      </c>
      <c r="I112" s="15" t="s">
        <v>1686</v>
      </c>
      <c r="J112" s="16"/>
      <c r="K112" s="14" t="s">
        <v>20</v>
      </c>
      <c r="L112" s="14" t="s">
        <v>86</v>
      </c>
      <c r="M112" s="14" t="s">
        <v>1773</v>
      </c>
      <c r="N112" s="14" t="s">
        <v>87</v>
      </c>
      <c r="O112" s="15" t="s">
        <v>88</v>
      </c>
      <c r="P112" s="15" t="s">
        <v>89</v>
      </c>
      <c r="Q112" s="17" t="s">
        <v>90</v>
      </c>
      <c r="R112" s="17"/>
      <c r="S112" s="15" t="s">
        <v>2115</v>
      </c>
    </row>
    <row r="113" customFormat="false" ht="32.8" hidden="false" customHeight="false" outlineLevel="0" collapsed="false">
      <c r="A113" s="14" t="s">
        <v>2116</v>
      </c>
      <c r="B113" s="15" t="s">
        <v>2095</v>
      </c>
      <c r="C113" s="15" t="s">
        <v>2096</v>
      </c>
      <c r="D113" s="15" t="s">
        <v>2097</v>
      </c>
      <c r="E113" s="15" t="s">
        <v>2117</v>
      </c>
      <c r="F113" s="15" t="s">
        <v>1448</v>
      </c>
      <c r="G113" s="15" t="s">
        <v>510</v>
      </c>
      <c r="H113" s="15" t="s">
        <v>1680</v>
      </c>
      <c r="I113" s="15" t="s">
        <v>2118</v>
      </c>
      <c r="J113" s="16"/>
      <c r="K113" s="14" t="s">
        <v>20</v>
      </c>
      <c r="L113" s="14" t="s">
        <v>86</v>
      </c>
      <c r="M113" s="14" t="s">
        <v>1773</v>
      </c>
      <c r="N113" s="14" t="s">
        <v>87</v>
      </c>
      <c r="O113" s="15" t="s">
        <v>88</v>
      </c>
      <c r="P113" s="15" t="s">
        <v>89</v>
      </c>
      <c r="Q113" s="17" t="s">
        <v>90</v>
      </c>
      <c r="R113" s="17"/>
      <c r="S113" s="15" t="s">
        <v>2119</v>
      </c>
    </row>
    <row r="114" customFormat="false" ht="32.8" hidden="false" customHeight="false" outlineLevel="0" collapsed="false">
      <c r="A114" s="14" t="s">
        <v>2120</v>
      </c>
      <c r="B114" s="15" t="s">
        <v>2095</v>
      </c>
      <c r="C114" s="15" t="s">
        <v>2096</v>
      </c>
      <c r="D114" s="15" t="s">
        <v>2121</v>
      </c>
      <c r="E114" s="15" t="s">
        <v>2122</v>
      </c>
      <c r="F114" s="15" t="s">
        <v>149</v>
      </c>
      <c r="G114" s="15" t="s">
        <v>510</v>
      </c>
      <c r="H114" s="15" t="s">
        <v>2123</v>
      </c>
      <c r="I114" s="15" t="s">
        <v>2124</v>
      </c>
      <c r="J114" s="16"/>
      <c r="K114" s="14" t="s">
        <v>20</v>
      </c>
      <c r="L114" s="14" t="s">
        <v>86</v>
      </c>
      <c r="M114" s="14" t="s">
        <v>1773</v>
      </c>
      <c r="N114" s="14" t="s">
        <v>87</v>
      </c>
      <c r="O114" s="15" t="s">
        <v>88</v>
      </c>
      <c r="P114" s="15" t="s">
        <v>89</v>
      </c>
      <c r="Q114" s="17" t="s">
        <v>90</v>
      </c>
      <c r="R114" s="17"/>
      <c r="S114" s="15" t="s">
        <v>2125</v>
      </c>
    </row>
    <row r="115" customFormat="false" ht="32.8" hidden="false" customHeight="false" outlineLevel="0" collapsed="false">
      <c r="A115" s="14" t="s">
        <v>2126</v>
      </c>
      <c r="B115" s="15" t="s">
        <v>2095</v>
      </c>
      <c r="C115" s="15" t="s">
        <v>2096</v>
      </c>
      <c r="D115" s="15" t="s">
        <v>2121</v>
      </c>
      <c r="E115" s="15" t="s">
        <v>2127</v>
      </c>
      <c r="F115" s="15" t="s">
        <v>1127</v>
      </c>
      <c r="G115" s="15" t="s">
        <v>510</v>
      </c>
      <c r="H115" s="15" t="s">
        <v>2128</v>
      </c>
      <c r="I115" s="15" t="s">
        <v>2129</v>
      </c>
      <c r="J115" s="16"/>
      <c r="K115" s="14" t="s">
        <v>20</v>
      </c>
      <c r="L115" s="14" t="s">
        <v>86</v>
      </c>
      <c r="M115" s="14" t="s">
        <v>1773</v>
      </c>
      <c r="N115" s="14" t="s">
        <v>87</v>
      </c>
      <c r="O115" s="15" t="s">
        <v>88</v>
      </c>
      <c r="P115" s="15" t="s">
        <v>89</v>
      </c>
      <c r="Q115" s="17" t="s">
        <v>90</v>
      </c>
      <c r="R115" s="17"/>
      <c r="S115" s="15" t="s">
        <v>2130</v>
      </c>
    </row>
    <row r="116" customFormat="false" ht="32.8" hidden="false" customHeight="false" outlineLevel="0" collapsed="false">
      <c r="A116" s="14" t="s">
        <v>2131</v>
      </c>
      <c r="B116" s="15" t="s">
        <v>2095</v>
      </c>
      <c r="C116" s="15" t="s">
        <v>2096</v>
      </c>
      <c r="D116" s="15" t="s">
        <v>2132</v>
      </c>
      <c r="E116" s="15" t="s">
        <v>2133</v>
      </c>
      <c r="F116" s="15" t="s">
        <v>2134</v>
      </c>
      <c r="G116" s="15" t="s">
        <v>510</v>
      </c>
      <c r="H116" s="15" t="s">
        <v>2135</v>
      </c>
      <c r="I116" s="15" t="s">
        <v>2136</v>
      </c>
      <c r="J116" s="16"/>
      <c r="K116" s="14" t="s">
        <v>20</v>
      </c>
      <c r="L116" s="14" t="s">
        <v>86</v>
      </c>
      <c r="M116" s="14" t="s">
        <v>1773</v>
      </c>
      <c r="N116" s="14" t="s">
        <v>87</v>
      </c>
      <c r="O116" s="15" t="s">
        <v>88</v>
      </c>
      <c r="P116" s="15" t="s">
        <v>89</v>
      </c>
      <c r="Q116" s="17" t="s">
        <v>90</v>
      </c>
      <c r="R116" s="17"/>
      <c r="S116" s="15" t="s">
        <v>2137</v>
      </c>
    </row>
    <row r="117" customFormat="false" ht="32.8" hidden="false" customHeight="false" outlineLevel="0" collapsed="false">
      <c r="A117" s="14" t="s">
        <v>2138</v>
      </c>
      <c r="B117" s="15" t="s">
        <v>2095</v>
      </c>
      <c r="C117" s="15" t="s">
        <v>2096</v>
      </c>
      <c r="D117" s="15" t="s">
        <v>2132</v>
      </c>
      <c r="E117" s="15" t="s">
        <v>2139</v>
      </c>
      <c r="F117" s="15" t="s">
        <v>2140</v>
      </c>
      <c r="G117" s="15" t="s">
        <v>510</v>
      </c>
      <c r="H117" s="15" t="s">
        <v>2141</v>
      </c>
      <c r="I117" s="15" t="s">
        <v>2142</v>
      </c>
      <c r="J117" s="16"/>
      <c r="K117" s="14" t="s">
        <v>20</v>
      </c>
      <c r="L117" s="14" t="s">
        <v>86</v>
      </c>
      <c r="M117" s="14" t="s">
        <v>1773</v>
      </c>
      <c r="N117" s="14" t="s">
        <v>87</v>
      </c>
      <c r="O117" s="15" t="s">
        <v>88</v>
      </c>
      <c r="P117" s="15" t="s">
        <v>89</v>
      </c>
      <c r="Q117" s="17" t="s">
        <v>90</v>
      </c>
      <c r="R117" s="17"/>
      <c r="S117" s="15" t="s">
        <v>2143</v>
      </c>
    </row>
    <row r="118" customFormat="false" ht="32.8" hidden="false" customHeight="false" outlineLevel="0" collapsed="false">
      <c r="A118" s="14" t="s">
        <v>2144</v>
      </c>
      <c r="B118" s="15" t="s">
        <v>2095</v>
      </c>
      <c r="C118" s="15" t="s">
        <v>2096</v>
      </c>
      <c r="D118" s="15" t="s">
        <v>2132</v>
      </c>
      <c r="E118" s="15" t="s">
        <v>2145</v>
      </c>
      <c r="F118" s="15" t="s">
        <v>1127</v>
      </c>
      <c r="G118" s="15" t="s">
        <v>510</v>
      </c>
      <c r="H118" s="15" t="s">
        <v>2146</v>
      </c>
      <c r="I118" s="15" t="s">
        <v>2147</v>
      </c>
      <c r="J118" s="16"/>
      <c r="K118" s="14" t="s">
        <v>20</v>
      </c>
      <c r="L118" s="14" t="s">
        <v>86</v>
      </c>
      <c r="M118" s="14" t="s">
        <v>1773</v>
      </c>
      <c r="N118" s="14" t="s">
        <v>87</v>
      </c>
      <c r="O118" s="15" t="s">
        <v>88</v>
      </c>
      <c r="P118" s="15" t="s">
        <v>89</v>
      </c>
      <c r="Q118" s="17" t="s">
        <v>90</v>
      </c>
      <c r="R118" s="17"/>
      <c r="S118" s="15" t="s">
        <v>2148</v>
      </c>
    </row>
    <row r="119" customFormat="false" ht="32.8" hidden="false" customHeight="false" outlineLevel="0" collapsed="false">
      <c r="A119" s="14" t="s">
        <v>2149</v>
      </c>
      <c r="B119" s="15" t="s">
        <v>2095</v>
      </c>
      <c r="C119" s="15" t="s">
        <v>2096</v>
      </c>
      <c r="D119" s="15" t="s">
        <v>2150</v>
      </c>
      <c r="E119" s="15" t="s">
        <v>2151</v>
      </c>
      <c r="F119" s="15" t="s">
        <v>149</v>
      </c>
      <c r="G119" s="15" t="s">
        <v>510</v>
      </c>
      <c r="H119" s="15" t="s">
        <v>2152</v>
      </c>
      <c r="I119" s="15" t="s">
        <v>2153</v>
      </c>
      <c r="J119" s="16"/>
      <c r="K119" s="14" t="s">
        <v>20</v>
      </c>
      <c r="L119" s="14" t="s">
        <v>86</v>
      </c>
      <c r="M119" s="14" t="s">
        <v>1773</v>
      </c>
      <c r="N119" s="14" t="s">
        <v>87</v>
      </c>
      <c r="O119" s="15" t="s">
        <v>88</v>
      </c>
      <c r="P119" s="15" t="s">
        <v>599</v>
      </c>
      <c r="Q119" s="17" t="s">
        <v>90</v>
      </c>
      <c r="R119" s="17"/>
      <c r="S119" s="15" t="s">
        <v>2154</v>
      </c>
    </row>
    <row r="120" customFormat="false" ht="32.8" hidden="false" customHeight="false" outlineLevel="0" collapsed="false">
      <c r="A120" s="14" t="s">
        <v>2155</v>
      </c>
      <c r="B120" s="15" t="s">
        <v>2095</v>
      </c>
      <c r="C120" s="15" t="s">
        <v>2096</v>
      </c>
      <c r="D120" s="15" t="s">
        <v>2150</v>
      </c>
      <c r="E120" s="15" t="s">
        <v>2156</v>
      </c>
      <c r="F120" s="15" t="s">
        <v>1127</v>
      </c>
      <c r="G120" s="15" t="s">
        <v>510</v>
      </c>
      <c r="H120" s="15" t="s">
        <v>2157</v>
      </c>
      <c r="I120" s="15" t="s">
        <v>2158</v>
      </c>
      <c r="J120" s="16"/>
      <c r="K120" s="14" t="s">
        <v>20</v>
      </c>
      <c r="L120" s="14" t="s">
        <v>86</v>
      </c>
      <c r="M120" s="14" t="s">
        <v>1773</v>
      </c>
      <c r="N120" s="14" t="s">
        <v>87</v>
      </c>
      <c r="O120" s="15" t="s">
        <v>88</v>
      </c>
      <c r="P120" s="15" t="s">
        <v>599</v>
      </c>
      <c r="Q120" s="17" t="s">
        <v>90</v>
      </c>
      <c r="R120" s="17"/>
      <c r="S120" s="15" t="s">
        <v>2159</v>
      </c>
    </row>
    <row r="121" customFormat="false" ht="32.8" hidden="false" customHeight="false" outlineLevel="0" collapsed="false">
      <c r="A121" s="14" t="s">
        <v>2160</v>
      </c>
      <c r="B121" s="15" t="s">
        <v>2095</v>
      </c>
      <c r="C121" s="15" t="s">
        <v>2096</v>
      </c>
      <c r="D121" s="15" t="s">
        <v>2161</v>
      </c>
      <c r="E121" s="15" t="s">
        <v>2162</v>
      </c>
      <c r="F121" s="15" t="s">
        <v>2163</v>
      </c>
      <c r="G121" s="15" t="s">
        <v>510</v>
      </c>
      <c r="H121" s="15" t="s">
        <v>2164</v>
      </c>
      <c r="I121" s="15" t="s">
        <v>2165</v>
      </c>
      <c r="J121" s="16"/>
      <c r="K121" s="14" t="s">
        <v>20</v>
      </c>
      <c r="L121" s="14" t="s">
        <v>86</v>
      </c>
      <c r="M121" s="14" t="s">
        <v>1773</v>
      </c>
      <c r="N121" s="14" t="s">
        <v>87</v>
      </c>
      <c r="O121" s="15" t="s">
        <v>88</v>
      </c>
      <c r="P121" s="15" t="s">
        <v>89</v>
      </c>
      <c r="Q121" s="17" t="s">
        <v>90</v>
      </c>
      <c r="R121" s="17"/>
      <c r="S121" s="15" t="s">
        <v>2166</v>
      </c>
    </row>
    <row r="122" customFormat="false" ht="32.8" hidden="false" customHeight="false" outlineLevel="0" collapsed="false">
      <c r="A122" s="14" t="s">
        <v>2167</v>
      </c>
      <c r="B122" s="15" t="s">
        <v>2095</v>
      </c>
      <c r="C122" s="15" t="s">
        <v>2096</v>
      </c>
      <c r="D122" s="15" t="s">
        <v>2168</v>
      </c>
      <c r="E122" s="15" t="s">
        <v>2169</v>
      </c>
      <c r="F122" s="15" t="s">
        <v>2170</v>
      </c>
      <c r="G122" s="15" t="s">
        <v>510</v>
      </c>
      <c r="H122" s="15" t="s">
        <v>2171</v>
      </c>
      <c r="I122" s="15" t="s">
        <v>2172</v>
      </c>
      <c r="J122" s="16"/>
      <c r="K122" s="14" t="s">
        <v>20</v>
      </c>
      <c r="L122" s="14" t="s">
        <v>86</v>
      </c>
      <c r="M122" s="14" t="s">
        <v>1773</v>
      </c>
      <c r="N122" s="14" t="s">
        <v>87</v>
      </c>
      <c r="O122" s="15" t="s">
        <v>88</v>
      </c>
      <c r="P122" s="15" t="s">
        <v>89</v>
      </c>
      <c r="Q122" s="17" t="s">
        <v>90</v>
      </c>
      <c r="R122" s="17"/>
      <c r="S122" s="15" t="s">
        <v>2173</v>
      </c>
    </row>
    <row r="123" customFormat="false" ht="32.8" hidden="false" customHeight="false" outlineLevel="0" collapsed="false">
      <c r="A123" s="14" t="s">
        <v>2174</v>
      </c>
      <c r="B123" s="15" t="s">
        <v>2095</v>
      </c>
      <c r="C123" s="15" t="s">
        <v>2096</v>
      </c>
      <c r="D123" s="15" t="s">
        <v>2175</v>
      </c>
      <c r="E123" s="15" t="s">
        <v>2176</v>
      </c>
      <c r="F123" s="15" t="s">
        <v>2177</v>
      </c>
      <c r="G123" s="15" t="s">
        <v>510</v>
      </c>
      <c r="H123" s="15" t="s">
        <v>1421</v>
      </c>
      <c r="I123" s="15" t="s">
        <v>2178</v>
      </c>
      <c r="J123" s="16"/>
      <c r="K123" s="14" t="s">
        <v>20</v>
      </c>
      <c r="L123" s="14" t="s">
        <v>86</v>
      </c>
      <c r="M123" s="14" t="s">
        <v>1773</v>
      </c>
      <c r="N123" s="14" t="s">
        <v>87</v>
      </c>
      <c r="O123" s="15" t="s">
        <v>88</v>
      </c>
      <c r="P123" s="15" t="s">
        <v>89</v>
      </c>
      <c r="Q123" s="17" t="s">
        <v>90</v>
      </c>
      <c r="R123" s="17"/>
      <c r="S123" s="15" t="s">
        <v>2179</v>
      </c>
    </row>
    <row r="124" customFormat="false" ht="32.8" hidden="false" customHeight="false" outlineLevel="0" collapsed="false">
      <c r="A124" s="14" t="s">
        <v>2180</v>
      </c>
      <c r="B124" s="15" t="s">
        <v>2095</v>
      </c>
      <c r="C124" s="15" t="s">
        <v>2096</v>
      </c>
      <c r="D124" s="15" t="s">
        <v>2181</v>
      </c>
      <c r="E124" s="15" t="s">
        <v>2182</v>
      </c>
      <c r="F124" s="15" t="s">
        <v>2183</v>
      </c>
      <c r="G124" s="15" t="s">
        <v>510</v>
      </c>
      <c r="H124" s="15" t="s">
        <v>1421</v>
      </c>
      <c r="I124" s="15" t="s">
        <v>2184</v>
      </c>
      <c r="J124" s="16"/>
      <c r="K124" s="14" t="s">
        <v>20</v>
      </c>
      <c r="L124" s="14" t="s">
        <v>86</v>
      </c>
      <c r="M124" s="14" t="s">
        <v>1773</v>
      </c>
      <c r="N124" s="14" t="s">
        <v>87</v>
      </c>
      <c r="O124" s="15" t="s">
        <v>88</v>
      </c>
      <c r="P124" s="15" t="s">
        <v>89</v>
      </c>
      <c r="Q124" s="17" t="s">
        <v>90</v>
      </c>
      <c r="R124" s="17"/>
      <c r="S124" s="15" t="s">
        <v>2185</v>
      </c>
    </row>
    <row r="125" customFormat="false" ht="32.8" hidden="false" customHeight="false" outlineLevel="0" collapsed="false">
      <c r="A125" s="14" t="s">
        <v>2186</v>
      </c>
      <c r="B125" s="15" t="s">
        <v>2095</v>
      </c>
      <c r="C125" s="15" t="s">
        <v>2096</v>
      </c>
      <c r="D125" s="15" t="s">
        <v>2187</v>
      </c>
      <c r="E125" s="15" t="s">
        <v>2188</v>
      </c>
      <c r="F125" s="15" t="s">
        <v>2189</v>
      </c>
      <c r="G125" s="15" t="s">
        <v>510</v>
      </c>
      <c r="H125" s="15" t="s">
        <v>1421</v>
      </c>
      <c r="I125" s="15" t="s">
        <v>2190</v>
      </c>
      <c r="J125" s="16"/>
      <c r="K125" s="14" t="s">
        <v>20</v>
      </c>
      <c r="L125" s="14" t="s">
        <v>86</v>
      </c>
      <c r="M125" s="14" t="s">
        <v>1773</v>
      </c>
      <c r="N125" s="14" t="s">
        <v>87</v>
      </c>
      <c r="O125" s="15" t="s">
        <v>88</v>
      </c>
      <c r="P125" s="15" t="s">
        <v>89</v>
      </c>
      <c r="Q125" s="17" t="s">
        <v>90</v>
      </c>
      <c r="R125" s="17"/>
      <c r="S125" s="15" t="s">
        <v>2191</v>
      </c>
    </row>
    <row r="126" customFormat="false" ht="32.8" hidden="false" customHeight="false" outlineLevel="0" collapsed="false">
      <c r="A126" s="14" t="s">
        <v>2192</v>
      </c>
      <c r="B126" s="15" t="s">
        <v>2095</v>
      </c>
      <c r="C126" s="15" t="s">
        <v>2096</v>
      </c>
      <c r="D126" s="15" t="s">
        <v>2193</v>
      </c>
      <c r="E126" s="15" t="s">
        <v>2194</v>
      </c>
      <c r="F126" s="15" t="s">
        <v>2195</v>
      </c>
      <c r="G126" s="15" t="s">
        <v>510</v>
      </c>
      <c r="H126" s="15" t="s">
        <v>2196</v>
      </c>
      <c r="I126" s="15" t="s">
        <v>2197</v>
      </c>
      <c r="J126" s="16"/>
      <c r="K126" s="14" t="s">
        <v>20</v>
      </c>
      <c r="L126" s="14" t="s">
        <v>86</v>
      </c>
      <c r="M126" s="14" t="s">
        <v>1773</v>
      </c>
      <c r="N126" s="14" t="s">
        <v>87</v>
      </c>
      <c r="O126" s="15" t="s">
        <v>88</v>
      </c>
      <c r="P126" s="15" t="s">
        <v>89</v>
      </c>
      <c r="Q126" s="17" t="s">
        <v>90</v>
      </c>
      <c r="R126" s="17"/>
      <c r="S126" s="15" t="s">
        <v>2198</v>
      </c>
    </row>
    <row r="127" customFormat="false" ht="32.8" hidden="false" customHeight="false" outlineLevel="0" collapsed="false">
      <c r="A127" s="14" t="s">
        <v>2199</v>
      </c>
      <c r="B127" s="15" t="s">
        <v>2095</v>
      </c>
      <c r="C127" s="15" t="s">
        <v>2096</v>
      </c>
      <c r="D127" s="15" t="s">
        <v>2193</v>
      </c>
      <c r="E127" s="15" t="s">
        <v>2200</v>
      </c>
      <c r="F127" s="15" t="s">
        <v>2201</v>
      </c>
      <c r="G127" s="15" t="s">
        <v>510</v>
      </c>
      <c r="H127" s="15" t="s">
        <v>1680</v>
      </c>
      <c r="I127" s="15" t="s">
        <v>2202</v>
      </c>
      <c r="J127" s="16"/>
      <c r="K127" s="14" t="s">
        <v>20</v>
      </c>
      <c r="L127" s="14" t="s">
        <v>86</v>
      </c>
      <c r="M127" s="14" t="s">
        <v>1773</v>
      </c>
      <c r="N127" s="14" t="s">
        <v>87</v>
      </c>
      <c r="O127" s="15" t="s">
        <v>88</v>
      </c>
      <c r="P127" s="15" t="s">
        <v>89</v>
      </c>
      <c r="Q127" s="17" t="s">
        <v>90</v>
      </c>
      <c r="R127" s="17"/>
      <c r="S127" s="15" t="s">
        <v>2203</v>
      </c>
    </row>
    <row r="128" customFormat="false" ht="32.8" hidden="false" customHeight="false" outlineLevel="0" collapsed="false">
      <c r="A128" s="14" t="s">
        <v>2204</v>
      </c>
      <c r="B128" s="15" t="s">
        <v>2095</v>
      </c>
      <c r="C128" s="15" t="s">
        <v>2096</v>
      </c>
      <c r="D128" s="15" t="s">
        <v>2193</v>
      </c>
      <c r="E128" s="15" t="s">
        <v>2205</v>
      </c>
      <c r="F128" s="15" t="s">
        <v>2206</v>
      </c>
      <c r="G128" s="15" t="s">
        <v>510</v>
      </c>
      <c r="H128" s="15" t="s">
        <v>1680</v>
      </c>
      <c r="I128" s="15" t="s">
        <v>2207</v>
      </c>
      <c r="J128" s="16"/>
      <c r="K128" s="14" t="s">
        <v>20</v>
      </c>
      <c r="L128" s="14" t="s">
        <v>86</v>
      </c>
      <c r="M128" s="14" t="s">
        <v>1773</v>
      </c>
      <c r="N128" s="14" t="s">
        <v>87</v>
      </c>
      <c r="O128" s="15" t="s">
        <v>88</v>
      </c>
      <c r="P128" s="15" t="s">
        <v>89</v>
      </c>
      <c r="Q128" s="17" t="s">
        <v>90</v>
      </c>
      <c r="R128" s="17"/>
      <c r="S128" s="15" t="s">
        <v>2208</v>
      </c>
    </row>
    <row r="129" customFormat="false" ht="32.8" hidden="false" customHeight="false" outlineLevel="0" collapsed="false">
      <c r="A129" s="14" t="s">
        <v>2209</v>
      </c>
      <c r="B129" s="15" t="s">
        <v>2095</v>
      </c>
      <c r="C129" s="15" t="s">
        <v>2096</v>
      </c>
      <c r="D129" s="15" t="s">
        <v>2193</v>
      </c>
      <c r="E129" s="15" t="s">
        <v>2210</v>
      </c>
      <c r="F129" s="15" t="s">
        <v>2211</v>
      </c>
      <c r="G129" s="15" t="s">
        <v>510</v>
      </c>
      <c r="H129" s="15" t="s">
        <v>2212</v>
      </c>
      <c r="I129" s="15" t="s">
        <v>2213</v>
      </c>
      <c r="J129" s="16"/>
      <c r="K129" s="14" t="s">
        <v>20</v>
      </c>
      <c r="L129" s="14" t="s">
        <v>86</v>
      </c>
      <c r="M129" s="14" t="s">
        <v>1773</v>
      </c>
      <c r="N129" s="14" t="s">
        <v>87</v>
      </c>
      <c r="O129" s="15" t="s">
        <v>88</v>
      </c>
      <c r="P129" s="15" t="s">
        <v>89</v>
      </c>
      <c r="Q129" s="17" t="s">
        <v>90</v>
      </c>
      <c r="R129" s="17"/>
      <c r="S129" s="15" t="s">
        <v>2214</v>
      </c>
    </row>
    <row r="130" customFormat="false" ht="32.8" hidden="false" customHeight="false" outlineLevel="0" collapsed="false">
      <c r="A130" s="14" t="s">
        <v>2215</v>
      </c>
      <c r="B130" s="15" t="s">
        <v>2095</v>
      </c>
      <c r="C130" s="15" t="s">
        <v>2096</v>
      </c>
      <c r="D130" s="15" t="s">
        <v>2216</v>
      </c>
      <c r="E130" s="15" t="s">
        <v>2217</v>
      </c>
      <c r="F130" s="15" t="s">
        <v>2218</v>
      </c>
      <c r="G130" s="15" t="s">
        <v>510</v>
      </c>
      <c r="H130" s="15" t="s">
        <v>2219</v>
      </c>
      <c r="I130" s="15" t="s">
        <v>2129</v>
      </c>
      <c r="J130" s="16"/>
      <c r="K130" s="14" t="s">
        <v>20</v>
      </c>
      <c r="L130" s="14" t="s">
        <v>86</v>
      </c>
      <c r="M130" s="14" t="s">
        <v>1773</v>
      </c>
      <c r="N130" s="14" t="s">
        <v>87</v>
      </c>
      <c r="O130" s="15" t="s">
        <v>88</v>
      </c>
      <c r="P130" s="15" t="s">
        <v>89</v>
      </c>
      <c r="Q130" s="17" t="s">
        <v>90</v>
      </c>
      <c r="R130" s="17"/>
      <c r="S130" s="15" t="s">
        <v>2220</v>
      </c>
    </row>
    <row r="131" customFormat="false" ht="32.8" hidden="false" customHeight="false" outlineLevel="0" collapsed="false">
      <c r="A131" s="14" t="s">
        <v>2221</v>
      </c>
      <c r="B131" s="15" t="s">
        <v>2095</v>
      </c>
      <c r="C131" s="15" t="s">
        <v>2096</v>
      </c>
      <c r="D131" s="15" t="s">
        <v>2222</v>
      </c>
      <c r="E131" s="15" t="s">
        <v>2223</v>
      </c>
      <c r="F131" s="15" t="s">
        <v>2224</v>
      </c>
      <c r="G131" s="15" t="s">
        <v>510</v>
      </c>
      <c r="H131" s="15" t="s">
        <v>2225</v>
      </c>
      <c r="I131" s="15" t="s">
        <v>2226</v>
      </c>
      <c r="J131" s="16"/>
      <c r="K131" s="14" t="s">
        <v>20</v>
      </c>
      <c r="L131" s="14" t="s">
        <v>86</v>
      </c>
      <c r="M131" s="14" t="s">
        <v>1773</v>
      </c>
      <c r="N131" s="14" t="s">
        <v>87</v>
      </c>
      <c r="O131" s="15" t="s">
        <v>88</v>
      </c>
      <c r="P131" s="15" t="s">
        <v>89</v>
      </c>
      <c r="Q131" s="17" t="s">
        <v>90</v>
      </c>
      <c r="R131" s="17"/>
      <c r="S131" s="15" t="s">
        <v>2227</v>
      </c>
    </row>
    <row r="132" customFormat="false" ht="32.8" hidden="false" customHeight="false" outlineLevel="0" collapsed="false">
      <c r="A132" s="14" t="s">
        <v>2228</v>
      </c>
      <c r="B132" s="15" t="s">
        <v>2095</v>
      </c>
      <c r="C132" s="15" t="s">
        <v>2096</v>
      </c>
      <c r="D132" s="15" t="s">
        <v>2229</v>
      </c>
      <c r="E132" s="15" t="s">
        <v>2230</v>
      </c>
      <c r="F132" s="15" t="s">
        <v>2231</v>
      </c>
      <c r="G132" s="15" t="s">
        <v>510</v>
      </c>
      <c r="H132" s="15" t="s">
        <v>2219</v>
      </c>
      <c r="I132" s="15" t="s">
        <v>2232</v>
      </c>
      <c r="J132" s="16"/>
      <c r="K132" s="14" t="s">
        <v>20</v>
      </c>
      <c r="L132" s="14" t="s">
        <v>86</v>
      </c>
      <c r="M132" s="14" t="s">
        <v>1773</v>
      </c>
      <c r="N132" s="14" t="s">
        <v>87</v>
      </c>
      <c r="O132" s="15" t="s">
        <v>88</v>
      </c>
      <c r="P132" s="15" t="s">
        <v>89</v>
      </c>
      <c r="Q132" s="17" t="s">
        <v>90</v>
      </c>
      <c r="R132" s="17"/>
      <c r="S132" s="15" t="s">
        <v>2233</v>
      </c>
    </row>
    <row r="133" customFormat="false" ht="32.8" hidden="false" customHeight="false" outlineLevel="0" collapsed="false">
      <c r="A133" s="14" t="s">
        <v>2234</v>
      </c>
      <c r="B133" s="15" t="s">
        <v>2235</v>
      </c>
      <c r="C133" s="15" t="s">
        <v>2236</v>
      </c>
      <c r="D133" s="15" t="s">
        <v>2237</v>
      </c>
      <c r="E133" s="15" t="s">
        <v>2238</v>
      </c>
      <c r="F133" s="15" t="s">
        <v>2239</v>
      </c>
      <c r="G133" s="15" t="s">
        <v>2240</v>
      </c>
      <c r="H133" s="15" t="s">
        <v>2241</v>
      </c>
      <c r="I133" s="15" t="s">
        <v>2242</v>
      </c>
      <c r="J133" s="16"/>
      <c r="K133" s="14" t="s">
        <v>19</v>
      </c>
      <c r="L133" s="14" t="s">
        <v>86</v>
      </c>
      <c r="M133" s="14" t="s">
        <v>1773</v>
      </c>
      <c r="N133" s="14" t="s">
        <v>87</v>
      </c>
      <c r="O133" s="15" t="s">
        <v>88</v>
      </c>
      <c r="P133" s="15" t="s">
        <v>398</v>
      </c>
      <c r="Q133" s="17" t="s">
        <v>90</v>
      </c>
      <c r="R133" s="17"/>
      <c r="S133" s="15" t="s">
        <v>2243</v>
      </c>
    </row>
    <row r="134" customFormat="false" ht="32.8" hidden="false" customHeight="false" outlineLevel="0" collapsed="false">
      <c r="A134" s="14" t="s">
        <v>2244</v>
      </c>
      <c r="B134" s="15" t="s">
        <v>2235</v>
      </c>
      <c r="C134" s="15" t="s">
        <v>2236</v>
      </c>
      <c r="D134" s="15" t="s">
        <v>2245</v>
      </c>
      <c r="E134" s="15" t="s">
        <v>2246</v>
      </c>
      <c r="F134" s="15" t="s">
        <v>2247</v>
      </c>
      <c r="G134" s="15" t="s">
        <v>2240</v>
      </c>
      <c r="H134" s="15" t="s">
        <v>2248</v>
      </c>
      <c r="I134" s="15" t="s">
        <v>2249</v>
      </c>
      <c r="J134" s="16"/>
      <c r="K134" s="14" t="s">
        <v>19</v>
      </c>
      <c r="L134" s="14" t="s">
        <v>86</v>
      </c>
      <c r="M134" s="14" t="s">
        <v>1773</v>
      </c>
      <c r="N134" s="14" t="s">
        <v>87</v>
      </c>
      <c r="O134" s="15" t="s">
        <v>88</v>
      </c>
      <c r="P134" s="15" t="s">
        <v>398</v>
      </c>
      <c r="Q134" s="17" t="s">
        <v>90</v>
      </c>
      <c r="R134" s="17"/>
      <c r="S134" s="15" t="s">
        <v>2250</v>
      </c>
    </row>
    <row r="135" customFormat="false" ht="32.8" hidden="false" customHeight="false" outlineLevel="0" collapsed="false">
      <c r="A135" s="14" t="s">
        <v>2251</v>
      </c>
      <c r="B135" s="15" t="s">
        <v>2235</v>
      </c>
      <c r="C135" s="15" t="s">
        <v>2236</v>
      </c>
      <c r="D135" s="15" t="s">
        <v>2252</v>
      </c>
      <c r="E135" s="15" t="s">
        <v>2253</v>
      </c>
      <c r="F135" s="15" t="s">
        <v>2254</v>
      </c>
      <c r="G135" s="15" t="s">
        <v>2240</v>
      </c>
      <c r="H135" s="15" t="s">
        <v>1421</v>
      </c>
      <c r="I135" s="15" t="s">
        <v>2255</v>
      </c>
      <c r="J135" s="16"/>
      <c r="K135" s="14" t="s">
        <v>20</v>
      </c>
      <c r="L135" s="14" t="s">
        <v>86</v>
      </c>
      <c r="M135" s="14" t="s">
        <v>1773</v>
      </c>
      <c r="N135" s="14" t="s">
        <v>87</v>
      </c>
      <c r="O135" s="15" t="s">
        <v>88</v>
      </c>
      <c r="P135" s="15" t="s">
        <v>398</v>
      </c>
      <c r="Q135" s="17" t="s">
        <v>90</v>
      </c>
      <c r="R135" s="17"/>
      <c r="S135" s="15" t="s">
        <v>2256</v>
      </c>
    </row>
    <row r="136" customFormat="false" ht="32.8" hidden="false" customHeight="false" outlineLevel="0" collapsed="false">
      <c r="A136" s="14" t="s">
        <v>2257</v>
      </c>
      <c r="B136" s="15" t="s">
        <v>2235</v>
      </c>
      <c r="C136" s="15" t="s">
        <v>2236</v>
      </c>
      <c r="D136" s="15" t="s">
        <v>2258</v>
      </c>
      <c r="E136" s="15" t="s">
        <v>2259</v>
      </c>
      <c r="F136" s="15" t="s">
        <v>2260</v>
      </c>
      <c r="G136" s="15" t="s">
        <v>2240</v>
      </c>
      <c r="H136" s="15" t="s">
        <v>2261</v>
      </c>
      <c r="I136" s="15" t="s">
        <v>2262</v>
      </c>
      <c r="J136" s="16"/>
      <c r="K136" s="14" t="s">
        <v>20</v>
      </c>
      <c r="L136" s="14" t="s">
        <v>86</v>
      </c>
      <c r="M136" s="14" t="s">
        <v>1773</v>
      </c>
      <c r="N136" s="14" t="s">
        <v>87</v>
      </c>
      <c r="O136" s="15" t="s">
        <v>88</v>
      </c>
      <c r="P136" s="15" t="s">
        <v>398</v>
      </c>
      <c r="Q136" s="17" t="s">
        <v>90</v>
      </c>
      <c r="R136" s="17"/>
      <c r="S136" s="15" t="s">
        <v>2263</v>
      </c>
    </row>
    <row r="137" customFormat="false" ht="32.8" hidden="false" customHeight="false" outlineLevel="0" collapsed="false">
      <c r="A137" s="14" t="s">
        <v>2264</v>
      </c>
      <c r="B137" s="15" t="s">
        <v>2235</v>
      </c>
      <c r="C137" s="15" t="s">
        <v>2236</v>
      </c>
      <c r="D137" s="15" t="s">
        <v>2265</v>
      </c>
      <c r="E137" s="15" t="s">
        <v>2266</v>
      </c>
      <c r="F137" s="15" t="s">
        <v>2267</v>
      </c>
      <c r="G137" s="15" t="s">
        <v>2240</v>
      </c>
      <c r="H137" s="15" t="s">
        <v>2268</v>
      </c>
      <c r="I137" s="15" t="s">
        <v>2269</v>
      </c>
      <c r="J137" s="16"/>
      <c r="K137" s="14" t="s">
        <v>20</v>
      </c>
      <c r="L137" s="14" t="s">
        <v>86</v>
      </c>
      <c r="M137" s="14" t="s">
        <v>1773</v>
      </c>
      <c r="N137" s="14" t="s">
        <v>87</v>
      </c>
      <c r="O137" s="15" t="s">
        <v>88</v>
      </c>
      <c r="P137" s="15" t="s">
        <v>398</v>
      </c>
      <c r="Q137" s="17" t="s">
        <v>90</v>
      </c>
      <c r="R137" s="17"/>
      <c r="S137" s="15" t="s">
        <v>2270</v>
      </c>
    </row>
    <row r="138" customFormat="false" ht="32.8" hidden="false" customHeight="false" outlineLevel="0" collapsed="false">
      <c r="A138" s="14" t="s">
        <v>2271</v>
      </c>
      <c r="B138" s="15" t="s">
        <v>2235</v>
      </c>
      <c r="C138" s="15" t="s">
        <v>2236</v>
      </c>
      <c r="D138" s="15" t="s">
        <v>2272</v>
      </c>
      <c r="E138" s="15" t="s">
        <v>2273</v>
      </c>
      <c r="F138" s="15" t="s">
        <v>1127</v>
      </c>
      <c r="G138" s="15" t="s">
        <v>2240</v>
      </c>
      <c r="H138" s="15" t="s">
        <v>2274</v>
      </c>
      <c r="I138" s="15" t="s">
        <v>2275</v>
      </c>
      <c r="J138" s="16"/>
      <c r="K138" s="14" t="s">
        <v>20</v>
      </c>
      <c r="L138" s="14" t="s">
        <v>86</v>
      </c>
      <c r="M138" s="14" t="s">
        <v>1773</v>
      </c>
      <c r="N138" s="14" t="s">
        <v>87</v>
      </c>
      <c r="O138" s="15" t="s">
        <v>88</v>
      </c>
      <c r="P138" s="15" t="s">
        <v>398</v>
      </c>
      <c r="Q138" s="17" t="s">
        <v>90</v>
      </c>
      <c r="R138" s="17"/>
      <c r="S138" s="15" t="s">
        <v>2276</v>
      </c>
    </row>
    <row r="139" customFormat="false" ht="32.8" hidden="false" customHeight="false" outlineLevel="0" collapsed="false">
      <c r="A139" s="14" t="s">
        <v>2277</v>
      </c>
      <c r="B139" s="15" t="s">
        <v>2235</v>
      </c>
      <c r="C139" s="15" t="s">
        <v>2236</v>
      </c>
      <c r="D139" s="15" t="s">
        <v>2278</v>
      </c>
      <c r="E139" s="15" t="s">
        <v>2279</v>
      </c>
      <c r="F139" s="15" t="s">
        <v>2280</v>
      </c>
      <c r="G139" s="15" t="s">
        <v>2240</v>
      </c>
      <c r="H139" s="15" t="s">
        <v>2281</v>
      </c>
      <c r="I139" s="15" t="s">
        <v>2282</v>
      </c>
      <c r="J139" s="16"/>
      <c r="K139" s="14" t="s">
        <v>20</v>
      </c>
      <c r="L139" s="14" t="s">
        <v>86</v>
      </c>
      <c r="M139" s="14" t="s">
        <v>1773</v>
      </c>
      <c r="N139" s="14" t="s">
        <v>87</v>
      </c>
      <c r="O139" s="15" t="s">
        <v>88</v>
      </c>
      <c r="P139" s="15" t="s">
        <v>398</v>
      </c>
      <c r="Q139" s="17" t="s">
        <v>90</v>
      </c>
      <c r="R139" s="17"/>
      <c r="S139" s="15" t="s">
        <v>2283</v>
      </c>
    </row>
    <row r="140" customFormat="false" ht="32.8" hidden="false" customHeight="false" outlineLevel="0" collapsed="false">
      <c r="A140" s="14" t="s">
        <v>2284</v>
      </c>
      <c r="B140" s="15" t="s">
        <v>2235</v>
      </c>
      <c r="C140" s="15" t="s">
        <v>2236</v>
      </c>
      <c r="D140" s="15" t="s">
        <v>2278</v>
      </c>
      <c r="E140" s="15" t="s">
        <v>2285</v>
      </c>
      <c r="F140" s="15" t="s">
        <v>2286</v>
      </c>
      <c r="G140" s="15" t="s">
        <v>2240</v>
      </c>
      <c r="H140" s="15" t="s">
        <v>2287</v>
      </c>
      <c r="I140" s="15" t="s">
        <v>2288</v>
      </c>
      <c r="J140" s="16"/>
      <c r="K140" s="14" t="s">
        <v>20</v>
      </c>
      <c r="L140" s="14" t="s">
        <v>86</v>
      </c>
      <c r="M140" s="14" t="s">
        <v>1773</v>
      </c>
      <c r="N140" s="14" t="s">
        <v>87</v>
      </c>
      <c r="O140" s="15" t="s">
        <v>88</v>
      </c>
      <c r="P140" s="15" t="s">
        <v>398</v>
      </c>
      <c r="Q140" s="17" t="s">
        <v>90</v>
      </c>
      <c r="R140" s="17"/>
      <c r="S140" s="15" t="s">
        <v>2289</v>
      </c>
    </row>
    <row r="141" customFormat="false" ht="32.8" hidden="false" customHeight="false" outlineLevel="0" collapsed="false">
      <c r="A141" s="14" t="s">
        <v>2290</v>
      </c>
      <c r="B141" s="15" t="s">
        <v>2235</v>
      </c>
      <c r="C141" s="15" t="s">
        <v>2236</v>
      </c>
      <c r="D141" s="15" t="s">
        <v>2291</v>
      </c>
      <c r="E141" s="15" t="s">
        <v>2292</v>
      </c>
      <c r="F141" s="15" t="s">
        <v>2293</v>
      </c>
      <c r="G141" s="15" t="s">
        <v>2240</v>
      </c>
      <c r="H141" s="15" t="s">
        <v>2294</v>
      </c>
      <c r="I141" s="15" t="s">
        <v>2295</v>
      </c>
      <c r="J141" s="16"/>
      <c r="K141" s="14" t="s">
        <v>20</v>
      </c>
      <c r="L141" s="14" t="s">
        <v>86</v>
      </c>
      <c r="M141" s="14" t="s">
        <v>1773</v>
      </c>
      <c r="N141" s="14" t="s">
        <v>87</v>
      </c>
      <c r="O141" s="15" t="s">
        <v>88</v>
      </c>
      <c r="P141" s="15" t="s">
        <v>398</v>
      </c>
      <c r="Q141" s="17" t="s">
        <v>90</v>
      </c>
      <c r="R141" s="17"/>
      <c r="S141" s="15" t="s">
        <v>2296</v>
      </c>
    </row>
    <row r="142" customFormat="false" ht="32.8" hidden="false" customHeight="false" outlineLevel="0" collapsed="false">
      <c r="A142" s="14" t="s">
        <v>2297</v>
      </c>
      <c r="B142" s="15" t="s">
        <v>2235</v>
      </c>
      <c r="C142" s="15" t="s">
        <v>2236</v>
      </c>
      <c r="D142" s="15" t="s">
        <v>2298</v>
      </c>
      <c r="E142" s="15" t="s">
        <v>2299</v>
      </c>
      <c r="F142" s="15" t="s">
        <v>2300</v>
      </c>
      <c r="G142" s="15" t="s">
        <v>2240</v>
      </c>
      <c r="H142" s="15" t="s">
        <v>2301</v>
      </c>
      <c r="I142" s="15" t="s">
        <v>2302</v>
      </c>
      <c r="J142" s="16"/>
      <c r="K142" s="14" t="s">
        <v>20</v>
      </c>
      <c r="L142" s="14" t="s">
        <v>86</v>
      </c>
      <c r="M142" s="14" t="s">
        <v>1773</v>
      </c>
      <c r="N142" s="14" t="s">
        <v>87</v>
      </c>
      <c r="O142" s="15" t="s">
        <v>88</v>
      </c>
      <c r="P142" s="15" t="s">
        <v>398</v>
      </c>
      <c r="Q142" s="17" t="s">
        <v>90</v>
      </c>
      <c r="R142" s="17"/>
      <c r="S142" s="15" t="s">
        <v>2303</v>
      </c>
    </row>
    <row r="143" customFormat="false" ht="32.8" hidden="false" customHeight="false" outlineLevel="0" collapsed="false">
      <c r="A143" s="14" t="s">
        <v>2304</v>
      </c>
      <c r="B143" s="15" t="s">
        <v>2235</v>
      </c>
      <c r="C143" s="15" t="s">
        <v>2236</v>
      </c>
      <c r="D143" s="15" t="s">
        <v>2298</v>
      </c>
      <c r="E143" s="15" t="s">
        <v>2305</v>
      </c>
      <c r="F143" s="15" t="s">
        <v>2306</v>
      </c>
      <c r="G143" s="15" t="s">
        <v>2240</v>
      </c>
      <c r="H143" s="15" t="s">
        <v>2307</v>
      </c>
      <c r="I143" s="15" t="s">
        <v>2308</v>
      </c>
      <c r="J143" s="16"/>
      <c r="K143" s="14" t="s">
        <v>20</v>
      </c>
      <c r="L143" s="14" t="s">
        <v>86</v>
      </c>
      <c r="M143" s="14" t="s">
        <v>1773</v>
      </c>
      <c r="N143" s="14" t="s">
        <v>87</v>
      </c>
      <c r="O143" s="15" t="s">
        <v>88</v>
      </c>
      <c r="P143" s="15" t="s">
        <v>398</v>
      </c>
      <c r="Q143" s="17" t="s">
        <v>90</v>
      </c>
      <c r="R143" s="17"/>
      <c r="S143" s="15" t="s">
        <v>2309</v>
      </c>
    </row>
    <row r="144" customFormat="false" ht="32.8" hidden="false" customHeight="false" outlineLevel="0" collapsed="false">
      <c r="A144" s="14" t="s">
        <v>2310</v>
      </c>
      <c r="B144" s="15" t="s">
        <v>2235</v>
      </c>
      <c r="C144" s="15" t="s">
        <v>2236</v>
      </c>
      <c r="D144" s="15" t="s">
        <v>2311</v>
      </c>
      <c r="E144" s="15" t="s">
        <v>2312</v>
      </c>
      <c r="F144" s="15" t="s">
        <v>2313</v>
      </c>
      <c r="G144" s="15" t="s">
        <v>2240</v>
      </c>
      <c r="H144" s="15" t="s">
        <v>2314</v>
      </c>
      <c r="I144" s="15" t="s">
        <v>2315</v>
      </c>
      <c r="J144" s="16"/>
      <c r="K144" s="14" t="s">
        <v>20</v>
      </c>
      <c r="L144" s="14" t="s">
        <v>86</v>
      </c>
      <c r="M144" s="14" t="s">
        <v>1773</v>
      </c>
      <c r="N144" s="14" t="s">
        <v>87</v>
      </c>
      <c r="O144" s="15" t="s">
        <v>88</v>
      </c>
      <c r="P144" s="15" t="s">
        <v>398</v>
      </c>
      <c r="Q144" s="17" t="s">
        <v>90</v>
      </c>
      <c r="R144" s="17"/>
      <c r="S144" s="15" t="s">
        <v>2316</v>
      </c>
    </row>
    <row r="145" customFormat="false" ht="32.8" hidden="false" customHeight="false" outlineLevel="0" collapsed="false">
      <c r="A145" s="14" t="s">
        <v>2317</v>
      </c>
      <c r="B145" s="15" t="s">
        <v>2235</v>
      </c>
      <c r="C145" s="15" t="s">
        <v>2236</v>
      </c>
      <c r="D145" s="15" t="s">
        <v>2318</v>
      </c>
      <c r="E145" s="15" t="s">
        <v>2319</v>
      </c>
      <c r="F145" s="15" t="s">
        <v>2320</v>
      </c>
      <c r="G145" s="15" t="s">
        <v>2240</v>
      </c>
      <c r="H145" s="15" t="s">
        <v>2321</v>
      </c>
      <c r="I145" s="15" t="s">
        <v>2322</v>
      </c>
      <c r="J145" s="16"/>
      <c r="K145" s="14" t="s">
        <v>20</v>
      </c>
      <c r="L145" s="14" t="s">
        <v>86</v>
      </c>
      <c r="M145" s="14" t="s">
        <v>1773</v>
      </c>
      <c r="N145" s="14" t="s">
        <v>87</v>
      </c>
      <c r="O145" s="15" t="s">
        <v>88</v>
      </c>
      <c r="P145" s="15" t="s">
        <v>398</v>
      </c>
      <c r="Q145" s="17" t="s">
        <v>90</v>
      </c>
      <c r="R145" s="17"/>
      <c r="S145" s="15" t="s">
        <v>2323</v>
      </c>
    </row>
    <row r="146" customFormat="false" ht="32.8" hidden="false" customHeight="false" outlineLevel="0" collapsed="false">
      <c r="A146" s="14" t="s">
        <v>2324</v>
      </c>
      <c r="B146" s="15" t="s">
        <v>2235</v>
      </c>
      <c r="C146" s="15" t="s">
        <v>2236</v>
      </c>
      <c r="D146" s="15" t="s">
        <v>2325</v>
      </c>
      <c r="E146" s="15" t="s">
        <v>2326</v>
      </c>
      <c r="F146" s="15" t="s">
        <v>2327</v>
      </c>
      <c r="G146" s="15" t="s">
        <v>2240</v>
      </c>
      <c r="H146" s="15" t="s">
        <v>2321</v>
      </c>
      <c r="I146" s="15" t="s">
        <v>2328</v>
      </c>
      <c r="J146" s="16"/>
      <c r="K146" s="14" t="s">
        <v>20</v>
      </c>
      <c r="L146" s="14" t="s">
        <v>86</v>
      </c>
      <c r="M146" s="14" t="s">
        <v>1773</v>
      </c>
      <c r="N146" s="14" t="s">
        <v>87</v>
      </c>
      <c r="O146" s="15" t="s">
        <v>88</v>
      </c>
      <c r="P146" s="15" t="s">
        <v>398</v>
      </c>
      <c r="Q146" s="17" t="s">
        <v>90</v>
      </c>
      <c r="R146" s="17"/>
      <c r="S146" s="15" t="s">
        <v>2329</v>
      </c>
    </row>
    <row r="147" customFormat="false" ht="32.8" hidden="false" customHeight="false" outlineLevel="0" collapsed="false">
      <c r="A147" s="14" t="s">
        <v>2330</v>
      </c>
      <c r="B147" s="15" t="s">
        <v>2235</v>
      </c>
      <c r="C147" s="15" t="s">
        <v>2236</v>
      </c>
      <c r="D147" s="15" t="s">
        <v>2331</v>
      </c>
      <c r="E147" s="15" t="s">
        <v>2332</v>
      </c>
      <c r="F147" s="15" t="s">
        <v>2333</v>
      </c>
      <c r="G147" s="15" t="s">
        <v>2240</v>
      </c>
      <c r="H147" s="15" t="s">
        <v>2321</v>
      </c>
      <c r="I147" s="15" t="s">
        <v>2322</v>
      </c>
      <c r="J147" s="16"/>
      <c r="K147" s="14" t="s">
        <v>20</v>
      </c>
      <c r="L147" s="14" t="s">
        <v>86</v>
      </c>
      <c r="M147" s="14" t="s">
        <v>1773</v>
      </c>
      <c r="N147" s="14" t="s">
        <v>87</v>
      </c>
      <c r="O147" s="15" t="s">
        <v>88</v>
      </c>
      <c r="P147" s="15" t="s">
        <v>398</v>
      </c>
      <c r="Q147" s="17" t="s">
        <v>90</v>
      </c>
      <c r="R147" s="17"/>
      <c r="S147" s="15" t="s">
        <v>2334</v>
      </c>
    </row>
    <row r="148" customFormat="false" ht="32.8" hidden="false" customHeight="false" outlineLevel="0" collapsed="false">
      <c r="A148" s="14" t="s">
        <v>2335</v>
      </c>
      <c r="B148" s="15" t="s">
        <v>2235</v>
      </c>
      <c r="C148" s="15" t="s">
        <v>2236</v>
      </c>
      <c r="D148" s="15" t="s">
        <v>2336</v>
      </c>
      <c r="E148" s="15" t="s">
        <v>2337</v>
      </c>
      <c r="F148" s="15" t="s">
        <v>2338</v>
      </c>
      <c r="G148" s="15" t="s">
        <v>2240</v>
      </c>
      <c r="H148" s="15" t="s">
        <v>2339</v>
      </c>
      <c r="I148" s="15" t="s">
        <v>2340</v>
      </c>
      <c r="J148" s="16"/>
      <c r="K148" s="14" t="s">
        <v>20</v>
      </c>
      <c r="L148" s="14" t="s">
        <v>86</v>
      </c>
      <c r="M148" s="14" t="s">
        <v>1773</v>
      </c>
      <c r="N148" s="14" t="s">
        <v>87</v>
      </c>
      <c r="O148" s="15" t="s">
        <v>88</v>
      </c>
      <c r="P148" s="15" t="s">
        <v>398</v>
      </c>
      <c r="Q148" s="17" t="s">
        <v>90</v>
      </c>
      <c r="R148" s="17"/>
      <c r="S148" s="15" t="s">
        <v>2341</v>
      </c>
    </row>
    <row r="149" customFormat="false" ht="32.8" hidden="false" customHeight="false" outlineLevel="0" collapsed="false">
      <c r="A149" s="14" t="s">
        <v>2342</v>
      </c>
      <c r="B149" s="15" t="s">
        <v>2235</v>
      </c>
      <c r="C149" s="15" t="s">
        <v>2236</v>
      </c>
      <c r="D149" s="15" t="s">
        <v>2343</v>
      </c>
      <c r="E149" s="15" t="s">
        <v>2344</v>
      </c>
      <c r="F149" s="15" t="s">
        <v>2345</v>
      </c>
      <c r="G149" s="15" t="s">
        <v>2240</v>
      </c>
      <c r="H149" s="15" t="s">
        <v>2346</v>
      </c>
      <c r="I149" s="15" t="s">
        <v>2347</v>
      </c>
      <c r="J149" s="16"/>
      <c r="K149" s="14" t="s">
        <v>20</v>
      </c>
      <c r="L149" s="14" t="s">
        <v>86</v>
      </c>
      <c r="M149" s="14" t="s">
        <v>1773</v>
      </c>
      <c r="N149" s="14" t="s">
        <v>87</v>
      </c>
      <c r="O149" s="15" t="s">
        <v>88</v>
      </c>
      <c r="P149" s="15" t="s">
        <v>398</v>
      </c>
      <c r="Q149" s="17" t="s">
        <v>90</v>
      </c>
      <c r="R149" s="17"/>
      <c r="S149" s="15" t="s">
        <v>2348</v>
      </c>
    </row>
    <row r="150" customFormat="false" ht="32.8" hidden="false" customHeight="false" outlineLevel="0" collapsed="false">
      <c r="A150" s="14" t="s">
        <v>2349</v>
      </c>
      <c r="B150" s="15" t="s">
        <v>2235</v>
      </c>
      <c r="C150" s="15" t="s">
        <v>2236</v>
      </c>
      <c r="D150" s="15" t="s">
        <v>2343</v>
      </c>
      <c r="E150" s="15" t="s">
        <v>2350</v>
      </c>
      <c r="F150" s="15" t="s">
        <v>2351</v>
      </c>
      <c r="G150" s="15" t="s">
        <v>2240</v>
      </c>
      <c r="H150" s="15" t="s">
        <v>2352</v>
      </c>
      <c r="I150" s="15" t="s">
        <v>2353</v>
      </c>
      <c r="J150" s="16"/>
      <c r="K150" s="14" t="s">
        <v>20</v>
      </c>
      <c r="L150" s="14" t="s">
        <v>86</v>
      </c>
      <c r="M150" s="14" t="s">
        <v>1773</v>
      </c>
      <c r="N150" s="14" t="s">
        <v>87</v>
      </c>
      <c r="O150" s="15" t="s">
        <v>88</v>
      </c>
      <c r="P150" s="15" t="s">
        <v>398</v>
      </c>
      <c r="Q150" s="17" t="s">
        <v>90</v>
      </c>
      <c r="R150" s="17"/>
      <c r="S150" s="15" t="s">
        <v>2354</v>
      </c>
    </row>
    <row r="151" customFormat="false" ht="32.8" hidden="false" customHeight="false" outlineLevel="0" collapsed="false">
      <c r="A151" s="14" t="s">
        <v>2355</v>
      </c>
      <c r="B151" s="15" t="s">
        <v>2235</v>
      </c>
      <c r="C151" s="15" t="s">
        <v>2236</v>
      </c>
      <c r="D151" s="15" t="s">
        <v>2356</v>
      </c>
      <c r="E151" s="15" t="s">
        <v>2357</v>
      </c>
      <c r="F151" s="15" t="s">
        <v>2358</v>
      </c>
      <c r="G151" s="15" t="s">
        <v>2240</v>
      </c>
      <c r="H151" s="15" t="s">
        <v>2359</v>
      </c>
      <c r="I151" s="15" t="s">
        <v>2360</v>
      </c>
      <c r="J151" s="16"/>
      <c r="K151" s="14" t="s">
        <v>20</v>
      </c>
      <c r="L151" s="14" t="s">
        <v>86</v>
      </c>
      <c r="M151" s="14" t="s">
        <v>1773</v>
      </c>
      <c r="N151" s="14" t="s">
        <v>109</v>
      </c>
      <c r="O151" s="15" t="s">
        <v>88</v>
      </c>
      <c r="P151" s="15" t="s">
        <v>398</v>
      </c>
      <c r="Q151" s="17" t="s">
        <v>90</v>
      </c>
      <c r="R151" s="17"/>
      <c r="S151" s="15" t="s">
        <v>2361</v>
      </c>
    </row>
    <row r="152" customFormat="false" ht="32.8" hidden="false" customHeight="false" outlineLevel="0" collapsed="false">
      <c r="A152" s="14" t="s">
        <v>2362</v>
      </c>
      <c r="B152" s="15" t="s">
        <v>2235</v>
      </c>
      <c r="C152" s="15" t="s">
        <v>2236</v>
      </c>
      <c r="D152" s="15" t="s">
        <v>2356</v>
      </c>
      <c r="E152" s="15" t="s">
        <v>2363</v>
      </c>
      <c r="F152" s="15" t="s">
        <v>2364</v>
      </c>
      <c r="G152" s="15" t="s">
        <v>2240</v>
      </c>
      <c r="H152" s="15" t="s">
        <v>2365</v>
      </c>
      <c r="I152" s="15" t="s">
        <v>2366</v>
      </c>
      <c r="J152" s="16"/>
      <c r="K152" s="14" t="s">
        <v>20</v>
      </c>
      <c r="L152" s="14" t="s">
        <v>86</v>
      </c>
      <c r="M152" s="14" t="s">
        <v>1773</v>
      </c>
      <c r="N152" s="14" t="s">
        <v>109</v>
      </c>
      <c r="O152" s="15" t="s">
        <v>88</v>
      </c>
      <c r="P152" s="15" t="s">
        <v>398</v>
      </c>
      <c r="Q152" s="17" t="s">
        <v>90</v>
      </c>
      <c r="R152" s="17"/>
      <c r="S152" s="15" t="s">
        <v>2367</v>
      </c>
    </row>
    <row r="153" customFormat="false" ht="32.8" hidden="false" customHeight="false" outlineLevel="0" collapsed="false">
      <c r="A153" s="14" t="s">
        <v>2368</v>
      </c>
      <c r="B153" s="15" t="s">
        <v>2235</v>
      </c>
      <c r="C153" s="15" t="s">
        <v>2236</v>
      </c>
      <c r="D153" s="15" t="s">
        <v>2369</v>
      </c>
      <c r="E153" s="15" t="s">
        <v>2370</v>
      </c>
      <c r="F153" s="15" t="s">
        <v>2371</v>
      </c>
      <c r="G153" s="15" t="s">
        <v>2240</v>
      </c>
      <c r="H153" s="15" t="s">
        <v>2365</v>
      </c>
      <c r="I153" s="15" t="s">
        <v>2372</v>
      </c>
      <c r="J153" s="16"/>
      <c r="K153" s="14" t="s">
        <v>20</v>
      </c>
      <c r="L153" s="14" t="s">
        <v>86</v>
      </c>
      <c r="M153" s="14" t="s">
        <v>1773</v>
      </c>
      <c r="N153" s="14" t="s">
        <v>87</v>
      </c>
      <c r="O153" s="15" t="s">
        <v>88</v>
      </c>
      <c r="P153" s="15" t="s">
        <v>398</v>
      </c>
      <c r="Q153" s="17" t="s">
        <v>90</v>
      </c>
      <c r="R153" s="17"/>
      <c r="S153" s="15" t="s">
        <v>2373</v>
      </c>
    </row>
    <row r="154" customFormat="false" ht="32.8" hidden="false" customHeight="false" outlineLevel="0" collapsed="false">
      <c r="A154" s="14" t="s">
        <v>2374</v>
      </c>
      <c r="B154" s="15" t="s">
        <v>2235</v>
      </c>
      <c r="C154" s="15" t="s">
        <v>2236</v>
      </c>
      <c r="D154" s="15" t="s">
        <v>2375</v>
      </c>
      <c r="E154" s="15" t="s">
        <v>2376</v>
      </c>
      <c r="F154" s="15" t="s">
        <v>2377</v>
      </c>
      <c r="G154" s="15" t="s">
        <v>2240</v>
      </c>
      <c r="H154" s="15" t="s">
        <v>2378</v>
      </c>
      <c r="I154" s="15" t="s">
        <v>2379</v>
      </c>
      <c r="J154" s="16"/>
      <c r="K154" s="14" t="s">
        <v>20</v>
      </c>
      <c r="L154" s="14" t="s">
        <v>86</v>
      </c>
      <c r="M154" s="14" t="s">
        <v>1773</v>
      </c>
      <c r="N154" s="14" t="s">
        <v>346</v>
      </c>
      <c r="O154" s="15" t="s">
        <v>88</v>
      </c>
      <c r="P154" s="15" t="s">
        <v>398</v>
      </c>
      <c r="Q154" s="17" t="s">
        <v>90</v>
      </c>
      <c r="R154" s="17"/>
      <c r="S154" s="15" t="s">
        <v>2380</v>
      </c>
    </row>
    <row r="155" customFormat="false" ht="32.8" hidden="false" customHeight="false" outlineLevel="0" collapsed="false">
      <c r="A155" s="14" t="s">
        <v>2381</v>
      </c>
      <c r="B155" s="15" t="s">
        <v>2235</v>
      </c>
      <c r="C155" s="15" t="s">
        <v>2236</v>
      </c>
      <c r="D155" s="15" t="s">
        <v>2382</v>
      </c>
      <c r="E155" s="15" t="s">
        <v>2383</v>
      </c>
      <c r="F155" s="15" t="s">
        <v>2384</v>
      </c>
      <c r="G155" s="15" t="s">
        <v>2240</v>
      </c>
      <c r="H155" s="15" t="s">
        <v>2385</v>
      </c>
      <c r="I155" s="15" t="s">
        <v>2386</v>
      </c>
      <c r="J155" s="16"/>
      <c r="K155" s="14" t="s">
        <v>20</v>
      </c>
      <c r="L155" s="14" t="s">
        <v>86</v>
      </c>
      <c r="M155" s="14" t="s">
        <v>1773</v>
      </c>
      <c r="N155" s="14" t="s">
        <v>87</v>
      </c>
      <c r="O155" s="15" t="s">
        <v>88</v>
      </c>
      <c r="P155" s="15" t="s">
        <v>398</v>
      </c>
      <c r="Q155" s="17" t="s">
        <v>90</v>
      </c>
      <c r="R155" s="17"/>
      <c r="S155" s="15" t="s">
        <v>2387</v>
      </c>
    </row>
    <row r="156" customFormat="false" ht="32.8" hidden="false" customHeight="false" outlineLevel="0" collapsed="false">
      <c r="A156" s="14" t="s">
        <v>2388</v>
      </c>
      <c r="B156" s="15" t="s">
        <v>2389</v>
      </c>
      <c r="C156" s="15" t="s">
        <v>35</v>
      </c>
      <c r="D156" s="15" t="s">
        <v>1881</v>
      </c>
      <c r="E156" s="15" t="s">
        <v>2390</v>
      </c>
      <c r="F156" s="15" t="s">
        <v>2391</v>
      </c>
      <c r="G156" s="15" t="s">
        <v>510</v>
      </c>
      <c r="H156" s="15" t="s">
        <v>1421</v>
      </c>
      <c r="I156" s="15" t="s">
        <v>2392</v>
      </c>
      <c r="J156" s="16"/>
      <c r="K156" s="14" t="s">
        <v>21</v>
      </c>
      <c r="L156" s="14" t="s">
        <v>86</v>
      </c>
      <c r="M156" s="14" t="s">
        <v>1773</v>
      </c>
      <c r="N156" s="14" t="s">
        <v>87</v>
      </c>
      <c r="O156" s="15" t="s">
        <v>88</v>
      </c>
      <c r="P156" s="15" t="s">
        <v>89</v>
      </c>
      <c r="Q156" s="17" t="s">
        <v>90</v>
      </c>
      <c r="R156" s="17"/>
      <c r="S156" s="15" t="s">
        <v>2393</v>
      </c>
    </row>
    <row r="157" customFormat="false" ht="32.8" hidden="false" customHeight="false" outlineLevel="0" collapsed="false">
      <c r="A157" s="14" t="s">
        <v>2394</v>
      </c>
      <c r="B157" s="15" t="s">
        <v>2389</v>
      </c>
      <c r="C157" s="15" t="s">
        <v>35</v>
      </c>
      <c r="D157" s="15" t="s">
        <v>1881</v>
      </c>
      <c r="E157" s="15" t="s">
        <v>2395</v>
      </c>
      <c r="F157" s="15" t="s">
        <v>2396</v>
      </c>
      <c r="G157" s="15" t="s">
        <v>510</v>
      </c>
      <c r="H157" s="15" t="s">
        <v>1548</v>
      </c>
      <c r="I157" s="15" t="s">
        <v>2397</v>
      </c>
      <c r="J157" s="16"/>
      <c r="K157" s="14" t="s">
        <v>21</v>
      </c>
      <c r="L157" s="14" t="s">
        <v>86</v>
      </c>
      <c r="M157" s="14" t="s">
        <v>1773</v>
      </c>
      <c r="N157" s="14" t="s">
        <v>87</v>
      </c>
      <c r="O157" s="15" t="s">
        <v>88</v>
      </c>
      <c r="P157" s="15" t="s">
        <v>89</v>
      </c>
      <c r="Q157" s="17" t="s">
        <v>90</v>
      </c>
      <c r="R157" s="17"/>
      <c r="S157" s="15" t="s">
        <v>2398</v>
      </c>
    </row>
    <row r="158" customFormat="false" ht="32.8" hidden="false" customHeight="false" outlineLevel="0" collapsed="false">
      <c r="A158" s="14" t="s">
        <v>2399</v>
      </c>
      <c r="B158" s="15" t="s">
        <v>2389</v>
      </c>
      <c r="C158" s="15" t="s">
        <v>35</v>
      </c>
      <c r="D158" s="15" t="s">
        <v>2400</v>
      </c>
      <c r="E158" s="15" t="s">
        <v>2401</v>
      </c>
      <c r="F158" s="15" t="s">
        <v>2402</v>
      </c>
      <c r="G158" s="15" t="s">
        <v>510</v>
      </c>
      <c r="H158" s="15" t="s">
        <v>1421</v>
      </c>
      <c r="I158" s="15" t="s">
        <v>2403</v>
      </c>
      <c r="J158" s="16"/>
      <c r="K158" s="14" t="s">
        <v>21</v>
      </c>
      <c r="L158" s="14" t="s">
        <v>86</v>
      </c>
      <c r="M158" s="14" t="s">
        <v>1773</v>
      </c>
      <c r="N158" s="14" t="s">
        <v>87</v>
      </c>
      <c r="O158" s="15" t="s">
        <v>88</v>
      </c>
      <c r="P158" s="15" t="s">
        <v>89</v>
      </c>
      <c r="Q158" s="17" t="s">
        <v>90</v>
      </c>
      <c r="R158" s="17"/>
      <c r="S158" s="15" t="s">
        <v>2404</v>
      </c>
    </row>
    <row r="159" customFormat="false" ht="32.8" hidden="false" customHeight="false" outlineLevel="0" collapsed="false">
      <c r="A159" s="14" t="s">
        <v>2405</v>
      </c>
      <c r="B159" s="15" t="s">
        <v>2389</v>
      </c>
      <c r="C159" s="15" t="s">
        <v>35</v>
      </c>
      <c r="D159" s="15" t="s">
        <v>2406</v>
      </c>
      <c r="E159" s="15" t="s">
        <v>2407</v>
      </c>
      <c r="F159" s="15" t="s">
        <v>2408</v>
      </c>
      <c r="G159" s="15" t="s">
        <v>510</v>
      </c>
      <c r="H159" s="15" t="s">
        <v>1421</v>
      </c>
      <c r="I159" s="15" t="s">
        <v>2409</v>
      </c>
      <c r="J159" s="16"/>
      <c r="K159" s="14" t="s">
        <v>21</v>
      </c>
      <c r="L159" s="14" t="s">
        <v>86</v>
      </c>
      <c r="M159" s="14" t="s">
        <v>1773</v>
      </c>
      <c r="N159" s="14" t="s">
        <v>87</v>
      </c>
      <c r="O159" s="15" t="s">
        <v>88</v>
      </c>
      <c r="P159" s="15" t="s">
        <v>89</v>
      </c>
      <c r="Q159" s="17" t="s">
        <v>90</v>
      </c>
      <c r="R159" s="17"/>
      <c r="S159" s="15" t="s">
        <v>2410</v>
      </c>
    </row>
    <row r="160" customFormat="false" ht="32.8" hidden="false" customHeight="false" outlineLevel="0" collapsed="false">
      <c r="A160" s="14" t="s">
        <v>2411</v>
      </c>
      <c r="B160" s="15" t="s">
        <v>2389</v>
      </c>
      <c r="C160" s="15" t="s">
        <v>35</v>
      </c>
      <c r="D160" s="15" t="s">
        <v>2412</v>
      </c>
      <c r="E160" s="15" t="s">
        <v>2413</v>
      </c>
      <c r="F160" s="15" t="s">
        <v>2414</v>
      </c>
      <c r="G160" s="15" t="s">
        <v>510</v>
      </c>
      <c r="H160" s="15" t="s">
        <v>1421</v>
      </c>
      <c r="I160" s="15" t="s">
        <v>2415</v>
      </c>
      <c r="J160" s="16"/>
      <c r="K160" s="14" t="s">
        <v>21</v>
      </c>
      <c r="L160" s="14" t="s">
        <v>86</v>
      </c>
      <c r="M160" s="14" t="s">
        <v>1773</v>
      </c>
      <c r="N160" s="14" t="s">
        <v>87</v>
      </c>
      <c r="O160" s="15" t="s">
        <v>88</v>
      </c>
      <c r="P160" s="15" t="s">
        <v>89</v>
      </c>
      <c r="Q160" s="17" t="s">
        <v>90</v>
      </c>
      <c r="R160" s="17"/>
      <c r="S160" s="15" t="s">
        <v>2416</v>
      </c>
    </row>
    <row r="161" customFormat="false" ht="32.8" hidden="false" customHeight="false" outlineLevel="0" collapsed="false">
      <c r="A161" s="14" t="s">
        <v>2417</v>
      </c>
      <c r="B161" s="15" t="s">
        <v>2389</v>
      </c>
      <c r="C161" s="15" t="s">
        <v>35</v>
      </c>
      <c r="D161" s="15" t="s">
        <v>2418</v>
      </c>
      <c r="E161" s="15" t="s">
        <v>2419</v>
      </c>
      <c r="F161" s="15" t="s">
        <v>2420</v>
      </c>
      <c r="G161" s="15" t="s">
        <v>510</v>
      </c>
      <c r="H161" s="15" t="s">
        <v>1421</v>
      </c>
      <c r="I161" s="15" t="s">
        <v>2421</v>
      </c>
      <c r="J161" s="16"/>
      <c r="K161" s="14" t="s">
        <v>21</v>
      </c>
      <c r="L161" s="14" t="s">
        <v>86</v>
      </c>
      <c r="M161" s="14" t="s">
        <v>1773</v>
      </c>
      <c r="N161" s="14" t="s">
        <v>87</v>
      </c>
      <c r="O161" s="15" t="s">
        <v>88</v>
      </c>
      <c r="P161" s="15" t="s">
        <v>89</v>
      </c>
      <c r="Q161" s="17" t="s">
        <v>90</v>
      </c>
      <c r="R161" s="17"/>
      <c r="S161" s="15" t="s">
        <v>2422</v>
      </c>
    </row>
    <row r="162" customFormat="false" ht="32.8" hidden="false" customHeight="false" outlineLevel="0" collapsed="false">
      <c r="A162" s="14" t="s">
        <v>2423</v>
      </c>
      <c r="B162" s="15" t="s">
        <v>2389</v>
      </c>
      <c r="C162" s="15" t="s">
        <v>35</v>
      </c>
      <c r="D162" s="15" t="s">
        <v>2424</v>
      </c>
      <c r="E162" s="15" t="s">
        <v>2425</v>
      </c>
      <c r="F162" s="15" t="s">
        <v>2408</v>
      </c>
      <c r="G162" s="15" t="s">
        <v>510</v>
      </c>
      <c r="H162" s="15" t="s">
        <v>1421</v>
      </c>
      <c r="I162" s="15" t="s">
        <v>2426</v>
      </c>
      <c r="J162" s="16"/>
      <c r="K162" s="14" t="s">
        <v>21</v>
      </c>
      <c r="L162" s="14" t="s">
        <v>86</v>
      </c>
      <c r="M162" s="14" t="s">
        <v>1773</v>
      </c>
      <c r="N162" s="14" t="s">
        <v>87</v>
      </c>
      <c r="O162" s="15" t="s">
        <v>88</v>
      </c>
      <c r="P162" s="15" t="s">
        <v>89</v>
      </c>
      <c r="Q162" s="17" t="s">
        <v>90</v>
      </c>
      <c r="R162" s="17"/>
      <c r="S162" s="15" t="s">
        <v>2427</v>
      </c>
    </row>
    <row r="163" customFormat="false" ht="32.8" hidden="false" customHeight="false" outlineLevel="0" collapsed="false">
      <c r="A163" s="14" t="s">
        <v>2428</v>
      </c>
      <c r="B163" s="15" t="s">
        <v>2389</v>
      </c>
      <c r="C163" s="15" t="s">
        <v>35</v>
      </c>
      <c r="D163" s="15" t="s">
        <v>2429</v>
      </c>
      <c r="E163" s="15" t="s">
        <v>2430</v>
      </c>
      <c r="F163" s="15" t="s">
        <v>2431</v>
      </c>
      <c r="G163" s="15" t="s">
        <v>510</v>
      </c>
      <c r="H163" s="15" t="s">
        <v>2432</v>
      </c>
      <c r="I163" s="15" t="s">
        <v>2433</v>
      </c>
      <c r="J163" s="16"/>
      <c r="K163" s="14" t="s">
        <v>21</v>
      </c>
      <c r="L163" s="14" t="s">
        <v>86</v>
      </c>
      <c r="M163" s="14" t="s">
        <v>1773</v>
      </c>
      <c r="N163" s="14" t="s">
        <v>87</v>
      </c>
      <c r="O163" s="15" t="s">
        <v>88</v>
      </c>
      <c r="P163" s="15" t="s">
        <v>89</v>
      </c>
      <c r="Q163" s="17" t="s">
        <v>90</v>
      </c>
      <c r="R163" s="17"/>
      <c r="S163" s="15" t="s">
        <v>2434</v>
      </c>
    </row>
  </sheetData>
  <autoFilter ref="A1:S163"/>
  <conditionalFormatting sqref="K2:K163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163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163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163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163" type="list">
      <formula1>"P0,P1,P2,P3"</formula1>
      <formula2>0</formula2>
    </dataValidation>
    <dataValidation allowBlank="false" errorStyle="stop" operator="between" showDropDown="false" showErrorMessage="false" showInputMessage="false" sqref="L2:L163" type="list">
      <formula1>"Critical,High,Medium,Low"</formula1>
      <formula2>0</formula2>
    </dataValidation>
    <dataValidation allowBlank="false" errorStyle="stop" operator="between" showDropDown="false" showErrorMessage="false" showInputMessage="false" sqref="N2:N163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22.35" hidden="false" customHeight="false" outlineLevel="0" collapsed="false">
      <c r="A2" s="14" t="s">
        <v>2435</v>
      </c>
      <c r="B2" s="15" t="s">
        <v>2436</v>
      </c>
      <c r="C2" s="15" t="s">
        <v>2437</v>
      </c>
      <c r="D2" s="15" t="s">
        <v>2438</v>
      </c>
      <c r="E2" s="15" t="s">
        <v>2439</v>
      </c>
      <c r="F2" s="15" t="s">
        <v>2440</v>
      </c>
      <c r="G2" s="15"/>
      <c r="H2" s="15" t="s">
        <v>1741</v>
      </c>
      <c r="I2" s="15" t="s">
        <v>2441</v>
      </c>
      <c r="J2" s="16"/>
      <c r="K2" s="14" t="s">
        <v>20</v>
      </c>
      <c r="L2" s="14" t="s">
        <v>99</v>
      </c>
      <c r="M2" s="14" t="s">
        <v>1743</v>
      </c>
      <c r="N2" s="14" t="s">
        <v>109</v>
      </c>
      <c r="O2" s="15" t="s">
        <v>88</v>
      </c>
      <c r="P2" s="15" t="s">
        <v>89</v>
      </c>
      <c r="Q2" s="17" t="s">
        <v>90</v>
      </c>
      <c r="R2" s="17"/>
      <c r="S2" s="15" t="s">
        <v>2442</v>
      </c>
    </row>
    <row r="3" customFormat="false" ht="22.35" hidden="false" customHeight="false" outlineLevel="0" collapsed="false">
      <c r="A3" s="14" t="s">
        <v>2443</v>
      </c>
      <c r="B3" s="15" t="s">
        <v>2436</v>
      </c>
      <c r="C3" s="15" t="s">
        <v>2444</v>
      </c>
      <c r="D3" s="15" t="s">
        <v>2445</v>
      </c>
      <c r="E3" s="15" t="s">
        <v>2446</v>
      </c>
      <c r="F3" s="15" t="s">
        <v>167</v>
      </c>
      <c r="G3" s="15" t="s">
        <v>2447</v>
      </c>
      <c r="H3" s="15" t="s">
        <v>2448</v>
      </c>
      <c r="I3" s="15" t="s">
        <v>2449</v>
      </c>
      <c r="J3" s="16"/>
      <c r="K3" s="14" t="s">
        <v>20</v>
      </c>
      <c r="L3" s="14" t="s">
        <v>99</v>
      </c>
      <c r="M3" s="14" t="s">
        <v>1743</v>
      </c>
      <c r="N3" s="14" t="s">
        <v>109</v>
      </c>
      <c r="O3" s="15" t="s">
        <v>88</v>
      </c>
      <c r="P3" s="15" t="s">
        <v>140</v>
      </c>
      <c r="Q3" s="17" t="s">
        <v>90</v>
      </c>
      <c r="R3" s="17"/>
      <c r="S3" s="15" t="s">
        <v>2450</v>
      </c>
    </row>
    <row r="4" customFormat="false" ht="22.35" hidden="false" customHeight="false" outlineLevel="0" collapsed="false">
      <c r="A4" s="14" t="s">
        <v>2451</v>
      </c>
      <c r="B4" s="15" t="s">
        <v>2436</v>
      </c>
      <c r="C4" s="15" t="s">
        <v>2444</v>
      </c>
      <c r="D4" s="15" t="s">
        <v>2452</v>
      </c>
      <c r="E4" s="15" t="s">
        <v>2453</v>
      </c>
      <c r="F4" s="15" t="s">
        <v>167</v>
      </c>
      <c r="G4" s="15" t="s">
        <v>2454</v>
      </c>
      <c r="H4" s="15" t="s">
        <v>1741</v>
      </c>
      <c r="I4" s="15" t="s">
        <v>2455</v>
      </c>
      <c r="J4" s="16"/>
      <c r="K4" s="14" t="s">
        <v>21</v>
      </c>
      <c r="L4" s="14" t="s">
        <v>99</v>
      </c>
      <c r="M4" s="14" t="s">
        <v>1743</v>
      </c>
      <c r="N4" s="14" t="s">
        <v>109</v>
      </c>
      <c r="O4" s="15" t="s">
        <v>88</v>
      </c>
      <c r="P4" s="15" t="s">
        <v>140</v>
      </c>
      <c r="Q4" s="17" t="s">
        <v>90</v>
      </c>
      <c r="R4" s="17"/>
      <c r="S4" s="15" t="s">
        <v>2450</v>
      </c>
    </row>
    <row r="5" customFormat="false" ht="22.35" hidden="false" customHeight="false" outlineLevel="0" collapsed="false">
      <c r="A5" s="14" t="s">
        <v>2456</v>
      </c>
      <c r="B5" s="15" t="s">
        <v>2436</v>
      </c>
      <c r="C5" s="15" t="s">
        <v>2444</v>
      </c>
      <c r="D5" s="15" t="s">
        <v>2457</v>
      </c>
      <c r="E5" s="15" t="s">
        <v>2458</v>
      </c>
      <c r="F5" s="15" t="s">
        <v>167</v>
      </c>
      <c r="G5" s="15" t="s">
        <v>2459</v>
      </c>
      <c r="H5" s="15" t="s">
        <v>1741</v>
      </c>
      <c r="I5" s="15" t="s">
        <v>2460</v>
      </c>
      <c r="J5" s="16"/>
      <c r="K5" s="14" t="s">
        <v>22</v>
      </c>
      <c r="L5" s="14" t="s">
        <v>338</v>
      </c>
      <c r="M5" s="14" t="s">
        <v>1743</v>
      </c>
      <c r="N5" s="14" t="s">
        <v>109</v>
      </c>
      <c r="O5" s="15" t="s">
        <v>88</v>
      </c>
      <c r="P5" s="15" t="s">
        <v>140</v>
      </c>
      <c r="Q5" s="17" t="s">
        <v>90</v>
      </c>
      <c r="R5" s="17"/>
      <c r="S5" s="15" t="s">
        <v>2450</v>
      </c>
    </row>
    <row r="6" customFormat="false" ht="22.35" hidden="false" customHeight="false" outlineLevel="0" collapsed="false">
      <c r="A6" s="14" t="s">
        <v>2461</v>
      </c>
      <c r="B6" s="15" t="s">
        <v>2436</v>
      </c>
      <c r="C6" s="15" t="s">
        <v>2444</v>
      </c>
      <c r="D6" s="15" t="s">
        <v>2462</v>
      </c>
      <c r="E6" s="15" t="s">
        <v>2463</v>
      </c>
      <c r="F6" s="15" t="s">
        <v>2464</v>
      </c>
      <c r="G6" s="15" t="s">
        <v>2465</v>
      </c>
      <c r="H6" s="15" t="s">
        <v>2466</v>
      </c>
      <c r="I6" s="15" t="s">
        <v>2467</v>
      </c>
      <c r="J6" s="16"/>
      <c r="K6" s="14" t="s">
        <v>20</v>
      </c>
      <c r="L6" s="14" t="s">
        <v>99</v>
      </c>
      <c r="M6" s="14" t="s">
        <v>1743</v>
      </c>
      <c r="N6" s="14" t="s">
        <v>109</v>
      </c>
      <c r="O6" s="15" t="s">
        <v>88</v>
      </c>
      <c r="P6" s="15" t="s">
        <v>599</v>
      </c>
      <c r="Q6" s="17" t="s">
        <v>90</v>
      </c>
      <c r="R6" s="17"/>
      <c r="S6" s="15" t="s">
        <v>2450</v>
      </c>
    </row>
    <row r="7" customFormat="false" ht="22.35" hidden="false" customHeight="false" outlineLevel="0" collapsed="false">
      <c r="A7" s="14" t="s">
        <v>2468</v>
      </c>
      <c r="B7" s="15" t="s">
        <v>2436</v>
      </c>
      <c r="C7" s="15" t="s">
        <v>2444</v>
      </c>
      <c r="D7" s="15" t="s">
        <v>2469</v>
      </c>
      <c r="E7" s="15" t="s">
        <v>2470</v>
      </c>
      <c r="F7" s="15" t="s">
        <v>2464</v>
      </c>
      <c r="G7" s="15"/>
      <c r="H7" s="15" t="s">
        <v>2471</v>
      </c>
      <c r="I7" s="15" t="s">
        <v>2472</v>
      </c>
      <c r="J7" s="16"/>
      <c r="K7" s="14" t="s">
        <v>20</v>
      </c>
      <c r="L7" s="14" t="s">
        <v>99</v>
      </c>
      <c r="M7" s="14" t="s">
        <v>1743</v>
      </c>
      <c r="N7" s="14" t="s">
        <v>109</v>
      </c>
      <c r="O7" s="15" t="s">
        <v>88</v>
      </c>
      <c r="P7" s="15" t="s">
        <v>599</v>
      </c>
      <c r="Q7" s="17" t="s">
        <v>90</v>
      </c>
      <c r="R7" s="17"/>
      <c r="S7" s="15" t="s">
        <v>2450</v>
      </c>
    </row>
    <row r="8" customFormat="false" ht="22.35" hidden="false" customHeight="false" outlineLevel="0" collapsed="false">
      <c r="A8" s="14" t="s">
        <v>2473</v>
      </c>
      <c r="B8" s="15" t="s">
        <v>2436</v>
      </c>
      <c r="C8" s="15" t="s">
        <v>2444</v>
      </c>
      <c r="D8" s="15" t="s">
        <v>2474</v>
      </c>
      <c r="E8" s="15" t="s">
        <v>2475</v>
      </c>
      <c r="F8" s="15" t="s">
        <v>2474</v>
      </c>
      <c r="G8" s="15" t="s">
        <v>2476</v>
      </c>
      <c r="H8" s="15" t="s">
        <v>2477</v>
      </c>
      <c r="I8" s="15" t="s">
        <v>2478</v>
      </c>
      <c r="J8" s="16"/>
      <c r="K8" s="14" t="s">
        <v>21</v>
      </c>
      <c r="L8" s="14" t="s">
        <v>99</v>
      </c>
      <c r="M8" s="14" t="s">
        <v>1743</v>
      </c>
      <c r="N8" s="14" t="s">
        <v>109</v>
      </c>
      <c r="O8" s="15" t="s">
        <v>88</v>
      </c>
      <c r="P8" s="15" t="s">
        <v>2479</v>
      </c>
      <c r="Q8" s="17" t="s">
        <v>90</v>
      </c>
      <c r="R8" s="17"/>
      <c r="S8" s="15" t="s">
        <v>2450</v>
      </c>
    </row>
    <row r="9" customFormat="false" ht="22.35" hidden="false" customHeight="false" outlineLevel="0" collapsed="false">
      <c r="A9" s="14" t="s">
        <v>2480</v>
      </c>
      <c r="B9" s="15" t="s">
        <v>2436</v>
      </c>
      <c r="C9" s="15" t="s">
        <v>2444</v>
      </c>
      <c r="D9" s="15" t="s">
        <v>2481</v>
      </c>
      <c r="E9" s="15" t="s">
        <v>2482</v>
      </c>
      <c r="F9" s="15" t="s">
        <v>167</v>
      </c>
      <c r="G9" s="15"/>
      <c r="H9" s="15" t="s">
        <v>2483</v>
      </c>
      <c r="I9" s="15" t="s">
        <v>2484</v>
      </c>
      <c r="J9" s="16"/>
      <c r="K9" s="14" t="s">
        <v>21</v>
      </c>
      <c r="L9" s="14" t="s">
        <v>99</v>
      </c>
      <c r="M9" s="14" t="s">
        <v>1743</v>
      </c>
      <c r="N9" s="14" t="s">
        <v>109</v>
      </c>
      <c r="O9" s="15" t="s">
        <v>88</v>
      </c>
      <c r="P9" s="15" t="s">
        <v>140</v>
      </c>
      <c r="Q9" s="17" t="s">
        <v>90</v>
      </c>
      <c r="R9" s="17"/>
      <c r="S9" s="15" t="s">
        <v>2450</v>
      </c>
    </row>
    <row r="10" customFormat="false" ht="22.35" hidden="false" customHeight="false" outlineLevel="0" collapsed="false">
      <c r="A10" s="14" t="s">
        <v>2485</v>
      </c>
      <c r="B10" s="15" t="s">
        <v>2436</v>
      </c>
      <c r="C10" s="15" t="s">
        <v>2444</v>
      </c>
      <c r="D10" s="15" t="s">
        <v>2486</v>
      </c>
      <c r="E10" s="15" t="s">
        <v>2487</v>
      </c>
      <c r="F10" s="15" t="s">
        <v>2488</v>
      </c>
      <c r="G10" s="15"/>
      <c r="H10" s="15" t="s">
        <v>2489</v>
      </c>
      <c r="I10" s="15" t="s">
        <v>2490</v>
      </c>
      <c r="J10" s="16"/>
      <c r="K10" s="14" t="s">
        <v>20</v>
      </c>
      <c r="L10" s="14" t="s">
        <v>108</v>
      </c>
      <c r="M10" s="14" t="s">
        <v>1743</v>
      </c>
      <c r="N10" s="14" t="s">
        <v>109</v>
      </c>
      <c r="O10" s="15" t="s">
        <v>88</v>
      </c>
      <c r="P10" s="15" t="s">
        <v>89</v>
      </c>
      <c r="Q10" s="17" t="s">
        <v>90</v>
      </c>
      <c r="R10" s="17"/>
      <c r="S10" s="15" t="s">
        <v>2491</v>
      </c>
    </row>
    <row r="11" customFormat="false" ht="22.35" hidden="false" customHeight="false" outlineLevel="0" collapsed="false">
      <c r="A11" s="14" t="s">
        <v>2492</v>
      </c>
      <c r="B11" s="15" t="s">
        <v>2436</v>
      </c>
      <c r="C11" s="15" t="s">
        <v>2444</v>
      </c>
      <c r="D11" s="15" t="s">
        <v>128</v>
      </c>
      <c r="E11" s="15" t="s">
        <v>2493</v>
      </c>
      <c r="F11" s="15" t="s">
        <v>2494</v>
      </c>
      <c r="G11" s="15"/>
      <c r="H11" s="15" t="s">
        <v>2495</v>
      </c>
      <c r="I11" s="15" t="s">
        <v>2496</v>
      </c>
      <c r="J11" s="16"/>
      <c r="K11" s="14" t="s">
        <v>21</v>
      </c>
      <c r="L11" s="14" t="s">
        <v>99</v>
      </c>
      <c r="M11" s="14" t="s">
        <v>1743</v>
      </c>
      <c r="N11" s="14" t="s">
        <v>109</v>
      </c>
      <c r="O11" s="15" t="s">
        <v>88</v>
      </c>
      <c r="P11" s="15" t="s">
        <v>89</v>
      </c>
      <c r="Q11" s="17" t="s">
        <v>90</v>
      </c>
      <c r="R11" s="17"/>
      <c r="S11" s="15" t="s">
        <v>2442</v>
      </c>
    </row>
    <row r="12" customFormat="false" ht="22.35" hidden="false" customHeight="false" outlineLevel="0" collapsed="false">
      <c r="A12" s="14" t="s">
        <v>2497</v>
      </c>
      <c r="B12" s="15" t="s">
        <v>2436</v>
      </c>
      <c r="C12" s="15" t="s">
        <v>2498</v>
      </c>
      <c r="D12" s="15" t="s">
        <v>2499</v>
      </c>
      <c r="E12" s="15" t="s">
        <v>2500</v>
      </c>
      <c r="F12" s="15" t="s">
        <v>2501</v>
      </c>
      <c r="G12" s="15"/>
      <c r="H12" s="15" t="s">
        <v>2502</v>
      </c>
      <c r="I12" s="15" t="s">
        <v>2503</v>
      </c>
      <c r="J12" s="16"/>
      <c r="K12" s="14" t="s">
        <v>20</v>
      </c>
      <c r="L12" s="14" t="s">
        <v>99</v>
      </c>
      <c r="M12" s="14" t="s">
        <v>1743</v>
      </c>
      <c r="N12" s="14" t="s">
        <v>109</v>
      </c>
      <c r="O12" s="15" t="s">
        <v>88</v>
      </c>
      <c r="P12" s="15" t="s">
        <v>89</v>
      </c>
      <c r="Q12" s="17" t="s">
        <v>90</v>
      </c>
      <c r="R12" s="17"/>
      <c r="S12" s="15" t="s">
        <v>2450</v>
      </c>
    </row>
    <row r="13" customFormat="false" ht="22.35" hidden="false" customHeight="false" outlineLevel="0" collapsed="false">
      <c r="A13" s="14" t="s">
        <v>2504</v>
      </c>
      <c r="B13" s="15" t="s">
        <v>2436</v>
      </c>
      <c r="C13" s="15" t="s">
        <v>2498</v>
      </c>
      <c r="D13" s="15" t="s">
        <v>2505</v>
      </c>
      <c r="E13" s="15" t="s">
        <v>2506</v>
      </c>
      <c r="F13" s="15" t="s">
        <v>2507</v>
      </c>
      <c r="G13" s="15"/>
      <c r="H13" s="15" t="s">
        <v>2502</v>
      </c>
      <c r="I13" s="15" t="s">
        <v>2508</v>
      </c>
      <c r="J13" s="16"/>
      <c r="K13" s="14" t="s">
        <v>20</v>
      </c>
      <c r="L13" s="14" t="s">
        <v>108</v>
      </c>
      <c r="M13" s="14" t="s">
        <v>1743</v>
      </c>
      <c r="N13" s="14" t="s">
        <v>109</v>
      </c>
      <c r="O13" s="15" t="s">
        <v>88</v>
      </c>
      <c r="P13" s="15" t="s">
        <v>89</v>
      </c>
      <c r="Q13" s="17" t="s">
        <v>90</v>
      </c>
      <c r="R13" s="17"/>
      <c r="S13" s="15" t="s">
        <v>2509</v>
      </c>
    </row>
    <row r="14" customFormat="false" ht="22.35" hidden="false" customHeight="false" outlineLevel="0" collapsed="false">
      <c r="A14" s="14" t="s">
        <v>2510</v>
      </c>
      <c r="B14" s="15" t="s">
        <v>2436</v>
      </c>
      <c r="C14" s="15" t="s">
        <v>2498</v>
      </c>
      <c r="D14" s="15" t="s">
        <v>2511</v>
      </c>
      <c r="E14" s="15" t="s">
        <v>2512</v>
      </c>
      <c r="F14" s="15" t="s">
        <v>1127</v>
      </c>
      <c r="G14" s="15"/>
      <c r="H14" s="15" t="s">
        <v>2502</v>
      </c>
      <c r="I14" s="15" t="s">
        <v>2513</v>
      </c>
      <c r="J14" s="16"/>
      <c r="K14" s="14" t="s">
        <v>20</v>
      </c>
      <c r="L14" s="14" t="s">
        <v>108</v>
      </c>
      <c r="M14" s="14" t="s">
        <v>1743</v>
      </c>
      <c r="N14" s="14" t="s">
        <v>109</v>
      </c>
      <c r="O14" s="15" t="s">
        <v>88</v>
      </c>
      <c r="P14" s="15" t="s">
        <v>89</v>
      </c>
      <c r="Q14" s="17" t="s">
        <v>90</v>
      </c>
      <c r="R14" s="17"/>
      <c r="S14" s="15" t="s">
        <v>231</v>
      </c>
    </row>
    <row r="15" customFormat="false" ht="22.35" hidden="false" customHeight="false" outlineLevel="0" collapsed="false">
      <c r="A15" s="14" t="s">
        <v>2514</v>
      </c>
      <c r="B15" s="15" t="s">
        <v>2436</v>
      </c>
      <c r="C15" s="15" t="s">
        <v>2498</v>
      </c>
      <c r="D15" s="15" t="s">
        <v>2515</v>
      </c>
      <c r="E15" s="15" t="s">
        <v>2516</v>
      </c>
      <c r="F15" s="15" t="s">
        <v>167</v>
      </c>
      <c r="G15" s="15"/>
      <c r="H15" s="15" t="s">
        <v>2517</v>
      </c>
      <c r="I15" s="15" t="s">
        <v>2518</v>
      </c>
      <c r="J15" s="16"/>
      <c r="K15" s="14" t="s">
        <v>22</v>
      </c>
      <c r="L15" s="14" t="s">
        <v>338</v>
      </c>
      <c r="M15" s="14" t="s">
        <v>1743</v>
      </c>
      <c r="N15" s="14" t="s">
        <v>109</v>
      </c>
      <c r="O15" s="15" t="s">
        <v>88</v>
      </c>
      <c r="P15" s="15" t="s">
        <v>140</v>
      </c>
      <c r="Q15" s="17" t="s">
        <v>90</v>
      </c>
      <c r="R15" s="17"/>
      <c r="S15" s="15" t="s">
        <v>2450</v>
      </c>
    </row>
    <row r="16" customFormat="false" ht="22.35" hidden="false" customHeight="false" outlineLevel="0" collapsed="false">
      <c r="A16" s="14" t="s">
        <v>2519</v>
      </c>
      <c r="B16" s="15" t="s">
        <v>2436</v>
      </c>
      <c r="C16" s="15" t="s">
        <v>2498</v>
      </c>
      <c r="D16" s="15" t="s">
        <v>2520</v>
      </c>
      <c r="E16" s="15" t="s">
        <v>2521</v>
      </c>
      <c r="F16" s="15" t="s">
        <v>2464</v>
      </c>
      <c r="G16" s="15"/>
      <c r="H16" s="15" t="s">
        <v>2522</v>
      </c>
      <c r="I16" s="15" t="s">
        <v>2523</v>
      </c>
      <c r="J16" s="16"/>
      <c r="K16" s="14" t="s">
        <v>21</v>
      </c>
      <c r="L16" s="14" t="s">
        <v>99</v>
      </c>
      <c r="M16" s="14" t="s">
        <v>1743</v>
      </c>
      <c r="N16" s="14" t="s">
        <v>109</v>
      </c>
      <c r="O16" s="15" t="s">
        <v>88</v>
      </c>
      <c r="P16" s="15" t="s">
        <v>599</v>
      </c>
      <c r="Q16" s="17" t="s">
        <v>90</v>
      </c>
      <c r="R16" s="17"/>
      <c r="S16" s="15" t="s">
        <v>2450</v>
      </c>
    </row>
    <row r="17" customFormat="false" ht="22.35" hidden="false" customHeight="false" outlineLevel="0" collapsed="false">
      <c r="A17" s="14" t="s">
        <v>2524</v>
      </c>
      <c r="B17" s="15" t="s">
        <v>2436</v>
      </c>
      <c r="C17" s="15" t="s">
        <v>2498</v>
      </c>
      <c r="D17" s="15" t="s">
        <v>2525</v>
      </c>
      <c r="E17" s="15" t="s">
        <v>2526</v>
      </c>
      <c r="F17" s="15" t="s">
        <v>2488</v>
      </c>
      <c r="G17" s="15"/>
      <c r="H17" s="15" t="s">
        <v>2527</v>
      </c>
      <c r="I17" s="15" t="s">
        <v>2528</v>
      </c>
      <c r="J17" s="16"/>
      <c r="K17" s="14" t="s">
        <v>22</v>
      </c>
      <c r="L17" s="14" t="s">
        <v>338</v>
      </c>
      <c r="M17" s="14" t="s">
        <v>1743</v>
      </c>
      <c r="N17" s="14" t="s">
        <v>109</v>
      </c>
      <c r="O17" s="15" t="s">
        <v>88</v>
      </c>
      <c r="P17" s="15" t="s">
        <v>89</v>
      </c>
      <c r="Q17" s="17" t="s">
        <v>90</v>
      </c>
      <c r="R17" s="17"/>
      <c r="S17" s="15" t="s">
        <v>553</v>
      </c>
    </row>
    <row r="18" customFormat="false" ht="22.35" hidden="false" customHeight="false" outlineLevel="0" collapsed="false">
      <c r="A18" s="14" t="s">
        <v>2529</v>
      </c>
      <c r="B18" s="15" t="s">
        <v>2436</v>
      </c>
      <c r="C18" s="15" t="s">
        <v>233</v>
      </c>
      <c r="D18" s="15" t="s">
        <v>2530</v>
      </c>
      <c r="E18" s="15" t="s">
        <v>2531</v>
      </c>
      <c r="F18" s="15" t="s">
        <v>2488</v>
      </c>
      <c r="G18" s="15"/>
      <c r="H18" s="15" t="s">
        <v>2532</v>
      </c>
      <c r="I18" s="15" t="s">
        <v>2533</v>
      </c>
      <c r="J18" s="16"/>
      <c r="K18" s="14" t="s">
        <v>20</v>
      </c>
      <c r="L18" s="14" t="s">
        <v>108</v>
      </c>
      <c r="M18" s="14" t="s">
        <v>1743</v>
      </c>
      <c r="N18" s="14" t="s">
        <v>109</v>
      </c>
      <c r="O18" s="15" t="s">
        <v>88</v>
      </c>
      <c r="P18" s="15" t="s">
        <v>89</v>
      </c>
      <c r="Q18" s="17" t="s">
        <v>90</v>
      </c>
      <c r="R18" s="17"/>
      <c r="S18" s="15" t="s">
        <v>110</v>
      </c>
    </row>
    <row r="19" customFormat="false" ht="22.35" hidden="false" customHeight="false" outlineLevel="0" collapsed="false">
      <c r="A19" s="14" t="s">
        <v>2534</v>
      </c>
      <c r="B19" s="15" t="s">
        <v>2436</v>
      </c>
      <c r="C19" s="15" t="s">
        <v>1565</v>
      </c>
      <c r="D19" s="15" t="s">
        <v>2535</v>
      </c>
      <c r="E19" s="15" t="s">
        <v>2536</v>
      </c>
      <c r="F19" s="15" t="s">
        <v>2488</v>
      </c>
      <c r="G19" s="15"/>
      <c r="H19" s="15" t="s">
        <v>2537</v>
      </c>
      <c r="I19" s="15" t="s">
        <v>2538</v>
      </c>
      <c r="J19" s="16"/>
      <c r="K19" s="14" t="s">
        <v>20</v>
      </c>
      <c r="L19" s="14" t="s">
        <v>108</v>
      </c>
      <c r="M19" s="14" t="s">
        <v>1743</v>
      </c>
      <c r="N19" s="14" t="s">
        <v>109</v>
      </c>
      <c r="O19" s="15" t="s">
        <v>88</v>
      </c>
      <c r="P19" s="15" t="s">
        <v>89</v>
      </c>
      <c r="Q19" s="17" t="s">
        <v>90</v>
      </c>
      <c r="R19" s="17"/>
      <c r="S19" s="15" t="s">
        <v>1571</v>
      </c>
    </row>
    <row r="20" customFormat="false" ht="22.35" hidden="false" customHeight="false" outlineLevel="0" collapsed="false">
      <c r="A20" s="14" t="s">
        <v>2539</v>
      </c>
      <c r="B20" s="15" t="s">
        <v>2436</v>
      </c>
      <c r="C20" s="15" t="s">
        <v>1565</v>
      </c>
      <c r="D20" s="15" t="s">
        <v>2540</v>
      </c>
      <c r="E20" s="15" t="s">
        <v>2541</v>
      </c>
      <c r="F20" s="15" t="s">
        <v>1565</v>
      </c>
      <c r="G20" s="15" t="s">
        <v>2542</v>
      </c>
      <c r="H20" s="15" t="s">
        <v>2543</v>
      </c>
      <c r="I20" s="15" t="s">
        <v>2544</v>
      </c>
      <c r="J20" s="16"/>
      <c r="K20" s="14" t="s">
        <v>20</v>
      </c>
      <c r="L20" s="14" t="s">
        <v>108</v>
      </c>
      <c r="M20" s="14" t="s">
        <v>1743</v>
      </c>
      <c r="N20" s="14" t="s">
        <v>109</v>
      </c>
      <c r="O20" s="15" t="s">
        <v>88</v>
      </c>
      <c r="P20" s="15" t="s">
        <v>89</v>
      </c>
      <c r="Q20" s="17" t="s">
        <v>90</v>
      </c>
      <c r="R20" s="17"/>
      <c r="S20" s="15" t="s">
        <v>1571</v>
      </c>
    </row>
    <row r="21" customFormat="false" ht="22.35" hidden="false" customHeight="false" outlineLevel="0" collapsed="false">
      <c r="A21" s="14" t="s">
        <v>2545</v>
      </c>
      <c r="B21" s="15" t="s">
        <v>2436</v>
      </c>
      <c r="C21" s="15" t="s">
        <v>1565</v>
      </c>
      <c r="D21" s="15" t="s">
        <v>2546</v>
      </c>
      <c r="E21" s="15" t="s">
        <v>2547</v>
      </c>
      <c r="F21" s="15" t="s">
        <v>2548</v>
      </c>
      <c r="G21" s="15" t="s">
        <v>2549</v>
      </c>
      <c r="H21" s="15" t="s">
        <v>2550</v>
      </c>
      <c r="I21" s="15" t="s">
        <v>2551</v>
      </c>
      <c r="J21" s="16"/>
      <c r="K21" s="14" t="s">
        <v>21</v>
      </c>
      <c r="L21" s="14" t="s">
        <v>99</v>
      </c>
      <c r="M21" s="14" t="s">
        <v>1743</v>
      </c>
      <c r="N21" s="14" t="s">
        <v>109</v>
      </c>
      <c r="O21" s="15" t="s">
        <v>88</v>
      </c>
      <c r="P21" s="15" t="s">
        <v>89</v>
      </c>
      <c r="Q21" s="17" t="s">
        <v>90</v>
      </c>
      <c r="R21" s="17"/>
      <c r="S21" s="15" t="s">
        <v>2552</v>
      </c>
    </row>
    <row r="22" customFormat="false" ht="22.35" hidden="false" customHeight="false" outlineLevel="0" collapsed="false">
      <c r="A22" s="14" t="s">
        <v>2553</v>
      </c>
      <c r="B22" s="15" t="s">
        <v>2436</v>
      </c>
      <c r="C22" s="15" t="s">
        <v>1565</v>
      </c>
      <c r="D22" s="15" t="s">
        <v>2554</v>
      </c>
      <c r="E22" s="15" t="s">
        <v>2555</v>
      </c>
      <c r="F22" s="15" t="s">
        <v>2556</v>
      </c>
      <c r="G22" s="15"/>
      <c r="H22" s="15" t="s">
        <v>2543</v>
      </c>
      <c r="I22" s="15" t="s">
        <v>2557</v>
      </c>
      <c r="J22" s="16"/>
      <c r="K22" s="14" t="s">
        <v>21</v>
      </c>
      <c r="L22" s="14" t="s">
        <v>99</v>
      </c>
      <c r="M22" s="14" t="s">
        <v>1743</v>
      </c>
      <c r="N22" s="14" t="s">
        <v>109</v>
      </c>
      <c r="O22" s="15" t="s">
        <v>88</v>
      </c>
      <c r="P22" s="15" t="s">
        <v>89</v>
      </c>
      <c r="Q22" s="17" t="s">
        <v>90</v>
      </c>
      <c r="R22" s="17"/>
      <c r="S22" s="15" t="s">
        <v>1571</v>
      </c>
    </row>
    <row r="23" customFormat="false" ht="22.35" hidden="false" customHeight="false" outlineLevel="0" collapsed="false">
      <c r="A23" s="14" t="s">
        <v>2558</v>
      </c>
      <c r="B23" s="15" t="s">
        <v>2436</v>
      </c>
      <c r="C23" s="15" t="s">
        <v>2559</v>
      </c>
      <c r="D23" s="15" t="s">
        <v>1169</v>
      </c>
      <c r="E23" s="15" t="s">
        <v>2560</v>
      </c>
      <c r="F23" s="15" t="s">
        <v>1127</v>
      </c>
      <c r="G23" s="15"/>
      <c r="H23" s="15" t="s">
        <v>2543</v>
      </c>
      <c r="I23" s="15" t="s">
        <v>2561</v>
      </c>
      <c r="J23" s="16"/>
      <c r="K23" s="14" t="s">
        <v>20</v>
      </c>
      <c r="L23" s="14" t="s">
        <v>108</v>
      </c>
      <c r="M23" s="14" t="s">
        <v>1743</v>
      </c>
      <c r="N23" s="14" t="s">
        <v>109</v>
      </c>
      <c r="O23" s="15" t="s">
        <v>88</v>
      </c>
      <c r="P23" s="15" t="s">
        <v>89</v>
      </c>
      <c r="Q23" s="17" t="s">
        <v>90</v>
      </c>
      <c r="R23" s="17"/>
      <c r="S23" s="15" t="s">
        <v>1200</v>
      </c>
    </row>
    <row r="24" customFormat="false" ht="22.35" hidden="false" customHeight="false" outlineLevel="0" collapsed="false">
      <c r="A24" s="14" t="s">
        <v>2562</v>
      </c>
      <c r="B24" s="15" t="s">
        <v>2436</v>
      </c>
      <c r="C24" s="15" t="s">
        <v>2559</v>
      </c>
      <c r="D24" s="15" t="s">
        <v>460</v>
      </c>
      <c r="E24" s="15" t="s">
        <v>2563</v>
      </c>
      <c r="F24" s="15" t="s">
        <v>460</v>
      </c>
      <c r="G24" s="15"/>
      <c r="H24" s="15" t="s">
        <v>2502</v>
      </c>
      <c r="I24" s="15" t="s">
        <v>2564</v>
      </c>
      <c r="J24" s="16"/>
      <c r="K24" s="14" t="s">
        <v>20</v>
      </c>
      <c r="L24" s="14" t="s">
        <v>108</v>
      </c>
      <c r="M24" s="14" t="s">
        <v>1743</v>
      </c>
      <c r="N24" s="14" t="s">
        <v>109</v>
      </c>
      <c r="O24" s="15" t="s">
        <v>88</v>
      </c>
      <c r="P24" s="15" t="s">
        <v>89</v>
      </c>
      <c r="Q24" s="17" t="s">
        <v>90</v>
      </c>
      <c r="R24" s="17"/>
      <c r="S24" s="15" t="s">
        <v>474</v>
      </c>
    </row>
    <row r="25" customFormat="false" ht="22.35" hidden="false" customHeight="false" outlineLevel="0" collapsed="false">
      <c r="A25" s="14" t="s">
        <v>2565</v>
      </c>
      <c r="B25" s="15" t="s">
        <v>2436</v>
      </c>
      <c r="C25" s="15" t="s">
        <v>2559</v>
      </c>
      <c r="D25" s="15" t="s">
        <v>2566</v>
      </c>
      <c r="E25" s="15" t="s">
        <v>2567</v>
      </c>
      <c r="F25" s="15" t="s">
        <v>2201</v>
      </c>
      <c r="G25" s="15"/>
      <c r="H25" s="15" t="s">
        <v>2543</v>
      </c>
      <c r="I25" s="15" t="s">
        <v>2568</v>
      </c>
      <c r="J25" s="16"/>
      <c r="K25" s="14" t="s">
        <v>21</v>
      </c>
      <c r="L25" s="14" t="s">
        <v>99</v>
      </c>
      <c r="M25" s="14" t="s">
        <v>1743</v>
      </c>
      <c r="N25" s="14" t="s">
        <v>109</v>
      </c>
      <c r="O25" s="15" t="s">
        <v>88</v>
      </c>
      <c r="P25" s="15" t="s">
        <v>89</v>
      </c>
      <c r="Q25" s="17" t="s">
        <v>90</v>
      </c>
      <c r="R25" s="17"/>
      <c r="S25" s="15" t="s">
        <v>2569</v>
      </c>
    </row>
    <row r="26" customFormat="false" ht="22.35" hidden="false" customHeight="false" outlineLevel="0" collapsed="false">
      <c r="A26" s="14" t="s">
        <v>2570</v>
      </c>
      <c r="B26" s="15" t="s">
        <v>2436</v>
      </c>
      <c r="C26" s="15" t="s">
        <v>2559</v>
      </c>
      <c r="D26" s="15" t="s">
        <v>2571</v>
      </c>
      <c r="E26" s="15" t="s">
        <v>2572</v>
      </c>
      <c r="F26" s="15" t="s">
        <v>2573</v>
      </c>
      <c r="G26" s="15"/>
      <c r="H26" s="15" t="s">
        <v>2543</v>
      </c>
      <c r="I26" s="15" t="s">
        <v>2574</v>
      </c>
      <c r="J26" s="16"/>
      <c r="K26" s="14" t="s">
        <v>21</v>
      </c>
      <c r="L26" s="14" t="s">
        <v>99</v>
      </c>
      <c r="M26" s="14" t="s">
        <v>1743</v>
      </c>
      <c r="N26" s="14" t="s">
        <v>109</v>
      </c>
      <c r="O26" s="15" t="s">
        <v>88</v>
      </c>
      <c r="P26" s="15" t="s">
        <v>89</v>
      </c>
      <c r="Q26" s="17" t="s">
        <v>90</v>
      </c>
      <c r="R26" s="17"/>
      <c r="S26" s="15" t="s">
        <v>1351</v>
      </c>
    </row>
    <row r="27" customFormat="false" ht="22.35" hidden="false" customHeight="false" outlineLevel="0" collapsed="false">
      <c r="A27" s="14" t="s">
        <v>2575</v>
      </c>
      <c r="B27" s="15" t="s">
        <v>2436</v>
      </c>
      <c r="C27" s="15" t="s">
        <v>2559</v>
      </c>
      <c r="D27" s="15" t="s">
        <v>2576</v>
      </c>
      <c r="E27" s="15" t="s">
        <v>2577</v>
      </c>
      <c r="F27" s="15" t="s">
        <v>2578</v>
      </c>
      <c r="G27" s="15"/>
      <c r="H27" s="15" t="s">
        <v>2579</v>
      </c>
      <c r="I27" s="15" t="s">
        <v>2580</v>
      </c>
      <c r="J27" s="16"/>
      <c r="K27" s="14" t="s">
        <v>20</v>
      </c>
      <c r="L27" s="14" t="s">
        <v>108</v>
      </c>
      <c r="M27" s="14" t="s">
        <v>1743</v>
      </c>
      <c r="N27" s="14" t="s">
        <v>109</v>
      </c>
      <c r="O27" s="15" t="s">
        <v>88</v>
      </c>
      <c r="P27" s="15" t="s">
        <v>89</v>
      </c>
      <c r="Q27" s="17" t="s">
        <v>90</v>
      </c>
      <c r="R27" s="17"/>
      <c r="S27" s="15" t="s">
        <v>1200</v>
      </c>
    </row>
    <row r="28" customFormat="false" ht="22.35" hidden="false" customHeight="false" outlineLevel="0" collapsed="false">
      <c r="A28" s="14" t="s">
        <v>2581</v>
      </c>
      <c r="B28" s="15" t="s">
        <v>2436</v>
      </c>
      <c r="C28" s="15" t="s">
        <v>2582</v>
      </c>
      <c r="D28" s="15" t="s">
        <v>2583</v>
      </c>
      <c r="E28" s="15" t="s">
        <v>2584</v>
      </c>
      <c r="F28" s="15" t="s">
        <v>2585</v>
      </c>
      <c r="G28" s="15"/>
      <c r="H28" s="15" t="s">
        <v>2586</v>
      </c>
      <c r="I28" s="15" t="s">
        <v>2587</v>
      </c>
      <c r="J28" s="16"/>
      <c r="K28" s="14" t="s">
        <v>20</v>
      </c>
      <c r="L28" s="14" t="s">
        <v>108</v>
      </c>
      <c r="M28" s="14" t="s">
        <v>1743</v>
      </c>
      <c r="N28" s="14" t="s">
        <v>109</v>
      </c>
      <c r="O28" s="15" t="s">
        <v>88</v>
      </c>
      <c r="P28" s="15" t="s">
        <v>89</v>
      </c>
      <c r="Q28" s="17" t="s">
        <v>90</v>
      </c>
      <c r="R28" s="17"/>
      <c r="S28" s="15" t="s">
        <v>100</v>
      </c>
    </row>
    <row r="29" customFormat="false" ht="22.35" hidden="false" customHeight="false" outlineLevel="0" collapsed="false">
      <c r="A29" s="14" t="s">
        <v>2588</v>
      </c>
      <c r="B29" s="15" t="s">
        <v>2436</v>
      </c>
      <c r="C29" s="15" t="s">
        <v>2582</v>
      </c>
      <c r="D29" s="15" t="s">
        <v>2589</v>
      </c>
      <c r="E29" s="15" t="s">
        <v>2590</v>
      </c>
      <c r="F29" s="15" t="s">
        <v>2384</v>
      </c>
      <c r="G29" s="15"/>
      <c r="H29" s="15" t="s">
        <v>2586</v>
      </c>
      <c r="I29" s="15" t="s">
        <v>2591</v>
      </c>
      <c r="J29" s="16"/>
      <c r="K29" s="14" t="s">
        <v>20</v>
      </c>
      <c r="L29" s="14" t="s">
        <v>108</v>
      </c>
      <c r="M29" s="14" t="s">
        <v>1743</v>
      </c>
      <c r="N29" s="14" t="s">
        <v>109</v>
      </c>
      <c r="O29" s="15" t="s">
        <v>88</v>
      </c>
      <c r="P29" s="15" t="s">
        <v>89</v>
      </c>
      <c r="Q29" s="17" t="s">
        <v>90</v>
      </c>
      <c r="R29" s="17"/>
      <c r="S29" s="15" t="s">
        <v>1082</v>
      </c>
    </row>
    <row r="30" customFormat="false" ht="22.35" hidden="false" customHeight="false" outlineLevel="0" collapsed="false">
      <c r="A30" s="14" t="s">
        <v>2592</v>
      </c>
      <c r="B30" s="15" t="s">
        <v>2436</v>
      </c>
      <c r="C30" s="15" t="s">
        <v>2582</v>
      </c>
      <c r="D30" s="15" t="s">
        <v>2593</v>
      </c>
      <c r="E30" s="15" t="s">
        <v>2594</v>
      </c>
      <c r="F30" s="15" t="s">
        <v>2595</v>
      </c>
      <c r="G30" s="15"/>
      <c r="H30" s="15" t="s">
        <v>2596</v>
      </c>
      <c r="I30" s="15" t="s">
        <v>2597</v>
      </c>
      <c r="J30" s="16"/>
      <c r="K30" s="14" t="s">
        <v>21</v>
      </c>
      <c r="L30" s="14" t="s">
        <v>99</v>
      </c>
      <c r="M30" s="14" t="s">
        <v>1743</v>
      </c>
      <c r="N30" s="14" t="s">
        <v>109</v>
      </c>
      <c r="O30" s="15" t="s">
        <v>88</v>
      </c>
      <c r="P30" s="15" t="s">
        <v>89</v>
      </c>
      <c r="Q30" s="17" t="s">
        <v>90</v>
      </c>
      <c r="R30" s="17"/>
      <c r="S30" s="15" t="s">
        <v>2450</v>
      </c>
    </row>
    <row r="31" customFormat="false" ht="22.35" hidden="false" customHeight="false" outlineLevel="0" collapsed="false">
      <c r="A31" s="14" t="s">
        <v>2598</v>
      </c>
      <c r="B31" s="15" t="s">
        <v>2436</v>
      </c>
      <c r="C31" s="15" t="s">
        <v>2599</v>
      </c>
      <c r="D31" s="15" t="s">
        <v>494</v>
      </c>
      <c r="E31" s="15" t="s">
        <v>2600</v>
      </c>
      <c r="F31" s="15" t="s">
        <v>2601</v>
      </c>
      <c r="G31" s="15"/>
      <c r="H31" s="15" t="s">
        <v>2602</v>
      </c>
      <c r="I31" s="15" t="s">
        <v>2603</v>
      </c>
      <c r="J31" s="16"/>
      <c r="K31" s="14" t="s">
        <v>20</v>
      </c>
      <c r="L31" s="14" t="s">
        <v>108</v>
      </c>
      <c r="M31" s="14" t="s">
        <v>1743</v>
      </c>
      <c r="N31" s="14" t="s">
        <v>109</v>
      </c>
      <c r="O31" s="15" t="s">
        <v>88</v>
      </c>
      <c r="P31" s="15" t="s">
        <v>89</v>
      </c>
      <c r="Q31" s="17" t="s">
        <v>90</v>
      </c>
      <c r="R31" s="17"/>
      <c r="S31" s="15" t="s">
        <v>546</v>
      </c>
    </row>
    <row r="32" customFormat="false" ht="22.35" hidden="false" customHeight="false" outlineLevel="0" collapsed="false">
      <c r="A32" s="14" t="s">
        <v>2604</v>
      </c>
      <c r="B32" s="15" t="s">
        <v>2436</v>
      </c>
      <c r="C32" s="15" t="s">
        <v>2605</v>
      </c>
      <c r="D32" s="15" t="s">
        <v>2606</v>
      </c>
      <c r="E32" s="15" t="s">
        <v>2607</v>
      </c>
      <c r="F32" s="15" t="s">
        <v>2608</v>
      </c>
      <c r="G32" s="15"/>
      <c r="H32" s="15" t="s">
        <v>2543</v>
      </c>
      <c r="I32" s="15" t="s">
        <v>2609</v>
      </c>
      <c r="J32" s="16"/>
      <c r="K32" s="14" t="s">
        <v>21</v>
      </c>
      <c r="L32" s="14" t="s">
        <v>99</v>
      </c>
      <c r="M32" s="14" t="s">
        <v>1743</v>
      </c>
      <c r="N32" s="14" t="s">
        <v>109</v>
      </c>
      <c r="O32" s="15" t="s">
        <v>88</v>
      </c>
      <c r="P32" s="15" t="s">
        <v>89</v>
      </c>
      <c r="Q32" s="17" t="s">
        <v>90</v>
      </c>
      <c r="R32" s="17"/>
      <c r="S32" s="15" t="s">
        <v>615</v>
      </c>
    </row>
    <row r="33" customFormat="false" ht="22.35" hidden="false" customHeight="false" outlineLevel="0" collapsed="false">
      <c r="A33" s="14" t="s">
        <v>2610</v>
      </c>
      <c r="B33" s="15" t="s">
        <v>2436</v>
      </c>
      <c r="C33" s="15" t="s">
        <v>2611</v>
      </c>
      <c r="D33" s="15" t="s">
        <v>2612</v>
      </c>
      <c r="E33" s="15" t="s">
        <v>2613</v>
      </c>
      <c r="F33" s="15" t="s">
        <v>2614</v>
      </c>
      <c r="G33" s="15"/>
      <c r="H33" s="15" t="s">
        <v>2615</v>
      </c>
      <c r="I33" s="15" t="s">
        <v>2616</v>
      </c>
      <c r="J33" s="16"/>
      <c r="K33" s="14" t="s">
        <v>20</v>
      </c>
      <c r="L33" s="14" t="s">
        <v>108</v>
      </c>
      <c r="M33" s="14" t="s">
        <v>1743</v>
      </c>
      <c r="N33" s="14" t="s">
        <v>109</v>
      </c>
      <c r="O33" s="15" t="s">
        <v>88</v>
      </c>
      <c r="P33" s="15" t="s">
        <v>89</v>
      </c>
      <c r="Q33" s="17" t="s">
        <v>90</v>
      </c>
      <c r="R33" s="17"/>
      <c r="S33" s="15" t="s">
        <v>2617</v>
      </c>
    </row>
    <row r="34" customFormat="false" ht="22.35" hidden="false" customHeight="false" outlineLevel="0" collapsed="false">
      <c r="A34" s="14" t="s">
        <v>2618</v>
      </c>
      <c r="B34" s="15" t="s">
        <v>2436</v>
      </c>
      <c r="C34" s="15" t="s">
        <v>2611</v>
      </c>
      <c r="D34" s="15" t="s">
        <v>2619</v>
      </c>
      <c r="E34" s="15" t="s">
        <v>2620</v>
      </c>
      <c r="F34" s="15" t="s">
        <v>2464</v>
      </c>
      <c r="G34" s="15"/>
      <c r="H34" s="15" t="s">
        <v>2621</v>
      </c>
      <c r="I34" s="15" t="s">
        <v>2622</v>
      </c>
      <c r="J34" s="16"/>
      <c r="K34" s="14" t="s">
        <v>21</v>
      </c>
      <c r="L34" s="14" t="s">
        <v>99</v>
      </c>
      <c r="M34" s="14" t="s">
        <v>1743</v>
      </c>
      <c r="N34" s="14" t="s">
        <v>109</v>
      </c>
      <c r="O34" s="15" t="s">
        <v>88</v>
      </c>
      <c r="P34" s="15" t="s">
        <v>599</v>
      </c>
      <c r="Q34" s="17" t="s">
        <v>90</v>
      </c>
      <c r="R34" s="17"/>
      <c r="S34" s="15" t="s">
        <v>2623</v>
      </c>
    </row>
    <row r="35" customFormat="false" ht="22.35" hidden="false" customHeight="false" outlineLevel="0" collapsed="false">
      <c r="A35" s="14" t="s">
        <v>2624</v>
      </c>
      <c r="B35" s="15" t="s">
        <v>2436</v>
      </c>
      <c r="C35" s="15" t="s">
        <v>2067</v>
      </c>
      <c r="D35" s="15" t="s">
        <v>2625</v>
      </c>
      <c r="E35" s="15" t="s">
        <v>2626</v>
      </c>
      <c r="F35" s="15" t="s">
        <v>2070</v>
      </c>
      <c r="G35" s="15"/>
      <c r="H35" s="15" t="s">
        <v>2627</v>
      </c>
      <c r="I35" s="15" t="s">
        <v>2628</v>
      </c>
      <c r="J35" s="16"/>
      <c r="K35" s="14" t="s">
        <v>22</v>
      </c>
      <c r="L35" s="14" t="s">
        <v>338</v>
      </c>
      <c r="M35" s="14" t="s">
        <v>1743</v>
      </c>
      <c r="N35" s="14" t="s">
        <v>346</v>
      </c>
      <c r="O35" s="15" t="s">
        <v>88</v>
      </c>
      <c r="P35" s="15" t="s">
        <v>89</v>
      </c>
      <c r="Q35" s="17" t="s">
        <v>90</v>
      </c>
      <c r="R35" s="17"/>
      <c r="S35" s="15" t="s">
        <v>2629</v>
      </c>
    </row>
    <row r="36" customFormat="false" ht="22.35" hidden="false" customHeight="false" outlineLevel="0" collapsed="false">
      <c r="A36" s="14" t="s">
        <v>2630</v>
      </c>
      <c r="B36" s="15" t="s">
        <v>2436</v>
      </c>
      <c r="C36" s="15" t="s">
        <v>2067</v>
      </c>
      <c r="D36" s="15" t="s">
        <v>2631</v>
      </c>
      <c r="E36" s="15" t="s">
        <v>2632</v>
      </c>
      <c r="F36" s="15" t="s">
        <v>2633</v>
      </c>
      <c r="G36" s="15"/>
      <c r="H36" s="15" t="s">
        <v>2634</v>
      </c>
      <c r="I36" s="15" t="s">
        <v>2635</v>
      </c>
      <c r="J36" s="16"/>
      <c r="K36" s="14" t="s">
        <v>21</v>
      </c>
      <c r="L36" s="14" t="s">
        <v>99</v>
      </c>
      <c r="M36" s="14" t="s">
        <v>1743</v>
      </c>
      <c r="N36" s="14" t="s">
        <v>109</v>
      </c>
      <c r="O36" s="15" t="s">
        <v>88</v>
      </c>
      <c r="P36" s="15" t="s">
        <v>89</v>
      </c>
      <c r="Q36" s="17" t="s">
        <v>90</v>
      </c>
      <c r="R36" s="17"/>
      <c r="S36" s="15" t="s">
        <v>2623</v>
      </c>
    </row>
    <row r="37" customFormat="false" ht="22.35" hidden="false" customHeight="false" outlineLevel="0" collapsed="false">
      <c r="A37" s="14" t="s">
        <v>2636</v>
      </c>
      <c r="B37" s="15" t="s">
        <v>2436</v>
      </c>
      <c r="C37" s="15" t="s">
        <v>2067</v>
      </c>
      <c r="D37" s="15" t="s">
        <v>2637</v>
      </c>
      <c r="E37" s="15" t="s">
        <v>2069</v>
      </c>
      <c r="F37" s="15" t="s">
        <v>2070</v>
      </c>
      <c r="G37" s="15"/>
      <c r="H37" s="15" t="s">
        <v>2071</v>
      </c>
      <c r="I37" s="15" t="s">
        <v>2072</v>
      </c>
      <c r="J37" s="16"/>
      <c r="K37" s="14" t="s">
        <v>19</v>
      </c>
      <c r="L37" s="14" t="s">
        <v>86</v>
      </c>
      <c r="M37" s="14" t="s">
        <v>1743</v>
      </c>
      <c r="N37" s="14" t="s">
        <v>87</v>
      </c>
      <c r="O37" s="15" t="s">
        <v>88</v>
      </c>
      <c r="P37" s="15" t="s">
        <v>89</v>
      </c>
      <c r="Q37" s="17" t="s">
        <v>90</v>
      </c>
      <c r="R37" s="17"/>
      <c r="S37" s="15" t="s">
        <v>2638</v>
      </c>
    </row>
    <row r="38" customFormat="false" ht="22.35" hidden="false" customHeight="false" outlineLevel="0" collapsed="false">
      <c r="A38" s="14" t="s">
        <v>2639</v>
      </c>
      <c r="B38" s="15" t="s">
        <v>2436</v>
      </c>
      <c r="C38" s="15" t="s">
        <v>102</v>
      </c>
      <c r="D38" s="15" t="s">
        <v>2640</v>
      </c>
      <c r="E38" s="15" t="s">
        <v>2641</v>
      </c>
      <c r="F38" s="15" t="s">
        <v>2642</v>
      </c>
      <c r="G38" s="15" t="s">
        <v>2643</v>
      </c>
      <c r="H38" s="15" t="s">
        <v>2644</v>
      </c>
      <c r="I38" s="15" t="s">
        <v>2645</v>
      </c>
      <c r="J38" s="16"/>
      <c r="K38" s="14" t="s">
        <v>20</v>
      </c>
      <c r="L38" s="14" t="s">
        <v>108</v>
      </c>
      <c r="M38" s="14" t="s">
        <v>1743</v>
      </c>
      <c r="N38" s="14" t="s">
        <v>109</v>
      </c>
      <c r="O38" s="15" t="s">
        <v>88</v>
      </c>
      <c r="P38" s="15" t="s">
        <v>89</v>
      </c>
      <c r="Q38" s="17" t="s">
        <v>90</v>
      </c>
      <c r="R38" s="17"/>
      <c r="S38" s="15" t="s">
        <v>110</v>
      </c>
    </row>
    <row r="39" customFormat="false" ht="22.35" hidden="false" customHeight="false" outlineLevel="0" collapsed="false">
      <c r="A39" s="14" t="s">
        <v>2646</v>
      </c>
      <c r="B39" s="15" t="s">
        <v>2436</v>
      </c>
      <c r="C39" s="15" t="s">
        <v>2647</v>
      </c>
      <c r="D39" s="15" t="s">
        <v>2648</v>
      </c>
      <c r="E39" s="15" t="s">
        <v>2649</v>
      </c>
      <c r="F39" s="15" t="s">
        <v>2650</v>
      </c>
      <c r="G39" s="15"/>
      <c r="H39" s="15" t="s">
        <v>2543</v>
      </c>
      <c r="I39" s="15" t="s">
        <v>2651</v>
      </c>
      <c r="J39" s="16"/>
      <c r="K39" s="14" t="s">
        <v>22</v>
      </c>
      <c r="L39" s="14" t="s">
        <v>338</v>
      </c>
      <c r="M39" s="14" t="s">
        <v>1743</v>
      </c>
      <c r="N39" s="14" t="s">
        <v>109</v>
      </c>
      <c r="O39" s="15" t="s">
        <v>88</v>
      </c>
      <c r="P39" s="15" t="s">
        <v>89</v>
      </c>
      <c r="Q39" s="17" t="s">
        <v>90</v>
      </c>
      <c r="R39" s="17"/>
      <c r="S39" s="15" t="s">
        <v>156</v>
      </c>
    </row>
    <row r="40" customFormat="false" ht="22.35" hidden="false" customHeight="false" outlineLevel="0" collapsed="false">
      <c r="A40" s="14" t="s">
        <v>2652</v>
      </c>
      <c r="B40" s="15" t="s">
        <v>2436</v>
      </c>
      <c r="C40" s="15" t="s">
        <v>2647</v>
      </c>
      <c r="D40" s="15" t="s">
        <v>2653</v>
      </c>
      <c r="E40" s="15" t="s">
        <v>2654</v>
      </c>
      <c r="F40" s="15" t="s">
        <v>1565</v>
      </c>
      <c r="G40" s="15"/>
      <c r="H40" s="15" t="s">
        <v>2655</v>
      </c>
      <c r="I40" s="15" t="s">
        <v>2656</v>
      </c>
      <c r="J40" s="16"/>
      <c r="K40" s="14" t="s">
        <v>21</v>
      </c>
      <c r="L40" s="14" t="s">
        <v>99</v>
      </c>
      <c r="M40" s="14" t="s">
        <v>1743</v>
      </c>
      <c r="N40" s="14" t="s">
        <v>109</v>
      </c>
      <c r="O40" s="15" t="s">
        <v>88</v>
      </c>
      <c r="P40" s="15" t="s">
        <v>89</v>
      </c>
      <c r="Q40" s="17" t="s">
        <v>90</v>
      </c>
      <c r="R40" s="17"/>
      <c r="S40" s="15" t="s">
        <v>1571</v>
      </c>
    </row>
    <row r="41" customFormat="false" ht="22.35" hidden="false" customHeight="false" outlineLevel="0" collapsed="false">
      <c r="A41" s="14" t="s">
        <v>2657</v>
      </c>
      <c r="B41" s="15" t="s">
        <v>2436</v>
      </c>
      <c r="C41" s="15" t="s">
        <v>2647</v>
      </c>
      <c r="D41" s="15" t="s">
        <v>2658</v>
      </c>
      <c r="E41" s="15" t="s">
        <v>2659</v>
      </c>
      <c r="F41" s="15" t="s">
        <v>2660</v>
      </c>
      <c r="G41" s="15"/>
      <c r="H41" s="15" t="s">
        <v>2661</v>
      </c>
      <c r="I41" s="15" t="s">
        <v>2662</v>
      </c>
      <c r="J41" s="16"/>
      <c r="K41" s="14" t="s">
        <v>21</v>
      </c>
      <c r="L41" s="14" t="s">
        <v>99</v>
      </c>
      <c r="M41" s="14" t="s">
        <v>1743</v>
      </c>
      <c r="N41" s="14" t="s">
        <v>109</v>
      </c>
      <c r="O41" s="15" t="s">
        <v>88</v>
      </c>
      <c r="P41" s="15" t="s">
        <v>89</v>
      </c>
      <c r="Q41" s="17" t="s">
        <v>90</v>
      </c>
      <c r="R41" s="17"/>
      <c r="S41" s="15" t="s">
        <v>561</v>
      </c>
    </row>
    <row r="42" customFormat="false" ht="22.35" hidden="false" customHeight="false" outlineLevel="0" collapsed="false">
      <c r="A42" s="14" t="s">
        <v>2663</v>
      </c>
      <c r="B42" s="15" t="s">
        <v>2436</v>
      </c>
      <c r="C42" s="15" t="s">
        <v>2664</v>
      </c>
      <c r="D42" s="15" t="s">
        <v>2665</v>
      </c>
      <c r="E42" s="15" t="s">
        <v>2666</v>
      </c>
      <c r="F42" s="15" t="s">
        <v>2667</v>
      </c>
      <c r="G42" s="15"/>
      <c r="H42" s="15" t="s">
        <v>2668</v>
      </c>
      <c r="I42" s="15" t="s">
        <v>2669</v>
      </c>
      <c r="J42" s="16"/>
      <c r="K42" s="14" t="s">
        <v>22</v>
      </c>
      <c r="L42" s="14" t="s">
        <v>338</v>
      </c>
      <c r="M42" s="14" t="s">
        <v>1743</v>
      </c>
      <c r="N42" s="14" t="s">
        <v>346</v>
      </c>
      <c r="O42" s="15" t="s">
        <v>88</v>
      </c>
      <c r="P42" s="15" t="s">
        <v>89</v>
      </c>
      <c r="Q42" s="17" t="s">
        <v>90</v>
      </c>
      <c r="R42" s="17"/>
      <c r="S42" s="15" t="s">
        <v>722</v>
      </c>
    </row>
    <row r="43" customFormat="false" ht="22.35" hidden="false" customHeight="false" outlineLevel="0" collapsed="false">
      <c r="A43" s="14" t="s">
        <v>2670</v>
      </c>
      <c r="B43" s="15" t="s">
        <v>2436</v>
      </c>
      <c r="C43" s="15" t="s">
        <v>2664</v>
      </c>
      <c r="D43" s="15" t="s">
        <v>2671</v>
      </c>
      <c r="E43" s="15" t="s">
        <v>2672</v>
      </c>
      <c r="F43" s="15" t="s">
        <v>2673</v>
      </c>
      <c r="G43" s="15"/>
      <c r="H43" s="15" t="s">
        <v>2674</v>
      </c>
      <c r="I43" s="15" t="s">
        <v>2675</v>
      </c>
      <c r="J43" s="16"/>
      <c r="K43" s="14" t="s">
        <v>22</v>
      </c>
      <c r="L43" s="14" t="s">
        <v>338</v>
      </c>
      <c r="M43" s="14" t="s">
        <v>1743</v>
      </c>
      <c r="N43" s="14" t="s">
        <v>346</v>
      </c>
      <c r="O43" s="15" t="s">
        <v>88</v>
      </c>
      <c r="P43" s="15" t="s">
        <v>89</v>
      </c>
      <c r="Q43" s="17" t="s">
        <v>90</v>
      </c>
      <c r="R43" s="17"/>
      <c r="S43" s="15" t="s">
        <v>722</v>
      </c>
    </row>
    <row r="44" customFormat="false" ht="22.35" hidden="false" customHeight="false" outlineLevel="0" collapsed="false">
      <c r="A44" s="14" t="s">
        <v>2676</v>
      </c>
      <c r="B44" s="15" t="s">
        <v>2436</v>
      </c>
      <c r="C44" s="15" t="s">
        <v>2664</v>
      </c>
      <c r="D44" s="15" t="s">
        <v>2677</v>
      </c>
      <c r="E44" s="15" t="s">
        <v>2678</v>
      </c>
      <c r="F44" s="15" t="s">
        <v>1127</v>
      </c>
      <c r="G44" s="15"/>
      <c r="H44" s="15" t="s">
        <v>2679</v>
      </c>
      <c r="I44" s="15" t="s">
        <v>2680</v>
      </c>
      <c r="J44" s="16"/>
      <c r="K44" s="14" t="s">
        <v>22</v>
      </c>
      <c r="L44" s="14" t="s">
        <v>338</v>
      </c>
      <c r="M44" s="14" t="s">
        <v>1743</v>
      </c>
      <c r="N44" s="14" t="s">
        <v>346</v>
      </c>
      <c r="O44" s="15" t="s">
        <v>88</v>
      </c>
      <c r="P44" s="15" t="s">
        <v>89</v>
      </c>
      <c r="Q44" s="17" t="s">
        <v>90</v>
      </c>
      <c r="R44" s="17"/>
      <c r="S44" s="15" t="s">
        <v>722</v>
      </c>
    </row>
    <row r="45" customFormat="false" ht="22.35" hidden="false" customHeight="false" outlineLevel="0" collapsed="false">
      <c r="A45" s="14" t="s">
        <v>2681</v>
      </c>
      <c r="B45" s="15" t="s">
        <v>2436</v>
      </c>
      <c r="C45" s="15" t="s">
        <v>2664</v>
      </c>
      <c r="D45" s="15" t="s">
        <v>2682</v>
      </c>
      <c r="E45" s="15" t="s">
        <v>2683</v>
      </c>
      <c r="F45" s="15" t="s">
        <v>2684</v>
      </c>
      <c r="G45" s="15"/>
      <c r="H45" s="15" t="s">
        <v>1680</v>
      </c>
      <c r="I45" s="15" t="s">
        <v>2685</v>
      </c>
      <c r="J45" s="16"/>
      <c r="K45" s="14" t="s">
        <v>21</v>
      </c>
      <c r="L45" s="14" t="s">
        <v>99</v>
      </c>
      <c r="M45" s="14" t="s">
        <v>1743</v>
      </c>
      <c r="N45" s="14" t="s">
        <v>109</v>
      </c>
      <c r="O45" s="15" t="s">
        <v>88</v>
      </c>
      <c r="P45" s="15" t="s">
        <v>89</v>
      </c>
      <c r="Q45" s="17" t="s">
        <v>90</v>
      </c>
      <c r="R45" s="17"/>
      <c r="S45" s="15" t="s">
        <v>722</v>
      </c>
    </row>
    <row r="46" customFormat="false" ht="22.35" hidden="false" customHeight="false" outlineLevel="0" collapsed="false">
      <c r="A46" s="14" t="s">
        <v>2686</v>
      </c>
      <c r="B46" s="15" t="s">
        <v>2436</v>
      </c>
      <c r="C46" s="15" t="s">
        <v>2664</v>
      </c>
      <c r="D46" s="15" t="s">
        <v>2687</v>
      </c>
      <c r="E46" s="15" t="s">
        <v>2688</v>
      </c>
      <c r="F46" s="15" t="s">
        <v>2667</v>
      </c>
      <c r="G46" s="15"/>
      <c r="H46" s="15" t="s">
        <v>2689</v>
      </c>
      <c r="I46" s="15" t="s">
        <v>2690</v>
      </c>
      <c r="J46" s="16"/>
      <c r="K46" s="14" t="s">
        <v>21</v>
      </c>
      <c r="L46" s="14" t="s">
        <v>99</v>
      </c>
      <c r="M46" s="14" t="s">
        <v>1743</v>
      </c>
      <c r="N46" s="14" t="s">
        <v>109</v>
      </c>
      <c r="O46" s="15" t="s">
        <v>88</v>
      </c>
      <c r="P46" s="15" t="s">
        <v>89</v>
      </c>
      <c r="Q46" s="17" t="s">
        <v>90</v>
      </c>
      <c r="R46" s="17"/>
      <c r="S46" s="15" t="s">
        <v>722</v>
      </c>
    </row>
    <row r="47" customFormat="false" ht="22.35" hidden="false" customHeight="false" outlineLevel="0" collapsed="false">
      <c r="A47" s="14" t="s">
        <v>2691</v>
      </c>
      <c r="B47" s="15" t="s">
        <v>2436</v>
      </c>
      <c r="C47" s="15" t="s">
        <v>2664</v>
      </c>
      <c r="D47" s="15" t="s">
        <v>2692</v>
      </c>
      <c r="E47" s="15" t="s">
        <v>2693</v>
      </c>
      <c r="F47" s="15" t="s">
        <v>2667</v>
      </c>
      <c r="G47" s="15"/>
      <c r="H47" s="15" t="s">
        <v>2694</v>
      </c>
      <c r="I47" s="15" t="s">
        <v>2695</v>
      </c>
      <c r="J47" s="16"/>
      <c r="K47" s="14" t="s">
        <v>22</v>
      </c>
      <c r="L47" s="14" t="s">
        <v>338</v>
      </c>
      <c r="M47" s="14" t="s">
        <v>1743</v>
      </c>
      <c r="N47" s="14" t="s">
        <v>346</v>
      </c>
      <c r="O47" s="15" t="s">
        <v>88</v>
      </c>
      <c r="P47" s="15" t="s">
        <v>89</v>
      </c>
      <c r="Q47" s="17" t="s">
        <v>90</v>
      </c>
      <c r="R47" s="17"/>
      <c r="S47" s="15" t="s">
        <v>2696</v>
      </c>
    </row>
    <row r="48" customFormat="false" ht="22.35" hidden="false" customHeight="false" outlineLevel="0" collapsed="false">
      <c r="A48" s="14" t="s">
        <v>2697</v>
      </c>
      <c r="B48" s="15" t="s">
        <v>2436</v>
      </c>
      <c r="C48" s="15" t="s">
        <v>2664</v>
      </c>
      <c r="D48" s="15" t="s">
        <v>2698</v>
      </c>
      <c r="E48" s="15" t="s">
        <v>2699</v>
      </c>
      <c r="F48" s="15" t="s">
        <v>2700</v>
      </c>
      <c r="G48" s="15"/>
      <c r="H48" s="15" t="s">
        <v>2701</v>
      </c>
      <c r="I48" s="15" t="s">
        <v>2702</v>
      </c>
      <c r="J48" s="16"/>
      <c r="K48" s="14" t="s">
        <v>21</v>
      </c>
      <c r="L48" s="14" t="s">
        <v>99</v>
      </c>
      <c r="M48" s="14" t="s">
        <v>1743</v>
      </c>
      <c r="N48" s="14" t="s">
        <v>109</v>
      </c>
      <c r="O48" s="15" t="s">
        <v>88</v>
      </c>
      <c r="P48" s="15" t="s">
        <v>89</v>
      </c>
      <c r="Q48" s="17" t="s">
        <v>90</v>
      </c>
      <c r="R48" s="17"/>
      <c r="S48" s="15" t="s">
        <v>722</v>
      </c>
    </row>
  </sheetData>
  <autoFilter ref="A1:S48"/>
  <conditionalFormatting sqref="K2:K48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48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48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48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48" type="list">
      <formula1>"P0,P1,P2,P3"</formula1>
      <formula2>0</formula2>
    </dataValidation>
    <dataValidation allowBlank="false" errorStyle="stop" operator="between" showDropDown="false" showErrorMessage="false" showInputMessage="false" sqref="L2:L48" type="list">
      <formula1>"Critical,High,Medium,Low"</formula1>
      <formula2>0</formula2>
    </dataValidation>
    <dataValidation allowBlank="false" errorStyle="stop" operator="between" showDropDown="false" showErrorMessage="false" showInputMessage="false" sqref="N2:N48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95.5" hidden="false" customHeight="false" outlineLevel="0" collapsed="false">
      <c r="A2" s="14" t="s">
        <v>2703</v>
      </c>
      <c r="B2" s="15" t="s">
        <v>2076</v>
      </c>
      <c r="C2" s="15" t="s">
        <v>2076</v>
      </c>
      <c r="D2" s="15" t="s">
        <v>2082</v>
      </c>
      <c r="E2" s="15" t="s">
        <v>2078</v>
      </c>
      <c r="F2" s="15" t="s">
        <v>2079</v>
      </c>
      <c r="G2" s="15" t="s">
        <v>510</v>
      </c>
      <c r="H2" s="15" t="s">
        <v>2080</v>
      </c>
      <c r="I2" s="15" t="s">
        <v>2081</v>
      </c>
      <c r="J2" s="16"/>
      <c r="K2" s="14" t="s">
        <v>19</v>
      </c>
      <c r="L2" s="14" t="s">
        <v>108</v>
      </c>
      <c r="M2" s="14" t="s">
        <v>2076</v>
      </c>
      <c r="N2" s="14" t="s">
        <v>109</v>
      </c>
      <c r="O2" s="15" t="s">
        <v>88</v>
      </c>
      <c r="P2" s="15" t="s">
        <v>2082</v>
      </c>
      <c r="Q2" s="17" t="s">
        <v>90</v>
      </c>
      <c r="R2" s="17"/>
      <c r="S2" s="15" t="s">
        <v>2704</v>
      </c>
    </row>
    <row r="3" customFormat="false" ht="95.5" hidden="false" customHeight="false" outlineLevel="0" collapsed="false">
      <c r="A3" s="14" t="s">
        <v>2705</v>
      </c>
      <c r="B3" s="15" t="s">
        <v>2076</v>
      </c>
      <c r="C3" s="15" t="s">
        <v>2076</v>
      </c>
      <c r="D3" s="15" t="s">
        <v>2706</v>
      </c>
      <c r="E3" s="15" t="s">
        <v>2707</v>
      </c>
      <c r="F3" s="15" t="s">
        <v>2079</v>
      </c>
      <c r="G3" s="15" t="s">
        <v>510</v>
      </c>
      <c r="H3" s="15" t="s">
        <v>2080</v>
      </c>
      <c r="I3" s="15" t="s">
        <v>2081</v>
      </c>
      <c r="J3" s="16"/>
      <c r="K3" s="14" t="s">
        <v>20</v>
      </c>
      <c r="L3" s="14" t="s">
        <v>108</v>
      </c>
      <c r="M3" s="14" t="s">
        <v>2076</v>
      </c>
      <c r="N3" s="14" t="s">
        <v>109</v>
      </c>
      <c r="O3" s="15" t="s">
        <v>88</v>
      </c>
      <c r="P3" s="15" t="s">
        <v>2706</v>
      </c>
      <c r="Q3" s="17" t="s">
        <v>90</v>
      </c>
      <c r="R3" s="17"/>
      <c r="S3" s="15" t="s">
        <v>2704</v>
      </c>
    </row>
    <row r="4" customFormat="false" ht="95.5" hidden="false" customHeight="false" outlineLevel="0" collapsed="false">
      <c r="A4" s="14" t="s">
        <v>2708</v>
      </c>
      <c r="B4" s="15" t="s">
        <v>2076</v>
      </c>
      <c r="C4" s="15" t="s">
        <v>2076</v>
      </c>
      <c r="D4" s="15" t="s">
        <v>2709</v>
      </c>
      <c r="E4" s="15" t="s">
        <v>2710</v>
      </c>
      <c r="F4" s="15" t="s">
        <v>2079</v>
      </c>
      <c r="G4" s="15" t="s">
        <v>510</v>
      </c>
      <c r="H4" s="15" t="s">
        <v>2080</v>
      </c>
      <c r="I4" s="15" t="s">
        <v>2081</v>
      </c>
      <c r="J4" s="16"/>
      <c r="K4" s="14" t="s">
        <v>20</v>
      </c>
      <c r="L4" s="14" t="s">
        <v>108</v>
      </c>
      <c r="M4" s="14" t="s">
        <v>2076</v>
      </c>
      <c r="N4" s="14" t="s">
        <v>109</v>
      </c>
      <c r="O4" s="15" t="s">
        <v>88</v>
      </c>
      <c r="P4" s="15" t="s">
        <v>2709</v>
      </c>
      <c r="Q4" s="17" t="s">
        <v>90</v>
      </c>
      <c r="R4" s="17"/>
      <c r="S4" s="15" t="s">
        <v>2704</v>
      </c>
    </row>
    <row r="5" customFormat="false" ht="95.5" hidden="false" customHeight="false" outlineLevel="0" collapsed="false">
      <c r="A5" s="14" t="s">
        <v>2711</v>
      </c>
      <c r="B5" s="15" t="s">
        <v>2076</v>
      </c>
      <c r="C5" s="15" t="s">
        <v>2076</v>
      </c>
      <c r="D5" s="15" t="s">
        <v>2712</v>
      </c>
      <c r="E5" s="15" t="s">
        <v>2713</v>
      </c>
      <c r="F5" s="15" t="s">
        <v>2079</v>
      </c>
      <c r="G5" s="15" t="s">
        <v>510</v>
      </c>
      <c r="H5" s="15" t="s">
        <v>2080</v>
      </c>
      <c r="I5" s="15" t="s">
        <v>2081</v>
      </c>
      <c r="J5" s="16"/>
      <c r="K5" s="14" t="s">
        <v>20</v>
      </c>
      <c r="L5" s="14" t="s">
        <v>108</v>
      </c>
      <c r="M5" s="14" t="s">
        <v>2076</v>
      </c>
      <c r="N5" s="14" t="s">
        <v>109</v>
      </c>
      <c r="O5" s="15" t="s">
        <v>88</v>
      </c>
      <c r="P5" s="15" t="s">
        <v>2712</v>
      </c>
      <c r="Q5" s="17" t="s">
        <v>90</v>
      </c>
      <c r="R5" s="17"/>
      <c r="S5" s="15" t="s">
        <v>2704</v>
      </c>
    </row>
    <row r="6" customFormat="false" ht="95.5" hidden="false" customHeight="false" outlineLevel="0" collapsed="false">
      <c r="A6" s="14" t="s">
        <v>2714</v>
      </c>
      <c r="B6" s="15" t="s">
        <v>2076</v>
      </c>
      <c r="C6" s="15" t="s">
        <v>2076</v>
      </c>
      <c r="D6" s="15" t="s">
        <v>2715</v>
      </c>
      <c r="E6" s="15" t="s">
        <v>2716</v>
      </c>
      <c r="F6" s="15" t="s">
        <v>2079</v>
      </c>
      <c r="G6" s="15" t="s">
        <v>510</v>
      </c>
      <c r="H6" s="15" t="s">
        <v>2080</v>
      </c>
      <c r="I6" s="15" t="s">
        <v>2081</v>
      </c>
      <c r="J6" s="16"/>
      <c r="K6" s="14" t="s">
        <v>20</v>
      </c>
      <c r="L6" s="14" t="s">
        <v>108</v>
      </c>
      <c r="M6" s="14" t="s">
        <v>2076</v>
      </c>
      <c r="N6" s="14" t="s">
        <v>109</v>
      </c>
      <c r="O6" s="15" t="s">
        <v>88</v>
      </c>
      <c r="P6" s="15" t="s">
        <v>2715</v>
      </c>
      <c r="Q6" s="17" t="s">
        <v>90</v>
      </c>
      <c r="R6" s="17"/>
      <c r="S6" s="15" t="s">
        <v>2704</v>
      </c>
    </row>
    <row r="7" customFormat="false" ht="95.5" hidden="false" customHeight="false" outlineLevel="0" collapsed="false">
      <c r="A7" s="14" t="s">
        <v>2717</v>
      </c>
      <c r="B7" s="15" t="s">
        <v>2076</v>
      </c>
      <c r="C7" s="15" t="s">
        <v>2076</v>
      </c>
      <c r="D7" s="15" t="s">
        <v>2087</v>
      </c>
      <c r="E7" s="15" t="s">
        <v>2086</v>
      </c>
      <c r="F7" s="15" t="s">
        <v>2079</v>
      </c>
      <c r="G7" s="15" t="s">
        <v>510</v>
      </c>
      <c r="H7" s="15" t="s">
        <v>2080</v>
      </c>
      <c r="I7" s="15" t="s">
        <v>2081</v>
      </c>
      <c r="J7" s="16"/>
      <c r="K7" s="14" t="s">
        <v>19</v>
      </c>
      <c r="L7" s="14" t="s">
        <v>108</v>
      </c>
      <c r="M7" s="14" t="s">
        <v>2076</v>
      </c>
      <c r="N7" s="14" t="s">
        <v>109</v>
      </c>
      <c r="O7" s="15" t="s">
        <v>88</v>
      </c>
      <c r="P7" s="15" t="s">
        <v>2087</v>
      </c>
      <c r="Q7" s="17" t="s">
        <v>90</v>
      </c>
      <c r="R7" s="17"/>
      <c r="S7" s="15" t="s">
        <v>2704</v>
      </c>
    </row>
    <row r="8" customFormat="false" ht="95.5" hidden="false" customHeight="false" outlineLevel="0" collapsed="false">
      <c r="A8" s="14" t="s">
        <v>2718</v>
      </c>
      <c r="B8" s="15" t="s">
        <v>2076</v>
      </c>
      <c r="C8" s="15" t="s">
        <v>2076</v>
      </c>
      <c r="D8" s="15" t="s">
        <v>2719</v>
      </c>
      <c r="E8" s="15" t="s">
        <v>2720</v>
      </c>
      <c r="F8" s="15" t="s">
        <v>2079</v>
      </c>
      <c r="G8" s="15" t="s">
        <v>510</v>
      </c>
      <c r="H8" s="15" t="s">
        <v>2080</v>
      </c>
      <c r="I8" s="15" t="s">
        <v>2081</v>
      </c>
      <c r="J8" s="16"/>
      <c r="K8" s="14" t="s">
        <v>21</v>
      </c>
      <c r="L8" s="14" t="s">
        <v>99</v>
      </c>
      <c r="M8" s="14" t="s">
        <v>2076</v>
      </c>
      <c r="N8" s="14" t="s">
        <v>109</v>
      </c>
      <c r="O8" s="15" t="s">
        <v>88</v>
      </c>
      <c r="P8" s="15" t="s">
        <v>2719</v>
      </c>
      <c r="Q8" s="17" t="s">
        <v>90</v>
      </c>
      <c r="R8" s="17"/>
      <c r="S8" s="15" t="s">
        <v>2704</v>
      </c>
    </row>
    <row r="9" customFormat="false" ht="95.5" hidden="false" customHeight="false" outlineLevel="0" collapsed="false">
      <c r="A9" s="14" t="s">
        <v>2721</v>
      </c>
      <c r="B9" s="15" t="s">
        <v>2076</v>
      </c>
      <c r="C9" s="15" t="s">
        <v>2076</v>
      </c>
      <c r="D9" s="15" t="s">
        <v>2722</v>
      </c>
      <c r="E9" s="15" t="s">
        <v>2723</v>
      </c>
      <c r="F9" s="15" t="s">
        <v>2079</v>
      </c>
      <c r="G9" s="15" t="s">
        <v>510</v>
      </c>
      <c r="H9" s="15" t="s">
        <v>2080</v>
      </c>
      <c r="I9" s="15" t="s">
        <v>2081</v>
      </c>
      <c r="J9" s="16"/>
      <c r="K9" s="14" t="s">
        <v>20</v>
      </c>
      <c r="L9" s="14" t="s">
        <v>108</v>
      </c>
      <c r="M9" s="14" t="s">
        <v>2076</v>
      </c>
      <c r="N9" s="14" t="s">
        <v>109</v>
      </c>
      <c r="O9" s="15" t="s">
        <v>88</v>
      </c>
      <c r="P9" s="15" t="s">
        <v>2722</v>
      </c>
      <c r="Q9" s="17" t="s">
        <v>90</v>
      </c>
      <c r="R9" s="17"/>
      <c r="S9" s="15" t="s">
        <v>2704</v>
      </c>
    </row>
    <row r="10" customFormat="false" ht="95.5" hidden="false" customHeight="false" outlineLevel="0" collapsed="false">
      <c r="A10" s="14" t="s">
        <v>2724</v>
      </c>
      <c r="B10" s="15" t="s">
        <v>2076</v>
      </c>
      <c r="C10" s="15" t="s">
        <v>2076</v>
      </c>
      <c r="D10" s="15" t="s">
        <v>2092</v>
      </c>
      <c r="E10" s="15" t="s">
        <v>2091</v>
      </c>
      <c r="F10" s="15" t="s">
        <v>2079</v>
      </c>
      <c r="G10" s="15" t="s">
        <v>510</v>
      </c>
      <c r="H10" s="15" t="s">
        <v>2080</v>
      </c>
      <c r="I10" s="15" t="s">
        <v>2081</v>
      </c>
      <c r="J10" s="16"/>
      <c r="K10" s="14" t="s">
        <v>19</v>
      </c>
      <c r="L10" s="14" t="s">
        <v>108</v>
      </c>
      <c r="M10" s="14" t="s">
        <v>2076</v>
      </c>
      <c r="N10" s="14" t="s">
        <v>109</v>
      </c>
      <c r="O10" s="15" t="s">
        <v>88</v>
      </c>
      <c r="P10" s="15" t="s">
        <v>2092</v>
      </c>
      <c r="Q10" s="17" t="s">
        <v>90</v>
      </c>
      <c r="R10" s="17"/>
      <c r="S10" s="15" t="s">
        <v>2704</v>
      </c>
    </row>
    <row r="11" customFormat="false" ht="95.5" hidden="false" customHeight="false" outlineLevel="0" collapsed="false">
      <c r="A11" s="14" t="s">
        <v>2725</v>
      </c>
      <c r="B11" s="15" t="s">
        <v>2076</v>
      </c>
      <c r="C11" s="15" t="s">
        <v>2076</v>
      </c>
      <c r="D11" s="15" t="s">
        <v>2726</v>
      </c>
      <c r="E11" s="15" t="s">
        <v>2727</v>
      </c>
      <c r="F11" s="15" t="s">
        <v>2079</v>
      </c>
      <c r="G11" s="15" t="s">
        <v>510</v>
      </c>
      <c r="H11" s="15" t="s">
        <v>2080</v>
      </c>
      <c r="I11" s="15" t="s">
        <v>2081</v>
      </c>
      <c r="J11" s="16"/>
      <c r="K11" s="14" t="s">
        <v>20</v>
      </c>
      <c r="L11" s="14" t="s">
        <v>108</v>
      </c>
      <c r="M11" s="14" t="s">
        <v>2076</v>
      </c>
      <c r="N11" s="14" t="s">
        <v>109</v>
      </c>
      <c r="O11" s="15" t="s">
        <v>88</v>
      </c>
      <c r="P11" s="15" t="s">
        <v>2726</v>
      </c>
      <c r="Q11" s="17" t="s">
        <v>90</v>
      </c>
      <c r="R11" s="17"/>
      <c r="S11" s="15" t="s">
        <v>2704</v>
      </c>
    </row>
    <row r="12" customFormat="false" ht="95.5" hidden="false" customHeight="false" outlineLevel="0" collapsed="false">
      <c r="A12" s="14" t="s">
        <v>2728</v>
      </c>
      <c r="B12" s="15" t="s">
        <v>2076</v>
      </c>
      <c r="C12" s="15" t="s">
        <v>2076</v>
      </c>
      <c r="D12" s="15" t="s">
        <v>2729</v>
      </c>
      <c r="E12" s="15" t="s">
        <v>2730</v>
      </c>
      <c r="F12" s="15" t="s">
        <v>2079</v>
      </c>
      <c r="G12" s="15" t="s">
        <v>510</v>
      </c>
      <c r="H12" s="15" t="s">
        <v>2080</v>
      </c>
      <c r="I12" s="15" t="s">
        <v>2081</v>
      </c>
      <c r="J12" s="16"/>
      <c r="K12" s="14" t="s">
        <v>21</v>
      </c>
      <c r="L12" s="14" t="s">
        <v>99</v>
      </c>
      <c r="M12" s="14" t="s">
        <v>2076</v>
      </c>
      <c r="N12" s="14" t="s">
        <v>109</v>
      </c>
      <c r="O12" s="15" t="s">
        <v>88</v>
      </c>
      <c r="P12" s="15" t="s">
        <v>2729</v>
      </c>
      <c r="Q12" s="17" t="s">
        <v>90</v>
      </c>
      <c r="R12" s="17"/>
      <c r="S12" s="15" t="s">
        <v>2704</v>
      </c>
    </row>
    <row r="13" customFormat="false" ht="95.5" hidden="false" customHeight="false" outlineLevel="0" collapsed="false">
      <c r="A13" s="14" t="s">
        <v>2731</v>
      </c>
      <c r="B13" s="15" t="s">
        <v>2076</v>
      </c>
      <c r="C13" s="15" t="s">
        <v>2076</v>
      </c>
      <c r="D13" s="15" t="s">
        <v>2732</v>
      </c>
      <c r="E13" s="15" t="s">
        <v>2733</v>
      </c>
      <c r="F13" s="15" t="s">
        <v>2079</v>
      </c>
      <c r="G13" s="15" t="s">
        <v>510</v>
      </c>
      <c r="H13" s="15" t="s">
        <v>2080</v>
      </c>
      <c r="I13" s="15" t="s">
        <v>2081</v>
      </c>
      <c r="J13" s="16"/>
      <c r="K13" s="14" t="s">
        <v>21</v>
      </c>
      <c r="L13" s="14" t="s">
        <v>99</v>
      </c>
      <c r="M13" s="14" t="s">
        <v>2076</v>
      </c>
      <c r="N13" s="14" t="s">
        <v>109</v>
      </c>
      <c r="O13" s="15" t="s">
        <v>88</v>
      </c>
      <c r="P13" s="15" t="s">
        <v>2732</v>
      </c>
      <c r="Q13" s="17" t="s">
        <v>90</v>
      </c>
      <c r="R13" s="17"/>
      <c r="S13" s="15" t="s">
        <v>2704</v>
      </c>
    </row>
    <row r="14" customFormat="false" ht="95.5" hidden="false" customHeight="false" outlineLevel="0" collapsed="false">
      <c r="A14" s="14" t="s">
        <v>2734</v>
      </c>
      <c r="B14" s="15" t="s">
        <v>2076</v>
      </c>
      <c r="C14" s="15" t="s">
        <v>2076</v>
      </c>
      <c r="D14" s="15" t="s">
        <v>2735</v>
      </c>
      <c r="E14" s="15" t="s">
        <v>2736</v>
      </c>
      <c r="F14" s="15" t="s">
        <v>2079</v>
      </c>
      <c r="G14" s="15" t="s">
        <v>510</v>
      </c>
      <c r="H14" s="15" t="s">
        <v>2080</v>
      </c>
      <c r="I14" s="15" t="s">
        <v>2081</v>
      </c>
      <c r="J14" s="16"/>
      <c r="K14" s="14" t="s">
        <v>21</v>
      </c>
      <c r="L14" s="14" t="s">
        <v>99</v>
      </c>
      <c r="M14" s="14" t="s">
        <v>2076</v>
      </c>
      <c r="N14" s="14" t="s">
        <v>109</v>
      </c>
      <c r="O14" s="15" t="s">
        <v>88</v>
      </c>
      <c r="P14" s="15" t="s">
        <v>2735</v>
      </c>
      <c r="Q14" s="17" t="s">
        <v>90</v>
      </c>
      <c r="R14" s="17"/>
      <c r="S14" s="15" t="s">
        <v>2704</v>
      </c>
    </row>
    <row r="15" customFormat="false" ht="22.35" hidden="false" customHeight="false" outlineLevel="0" collapsed="false">
      <c r="A15" s="14" t="s">
        <v>2737</v>
      </c>
      <c r="B15" s="15" t="s">
        <v>2076</v>
      </c>
      <c r="C15" s="15" t="s">
        <v>2076</v>
      </c>
      <c r="D15" s="15" t="s">
        <v>2738</v>
      </c>
      <c r="E15" s="15" t="s">
        <v>2739</v>
      </c>
      <c r="F15" s="15" t="s">
        <v>2740</v>
      </c>
      <c r="G15" s="15" t="s">
        <v>2741</v>
      </c>
      <c r="H15" s="15" t="s">
        <v>2742</v>
      </c>
      <c r="I15" s="15" t="s">
        <v>2743</v>
      </c>
      <c r="J15" s="16"/>
      <c r="K15" s="14" t="s">
        <v>20</v>
      </c>
      <c r="L15" s="14" t="s">
        <v>99</v>
      </c>
      <c r="M15" s="14" t="s">
        <v>2076</v>
      </c>
      <c r="N15" s="14" t="s">
        <v>346</v>
      </c>
      <c r="O15" s="15" t="s">
        <v>88</v>
      </c>
      <c r="P15" s="15" t="s">
        <v>2744</v>
      </c>
      <c r="Q15" s="17" t="s">
        <v>90</v>
      </c>
      <c r="R15" s="17"/>
      <c r="S15" s="15" t="s">
        <v>2450</v>
      </c>
    </row>
    <row r="16" customFormat="false" ht="32.8" hidden="false" customHeight="false" outlineLevel="0" collapsed="false">
      <c r="A16" s="14" t="s">
        <v>2745</v>
      </c>
      <c r="B16" s="15" t="s">
        <v>2076</v>
      </c>
      <c r="C16" s="15" t="s">
        <v>2076</v>
      </c>
      <c r="D16" s="15" t="s">
        <v>2746</v>
      </c>
      <c r="E16" s="15" t="s">
        <v>2747</v>
      </c>
      <c r="F16" s="15" t="s">
        <v>2740</v>
      </c>
      <c r="G16" s="15" t="s">
        <v>2748</v>
      </c>
      <c r="H16" s="15" t="s">
        <v>2742</v>
      </c>
      <c r="I16" s="15" t="s">
        <v>2743</v>
      </c>
      <c r="J16" s="16"/>
      <c r="K16" s="14" t="s">
        <v>20</v>
      </c>
      <c r="L16" s="14" t="s">
        <v>99</v>
      </c>
      <c r="M16" s="14" t="s">
        <v>2076</v>
      </c>
      <c r="N16" s="14" t="s">
        <v>346</v>
      </c>
      <c r="O16" s="15" t="s">
        <v>88</v>
      </c>
      <c r="P16" s="15" t="s">
        <v>2744</v>
      </c>
      <c r="Q16" s="17" t="s">
        <v>90</v>
      </c>
      <c r="R16" s="17"/>
      <c r="S16" s="15" t="s">
        <v>2450</v>
      </c>
    </row>
    <row r="17" customFormat="false" ht="22.35" hidden="false" customHeight="false" outlineLevel="0" collapsed="false">
      <c r="A17" s="14" t="s">
        <v>2749</v>
      </c>
      <c r="B17" s="15" t="s">
        <v>2076</v>
      </c>
      <c r="C17" s="15" t="s">
        <v>2076</v>
      </c>
      <c r="D17" s="15" t="s">
        <v>2750</v>
      </c>
      <c r="E17" s="15" t="s">
        <v>2751</v>
      </c>
      <c r="F17" s="15" t="s">
        <v>2740</v>
      </c>
      <c r="G17" s="15" t="s">
        <v>2752</v>
      </c>
      <c r="H17" s="15" t="s">
        <v>2742</v>
      </c>
      <c r="I17" s="15" t="s">
        <v>2743</v>
      </c>
      <c r="J17" s="16"/>
      <c r="K17" s="14" t="s">
        <v>21</v>
      </c>
      <c r="L17" s="14" t="s">
        <v>99</v>
      </c>
      <c r="M17" s="14" t="s">
        <v>2076</v>
      </c>
      <c r="N17" s="14" t="s">
        <v>346</v>
      </c>
      <c r="O17" s="15" t="s">
        <v>88</v>
      </c>
      <c r="P17" s="15" t="s">
        <v>2744</v>
      </c>
      <c r="Q17" s="17" t="s">
        <v>90</v>
      </c>
      <c r="R17" s="17"/>
      <c r="S17" s="15" t="s">
        <v>2450</v>
      </c>
    </row>
    <row r="18" customFormat="false" ht="22.35" hidden="false" customHeight="false" outlineLevel="0" collapsed="false">
      <c r="A18" s="14" t="s">
        <v>2753</v>
      </c>
      <c r="B18" s="15" t="s">
        <v>2076</v>
      </c>
      <c r="C18" s="15" t="s">
        <v>2076</v>
      </c>
      <c r="D18" s="15" t="s">
        <v>2754</v>
      </c>
      <c r="E18" s="15" t="s">
        <v>2755</v>
      </c>
      <c r="F18" s="15" t="s">
        <v>2740</v>
      </c>
      <c r="G18" s="15" t="s">
        <v>2756</v>
      </c>
      <c r="H18" s="15" t="s">
        <v>2742</v>
      </c>
      <c r="I18" s="15" t="s">
        <v>2743</v>
      </c>
      <c r="J18" s="16"/>
      <c r="K18" s="14" t="s">
        <v>21</v>
      </c>
      <c r="L18" s="14" t="s">
        <v>99</v>
      </c>
      <c r="M18" s="14" t="s">
        <v>2076</v>
      </c>
      <c r="N18" s="14" t="s">
        <v>346</v>
      </c>
      <c r="O18" s="15" t="s">
        <v>88</v>
      </c>
      <c r="P18" s="15" t="s">
        <v>2744</v>
      </c>
      <c r="Q18" s="17" t="s">
        <v>90</v>
      </c>
      <c r="R18" s="17"/>
      <c r="S18" s="15" t="s">
        <v>2450</v>
      </c>
    </row>
    <row r="19" customFormat="false" ht="22.35" hidden="false" customHeight="false" outlineLevel="0" collapsed="false">
      <c r="A19" s="14" t="s">
        <v>2757</v>
      </c>
      <c r="B19" s="15" t="s">
        <v>2076</v>
      </c>
      <c r="C19" s="15" t="s">
        <v>2076</v>
      </c>
      <c r="D19" s="15" t="s">
        <v>2758</v>
      </c>
      <c r="E19" s="15" t="s">
        <v>2759</v>
      </c>
      <c r="F19" s="15" t="s">
        <v>2740</v>
      </c>
      <c r="G19" s="15" t="s">
        <v>2760</v>
      </c>
      <c r="H19" s="15" t="s">
        <v>2742</v>
      </c>
      <c r="I19" s="15" t="s">
        <v>2743</v>
      </c>
      <c r="J19" s="16"/>
      <c r="K19" s="14" t="s">
        <v>21</v>
      </c>
      <c r="L19" s="14" t="s">
        <v>99</v>
      </c>
      <c r="M19" s="14" t="s">
        <v>2076</v>
      </c>
      <c r="N19" s="14" t="s">
        <v>346</v>
      </c>
      <c r="O19" s="15" t="s">
        <v>88</v>
      </c>
      <c r="P19" s="15" t="s">
        <v>2744</v>
      </c>
      <c r="Q19" s="17" t="s">
        <v>90</v>
      </c>
      <c r="R19" s="17"/>
      <c r="S19" s="15" t="s">
        <v>2450</v>
      </c>
    </row>
    <row r="20" customFormat="false" ht="32.8" hidden="false" customHeight="false" outlineLevel="0" collapsed="false">
      <c r="A20" s="14" t="s">
        <v>2761</v>
      </c>
      <c r="B20" s="15" t="s">
        <v>2076</v>
      </c>
      <c r="C20" s="15" t="s">
        <v>2076</v>
      </c>
      <c r="D20" s="15" t="s">
        <v>2762</v>
      </c>
      <c r="E20" s="15" t="s">
        <v>2763</v>
      </c>
      <c r="F20" s="15" t="s">
        <v>2740</v>
      </c>
      <c r="G20" s="15" t="s">
        <v>2764</v>
      </c>
      <c r="H20" s="15" t="s">
        <v>2742</v>
      </c>
      <c r="I20" s="15" t="s">
        <v>2743</v>
      </c>
      <c r="J20" s="16"/>
      <c r="K20" s="14" t="s">
        <v>22</v>
      </c>
      <c r="L20" s="14" t="s">
        <v>99</v>
      </c>
      <c r="M20" s="14" t="s">
        <v>2076</v>
      </c>
      <c r="N20" s="14" t="s">
        <v>346</v>
      </c>
      <c r="O20" s="15" t="s">
        <v>88</v>
      </c>
      <c r="P20" s="15" t="s">
        <v>2744</v>
      </c>
      <c r="Q20" s="17" t="s">
        <v>90</v>
      </c>
      <c r="R20" s="17"/>
      <c r="S20" s="15" t="s">
        <v>2450</v>
      </c>
    </row>
    <row r="21" customFormat="false" ht="22.35" hidden="false" customHeight="false" outlineLevel="0" collapsed="false">
      <c r="A21" s="14" t="s">
        <v>2765</v>
      </c>
      <c r="B21" s="15" t="s">
        <v>2076</v>
      </c>
      <c r="C21" s="15" t="s">
        <v>2076</v>
      </c>
      <c r="D21" s="15" t="s">
        <v>2766</v>
      </c>
      <c r="E21" s="15" t="s">
        <v>2767</v>
      </c>
      <c r="F21" s="15" t="s">
        <v>2740</v>
      </c>
      <c r="G21" s="15" t="s">
        <v>2768</v>
      </c>
      <c r="H21" s="15" t="s">
        <v>2742</v>
      </c>
      <c r="I21" s="15" t="s">
        <v>2743</v>
      </c>
      <c r="J21" s="16"/>
      <c r="K21" s="14" t="s">
        <v>22</v>
      </c>
      <c r="L21" s="14" t="s">
        <v>99</v>
      </c>
      <c r="M21" s="14" t="s">
        <v>2076</v>
      </c>
      <c r="N21" s="14" t="s">
        <v>346</v>
      </c>
      <c r="O21" s="15" t="s">
        <v>88</v>
      </c>
      <c r="P21" s="15" t="s">
        <v>2744</v>
      </c>
      <c r="Q21" s="17" t="s">
        <v>90</v>
      </c>
      <c r="R21" s="17"/>
      <c r="S21" s="15" t="s">
        <v>2450</v>
      </c>
    </row>
    <row r="22" customFormat="false" ht="22.35" hidden="false" customHeight="false" outlineLevel="0" collapsed="false">
      <c r="A22" s="14" t="s">
        <v>2769</v>
      </c>
      <c r="B22" s="15" t="s">
        <v>2076</v>
      </c>
      <c r="C22" s="15" t="s">
        <v>2076</v>
      </c>
      <c r="D22" s="15" t="s">
        <v>2770</v>
      </c>
      <c r="E22" s="15" t="s">
        <v>2771</v>
      </c>
      <c r="F22" s="15" t="s">
        <v>2740</v>
      </c>
      <c r="G22" s="15" t="s">
        <v>2772</v>
      </c>
      <c r="H22" s="15" t="s">
        <v>2742</v>
      </c>
      <c r="I22" s="15" t="s">
        <v>2743</v>
      </c>
      <c r="J22" s="16"/>
      <c r="K22" s="14" t="s">
        <v>20</v>
      </c>
      <c r="L22" s="14" t="s">
        <v>99</v>
      </c>
      <c r="M22" s="14" t="s">
        <v>2076</v>
      </c>
      <c r="N22" s="14" t="s">
        <v>346</v>
      </c>
      <c r="O22" s="15" t="s">
        <v>88</v>
      </c>
      <c r="P22" s="15" t="s">
        <v>2744</v>
      </c>
      <c r="Q22" s="17" t="s">
        <v>90</v>
      </c>
      <c r="R22" s="17"/>
      <c r="S22" s="15" t="s">
        <v>2450</v>
      </c>
    </row>
  </sheetData>
  <autoFilter ref="A1:S22"/>
  <conditionalFormatting sqref="K2:K22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22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22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22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22" type="list">
      <formula1>"P0,P1,P2,P3"</formula1>
      <formula2>0</formula2>
    </dataValidation>
    <dataValidation allowBlank="false" errorStyle="stop" operator="between" showDropDown="false" showErrorMessage="false" showInputMessage="false" sqref="L2:L22" type="list">
      <formula1>"Critical,High,Medium,Low"</formula1>
      <formula2>0</formula2>
    </dataValidation>
    <dataValidation allowBlank="false" errorStyle="stop" operator="between" showDropDown="false" showErrorMessage="false" showInputMessage="false" sqref="N2:N22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32.8" hidden="false" customHeight="false" outlineLevel="0" collapsed="false">
      <c r="A2" s="14" t="s">
        <v>2773</v>
      </c>
      <c r="B2" s="15" t="s">
        <v>2096</v>
      </c>
      <c r="C2" s="15" t="s">
        <v>2096</v>
      </c>
      <c r="D2" s="15" t="s">
        <v>2774</v>
      </c>
      <c r="E2" s="15" t="s">
        <v>2098</v>
      </c>
      <c r="F2" s="15" t="s">
        <v>335</v>
      </c>
      <c r="G2" s="15" t="s">
        <v>510</v>
      </c>
      <c r="H2" s="15" t="s">
        <v>2099</v>
      </c>
      <c r="I2" s="15" t="s">
        <v>2100</v>
      </c>
      <c r="J2" s="16"/>
      <c r="K2" s="14" t="s">
        <v>19</v>
      </c>
      <c r="L2" s="14" t="s">
        <v>86</v>
      </c>
      <c r="M2" s="14" t="s">
        <v>1214</v>
      </c>
      <c r="N2" s="14" t="s">
        <v>87</v>
      </c>
      <c r="O2" s="15" t="s">
        <v>88</v>
      </c>
      <c r="P2" s="15" t="s">
        <v>89</v>
      </c>
      <c r="Q2" s="17" t="s">
        <v>90</v>
      </c>
      <c r="R2" s="17"/>
      <c r="S2" s="15" t="s">
        <v>1215</v>
      </c>
    </row>
    <row r="3" customFormat="false" ht="22.35" hidden="false" customHeight="false" outlineLevel="0" collapsed="false">
      <c r="A3" s="14" t="s">
        <v>2775</v>
      </c>
      <c r="B3" s="15" t="s">
        <v>2096</v>
      </c>
      <c r="C3" s="15" t="s">
        <v>2096</v>
      </c>
      <c r="D3" s="15" t="s">
        <v>2774</v>
      </c>
      <c r="E3" s="15" t="s">
        <v>2103</v>
      </c>
      <c r="F3" s="15" t="s">
        <v>2104</v>
      </c>
      <c r="G3" s="15" t="s">
        <v>510</v>
      </c>
      <c r="H3" s="15" t="s">
        <v>1680</v>
      </c>
      <c r="I3" s="15" t="s">
        <v>2105</v>
      </c>
      <c r="J3" s="16"/>
      <c r="K3" s="14" t="s">
        <v>19</v>
      </c>
      <c r="L3" s="14" t="s">
        <v>86</v>
      </c>
      <c r="M3" s="14" t="s">
        <v>1214</v>
      </c>
      <c r="N3" s="14" t="s">
        <v>87</v>
      </c>
      <c r="O3" s="15" t="s">
        <v>88</v>
      </c>
      <c r="P3" s="15" t="s">
        <v>89</v>
      </c>
      <c r="Q3" s="17" t="s">
        <v>90</v>
      </c>
      <c r="R3" s="17"/>
      <c r="S3" s="15" t="s">
        <v>1215</v>
      </c>
    </row>
    <row r="4" customFormat="false" ht="22.35" hidden="false" customHeight="false" outlineLevel="0" collapsed="false">
      <c r="A4" s="14" t="s">
        <v>2776</v>
      </c>
      <c r="B4" s="15" t="s">
        <v>2096</v>
      </c>
      <c r="C4" s="15" t="s">
        <v>2096</v>
      </c>
      <c r="D4" s="15" t="s">
        <v>2774</v>
      </c>
      <c r="E4" s="15" t="s">
        <v>2109</v>
      </c>
      <c r="F4" s="15" t="s">
        <v>2110</v>
      </c>
      <c r="G4" s="15" t="s">
        <v>510</v>
      </c>
      <c r="H4" s="15" t="s">
        <v>1680</v>
      </c>
      <c r="I4" s="15" t="s">
        <v>2111</v>
      </c>
      <c r="J4" s="16"/>
      <c r="K4" s="14" t="s">
        <v>19</v>
      </c>
      <c r="L4" s="14" t="s">
        <v>86</v>
      </c>
      <c r="M4" s="14" t="s">
        <v>1214</v>
      </c>
      <c r="N4" s="14" t="s">
        <v>87</v>
      </c>
      <c r="O4" s="15" t="s">
        <v>88</v>
      </c>
      <c r="P4" s="15" t="s">
        <v>89</v>
      </c>
      <c r="Q4" s="17" t="s">
        <v>90</v>
      </c>
      <c r="R4" s="17"/>
      <c r="S4" s="15" t="s">
        <v>1215</v>
      </c>
    </row>
    <row r="5" customFormat="false" ht="22.35" hidden="false" customHeight="false" outlineLevel="0" collapsed="false">
      <c r="A5" s="14" t="s">
        <v>2777</v>
      </c>
      <c r="B5" s="15" t="s">
        <v>2096</v>
      </c>
      <c r="C5" s="15" t="s">
        <v>2096</v>
      </c>
      <c r="D5" s="15" t="s">
        <v>2774</v>
      </c>
      <c r="E5" s="15" t="s">
        <v>2114</v>
      </c>
      <c r="F5" s="15" t="s">
        <v>460</v>
      </c>
      <c r="G5" s="15" t="s">
        <v>510</v>
      </c>
      <c r="H5" s="15" t="s">
        <v>1680</v>
      </c>
      <c r="I5" s="15" t="s">
        <v>1686</v>
      </c>
      <c r="J5" s="16"/>
      <c r="K5" s="14" t="s">
        <v>19</v>
      </c>
      <c r="L5" s="14" t="s">
        <v>86</v>
      </c>
      <c r="M5" s="14" t="s">
        <v>1214</v>
      </c>
      <c r="N5" s="14" t="s">
        <v>87</v>
      </c>
      <c r="O5" s="15" t="s">
        <v>88</v>
      </c>
      <c r="P5" s="15" t="s">
        <v>89</v>
      </c>
      <c r="Q5" s="17" t="s">
        <v>90</v>
      </c>
      <c r="R5" s="17"/>
      <c r="S5" s="15" t="s">
        <v>1215</v>
      </c>
    </row>
    <row r="6" customFormat="false" ht="22.35" hidden="false" customHeight="false" outlineLevel="0" collapsed="false">
      <c r="A6" s="14" t="s">
        <v>2778</v>
      </c>
      <c r="B6" s="15" t="s">
        <v>2096</v>
      </c>
      <c r="C6" s="15" t="s">
        <v>2096</v>
      </c>
      <c r="D6" s="15" t="s">
        <v>2774</v>
      </c>
      <c r="E6" s="15" t="s">
        <v>2117</v>
      </c>
      <c r="F6" s="15" t="s">
        <v>1448</v>
      </c>
      <c r="G6" s="15" t="s">
        <v>510</v>
      </c>
      <c r="H6" s="15" t="s">
        <v>1680</v>
      </c>
      <c r="I6" s="15" t="s">
        <v>2118</v>
      </c>
      <c r="J6" s="16"/>
      <c r="K6" s="14" t="s">
        <v>19</v>
      </c>
      <c r="L6" s="14" t="s">
        <v>86</v>
      </c>
      <c r="M6" s="14" t="s">
        <v>1214</v>
      </c>
      <c r="N6" s="14" t="s">
        <v>87</v>
      </c>
      <c r="O6" s="15" t="s">
        <v>88</v>
      </c>
      <c r="P6" s="15" t="s">
        <v>89</v>
      </c>
      <c r="Q6" s="17" t="s">
        <v>90</v>
      </c>
      <c r="R6" s="17"/>
      <c r="S6" s="15" t="s">
        <v>1215</v>
      </c>
    </row>
    <row r="7" customFormat="false" ht="22.35" hidden="false" customHeight="false" outlineLevel="0" collapsed="false">
      <c r="A7" s="14" t="s">
        <v>2779</v>
      </c>
      <c r="B7" s="15" t="s">
        <v>2096</v>
      </c>
      <c r="C7" s="15" t="s">
        <v>2096</v>
      </c>
      <c r="D7" s="15" t="s">
        <v>2780</v>
      </c>
      <c r="E7" s="15" t="s">
        <v>2122</v>
      </c>
      <c r="F7" s="15" t="s">
        <v>149</v>
      </c>
      <c r="G7" s="15" t="s">
        <v>510</v>
      </c>
      <c r="H7" s="15" t="s">
        <v>2123</v>
      </c>
      <c r="I7" s="15" t="s">
        <v>2124</v>
      </c>
      <c r="J7" s="16"/>
      <c r="K7" s="14" t="s">
        <v>19</v>
      </c>
      <c r="L7" s="14" t="s">
        <v>86</v>
      </c>
      <c r="M7" s="14" t="s">
        <v>1214</v>
      </c>
      <c r="N7" s="14" t="s">
        <v>87</v>
      </c>
      <c r="O7" s="15" t="s">
        <v>88</v>
      </c>
      <c r="P7" s="15" t="s">
        <v>89</v>
      </c>
      <c r="Q7" s="17" t="s">
        <v>90</v>
      </c>
      <c r="R7" s="17"/>
      <c r="S7" s="15" t="s">
        <v>1215</v>
      </c>
    </row>
    <row r="8" customFormat="false" ht="22.35" hidden="false" customHeight="false" outlineLevel="0" collapsed="false">
      <c r="A8" s="14" t="s">
        <v>2781</v>
      </c>
      <c r="B8" s="15" t="s">
        <v>2096</v>
      </c>
      <c r="C8" s="15" t="s">
        <v>2096</v>
      </c>
      <c r="D8" s="15" t="s">
        <v>2780</v>
      </c>
      <c r="E8" s="15" t="s">
        <v>2127</v>
      </c>
      <c r="F8" s="15" t="s">
        <v>1127</v>
      </c>
      <c r="G8" s="15" t="s">
        <v>510</v>
      </c>
      <c r="H8" s="15" t="s">
        <v>2128</v>
      </c>
      <c r="I8" s="15" t="s">
        <v>2129</v>
      </c>
      <c r="J8" s="16"/>
      <c r="K8" s="14" t="s">
        <v>19</v>
      </c>
      <c r="L8" s="14" t="s">
        <v>86</v>
      </c>
      <c r="M8" s="14" t="s">
        <v>1214</v>
      </c>
      <c r="N8" s="14" t="s">
        <v>87</v>
      </c>
      <c r="O8" s="15" t="s">
        <v>88</v>
      </c>
      <c r="P8" s="15" t="s">
        <v>89</v>
      </c>
      <c r="Q8" s="17" t="s">
        <v>90</v>
      </c>
      <c r="R8" s="17"/>
      <c r="S8" s="15" t="s">
        <v>1215</v>
      </c>
    </row>
    <row r="9" customFormat="false" ht="22.35" hidden="false" customHeight="false" outlineLevel="0" collapsed="false">
      <c r="A9" s="14" t="s">
        <v>2782</v>
      </c>
      <c r="B9" s="15" t="s">
        <v>2096</v>
      </c>
      <c r="C9" s="15" t="s">
        <v>2096</v>
      </c>
      <c r="D9" s="15" t="s">
        <v>2783</v>
      </c>
      <c r="E9" s="15" t="s">
        <v>2133</v>
      </c>
      <c r="F9" s="15" t="s">
        <v>2134</v>
      </c>
      <c r="G9" s="15" t="s">
        <v>510</v>
      </c>
      <c r="H9" s="15" t="s">
        <v>2135</v>
      </c>
      <c r="I9" s="15" t="s">
        <v>2136</v>
      </c>
      <c r="J9" s="16"/>
      <c r="K9" s="14" t="s">
        <v>19</v>
      </c>
      <c r="L9" s="14" t="s">
        <v>86</v>
      </c>
      <c r="M9" s="14" t="s">
        <v>1214</v>
      </c>
      <c r="N9" s="14" t="s">
        <v>87</v>
      </c>
      <c r="O9" s="15" t="s">
        <v>88</v>
      </c>
      <c r="P9" s="15" t="s">
        <v>89</v>
      </c>
      <c r="Q9" s="17" t="s">
        <v>90</v>
      </c>
      <c r="R9" s="17"/>
      <c r="S9" s="15" t="s">
        <v>1215</v>
      </c>
    </row>
    <row r="10" customFormat="false" ht="32.8" hidden="false" customHeight="false" outlineLevel="0" collapsed="false">
      <c r="A10" s="14" t="s">
        <v>2784</v>
      </c>
      <c r="B10" s="15" t="s">
        <v>2096</v>
      </c>
      <c r="C10" s="15" t="s">
        <v>2096</v>
      </c>
      <c r="D10" s="15" t="s">
        <v>2783</v>
      </c>
      <c r="E10" s="15" t="s">
        <v>2139</v>
      </c>
      <c r="F10" s="15" t="s">
        <v>2140</v>
      </c>
      <c r="G10" s="15" t="s">
        <v>510</v>
      </c>
      <c r="H10" s="15" t="s">
        <v>2141</v>
      </c>
      <c r="I10" s="15" t="s">
        <v>2142</v>
      </c>
      <c r="J10" s="16"/>
      <c r="K10" s="14" t="s">
        <v>19</v>
      </c>
      <c r="L10" s="14" t="s">
        <v>86</v>
      </c>
      <c r="M10" s="14" t="s">
        <v>1214</v>
      </c>
      <c r="N10" s="14" t="s">
        <v>87</v>
      </c>
      <c r="O10" s="15" t="s">
        <v>88</v>
      </c>
      <c r="P10" s="15" t="s">
        <v>89</v>
      </c>
      <c r="Q10" s="17" t="s">
        <v>90</v>
      </c>
      <c r="R10" s="17"/>
      <c r="S10" s="15" t="s">
        <v>1215</v>
      </c>
    </row>
    <row r="11" customFormat="false" ht="22.35" hidden="false" customHeight="false" outlineLevel="0" collapsed="false">
      <c r="A11" s="14" t="s">
        <v>2785</v>
      </c>
      <c r="B11" s="15" t="s">
        <v>2096</v>
      </c>
      <c r="C11" s="15" t="s">
        <v>2096</v>
      </c>
      <c r="D11" s="15" t="s">
        <v>2783</v>
      </c>
      <c r="E11" s="15" t="s">
        <v>2145</v>
      </c>
      <c r="F11" s="15" t="s">
        <v>1127</v>
      </c>
      <c r="G11" s="15" t="s">
        <v>510</v>
      </c>
      <c r="H11" s="15" t="s">
        <v>2146</v>
      </c>
      <c r="I11" s="15" t="s">
        <v>2147</v>
      </c>
      <c r="J11" s="16"/>
      <c r="K11" s="14" t="s">
        <v>19</v>
      </c>
      <c r="L11" s="14" t="s">
        <v>86</v>
      </c>
      <c r="M11" s="14" t="s">
        <v>1214</v>
      </c>
      <c r="N11" s="14" t="s">
        <v>87</v>
      </c>
      <c r="O11" s="15" t="s">
        <v>88</v>
      </c>
      <c r="P11" s="15" t="s">
        <v>89</v>
      </c>
      <c r="Q11" s="17" t="s">
        <v>90</v>
      </c>
      <c r="R11" s="17"/>
      <c r="S11" s="15" t="s">
        <v>1215</v>
      </c>
    </row>
    <row r="12" customFormat="false" ht="22.35" hidden="false" customHeight="false" outlineLevel="0" collapsed="false">
      <c r="A12" s="14" t="s">
        <v>2786</v>
      </c>
      <c r="B12" s="15" t="s">
        <v>2096</v>
      </c>
      <c r="C12" s="15" t="s">
        <v>2096</v>
      </c>
      <c r="D12" s="15" t="s">
        <v>2783</v>
      </c>
      <c r="E12" s="15" t="s">
        <v>2787</v>
      </c>
      <c r="F12" s="15" t="s">
        <v>2488</v>
      </c>
      <c r="G12" s="15" t="s">
        <v>510</v>
      </c>
      <c r="H12" s="15" t="s">
        <v>2788</v>
      </c>
      <c r="I12" s="15" t="s">
        <v>2789</v>
      </c>
      <c r="J12" s="16"/>
      <c r="K12" s="14" t="s">
        <v>20</v>
      </c>
      <c r="L12" s="14" t="s">
        <v>108</v>
      </c>
      <c r="M12" s="14" t="s">
        <v>1214</v>
      </c>
      <c r="N12" s="14" t="s">
        <v>87</v>
      </c>
      <c r="O12" s="15" t="s">
        <v>88</v>
      </c>
      <c r="P12" s="15" t="s">
        <v>89</v>
      </c>
      <c r="Q12" s="17" t="s">
        <v>90</v>
      </c>
      <c r="R12" s="17"/>
      <c r="S12" s="15" t="s">
        <v>1215</v>
      </c>
    </row>
    <row r="13" customFormat="false" ht="22.35" hidden="false" customHeight="false" outlineLevel="0" collapsed="false">
      <c r="A13" s="14" t="s">
        <v>2790</v>
      </c>
      <c r="B13" s="15" t="s">
        <v>2096</v>
      </c>
      <c r="C13" s="15" t="s">
        <v>2096</v>
      </c>
      <c r="D13" s="15" t="s">
        <v>2791</v>
      </c>
      <c r="E13" s="15" t="s">
        <v>2151</v>
      </c>
      <c r="F13" s="15" t="s">
        <v>149</v>
      </c>
      <c r="G13" s="15" t="s">
        <v>510</v>
      </c>
      <c r="H13" s="15" t="s">
        <v>2152</v>
      </c>
      <c r="I13" s="15" t="s">
        <v>2153</v>
      </c>
      <c r="J13" s="16"/>
      <c r="K13" s="14" t="s">
        <v>19</v>
      </c>
      <c r="L13" s="14" t="s">
        <v>86</v>
      </c>
      <c r="M13" s="14" t="s">
        <v>1214</v>
      </c>
      <c r="N13" s="14" t="s">
        <v>87</v>
      </c>
      <c r="O13" s="15" t="s">
        <v>88</v>
      </c>
      <c r="P13" s="15" t="s">
        <v>599</v>
      </c>
      <c r="Q13" s="17" t="s">
        <v>90</v>
      </c>
      <c r="R13" s="17"/>
      <c r="S13" s="15" t="s">
        <v>1215</v>
      </c>
    </row>
    <row r="14" customFormat="false" ht="22.35" hidden="false" customHeight="false" outlineLevel="0" collapsed="false">
      <c r="A14" s="14" t="s">
        <v>2792</v>
      </c>
      <c r="B14" s="15" t="s">
        <v>2096</v>
      </c>
      <c r="C14" s="15" t="s">
        <v>2096</v>
      </c>
      <c r="D14" s="15" t="s">
        <v>2791</v>
      </c>
      <c r="E14" s="15" t="s">
        <v>2156</v>
      </c>
      <c r="F14" s="15" t="s">
        <v>1127</v>
      </c>
      <c r="G14" s="15" t="s">
        <v>510</v>
      </c>
      <c r="H14" s="15" t="s">
        <v>2157</v>
      </c>
      <c r="I14" s="15" t="s">
        <v>2158</v>
      </c>
      <c r="J14" s="16"/>
      <c r="K14" s="14" t="s">
        <v>19</v>
      </c>
      <c r="L14" s="14" t="s">
        <v>86</v>
      </c>
      <c r="M14" s="14" t="s">
        <v>1214</v>
      </c>
      <c r="N14" s="14" t="s">
        <v>87</v>
      </c>
      <c r="O14" s="15" t="s">
        <v>88</v>
      </c>
      <c r="P14" s="15" t="s">
        <v>599</v>
      </c>
      <c r="Q14" s="17" t="s">
        <v>90</v>
      </c>
      <c r="R14" s="17"/>
      <c r="S14" s="15" t="s">
        <v>1215</v>
      </c>
    </row>
    <row r="15" customFormat="false" ht="22.35" hidden="false" customHeight="false" outlineLevel="0" collapsed="false">
      <c r="A15" s="14" t="s">
        <v>2793</v>
      </c>
      <c r="B15" s="15" t="s">
        <v>2096</v>
      </c>
      <c r="C15" s="15" t="s">
        <v>2096</v>
      </c>
      <c r="D15" s="15" t="s">
        <v>2794</v>
      </c>
      <c r="E15" s="15" t="s">
        <v>2795</v>
      </c>
      <c r="F15" s="15" t="s">
        <v>2796</v>
      </c>
      <c r="G15" s="15" t="s">
        <v>510</v>
      </c>
      <c r="H15" s="15" t="s">
        <v>2797</v>
      </c>
      <c r="I15" s="15" t="s">
        <v>2798</v>
      </c>
      <c r="J15" s="16"/>
      <c r="K15" s="14" t="s">
        <v>20</v>
      </c>
      <c r="L15" s="14" t="s">
        <v>108</v>
      </c>
      <c r="M15" s="14" t="s">
        <v>1214</v>
      </c>
      <c r="N15" s="14" t="s">
        <v>87</v>
      </c>
      <c r="O15" s="15" t="s">
        <v>88</v>
      </c>
      <c r="P15" s="15" t="s">
        <v>599</v>
      </c>
      <c r="Q15" s="17" t="s">
        <v>90</v>
      </c>
      <c r="R15" s="17"/>
      <c r="S15" s="15" t="s">
        <v>1215</v>
      </c>
    </row>
    <row r="16" customFormat="false" ht="32.8" hidden="false" customHeight="false" outlineLevel="0" collapsed="false">
      <c r="A16" s="14" t="s">
        <v>2799</v>
      </c>
      <c r="B16" s="15" t="s">
        <v>2096</v>
      </c>
      <c r="C16" s="15" t="s">
        <v>2096</v>
      </c>
      <c r="D16" s="15" t="s">
        <v>2800</v>
      </c>
      <c r="E16" s="15" t="s">
        <v>2801</v>
      </c>
      <c r="F16" s="15" t="s">
        <v>2802</v>
      </c>
      <c r="G16" s="15" t="s">
        <v>510</v>
      </c>
      <c r="H16" s="15" t="s">
        <v>2803</v>
      </c>
      <c r="I16" s="15" t="s">
        <v>2804</v>
      </c>
      <c r="J16" s="16"/>
      <c r="K16" s="14" t="s">
        <v>20</v>
      </c>
      <c r="L16" s="14" t="s">
        <v>108</v>
      </c>
      <c r="M16" s="14" t="s">
        <v>1214</v>
      </c>
      <c r="N16" s="14" t="s">
        <v>87</v>
      </c>
      <c r="O16" s="15" t="s">
        <v>88</v>
      </c>
      <c r="P16" s="15" t="s">
        <v>599</v>
      </c>
      <c r="Q16" s="17" t="s">
        <v>90</v>
      </c>
      <c r="R16" s="17"/>
      <c r="S16" s="15" t="s">
        <v>1215</v>
      </c>
    </row>
    <row r="17" customFormat="false" ht="22.35" hidden="false" customHeight="false" outlineLevel="0" collapsed="false">
      <c r="A17" s="14" t="s">
        <v>2805</v>
      </c>
      <c r="B17" s="15" t="s">
        <v>2096</v>
      </c>
      <c r="C17" s="15" t="s">
        <v>2096</v>
      </c>
      <c r="D17" s="15" t="s">
        <v>2806</v>
      </c>
      <c r="E17" s="15" t="s">
        <v>2807</v>
      </c>
      <c r="F17" s="15" t="s">
        <v>1565</v>
      </c>
      <c r="G17" s="15" t="s">
        <v>510</v>
      </c>
      <c r="H17" s="15" t="s">
        <v>2808</v>
      </c>
      <c r="I17" s="15" t="s">
        <v>2809</v>
      </c>
      <c r="J17" s="16"/>
      <c r="K17" s="14" t="s">
        <v>20</v>
      </c>
      <c r="L17" s="14" t="s">
        <v>99</v>
      </c>
      <c r="M17" s="14" t="s">
        <v>1214</v>
      </c>
      <c r="N17" s="14" t="s">
        <v>87</v>
      </c>
      <c r="O17" s="15" t="s">
        <v>88</v>
      </c>
      <c r="P17" s="15" t="s">
        <v>599</v>
      </c>
      <c r="Q17" s="17" t="s">
        <v>90</v>
      </c>
      <c r="R17" s="17"/>
      <c r="S17" s="15" t="s">
        <v>1215</v>
      </c>
    </row>
    <row r="18" customFormat="false" ht="22.35" hidden="false" customHeight="false" outlineLevel="0" collapsed="false">
      <c r="A18" s="14" t="s">
        <v>2810</v>
      </c>
      <c r="B18" s="15" t="s">
        <v>2096</v>
      </c>
      <c r="C18" s="15" t="s">
        <v>2096</v>
      </c>
      <c r="D18" s="15" t="s">
        <v>2811</v>
      </c>
      <c r="E18" s="15" t="s">
        <v>2162</v>
      </c>
      <c r="F18" s="15" t="s">
        <v>2163</v>
      </c>
      <c r="G18" s="15" t="s">
        <v>510</v>
      </c>
      <c r="H18" s="15" t="s">
        <v>2164</v>
      </c>
      <c r="I18" s="15" t="s">
        <v>2165</v>
      </c>
      <c r="J18" s="16"/>
      <c r="K18" s="14" t="s">
        <v>19</v>
      </c>
      <c r="L18" s="14" t="s">
        <v>86</v>
      </c>
      <c r="M18" s="14" t="s">
        <v>1214</v>
      </c>
      <c r="N18" s="14" t="s">
        <v>87</v>
      </c>
      <c r="O18" s="15" t="s">
        <v>88</v>
      </c>
      <c r="P18" s="15" t="s">
        <v>89</v>
      </c>
      <c r="Q18" s="17" t="s">
        <v>90</v>
      </c>
      <c r="R18" s="17"/>
      <c r="S18" s="15" t="s">
        <v>1215</v>
      </c>
    </row>
    <row r="19" customFormat="false" ht="22.35" hidden="false" customHeight="false" outlineLevel="0" collapsed="false">
      <c r="A19" s="14" t="s">
        <v>2812</v>
      </c>
      <c r="B19" s="15" t="s">
        <v>2096</v>
      </c>
      <c r="C19" s="15" t="s">
        <v>2096</v>
      </c>
      <c r="D19" s="15" t="s">
        <v>2813</v>
      </c>
      <c r="E19" s="15" t="s">
        <v>2169</v>
      </c>
      <c r="F19" s="15" t="s">
        <v>2170</v>
      </c>
      <c r="G19" s="15" t="s">
        <v>510</v>
      </c>
      <c r="H19" s="15" t="s">
        <v>2171</v>
      </c>
      <c r="I19" s="15" t="s">
        <v>2172</v>
      </c>
      <c r="J19" s="16"/>
      <c r="K19" s="14" t="s">
        <v>19</v>
      </c>
      <c r="L19" s="14" t="s">
        <v>86</v>
      </c>
      <c r="M19" s="14" t="s">
        <v>1214</v>
      </c>
      <c r="N19" s="14" t="s">
        <v>87</v>
      </c>
      <c r="O19" s="15" t="s">
        <v>88</v>
      </c>
      <c r="P19" s="15" t="s">
        <v>89</v>
      </c>
      <c r="Q19" s="17" t="s">
        <v>90</v>
      </c>
      <c r="R19" s="17"/>
      <c r="S19" s="15" t="s">
        <v>1215</v>
      </c>
    </row>
    <row r="20" customFormat="false" ht="22.35" hidden="false" customHeight="false" outlineLevel="0" collapsed="false">
      <c r="A20" s="14" t="s">
        <v>2814</v>
      </c>
      <c r="B20" s="15" t="s">
        <v>2096</v>
      </c>
      <c r="C20" s="15" t="s">
        <v>2096</v>
      </c>
      <c r="D20" s="15" t="s">
        <v>2176</v>
      </c>
      <c r="E20" s="15" t="s">
        <v>2176</v>
      </c>
      <c r="F20" s="15" t="s">
        <v>2177</v>
      </c>
      <c r="G20" s="15" t="s">
        <v>510</v>
      </c>
      <c r="H20" s="15" t="s">
        <v>1421</v>
      </c>
      <c r="I20" s="15" t="s">
        <v>2178</v>
      </c>
      <c r="J20" s="16"/>
      <c r="K20" s="14" t="s">
        <v>19</v>
      </c>
      <c r="L20" s="14" t="s">
        <v>86</v>
      </c>
      <c r="M20" s="14" t="s">
        <v>1214</v>
      </c>
      <c r="N20" s="14" t="s">
        <v>87</v>
      </c>
      <c r="O20" s="15" t="s">
        <v>88</v>
      </c>
      <c r="P20" s="15" t="s">
        <v>89</v>
      </c>
      <c r="Q20" s="17" t="s">
        <v>90</v>
      </c>
      <c r="R20" s="17"/>
      <c r="S20" s="15" t="s">
        <v>1215</v>
      </c>
    </row>
    <row r="21" customFormat="false" ht="22.35" hidden="false" customHeight="false" outlineLevel="0" collapsed="false">
      <c r="A21" s="14" t="s">
        <v>2815</v>
      </c>
      <c r="B21" s="15" t="s">
        <v>2096</v>
      </c>
      <c r="C21" s="15" t="s">
        <v>2096</v>
      </c>
      <c r="D21" s="15" t="s">
        <v>2816</v>
      </c>
      <c r="E21" s="15" t="s">
        <v>2182</v>
      </c>
      <c r="F21" s="15" t="s">
        <v>2183</v>
      </c>
      <c r="G21" s="15" t="s">
        <v>510</v>
      </c>
      <c r="H21" s="15" t="s">
        <v>1421</v>
      </c>
      <c r="I21" s="15" t="s">
        <v>2184</v>
      </c>
      <c r="J21" s="16"/>
      <c r="K21" s="14" t="s">
        <v>19</v>
      </c>
      <c r="L21" s="14" t="s">
        <v>86</v>
      </c>
      <c r="M21" s="14" t="s">
        <v>1214</v>
      </c>
      <c r="N21" s="14" t="s">
        <v>87</v>
      </c>
      <c r="O21" s="15" t="s">
        <v>88</v>
      </c>
      <c r="P21" s="15" t="s">
        <v>89</v>
      </c>
      <c r="Q21" s="17" t="s">
        <v>90</v>
      </c>
      <c r="R21" s="17"/>
      <c r="S21" s="15" t="s">
        <v>1215</v>
      </c>
    </row>
    <row r="22" customFormat="false" ht="22.35" hidden="false" customHeight="false" outlineLevel="0" collapsed="false">
      <c r="A22" s="14" t="s">
        <v>2817</v>
      </c>
      <c r="B22" s="15" t="s">
        <v>2096</v>
      </c>
      <c r="C22" s="15" t="s">
        <v>2096</v>
      </c>
      <c r="D22" s="15" t="s">
        <v>2818</v>
      </c>
      <c r="E22" s="15" t="s">
        <v>2188</v>
      </c>
      <c r="F22" s="15" t="s">
        <v>2189</v>
      </c>
      <c r="G22" s="15" t="s">
        <v>510</v>
      </c>
      <c r="H22" s="15" t="s">
        <v>1421</v>
      </c>
      <c r="I22" s="15" t="s">
        <v>2190</v>
      </c>
      <c r="J22" s="16"/>
      <c r="K22" s="14" t="s">
        <v>19</v>
      </c>
      <c r="L22" s="14" t="s">
        <v>86</v>
      </c>
      <c r="M22" s="14" t="s">
        <v>1214</v>
      </c>
      <c r="N22" s="14" t="s">
        <v>87</v>
      </c>
      <c r="O22" s="15" t="s">
        <v>88</v>
      </c>
      <c r="P22" s="15" t="s">
        <v>89</v>
      </c>
      <c r="Q22" s="17" t="s">
        <v>90</v>
      </c>
      <c r="R22" s="17"/>
      <c r="S22" s="15" t="s">
        <v>1215</v>
      </c>
    </row>
    <row r="23" customFormat="false" ht="22.35" hidden="false" customHeight="false" outlineLevel="0" collapsed="false">
      <c r="A23" s="14" t="s">
        <v>2819</v>
      </c>
      <c r="B23" s="15" t="s">
        <v>2096</v>
      </c>
      <c r="C23" s="15" t="s">
        <v>2096</v>
      </c>
      <c r="D23" s="15" t="s">
        <v>2820</v>
      </c>
      <c r="E23" s="15" t="s">
        <v>2821</v>
      </c>
      <c r="F23" s="15" t="s">
        <v>2822</v>
      </c>
      <c r="G23" s="15" t="s">
        <v>510</v>
      </c>
      <c r="H23" s="15" t="s">
        <v>2823</v>
      </c>
      <c r="I23" s="15" t="s">
        <v>2824</v>
      </c>
      <c r="J23" s="16"/>
      <c r="K23" s="14" t="s">
        <v>20</v>
      </c>
      <c r="L23" s="14" t="s">
        <v>108</v>
      </c>
      <c r="M23" s="14" t="s">
        <v>1214</v>
      </c>
      <c r="N23" s="14" t="s">
        <v>87</v>
      </c>
      <c r="O23" s="15" t="s">
        <v>88</v>
      </c>
      <c r="P23" s="15" t="s">
        <v>89</v>
      </c>
      <c r="Q23" s="17" t="s">
        <v>90</v>
      </c>
      <c r="R23" s="17"/>
      <c r="S23" s="15" t="s">
        <v>2825</v>
      </c>
    </row>
    <row r="24" customFormat="false" ht="22.35" hidden="false" customHeight="false" outlineLevel="0" collapsed="false">
      <c r="A24" s="14" t="s">
        <v>2826</v>
      </c>
      <c r="B24" s="15" t="s">
        <v>2096</v>
      </c>
      <c r="C24" s="15" t="s">
        <v>2096</v>
      </c>
      <c r="D24" s="15" t="s">
        <v>2820</v>
      </c>
      <c r="E24" s="15" t="s">
        <v>2194</v>
      </c>
      <c r="F24" s="15" t="s">
        <v>2195</v>
      </c>
      <c r="G24" s="15" t="s">
        <v>510</v>
      </c>
      <c r="H24" s="15" t="s">
        <v>2196</v>
      </c>
      <c r="I24" s="15" t="s">
        <v>2197</v>
      </c>
      <c r="J24" s="16"/>
      <c r="K24" s="14" t="s">
        <v>19</v>
      </c>
      <c r="L24" s="14" t="s">
        <v>86</v>
      </c>
      <c r="M24" s="14" t="s">
        <v>1214</v>
      </c>
      <c r="N24" s="14" t="s">
        <v>87</v>
      </c>
      <c r="O24" s="15" t="s">
        <v>88</v>
      </c>
      <c r="P24" s="15" t="s">
        <v>89</v>
      </c>
      <c r="Q24" s="17" t="s">
        <v>90</v>
      </c>
      <c r="R24" s="17"/>
      <c r="S24" s="15" t="s">
        <v>1215</v>
      </c>
    </row>
    <row r="25" customFormat="false" ht="22.35" hidden="false" customHeight="false" outlineLevel="0" collapsed="false">
      <c r="A25" s="14" t="s">
        <v>2827</v>
      </c>
      <c r="B25" s="15" t="s">
        <v>2096</v>
      </c>
      <c r="C25" s="15" t="s">
        <v>2096</v>
      </c>
      <c r="D25" s="15" t="s">
        <v>2820</v>
      </c>
      <c r="E25" s="15" t="s">
        <v>2200</v>
      </c>
      <c r="F25" s="15" t="s">
        <v>2201</v>
      </c>
      <c r="G25" s="15" t="s">
        <v>510</v>
      </c>
      <c r="H25" s="15" t="s">
        <v>1680</v>
      </c>
      <c r="I25" s="15" t="s">
        <v>2202</v>
      </c>
      <c r="J25" s="16"/>
      <c r="K25" s="14" t="s">
        <v>19</v>
      </c>
      <c r="L25" s="14" t="s">
        <v>86</v>
      </c>
      <c r="M25" s="14" t="s">
        <v>1214</v>
      </c>
      <c r="N25" s="14" t="s">
        <v>87</v>
      </c>
      <c r="O25" s="15" t="s">
        <v>88</v>
      </c>
      <c r="P25" s="15" t="s">
        <v>89</v>
      </c>
      <c r="Q25" s="17" t="s">
        <v>90</v>
      </c>
      <c r="R25" s="17"/>
      <c r="S25" s="15" t="s">
        <v>2828</v>
      </c>
    </row>
    <row r="26" customFormat="false" ht="22.35" hidden="false" customHeight="false" outlineLevel="0" collapsed="false">
      <c r="A26" s="14" t="s">
        <v>2829</v>
      </c>
      <c r="B26" s="15" t="s">
        <v>2096</v>
      </c>
      <c r="C26" s="15" t="s">
        <v>2096</v>
      </c>
      <c r="D26" s="15" t="s">
        <v>2820</v>
      </c>
      <c r="E26" s="15" t="s">
        <v>2205</v>
      </c>
      <c r="F26" s="15" t="s">
        <v>2206</v>
      </c>
      <c r="G26" s="15" t="s">
        <v>510</v>
      </c>
      <c r="H26" s="15" t="s">
        <v>1680</v>
      </c>
      <c r="I26" s="15" t="s">
        <v>2207</v>
      </c>
      <c r="J26" s="16"/>
      <c r="K26" s="14" t="s">
        <v>19</v>
      </c>
      <c r="L26" s="14" t="s">
        <v>86</v>
      </c>
      <c r="M26" s="14" t="s">
        <v>1214</v>
      </c>
      <c r="N26" s="14" t="s">
        <v>87</v>
      </c>
      <c r="O26" s="15" t="s">
        <v>88</v>
      </c>
      <c r="P26" s="15" t="s">
        <v>89</v>
      </c>
      <c r="Q26" s="17" t="s">
        <v>90</v>
      </c>
      <c r="R26" s="17"/>
      <c r="S26" s="15" t="s">
        <v>1215</v>
      </c>
    </row>
    <row r="27" customFormat="false" ht="22.35" hidden="false" customHeight="false" outlineLevel="0" collapsed="false">
      <c r="A27" s="14" t="s">
        <v>2830</v>
      </c>
      <c r="B27" s="15" t="s">
        <v>2096</v>
      </c>
      <c r="C27" s="15" t="s">
        <v>2096</v>
      </c>
      <c r="D27" s="15" t="s">
        <v>2820</v>
      </c>
      <c r="E27" s="15" t="s">
        <v>2210</v>
      </c>
      <c r="F27" s="15" t="s">
        <v>2211</v>
      </c>
      <c r="G27" s="15" t="s">
        <v>510</v>
      </c>
      <c r="H27" s="15" t="s">
        <v>2212</v>
      </c>
      <c r="I27" s="15" t="s">
        <v>2213</v>
      </c>
      <c r="J27" s="16"/>
      <c r="K27" s="14" t="s">
        <v>19</v>
      </c>
      <c r="L27" s="14" t="s">
        <v>86</v>
      </c>
      <c r="M27" s="14" t="s">
        <v>1214</v>
      </c>
      <c r="N27" s="14" t="s">
        <v>87</v>
      </c>
      <c r="O27" s="15" t="s">
        <v>88</v>
      </c>
      <c r="P27" s="15" t="s">
        <v>89</v>
      </c>
      <c r="Q27" s="17" t="s">
        <v>90</v>
      </c>
      <c r="R27" s="17"/>
      <c r="S27" s="15" t="s">
        <v>2831</v>
      </c>
    </row>
    <row r="28" customFormat="false" ht="22.35" hidden="false" customHeight="false" outlineLevel="0" collapsed="false">
      <c r="A28" s="14" t="s">
        <v>2832</v>
      </c>
      <c r="B28" s="15" t="s">
        <v>2096</v>
      </c>
      <c r="C28" s="15" t="s">
        <v>2096</v>
      </c>
      <c r="D28" s="15" t="s">
        <v>2820</v>
      </c>
      <c r="E28" s="15" t="s">
        <v>2833</v>
      </c>
      <c r="F28" s="15" t="s">
        <v>2834</v>
      </c>
      <c r="G28" s="15" t="s">
        <v>510</v>
      </c>
      <c r="H28" s="15" t="s">
        <v>1680</v>
      </c>
      <c r="I28" s="15" t="s">
        <v>2835</v>
      </c>
      <c r="J28" s="16"/>
      <c r="K28" s="14" t="s">
        <v>20</v>
      </c>
      <c r="L28" s="14" t="s">
        <v>108</v>
      </c>
      <c r="M28" s="14" t="s">
        <v>1214</v>
      </c>
      <c r="N28" s="14" t="s">
        <v>87</v>
      </c>
      <c r="O28" s="15" t="s">
        <v>88</v>
      </c>
      <c r="P28" s="15" t="s">
        <v>89</v>
      </c>
      <c r="Q28" s="17" t="s">
        <v>90</v>
      </c>
      <c r="R28" s="17"/>
      <c r="S28" s="15" t="s">
        <v>2836</v>
      </c>
    </row>
    <row r="29" customFormat="false" ht="22.35" hidden="false" customHeight="false" outlineLevel="0" collapsed="false">
      <c r="A29" s="14" t="s">
        <v>2837</v>
      </c>
      <c r="B29" s="15" t="s">
        <v>2096</v>
      </c>
      <c r="C29" s="15" t="s">
        <v>2096</v>
      </c>
      <c r="D29" s="15" t="s">
        <v>2838</v>
      </c>
      <c r="E29" s="15" t="s">
        <v>2217</v>
      </c>
      <c r="F29" s="15" t="s">
        <v>2218</v>
      </c>
      <c r="G29" s="15" t="s">
        <v>510</v>
      </c>
      <c r="H29" s="15" t="s">
        <v>2219</v>
      </c>
      <c r="I29" s="15" t="s">
        <v>2129</v>
      </c>
      <c r="J29" s="16"/>
      <c r="K29" s="14" t="s">
        <v>19</v>
      </c>
      <c r="L29" s="14" t="s">
        <v>86</v>
      </c>
      <c r="M29" s="14" t="s">
        <v>1214</v>
      </c>
      <c r="N29" s="14" t="s">
        <v>87</v>
      </c>
      <c r="O29" s="15" t="s">
        <v>88</v>
      </c>
      <c r="P29" s="15" t="s">
        <v>89</v>
      </c>
      <c r="Q29" s="17" t="s">
        <v>90</v>
      </c>
      <c r="R29" s="17"/>
      <c r="S29" s="15" t="s">
        <v>1215</v>
      </c>
    </row>
    <row r="30" customFormat="false" ht="22.35" hidden="false" customHeight="false" outlineLevel="0" collapsed="false">
      <c r="A30" s="14" t="s">
        <v>2839</v>
      </c>
      <c r="B30" s="15" t="s">
        <v>2096</v>
      </c>
      <c r="C30" s="15" t="s">
        <v>2096</v>
      </c>
      <c r="D30" s="15" t="s">
        <v>2840</v>
      </c>
      <c r="E30" s="15" t="s">
        <v>2223</v>
      </c>
      <c r="F30" s="15" t="s">
        <v>2224</v>
      </c>
      <c r="G30" s="15" t="s">
        <v>510</v>
      </c>
      <c r="H30" s="15" t="s">
        <v>2225</v>
      </c>
      <c r="I30" s="15" t="s">
        <v>2226</v>
      </c>
      <c r="J30" s="16"/>
      <c r="K30" s="14" t="s">
        <v>19</v>
      </c>
      <c r="L30" s="14" t="s">
        <v>86</v>
      </c>
      <c r="M30" s="14" t="s">
        <v>1214</v>
      </c>
      <c r="N30" s="14" t="s">
        <v>87</v>
      </c>
      <c r="O30" s="15" t="s">
        <v>88</v>
      </c>
      <c r="P30" s="15" t="s">
        <v>89</v>
      </c>
      <c r="Q30" s="17" t="s">
        <v>90</v>
      </c>
      <c r="R30" s="17"/>
      <c r="S30" s="15" t="s">
        <v>1215</v>
      </c>
    </row>
    <row r="31" customFormat="false" ht="22.35" hidden="false" customHeight="false" outlineLevel="0" collapsed="false">
      <c r="A31" s="14" t="s">
        <v>2841</v>
      </c>
      <c r="B31" s="15" t="s">
        <v>2096</v>
      </c>
      <c r="C31" s="15" t="s">
        <v>2096</v>
      </c>
      <c r="D31" s="15" t="s">
        <v>2842</v>
      </c>
      <c r="E31" s="15" t="s">
        <v>2230</v>
      </c>
      <c r="F31" s="15" t="s">
        <v>2231</v>
      </c>
      <c r="G31" s="15" t="s">
        <v>510</v>
      </c>
      <c r="H31" s="15" t="s">
        <v>2219</v>
      </c>
      <c r="I31" s="15" t="s">
        <v>2232</v>
      </c>
      <c r="J31" s="16"/>
      <c r="K31" s="14" t="s">
        <v>19</v>
      </c>
      <c r="L31" s="14" t="s">
        <v>86</v>
      </c>
      <c r="M31" s="14" t="s">
        <v>1214</v>
      </c>
      <c r="N31" s="14" t="s">
        <v>87</v>
      </c>
      <c r="O31" s="15" t="s">
        <v>88</v>
      </c>
      <c r="P31" s="15" t="s">
        <v>89</v>
      </c>
      <c r="Q31" s="17" t="s">
        <v>90</v>
      </c>
      <c r="R31" s="17"/>
      <c r="S31" s="15" t="s">
        <v>1215</v>
      </c>
    </row>
  </sheetData>
  <autoFilter ref="A1:S31"/>
  <conditionalFormatting sqref="K2:K31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31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31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31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31" type="list">
      <formula1>"P0,P1,P2,P3"</formula1>
      <formula2>0</formula2>
    </dataValidation>
    <dataValidation allowBlank="false" errorStyle="stop" operator="between" showDropDown="false" showErrorMessage="false" showInputMessage="false" sqref="L2:L31" type="list">
      <formula1>"Critical,High,Medium,Low"</formula1>
      <formula2>0</formula2>
    </dataValidation>
    <dataValidation allowBlank="false" errorStyle="stop" operator="between" showDropDown="false" showErrorMessage="false" showInputMessage="false" sqref="N2:N31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22.35" hidden="false" customHeight="false" outlineLevel="0" collapsed="false">
      <c r="A2" s="14" t="s">
        <v>2843</v>
      </c>
      <c r="B2" s="15" t="s">
        <v>2236</v>
      </c>
      <c r="C2" s="15" t="s">
        <v>2236</v>
      </c>
      <c r="D2" s="15" t="s">
        <v>2844</v>
      </c>
      <c r="E2" s="15" t="s">
        <v>2238</v>
      </c>
      <c r="F2" s="15" t="s">
        <v>2239</v>
      </c>
      <c r="G2" s="15" t="s">
        <v>2240</v>
      </c>
      <c r="H2" s="15" t="s">
        <v>2241</v>
      </c>
      <c r="I2" s="15" t="s">
        <v>2242</v>
      </c>
      <c r="J2" s="16"/>
      <c r="K2" s="14" t="s">
        <v>19</v>
      </c>
      <c r="L2" s="14" t="s">
        <v>86</v>
      </c>
      <c r="M2" s="14" t="s">
        <v>254</v>
      </c>
      <c r="N2" s="14" t="s">
        <v>87</v>
      </c>
      <c r="O2" s="15" t="s">
        <v>88</v>
      </c>
      <c r="P2" s="15" t="s">
        <v>398</v>
      </c>
      <c r="Q2" s="17" t="s">
        <v>90</v>
      </c>
      <c r="R2" s="17"/>
      <c r="S2" s="15" t="s">
        <v>156</v>
      </c>
    </row>
    <row r="3" customFormat="false" ht="22.35" hidden="false" customHeight="false" outlineLevel="0" collapsed="false">
      <c r="A3" s="14" t="s">
        <v>2845</v>
      </c>
      <c r="B3" s="15" t="s">
        <v>2236</v>
      </c>
      <c r="C3" s="15" t="s">
        <v>2236</v>
      </c>
      <c r="D3" s="15" t="s">
        <v>2846</v>
      </c>
      <c r="E3" s="15" t="s">
        <v>2246</v>
      </c>
      <c r="F3" s="15" t="s">
        <v>2247</v>
      </c>
      <c r="G3" s="15" t="s">
        <v>2240</v>
      </c>
      <c r="H3" s="15" t="s">
        <v>2248</v>
      </c>
      <c r="I3" s="15" t="s">
        <v>2249</v>
      </c>
      <c r="J3" s="16"/>
      <c r="K3" s="14" t="s">
        <v>19</v>
      </c>
      <c r="L3" s="14" t="s">
        <v>86</v>
      </c>
      <c r="M3" s="14" t="s">
        <v>254</v>
      </c>
      <c r="N3" s="14" t="s">
        <v>87</v>
      </c>
      <c r="O3" s="15" t="s">
        <v>88</v>
      </c>
      <c r="P3" s="15" t="s">
        <v>398</v>
      </c>
      <c r="Q3" s="17" t="s">
        <v>90</v>
      </c>
      <c r="R3" s="17"/>
      <c r="S3" s="15" t="s">
        <v>1571</v>
      </c>
    </row>
    <row r="4" customFormat="false" ht="22.35" hidden="false" customHeight="false" outlineLevel="0" collapsed="false">
      <c r="A4" s="14" t="s">
        <v>2847</v>
      </c>
      <c r="B4" s="15" t="s">
        <v>2236</v>
      </c>
      <c r="C4" s="15" t="s">
        <v>2236</v>
      </c>
      <c r="D4" s="15" t="s">
        <v>2848</v>
      </c>
      <c r="E4" s="15" t="s">
        <v>2253</v>
      </c>
      <c r="F4" s="15" t="s">
        <v>2254</v>
      </c>
      <c r="G4" s="15" t="s">
        <v>2240</v>
      </c>
      <c r="H4" s="15" t="s">
        <v>1421</v>
      </c>
      <c r="I4" s="15" t="s">
        <v>2255</v>
      </c>
      <c r="J4" s="16"/>
      <c r="K4" s="14" t="s">
        <v>19</v>
      </c>
      <c r="L4" s="14" t="s">
        <v>86</v>
      </c>
      <c r="M4" s="14" t="s">
        <v>254</v>
      </c>
      <c r="N4" s="14" t="s">
        <v>87</v>
      </c>
      <c r="O4" s="15" t="s">
        <v>88</v>
      </c>
      <c r="P4" s="15" t="s">
        <v>398</v>
      </c>
      <c r="Q4" s="17" t="s">
        <v>90</v>
      </c>
      <c r="R4" s="17"/>
      <c r="S4" s="15" t="s">
        <v>156</v>
      </c>
    </row>
    <row r="5" customFormat="false" ht="22.35" hidden="false" customHeight="false" outlineLevel="0" collapsed="false">
      <c r="A5" s="14" t="s">
        <v>2849</v>
      </c>
      <c r="B5" s="15" t="s">
        <v>2236</v>
      </c>
      <c r="C5" s="15" t="s">
        <v>2236</v>
      </c>
      <c r="D5" s="15" t="s">
        <v>2259</v>
      </c>
      <c r="E5" s="15" t="s">
        <v>2259</v>
      </c>
      <c r="F5" s="15" t="s">
        <v>2260</v>
      </c>
      <c r="G5" s="15" t="s">
        <v>2240</v>
      </c>
      <c r="H5" s="15" t="s">
        <v>2261</v>
      </c>
      <c r="I5" s="15" t="s">
        <v>2262</v>
      </c>
      <c r="J5" s="16"/>
      <c r="K5" s="14" t="s">
        <v>19</v>
      </c>
      <c r="L5" s="14" t="s">
        <v>86</v>
      </c>
      <c r="M5" s="14" t="s">
        <v>254</v>
      </c>
      <c r="N5" s="14" t="s">
        <v>87</v>
      </c>
      <c r="O5" s="15" t="s">
        <v>88</v>
      </c>
      <c r="P5" s="15" t="s">
        <v>398</v>
      </c>
      <c r="Q5" s="17" t="s">
        <v>90</v>
      </c>
      <c r="R5" s="17"/>
      <c r="S5" s="15" t="s">
        <v>537</v>
      </c>
    </row>
    <row r="6" customFormat="false" ht="32.8" hidden="false" customHeight="false" outlineLevel="0" collapsed="false">
      <c r="A6" s="14" t="s">
        <v>2850</v>
      </c>
      <c r="B6" s="15" t="s">
        <v>2236</v>
      </c>
      <c r="C6" s="15" t="s">
        <v>2236</v>
      </c>
      <c r="D6" s="15" t="s">
        <v>2266</v>
      </c>
      <c r="E6" s="15" t="s">
        <v>2266</v>
      </c>
      <c r="F6" s="15" t="s">
        <v>2267</v>
      </c>
      <c r="G6" s="15" t="s">
        <v>2240</v>
      </c>
      <c r="H6" s="15" t="s">
        <v>2268</v>
      </c>
      <c r="I6" s="15" t="s">
        <v>2269</v>
      </c>
      <c r="J6" s="16"/>
      <c r="K6" s="14" t="s">
        <v>19</v>
      </c>
      <c r="L6" s="14" t="s">
        <v>86</v>
      </c>
      <c r="M6" s="14" t="s">
        <v>254</v>
      </c>
      <c r="N6" s="14" t="s">
        <v>87</v>
      </c>
      <c r="O6" s="15" t="s">
        <v>88</v>
      </c>
      <c r="P6" s="15" t="s">
        <v>398</v>
      </c>
      <c r="Q6" s="17" t="s">
        <v>90</v>
      </c>
      <c r="R6" s="17"/>
      <c r="S6" s="15" t="s">
        <v>2851</v>
      </c>
    </row>
    <row r="7" customFormat="false" ht="22.35" hidden="false" customHeight="false" outlineLevel="0" collapsed="false">
      <c r="A7" s="14" t="s">
        <v>2852</v>
      </c>
      <c r="B7" s="15" t="s">
        <v>2236</v>
      </c>
      <c r="C7" s="15" t="s">
        <v>2236</v>
      </c>
      <c r="D7" s="15" t="s">
        <v>2853</v>
      </c>
      <c r="E7" s="15" t="s">
        <v>2273</v>
      </c>
      <c r="F7" s="15" t="s">
        <v>1127</v>
      </c>
      <c r="G7" s="15" t="s">
        <v>2240</v>
      </c>
      <c r="H7" s="15" t="s">
        <v>2274</v>
      </c>
      <c r="I7" s="15" t="s">
        <v>2275</v>
      </c>
      <c r="J7" s="16"/>
      <c r="K7" s="14" t="s">
        <v>19</v>
      </c>
      <c r="L7" s="14" t="s">
        <v>86</v>
      </c>
      <c r="M7" s="14" t="s">
        <v>254</v>
      </c>
      <c r="N7" s="14" t="s">
        <v>87</v>
      </c>
      <c r="O7" s="15" t="s">
        <v>88</v>
      </c>
      <c r="P7" s="15" t="s">
        <v>398</v>
      </c>
      <c r="Q7" s="17" t="s">
        <v>90</v>
      </c>
      <c r="R7" s="17"/>
      <c r="S7" s="15" t="s">
        <v>1200</v>
      </c>
    </row>
    <row r="8" customFormat="false" ht="22.35" hidden="false" customHeight="false" outlineLevel="0" collapsed="false">
      <c r="A8" s="14" t="s">
        <v>2854</v>
      </c>
      <c r="B8" s="15" t="s">
        <v>2236</v>
      </c>
      <c r="C8" s="15" t="s">
        <v>2236</v>
      </c>
      <c r="D8" s="15" t="s">
        <v>2855</v>
      </c>
      <c r="E8" s="15" t="s">
        <v>2279</v>
      </c>
      <c r="F8" s="15" t="s">
        <v>2280</v>
      </c>
      <c r="G8" s="15" t="s">
        <v>2240</v>
      </c>
      <c r="H8" s="15" t="s">
        <v>2281</v>
      </c>
      <c r="I8" s="15" t="s">
        <v>2282</v>
      </c>
      <c r="J8" s="16"/>
      <c r="K8" s="14" t="s">
        <v>19</v>
      </c>
      <c r="L8" s="14" t="s">
        <v>86</v>
      </c>
      <c r="M8" s="14" t="s">
        <v>254</v>
      </c>
      <c r="N8" s="14" t="s">
        <v>87</v>
      </c>
      <c r="O8" s="15" t="s">
        <v>88</v>
      </c>
      <c r="P8" s="15" t="s">
        <v>398</v>
      </c>
      <c r="Q8" s="17" t="s">
        <v>90</v>
      </c>
      <c r="R8" s="17"/>
      <c r="S8" s="15" t="s">
        <v>156</v>
      </c>
    </row>
    <row r="9" customFormat="false" ht="22.35" hidden="false" customHeight="false" outlineLevel="0" collapsed="false">
      <c r="A9" s="14" t="s">
        <v>2856</v>
      </c>
      <c r="B9" s="15" t="s">
        <v>2236</v>
      </c>
      <c r="C9" s="15" t="s">
        <v>2236</v>
      </c>
      <c r="D9" s="15" t="s">
        <v>2855</v>
      </c>
      <c r="E9" s="15" t="s">
        <v>2285</v>
      </c>
      <c r="F9" s="15" t="s">
        <v>2286</v>
      </c>
      <c r="G9" s="15" t="s">
        <v>2240</v>
      </c>
      <c r="H9" s="15" t="s">
        <v>2287</v>
      </c>
      <c r="I9" s="15" t="s">
        <v>2288</v>
      </c>
      <c r="J9" s="16"/>
      <c r="K9" s="14" t="s">
        <v>19</v>
      </c>
      <c r="L9" s="14" t="s">
        <v>86</v>
      </c>
      <c r="M9" s="14" t="s">
        <v>254</v>
      </c>
      <c r="N9" s="14" t="s">
        <v>87</v>
      </c>
      <c r="O9" s="15" t="s">
        <v>88</v>
      </c>
      <c r="P9" s="15" t="s">
        <v>398</v>
      </c>
      <c r="Q9" s="17" t="s">
        <v>90</v>
      </c>
      <c r="R9" s="17"/>
      <c r="S9" s="15" t="s">
        <v>156</v>
      </c>
    </row>
    <row r="10" customFormat="false" ht="22.35" hidden="false" customHeight="false" outlineLevel="0" collapsed="false">
      <c r="A10" s="14" t="s">
        <v>2857</v>
      </c>
      <c r="B10" s="15" t="s">
        <v>2236</v>
      </c>
      <c r="C10" s="15" t="s">
        <v>2236</v>
      </c>
      <c r="D10" s="15" t="s">
        <v>2858</v>
      </c>
      <c r="E10" s="15" t="s">
        <v>2292</v>
      </c>
      <c r="F10" s="15" t="s">
        <v>2293</v>
      </c>
      <c r="G10" s="15" t="s">
        <v>2240</v>
      </c>
      <c r="H10" s="15" t="s">
        <v>2294</v>
      </c>
      <c r="I10" s="15" t="s">
        <v>2295</v>
      </c>
      <c r="J10" s="16"/>
      <c r="K10" s="14" t="s">
        <v>19</v>
      </c>
      <c r="L10" s="14" t="s">
        <v>86</v>
      </c>
      <c r="M10" s="14" t="s">
        <v>254</v>
      </c>
      <c r="N10" s="14" t="s">
        <v>87</v>
      </c>
      <c r="O10" s="15" t="s">
        <v>88</v>
      </c>
      <c r="P10" s="15" t="s">
        <v>398</v>
      </c>
      <c r="Q10" s="17" t="s">
        <v>90</v>
      </c>
      <c r="R10" s="17"/>
      <c r="S10" s="15" t="s">
        <v>156</v>
      </c>
    </row>
    <row r="11" customFormat="false" ht="22.35" hidden="false" customHeight="false" outlineLevel="0" collapsed="false">
      <c r="A11" s="14" t="s">
        <v>2859</v>
      </c>
      <c r="B11" s="15" t="s">
        <v>2236</v>
      </c>
      <c r="C11" s="15" t="s">
        <v>2236</v>
      </c>
      <c r="D11" s="15" t="s">
        <v>2860</v>
      </c>
      <c r="E11" s="15" t="s">
        <v>2299</v>
      </c>
      <c r="F11" s="15" t="s">
        <v>2300</v>
      </c>
      <c r="G11" s="15" t="s">
        <v>2240</v>
      </c>
      <c r="H11" s="15" t="s">
        <v>2301</v>
      </c>
      <c r="I11" s="15" t="s">
        <v>2302</v>
      </c>
      <c r="J11" s="16"/>
      <c r="K11" s="14" t="s">
        <v>19</v>
      </c>
      <c r="L11" s="14" t="s">
        <v>86</v>
      </c>
      <c r="M11" s="14" t="s">
        <v>254</v>
      </c>
      <c r="N11" s="14" t="s">
        <v>87</v>
      </c>
      <c r="O11" s="15" t="s">
        <v>88</v>
      </c>
      <c r="P11" s="15" t="s">
        <v>398</v>
      </c>
      <c r="Q11" s="17" t="s">
        <v>90</v>
      </c>
      <c r="R11" s="17"/>
      <c r="S11" s="15" t="s">
        <v>474</v>
      </c>
    </row>
    <row r="12" customFormat="false" ht="22.35" hidden="false" customHeight="false" outlineLevel="0" collapsed="false">
      <c r="A12" s="14" t="s">
        <v>2861</v>
      </c>
      <c r="B12" s="15" t="s">
        <v>2236</v>
      </c>
      <c r="C12" s="15" t="s">
        <v>2236</v>
      </c>
      <c r="D12" s="15" t="s">
        <v>2860</v>
      </c>
      <c r="E12" s="15" t="s">
        <v>2305</v>
      </c>
      <c r="F12" s="15" t="s">
        <v>2306</v>
      </c>
      <c r="G12" s="15" t="s">
        <v>2240</v>
      </c>
      <c r="H12" s="15" t="s">
        <v>2307</v>
      </c>
      <c r="I12" s="15" t="s">
        <v>2308</v>
      </c>
      <c r="J12" s="16"/>
      <c r="K12" s="14" t="s">
        <v>19</v>
      </c>
      <c r="L12" s="14" t="s">
        <v>86</v>
      </c>
      <c r="M12" s="14" t="s">
        <v>254</v>
      </c>
      <c r="N12" s="14" t="s">
        <v>87</v>
      </c>
      <c r="O12" s="15" t="s">
        <v>88</v>
      </c>
      <c r="P12" s="15" t="s">
        <v>398</v>
      </c>
      <c r="Q12" s="17" t="s">
        <v>90</v>
      </c>
      <c r="R12" s="17"/>
      <c r="S12" s="15" t="s">
        <v>231</v>
      </c>
    </row>
    <row r="13" customFormat="false" ht="22.35" hidden="false" customHeight="false" outlineLevel="0" collapsed="false">
      <c r="A13" s="14" t="s">
        <v>2862</v>
      </c>
      <c r="B13" s="15" t="s">
        <v>2236</v>
      </c>
      <c r="C13" s="15" t="s">
        <v>2236</v>
      </c>
      <c r="D13" s="15" t="s">
        <v>2312</v>
      </c>
      <c r="E13" s="15" t="s">
        <v>2312</v>
      </c>
      <c r="F13" s="15" t="s">
        <v>2313</v>
      </c>
      <c r="G13" s="15" t="s">
        <v>2240</v>
      </c>
      <c r="H13" s="15" t="s">
        <v>2314</v>
      </c>
      <c r="I13" s="15" t="s">
        <v>2315</v>
      </c>
      <c r="J13" s="16"/>
      <c r="K13" s="14" t="s">
        <v>19</v>
      </c>
      <c r="L13" s="14" t="s">
        <v>86</v>
      </c>
      <c r="M13" s="14" t="s">
        <v>254</v>
      </c>
      <c r="N13" s="14" t="s">
        <v>87</v>
      </c>
      <c r="O13" s="15" t="s">
        <v>88</v>
      </c>
      <c r="P13" s="15" t="s">
        <v>398</v>
      </c>
      <c r="Q13" s="17" t="s">
        <v>90</v>
      </c>
      <c r="R13" s="17"/>
      <c r="S13" s="15" t="s">
        <v>201</v>
      </c>
    </row>
    <row r="14" customFormat="false" ht="22.35" hidden="false" customHeight="false" outlineLevel="0" collapsed="false">
      <c r="A14" s="14" t="s">
        <v>2863</v>
      </c>
      <c r="B14" s="15" t="s">
        <v>2236</v>
      </c>
      <c r="C14" s="15" t="s">
        <v>2236</v>
      </c>
      <c r="D14" s="15" t="s">
        <v>2319</v>
      </c>
      <c r="E14" s="15" t="s">
        <v>2319</v>
      </c>
      <c r="F14" s="15" t="s">
        <v>2320</v>
      </c>
      <c r="G14" s="15" t="s">
        <v>2240</v>
      </c>
      <c r="H14" s="15" t="s">
        <v>2321</v>
      </c>
      <c r="I14" s="15" t="s">
        <v>2322</v>
      </c>
      <c r="J14" s="16"/>
      <c r="K14" s="14" t="s">
        <v>19</v>
      </c>
      <c r="L14" s="14" t="s">
        <v>86</v>
      </c>
      <c r="M14" s="14" t="s">
        <v>254</v>
      </c>
      <c r="N14" s="14" t="s">
        <v>87</v>
      </c>
      <c r="O14" s="15" t="s">
        <v>88</v>
      </c>
      <c r="P14" s="15" t="s">
        <v>398</v>
      </c>
      <c r="Q14" s="17" t="s">
        <v>90</v>
      </c>
      <c r="R14" s="17"/>
      <c r="S14" s="15" t="s">
        <v>2864</v>
      </c>
    </row>
    <row r="15" customFormat="false" ht="22.35" hidden="false" customHeight="false" outlineLevel="0" collapsed="false">
      <c r="A15" s="14" t="s">
        <v>2865</v>
      </c>
      <c r="B15" s="15" t="s">
        <v>2236</v>
      </c>
      <c r="C15" s="15" t="s">
        <v>2236</v>
      </c>
      <c r="D15" s="15" t="s">
        <v>2326</v>
      </c>
      <c r="E15" s="15" t="s">
        <v>2326</v>
      </c>
      <c r="F15" s="15" t="s">
        <v>2327</v>
      </c>
      <c r="G15" s="15" t="s">
        <v>2240</v>
      </c>
      <c r="H15" s="15" t="s">
        <v>2321</v>
      </c>
      <c r="I15" s="15" t="s">
        <v>2328</v>
      </c>
      <c r="J15" s="16"/>
      <c r="K15" s="14" t="s">
        <v>19</v>
      </c>
      <c r="L15" s="14" t="s">
        <v>86</v>
      </c>
      <c r="M15" s="14" t="s">
        <v>254</v>
      </c>
      <c r="N15" s="14" t="s">
        <v>87</v>
      </c>
      <c r="O15" s="15" t="s">
        <v>88</v>
      </c>
      <c r="P15" s="15" t="s">
        <v>398</v>
      </c>
      <c r="Q15" s="17" t="s">
        <v>90</v>
      </c>
      <c r="R15" s="17"/>
      <c r="S15" s="15" t="s">
        <v>537</v>
      </c>
    </row>
    <row r="16" customFormat="false" ht="22.35" hidden="false" customHeight="false" outlineLevel="0" collapsed="false">
      <c r="A16" s="14" t="s">
        <v>2866</v>
      </c>
      <c r="B16" s="15" t="s">
        <v>2236</v>
      </c>
      <c r="C16" s="15" t="s">
        <v>2236</v>
      </c>
      <c r="D16" s="15" t="s">
        <v>2332</v>
      </c>
      <c r="E16" s="15" t="s">
        <v>2332</v>
      </c>
      <c r="F16" s="15" t="s">
        <v>2333</v>
      </c>
      <c r="G16" s="15" t="s">
        <v>2240</v>
      </c>
      <c r="H16" s="15" t="s">
        <v>2321</v>
      </c>
      <c r="I16" s="15" t="s">
        <v>2322</v>
      </c>
      <c r="J16" s="16"/>
      <c r="K16" s="14" t="s">
        <v>19</v>
      </c>
      <c r="L16" s="14" t="s">
        <v>86</v>
      </c>
      <c r="M16" s="14" t="s">
        <v>254</v>
      </c>
      <c r="N16" s="14" t="s">
        <v>87</v>
      </c>
      <c r="O16" s="15" t="s">
        <v>88</v>
      </c>
      <c r="P16" s="15" t="s">
        <v>398</v>
      </c>
      <c r="Q16" s="17" t="s">
        <v>90</v>
      </c>
      <c r="R16" s="17"/>
      <c r="S16" s="15" t="s">
        <v>474</v>
      </c>
    </row>
    <row r="17" customFormat="false" ht="22.35" hidden="false" customHeight="false" outlineLevel="0" collapsed="false">
      <c r="A17" s="14" t="s">
        <v>2867</v>
      </c>
      <c r="B17" s="15" t="s">
        <v>2236</v>
      </c>
      <c r="C17" s="15" t="s">
        <v>2236</v>
      </c>
      <c r="D17" s="15" t="s">
        <v>2337</v>
      </c>
      <c r="E17" s="15" t="s">
        <v>2337</v>
      </c>
      <c r="F17" s="15" t="s">
        <v>2338</v>
      </c>
      <c r="G17" s="15" t="s">
        <v>2240</v>
      </c>
      <c r="H17" s="15" t="s">
        <v>2339</v>
      </c>
      <c r="I17" s="15" t="s">
        <v>2340</v>
      </c>
      <c r="J17" s="16"/>
      <c r="K17" s="14" t="s">
        <v>19</v>
      </c>
      <c r="L17" s="14" t="s">
        <v>86</v>
      </c>
      <c r="M17" s="14" t="s">
        <v>254</v>
      </c>
      <c r="N17" s="14" t="s">
        <v>87</v>
      </c>
      <c r="O17" s="15" t="s">
        <v>88</v>
      </c>
      <c r="P17" s="15" t="s">
        <v>398</v>
      </c>
      <c r="Q17" s="17" t="s">
        <v>90</v>
      </c>
      <c r="R17" s="17"/>
      <c r="S17" s="15" t="s">
        <v>231</v>
      </c>
    </row>
    <row r="18" customFormat="false" ht="22.35" hidden="false" customHeight="false" outlineLevel="0" collapsed="false">
      <c r="A18" s="14" t="s">
        <v>2868</v>
      </c>
      <c r="B18" s="15" t="s">
        <v>2236</v>
      </c>
      <c r="C18" s="15" t="s">
        <v>2236</v>
      </c>
      <c r="D18" s="15" t="s">
        <v>2869</v>
      </c>
      <c r="E18" s="15" t="s">
        <v>2344</v>
      </c>
      <c r="F18" s="15" t="s">
        <v>2345</v>
      </c>
      <c r="G18" s="15" t="s">
        <v>2240</v>
      </c>
      <c r="H18" s="15" t="s">
        <v>2346</v>
      </c>
      <c r="I18" s="15" t="s">
        <v>2347</v>
      </c>
      <c r="J18" s="16"/>
      <c r="K18" s="14" t="s">
        <v>19</v>
      </c>
      <c r="L18" s="14" t="s">
        <v>86</v>
      </c>
      <c r="M18" s="14" t="s">
        <v>254</v>
      </c>
      <c r="N18" s="14" t="s">
        <v>87</v>
      </c>
      <c r="O18" s="15" t="s">
        <v>88</v>
      </c>
      <c r="P18" s="15" t="s">
        <v>398</v>
      </c>
      <c r="Q18" s="17" t="s">
        <v>90</v>
      </c>
      <c r="R18" s="17"/>
      <c r="S18" s="15" t="s">
        <v>156</v>
      </c>
    </row>
    <row r="19" customFormat="false" ht="22.35" hidden="false" customHeight="false" outlineLevel="0" collapsed="false">
      <c r="A19" s="14" t="s">
        <v>2870</v>
      </c>
      <c r="B19" s="15" t="s">
        <v>2236</v>
      </c>
      <c r="C19" s="15" t="s">
        <v>2236</v>
      </c>
      <c r="D19" s="15" t="s">
        <v>2869</v>
      </c>
      <c r="E19" s="15" t="s">
        <v>2350</v>
      </c>
      <c r="F19" s="15" t="s">
        <v>2351</v>
      </c>
      <c r="G19" s="15" t="s">
        <v>2240</v>
      </c>
      <c r="H19" s="15" t="s">
        <v>2352</v>
      </c>
      <c r="I19" s="15" t="s">
        <v>2353</v>
      </c>
      <c r="J19" s="16"/>
      <c r="K19" s="14" t="s">
        <v>19</v>
      </c>
      <c r="L19" s="14" t="s">
        <v>86</v>
      </c>
      <c r="M19" s="14" t="s">
        <v>254</v>
      </c>
      <c r="N19" s="14" t="s">
        <v>87</v>
      </c>
      <c r="O19" s="15" t="s">
        <v>88</v>
      </c>
      <c r="P19" s="15" t="s">
        <v>398</v>
      </c>
      <c r="Q19" s="17" t="s">
        <v>90</v>
      </c>
      <c r="R19" s="17"/>
      <c r="S19" s="15" t="s">
        <v>156</v>
      </c>
    </row>
    <row r="20" customFormat="false" ht="22.35" hidden="false" customHeight="false" outlineLevel="0" collapsed="false">
      <c r="A20" s="14" t="s">
        <v>2871</v>
      </c>
      <c r="B20" s="15" t="s">
        <v>2236</v>
      </c>
      <c r="C20" s="15" t="s">
        <v>2236</v>
      </c>
      <c r="D20" s="15" t="s">
        <v>2872</v>
      </c>
      <c r="E20" s="15" t="s">
        <v>2357</v>
      </c>
      <c r="F20" s="15" t="s">
        <v>2358</v>
      </c>
      <c r="G20" s="15" t="s">
        <v>2240</v>
      </c>
      <c r="H20" s="15" t="s">
        <v>2359</v>
      </c>
      <c r="I20" s="15" t="s">
        <v>2360</v>
      </c>
      <c r="J20" s="16"/>
      <c r="K20" s="14" t="s">
        <v>19</v>
      </c>
      <c r="L20" s="14" t="s">
        <v>86</v>
      </c>
      <c r="M20" s="14" t="s">
        <v>254</v>
      </c>
      <c r="N20" s="14" t="s">
        <v>109</v>
      </c>
      <c r="O20" s="15" t="s">
        <v>88</v>
      </c>
      <c r="P20" s="15" t="s">
        <v>398</v>
      </c>
      <c r="Q20" s="17" t="s">
        <v>90</v>
      </c>
      <c r="R20" s="17"/>
      <c r="S20" s="15" t="s">
        <v>156</v>
      </c>
    </row>
    <row r="21" customFormat="false" ht="22.35" hidden="false" customHeight="false" outlineLevel="0" collapsed="false">
      <c r="A21" s="14" t="s">
        <v>2873</v>
      </c>
      <c r="B21" s="15" t="s">
        <v>2236</v>
      </c>
      <c r="C21" s="15" t="s">
        <v>2236</v>
      </c>
      <c r="D21" s="15" t="s">
        <v>2872</v>
      </c>
      <c r="E21" s="15" t="s">
        <v>2363</v>
      </c>
      <c r="F21" s="15" t="s">
        <v>2364</v>
      </c>
      <c r="G21" s="15" t="s">
        <v>2240</v>
      </c>
      <c r="H21" s="15" t="s">
        <v>2365</v>
      </c>
      <c r="I21" s="15" t="s">
        <v>2366</v>
      </c>
      <c r="J21" s="16"/>
      <c r="K21" s="14" t="s">
        <v>19</v>
      </c>
      <c r="L21" s="14" t="s">
        <v>86</v>
      </c>
      <c r="M21" s="14" t="s">
        <v>254</v>
      </c>
      <c r="N21" s="14" t="s">
        <v>109</v>
      </c>
      <c r="O21" s="15" t="s">
        <v>88</v>
      </c>
      <c r="P21" s="15" t="s">
        <v>398</v>
      </c>
      <c r="Q21" s="17" t="s">
        <v>90</v>
      </c>
      <c r="R21" s="17"/>
      <c r="S21" s="15" t="s">
        <v>680</v>
      </c>
    </row>
    <row r="22" customFormat="false" ht="22.35" hidden="false" customHeight="false" outlineLevel="0" collapsed="false">
      <c r="A22" s="14" t="s">
        <v>2874</v>
      </c>
      <c r="B22" s="15" t="s">
        <v>2236</v>
      </c>
      <c r="C22" s="15" t="s">
        <v>2236</v>
      </c>
      <c r="D22" s="15" t="s">
        <v>2370</v>
      </c>
      <c r="E22" s="15" t="s">
        <v>2370</v>
      </c>
      <c r="F22" s="15" t="s">
        <v>2371</v>
      </c>
      <c r="G22" s="15" t="s">
        <v>2240</v>
      </c>
      <c r="H22" s="15" t="s">
        <v>2365</v>
      </c>
      <c r="I22" s="15" t="s">
        <v>2372</v>
      </c>
      <c r="J22" s="16"/>
      <c r="K22" s="14" t="s">
        <v>19</v>
      </c>
      <c r="L22" s="14" t="s">
        <v>86</v>
      </c>
      <c r="M22" s="14" t="s">
        <v>254</v>
      </c>
      <c r="N22" s="14" t="s">
        <v>87</v>
      </c>
      <c r="O22" s="15" t="s">
        <v>88</v>
      </c>
      <c r="P22" s="15" t="s">
        <v>398</v>
      </c>
      <c r="Q22" s="17" t="s">
        <v>90</v>
      </c>
      <c r="R22" s="17"/>
      <c r="S22" s="15" t="s">
        <v>156</v>
      </c>
    </row>
    <row r="23" customFormat="false" ht="22.35" hidden="false" customHeight="false" outlineLevel="0" collapsed="false">
      <c r="A23" s="14" t="s">
        <v>2875</v>
      </c>
      <c r="B23" s="15" t="s">
        <v>2236</v>
      </c>
      <c r="C23" s="15" t="s">
        <v>2236</v>
      </c>
      <c r="D23" s="15" t="s">
        <v>2876</v>
      </c>
      <c r="E23" s="15" t="s">
        <v>2376</v>
      </c>
      <c r="F23" s="15" t="s">
        <v>2377</v>
      </c>
      <c r="G23" s="15" t="s">
        <v>2240</v>
      </c>
      <c r="H23" s="15" t="s">
        <v>2378</v>
      </c>
      <c r="I23" s="15" t="s">
        <v>2379</v>
      </c>
      <c r="J23" s="16"/>
      <c r="K23" s="14" t="s">
        <v>19</v>
      </c>
      <c r="L23" s="14" t="s">
        <v>86</v>
      </c>
      <c r="M23" s="14" t="s">
        <v>254</v>
      </c>
      <c r="N23" s="14" t="s">
        <v>346</v>
      </c>
      <c r="O23" s="15" t="s">
        <v>88</v>
      </c>
      <c r="P23" s="15" t="s">
        <v>398</v>
      </c>
      <c r="Q23" s="17" t="s">
        <v>90</v>
      </c>
      <c r="R23" s="17"/>
      <c r="S23" s="15" t="s">
        <v>156</v>
      </c>
    </row>
    <row r="24" customFormat="false" ht="22.35" hidden="false" customHeight="false" outlineLevel="0" collapsed="false">
      <c r="A24" s="14" t="s">
        <v>2877</v>
      </c>
      <c r="B24" s="15" t="s">
        <v>2236</v>
      </c>
      <c r="C24" s="15" t="s">
        <v>2236</v>
      </c>
      <c r="D24" s="15" t="s">
        <v>2589</v>
      </c>
      <c r="E24" s="15" t="s">
        <v>2383</v>
      </c>
      <c r="F24" s="15" t="s">
        <v>2384</v>
      </c>
      <c r="G24" s="15" t="s">
        <v>2240</v>
      </c>
      <c r="H24" s="15" t="s">
        <v>2385</v>
      </c>
      <c r="I24" s="15" t="s">
        <v>2386</v>
      </c>
      <c r="J24" s="16"/>
      <c r="K24" s="14" t="s">
        <v>19</v>
      </c>
      <c r="L24" s="14" t="s">
        <v>86</v>
      </c>
      <c r="M24" s="14" t="s">
        <v>254</v>
      </c>
      <c r="N24" s="14" t="s">
        <v>87</v>
      </c>
      <c r="O24" s="15" t="s">
        <v>88</v>
      </c>
      <c r="P24" s="15" t="s">
        <v>398</v>
      </c>
      <c r="Q24" s="17" t="s">
        <v>90</v>
      </c>
      <c r="R24" s="17"/>
      <c r="S24" s="15" t="s">
        <v>1082</v>
      </c>
    </row>
    <row r="25" customFormat="false" ht="22.35" hidden="false" customHeight="false" outlineLevel="0" collapsed="false">
      <c r="A25" s="14" t="s">
        <v>2878</v>
      </c>
      <c r="B25" s="15" t="s">
        <v>2236</v>
      </c>
      <c r="C25" s="15" t="s">
        <v>2236</v>
      </c>
      <c r="D25" s="15" t="s">
        <v>2879</v>
      </c>
      <c r="E25" s="15" t="s">
        <v>2880</v>
      </c>
      <c r="F25" s="15" t="s">
        <v>2881</v>
      </c>
      <c r="G25" s="15" t="s">
        <v>2240</v>
      </c>
      <c r="H25" s="15" t="s">
        <v>1421</v>
      </c>
      <c r="I25" s="15" t="s">
        <v>2882</v>
      </c>
      <c r="J25" s="16"/>
      <c r="K25" s="14" t="s">
        <v>20</v>
      </c>
      <c r="L25" s="14" t="s">
        <v>108</v>
      </c>
      <c r="M25" s="14" t="s">
        <v>254</v>
      </c>
      <c r="N25" s="14" t="s">
        <v>87</v>
      </c>
      <c r="O25" s="15" t="s">
        <v>88</v>
      </c>
      <c r="P25" s="15" t="s">
        <v>398</v>
      </c>
      <c r="Q25" s="17" t="s">
        <v>90</v>
      </c>
      <c r="R25" s="17"/>
      <c r="S25" s="15" t="s">
        <v>156</v>
      </c>
    </row>
    <row r="26" customFormat="false" ht="22.35" hidden="false" customHeight="false" outlineLevel="0" collapsed="false">
      <c r="A26" s="14" t="s">
        <v>2883</v>
      </c>
      <c r="B26" s="15" t="s">
        <v>2236</v>
      </c>
      <c r="C26" s="15" t="s">
        <v>2236</v>
      </c>
      <c r="D26" s="15" t="s">
        <v>2879</v>
      </c>
      <c r="E26" s="15" t="s">
        <v>2884</v>
      </c>
      <c r="F26" s="15" t="s">
        <v>2885</v>
      </c>
      <c r="G26" s="15" t="s">
        <v>2240</v>
      </c>
      <c r="H26" s="15" t="s">
        <v>1421</v>
      </c>
      <c r="I26" s="15" t="s">
        <v>2886</v>
      </c>
      <c r="J26" s="16"/>
      <c r="K26" s="14" t="s">
        <v>20</v>
      </c>
      <c r="L26" s="14" t="s">
        <v>108</v>
      </c>
      <c r="M26" s="14" t="s">
        <v>254</v>
      </c>
      <c r="N26" s="14" t="s">
        <v>87</v>
      </c>
      <c r="O26" s="15" t="s">
        <v>88</v>
      </c>
      <c r="P26" s="15" t="s">
        <v>398</v>
      </c>
      <c r="Q26" s="17" t="s">
        <v>90</v>
      </c>
      <c r="R26" s="17"/>
      <c r="S26" s="15" t="s">
        <v>156</v>
      </c>
    </row>
    <row r="27" customFormat="false" ht="22.35" hidden="false" customHeight="false" outlineLevel="0" collapsed="false">
      <c r="A27" s="14" t="s">
        <v>2887</v>
      </c>
      <c r="B27" s="15" t="s">
        <v>2236</v>
      </c>
      <c r="C27" s="15" t="s">
        <v>2236</v>
      </c>
      <c r="D27" s="15" t="s">
        <v>2888</v>
      </c>
      <c r="E27" s="15" t="s">
        <v>2889</v>
      </c>
      <c r="F27" s="15" t="s">
        <v>2890</v>
      </c>
      <c r="G27" s="15" t="s">
        <v>2240</v>
      </c>
      <c r="H27" s="15" t="s">
        <v>2891</v>
      </c>
      <c r="I27" s="15" t="s">
        <v>2892</v>
      </c>
      <c r="J27" s="16"/>
      <c r="K27" s="14" t="s">
        <v>20</v>
      </c>
      <c r="L27" s="14" t="s">
        <v>108</v>
      </c>
      <c r="M27" s="14" t="s">
        <v>254</v>
      </c>
      <c r="N27" s="14" t="s">
        <v>109</v>
      </c>
      <c r="O27" s="15" t="s">
        <v>88</v>
      </c>
      <c r="P27" s="15" t="s">
        <v>398</v>
      </c>
      <c r="Q27" s="17" t="s">
        <v>90</v>
      </c>
      <c r="R27" s="17"/>
      <c r="S27" s="15" t="s">
        <v>100</v>
      </c>
    </row>
    <row r="28" customFormat="false" ht="22.35" hidden="false" customHeight="false" outlineLevel="0" collapsed="false">
      <c r="A28" s="14" t="s">
        <v>2893</v>
      </c>
      <c r="B28" s="15" t="s">
        <v>2236</v>
      </c>
      <c r="C28" s="15" t="s">
        <v>2236</v>
      </c>
      <c r="D28" s="15" t="s">
        <v>2888</v>
      </c>
      <c r="E28" s="15" t="s">
        <v>2894</v>
      </c>
      <c r="F28" s="15" t="s">
        <v>2895</v>
      </c>
      <c r="G28" s="15" t="s">
        <v>2240</v>
      </c>
      <c r="H28" s="15" t="s">
        <v>1421</v>
      </c>
      <c r="I28" s="15" t="s">
        <v>2896</v>
      </c>
      <c r="J28" s="16"/>
      <c r="K28" s="14" t="s">
        <v>20</v>
      </c>
      <c r="L28" s="14" t="s">
        <v>108</v>
      </c>
      <c r="M28" s="14" t="s">
        <v>254</v>
      </c>
      <c r="N28" s="14" t="s">
        <v>109</v>
      </c>
      <c r="O28" s="15" t="s">
        <v>88</v>
      </c>
      <c r="P28" s="15" t="s">
        <v>398</v>
      </c>
      <c r="Q28" s="17" t="s">
        <v>90</v>
      </c>
      <c r="R28" s="17"/>
      <c r="S28" s="15" t="s">
        <v>156</v>
      </c>
    </row>
  </sheetData>
  <autoFilter ref="A1:S28"/>
  <conditionalFormatting sqref="K2:K28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28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28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28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28" type="list">
      <formula1>"P0,P1,P2,P3"</formula1>
      <formula2>0</formula2>
    </dataValidation>
    <dataValidation allowBlank="false" errorStyle="stop" operator="between" showDropDown="false" showErrorMessage="false" showInputMessage="false" sqref="L2:L28" type="list">
      <formula1>"Critical,High,Medium,Low"</formula1>
      <formula2>0</formula2>
    </dataValidation>
    <dataValidation allowBlank="false" errorStyle="stop" operator="between" showDropDown="false" showErrorMessage="false" showInputMessage="false" sqref="N2:N28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4" t="s">
        <v>54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56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58</v>
      </c>
      <c r="R1" s="4" t="s">
        <v>60</v>
      </c>
      <c r="S1" s="4" t="s">
        <v>76</v>
      </c>
    </row>
    <row r="2" customFormat="false" ht="22.35" hidden="false" customHeight="false" outlineLevel="0" collapsed="false">
      <c r="A2" s="14" t="s">
        <v>2897</v>
      </c>
      <c r="B2" s="15" t="s">
        <v>35</v>
      </c>
      <c r="C2" s="15" t="s">
        <v>35</v>
      </c>
      <c r="D2" s="15" t="s">
        <v>531</v>
      </c>
      <c r="E2" s="15" t="s">
        <v>2390</v>
      </c>
      <c r="F2" s="15" t="s">
        <v>2391</v>
      </c>
      <c r="G2" s="15" t="s">
        <v>510</v>
      </c>
      <c r="H2" s="15" t="s">
        <v>1421</v>
      </c>
      <c r="I2" s="15" t="s">
        <v>2392</v>
      </c>
      <c r="J2" s="16"/>
      <c r="K2" s="14" t="s">
        <v>19</v>
      </c>
      <c r="L2" s="14" t="s">
        <v>86</v>
      </c>
      <c r="M2" s="14" t="s">
        <v>170</v>
      </c>
      <c r="N2" s="14" t="s">
        <v>87</v>
      </c>
      <c r="O2" s="15" t="s">
        <v>88</v>
      </c>
      <c r="P2" s="15" t="s">
        <v>89</v>
      </c>
      <c r="Q2" s="17" t="s">
        <v>90</v>
      </c>
      <c r="R2" s="17"/>
      <c r="S2" s="15" t="s">
        <v>156</v>
      </c>
    </row>
    <row r="3" customFormat="false" ht="22.35" hidden="false" customHeight="false" outlineLevel="0" collapsed="false">
      <c r="A3" s="14" t="s">
        <v>2898</v>
      </c>
      <c r="B3" s="15" t="s">
        <v>35</v>
      </c>
      <c r="C3" s="15" t="s">
        <v>35</v>
      </c>
      <c r="D3" s="15" t="s">
        <v>531</v>
      </c>
      <c r="E3" s="15" t="s">
        <v>2395</v>
      </c>
      <c r="F3" s="15" t="s">
        <v>2396</v>
      </c>
      <c r="G3" s="15" t="s">
        <v>510</v>
      </c>
      <c r="H3" s="15" t="s">
        <v>1548</v>
      </c>
      <c r="I3" s="15" t="s">
        <v>2397</v>
      </c>
      <c r="J3" s="16"/>
      <c r="K3" s="14" t="s">
        <v>19</v>
      </c>
      <c r="L3" s="14" t="s">
        <v>86</v>
      </c>
      <c r="M3" s="14" t="s">
        <v>170</v>
      </c>
      <c r="N3" s="14" t="s">
        <v>87</v>
      </c>
      <c r="O3" s="15" t="s">
        <v>88</v>
      </c>
      <c r="P3" s="15" t="s">
        <v>89</v>
      </c>
      <c r="Q3" s="17" t="s">
        <v>90</v>
      </c>
      <c r="R3" s="17"/>
      <c r="S3" s="15" t="s">
        <v>537</v>
      </c>
    </row>
    <row r="4" customFormat="false" ht="22.35" hidden="false" customHeight="false" outlineLevel="0" collapsed="false">
      <c r="A4" s="14" t="s">
        <v>2899</v>
      </c>
      <c r="B4" s="15" t="s">
        <v>35</v>
      </c>
      <c r="C4" s="15" t="s">
        <v>35</v>
      </c>
      <c r="D4" s="15" t="s">
        <v>2900</v>
      </c>
      <c r="E4" s="15" t="s">
        <v>2401</v>
      </c>
      <c r="F4" s="15" t="s">
        <v>2402</v>
      </c>
      <c r="G4" s="15" t="s">
        <v>510</v>
      </c>
      <c r="H4" s="15" t="s">
        <v>1421</v>
      </c>
      <c r="I4" s="15" t="s">
        <v>2403</v>
      </c>
      <c r="J4" s="16"/>
      <c r="K4" s="14" t="s">
        <v>19</v>
      </c>
      <c r="L4" s="14" t="s">
        <v>86</v>
      </c>
      <c r="M4" s="14" t="s">
        <v>170</v>
      </c>
      <c r="N4" s="14" t="s">
        <v>87</v>
      </c>
      <c r="O4" s="15" t="s">
        <v>88</v>
      </c>
      <c r="P4" s="15" t="s">
        <v>89</v>
      </c>
      <c r="Q4" s="17" t="s">
        <v>90</v>
      </c>
      <c r="R4" s="17"/>
      <c r="S4" s="15" t="s">
        <v>1215</v>
      </c>
    </row>
    <row r="5" customFormat="false" ht="22.35" hidden="false" customHeight="false" outlineLevel="0" collapsed="false">
      <c r="A5" s="14" t="s">
        <v>2901</v>
      </c>
      <c r="B5" s="15" t="s">
        <v>35</v>
      </c>
      <c r="C5" s="15" t="s">
        <v>35</v>
      </c>
      <c r="D5" s="15" t="s">
        <v>2900</v>
      </c>
      <c r="E5" s="15" t="s">
        <v>2902</v>
      </c>
      <c r="F5" s="15" t="s">
        <v>2903</v>
      </c>
      <c r="G5" s="15" t="s">
        <v>510</v>
      </c>
      <c r="H5" s="15" t="s">
        <v>1421</v>
      </c>
      <c r="I5" s="15" t="s">
        <v>2904</v>
      </c>
      <c r="J5" s="16"/>
      <c r="K5" s="14" t="s">
        <v>20</v>
      </c>
      <c r="L5" s="14" t="s">
        <v>108</v>
      </c>
      <c r="M5" s="14" t="s">
        <v>170</v>
      </c>
      <c r="N5" s="14" t="s">
        <v>87</v>
      </c>
      <c r="O5" s="15" t="s">
        <v>88</v>
      </c>
      <c r="P5" s="15" t="s">
        <v>89</v>
      </c>
      <c r="Q5" s="17" t="s">
        <v>90</v>
      </c>
      <c r="R5" s="17"/>
      <c r="S5" s="15" t="s">
        <v>1215</v>
      </c>
    </row>
    <row r="6" customFormat="false" ht="22.35" hidden="false" customHeight="false" outlineLevel="0" collapsed="false">
      <c r="A6" s="14" t="s">
        <v>2905</v>
      </c>
      <c r="B6" s="15" t="s">
        <v>35</v>
      </c>
      <c r="C6" s="15" t="s">
        <v>35</v>
      </c>
      <c r="D6" s="15" t="s">
        <v>2906</v>
      </c>
      <c r="E6" s="15" t="s">
        <v>2907</v>
      </c>
      <c r="F6" s="15" t="s">
        <v>2134</v>
      </c>
      <c r="G6" s="15" t="s">
        <v>510</v>
      </c>
      <c r="H6" s="15" t="s">
        <v>1421</v>
      </c>
      <c r="I6" s="15" t="s">
        <v>2908</v>
      </c>
      <c r="J6" s="16"/>
      <c r="K6" s="14" t="s">
        <v>20</v>
      </c>
      <c r="L6" s="14" t="s">
        <v>108</v>
      </c>
      <c r="M6" s="14" t="s">
        <v>170</v>
      </c>
      <c r="N6" s="14" t="s">
        <v>87</v>
      </c>
      <c r="O6" s="15" t="s">
        <v>88</v>
      </c>
      <c r="P6" s="15" t="s">
        <v>89</v>
      </c>
      <c r="Q6" s="17" t="s">
        <v>90</v>
      </c>
      <c r="R6" s="17"/>
      <c r="S6" s="15" t="s">
        <v>1215</v>
      </c>
    </row>
    <row r="7" customFormat="false" ht="22.35" hidden="false" customHeight="false" outlineLevel="0" collapsed="false">
      <c r="A7" s="14" t="s">
        <v>2909</v>
      </c>
      <c r="B7" s="15" t="s">
        <v>35</v>
      </c>
      <c r="C7" s="15" t="s">
        <v>35</v>
      </c>
      <c r="D7" s="15" t="s">
        <v>2910</v>
      </c>
      <c r="E7" s="15" t="s">
        <v>2407</v>
      </c>
      <c r="F7" s="15" t="s">
        <v>2408</v>
      </c>
      <c r="G7" s="15" t="s">
        <v>510</v>
      </c>
      <c r="H7" s="15" t="s">
        <v>1421</v>
      </c>
      <c r="I7" s="15" t="s">
        <v>2409</v>
      </c>
      <c r="J7" s="16"/>
      <c r="K7" s="14" t="s">
        <v>19</v>
      </c>
      <c r="L7" s="14" t="s">
        <v>86</v>
      </c>
      <c r="M7" s="14" t="s">
        <v>170</v>
      </c>
      <c r="N7" s="14" t="s">
        <v>87</v>
      </c>
      <c r="O7" s="15" t="s">
        <v>88</v>
      </c>
      <c r="P7" s="15" t="s">
        <v>89</v>
      </c>
      <c r="Q7" s="17" t="s">
        <v>90</v>
      </c>
      <c r="R7" s="17"/>
      <c r="S7" s="15" t="s">
        <v>1215</v>
      </c>
    </row>
    <row r="8" customFormat="false" ht="22.35" hidden="false" customHeight="false" outlineLevel="0" collapsed="false">
      <c r="A8" s="14" t="s">
        <v>2911</v>
      </c>
      <c r="B8" s="15" t="s">
        <v>35</v>
      </c>
      <c r="C8" s="15" t="s">
        <v>35</v>
      </c>
      <c r="D8" s="15" t="s">
        <v>2910</v>
      </c>
      <c r="E8" s="15" t="s">
        <v>2912</v>
      </c>
      <c r="F8" s="15" t="s">
        <v>2408</v>
      </c>
      <c r="G8" s="15" t="s">
        <v>510</v>
      </c>
      <c r="H8" s="15" t="s">
        <v>1741</v>
      </c>
      <c r="I8" s="15" t="s">
        <v>2913</v>
      </c>
      <c r="J8" s="16"/>
      <c r="K8" s="14" t="s">
        <v>20</v>
      </c>
      <c r="L8" s="14" t="s">
        <v>108</v>
      </c>
      <c r="M8" s="14" t="s">
        <v>170</v>
      </c>
      <c r="N8" s="14" t="s">
        <v>87</v>
      </c>
      <c r="O8" s="15" t="s">
        <v>88</v>
      </c>
      <c r="P8" s="15" t="s">
        <v>89</v>
      </c>
      <c r="Q8" s="17" t="s">
        <v>90</v>
      </c>
      <c r="R8" s="17"/>
      <c r="S8" s="15" t="s">
        <v>1215</v>
      </c>
    </row>
    <row r="9" customFormat="false" ht="22.35" hidden="false" customHeight="false" outlineLevel="0" collapsed="false">
      <c r="A9" s="14" t="s">
        <v>2914</v>
      </c>
      <c r="B9" s="15" t="s">
        <v>35</v>
      </c>
      <c r="C9" s="15" t="s">
        <v>35</v>
      </c>
      <c r="D9" s="15" t="s">
        <v>2915</v>
      </c>
      <c r="E9" s="15" t="s">
        <v>2916</v>
      </c>
      <c r="F9" s="15" t="s">
        <v>2408</v>
      </c>
      <c r="G9" s="15" t="s">
        <v>510</v>
      </c>
      <c r="H9" s="15" t="s">
        <v>2321</v>
      </c>
      <c r="I9" s="15" t="s">
        <v>2917</v>
      </c>
      <c r="J9" s="16"/>
      <c r="K9" s="14" t="s">
        <v>20</v>
      </c>
      <c r="L9" s="14" t="s">
        <v>108</v>
      </c>
      <c r="M9" s="14" t="s">
        <v>170</v>
      </c>
      <c r="N9" s="14" t="s">
        <v>87</v>
      </c>
      <c r="O9" s="15" t="s">
        <v>88</v>
      </c>
      <c r="P9" s="15" t="s">
        <v>89</v>
      </c>
      <c r="Q9" s="17" t="s">
        <v>90</v>
      </c>
      <c r="R9" s="17"/>
      <c r="S9" s="15" t="s">
        <v>1215</v>
      </c>
    </row>
    <row r="10" customFormat="false" ht="22.35" hidden="false" customHeight="false" outlineLevel="0" collapsed="false">
      <c r="A10" s="14" t="s">
        <v>2918</v>
      </c>
      <c r="B10" s="15" t="s">
        <v>35</v>
      </c>
      <c r="C10" s="15" t="s">
        <v>35</v>
      </c>
      <c r="D10" s="15" t="s">
        <v>2919</v>
      </c>
      <c r="E10" s="15" t="s">
        <v>2919</v>
      </c>
      <c r="F10" s="15" t="s">
        <v>2920</v>
      </c>
      <c r="G10" s="15" t="s">
        <v>510</v>
      </c>
      <c r="H10" s="15" t="s">
        <v>1421</v>
      </c>
      <c r="I10" s="15" t="s">
        <v>2921</v>
      </c>
      <c r="J10" s="16"/>
      <c r="K10" s="14" t="s">
        <v>20</v>
      </c>
      <c r="L10" s="14" t="s">
        <v>108</v>
      </c>
      <c r="M10" s="14" t="s">
        <v>170</v>
      </c>
      <c r="N10" s="14" t="s">
        <v>87</v>
      </c>
      <c r="O10" s="15" t="s">
        <v>88</v>
      </c>
      <c r="P10" s="15" t="s">
        <v>89</v>
      </c>
      <c r="Q10" s="17" t="s">
        <v>90</v>
      </c>
      <c r="R10" s="17"/>
      <c r="S10" s="15" t="s">
        <v>1215</v>
      </c>
    </row>
    <row r="11" customFormat="false" ht="22.35" hidden="false" customHeight="false" outlineLevel="0" collapsed="false">
      <c r="A11" s="14" t="s">
        <v>2922</v>
      </c>
      <c r="B11" s="15" t="s">
        <v>35</v>
      </c>
      <c r="C11" s="15" t="s">
        <v>35</v>
      </c>
      <c r="D11" s="15" t="s">
        <v>2923</v>
      </c>
      <c r="E11" s="15" t="s">
        <v>2924</v>
      </c>
      <c r="F11" s="15" t="s">
        <v>2408</v>
      </c>
      <c r="G11" s="15" t="s">
        <v>510</v>
      </c>
      <c r="H11" s="15" t="s">
        <v>2925</v>
      </c>
      <c r="I11" s="15" t="s">
        <v>2926</v>
      </c>
      <c r="J11" s="16"/>
      <c r="K11" s="14" t="s">
        <v>20</v>
      </c>
      <c r="L11" s="14" t="s">
        <v>108</v>
      </c>
      <c r="M11" s="14" t="s">
        <v>170</v>
      </c>
      <c r="N11" s="14" t="s">
        <v>87</v>
      </c>
      <c r="O11" s="15" t="s">
        <v>88</v>
      </c>
      <c r="P11" s="15" t="s">
        <v>89</v>
      </c>
      <c r="Q11" s="17" t="s">
        <v>90</v>
      </c>
      <c r="R11" s="17"/>
      <c r="S11" s="15" t="s">
        <v>1215</v>
      </c>
    </row>
    <row r="12" customFormat="false" ht="22.35" hidden="false" customHeight="false" outlineLevel="0" collapsed="false">
      <c r="A12" s="14" t="s">
        <v>2927</v>
      </c>
      <c r="B12" s="15" t="s">
        <v>35</v>
      </c>
      <c r="C12" s="15" t="s">
        <v>35</v>
      </c>
      <c r="D12" s="15" t="s">
        <v>2928</v>
      </c>
      <c r="E12" s="15" t="s">
        <v>2413</v>
      </c>
      <c r="F12" s="15" t="s">
        <v>2414</v>
      </c>
      <c r="G12" s="15" t="s">
        <v>510</v>
      </c>
      <c r="H12" s="15" t="s">
        <v>1421</v>
      </c>
      <c r="I12" s="15" t="s">
        <v>2415</v>
      </c>
      <c r="J12" s="16"/>
      <c r="K12" s="14" t="s">
        <v>19</v>
      </c>
      <c r="L12" s="14" t="s">
        <v>86</v>
      </c>
      <c r="M12" s="14" t="s">
        <v>170</v>
      </c>
      <c r="N12" s="14" t="s">
        <v>87</v>
      </c>
      <c r="O12" s="15" t="s">
        <v>88</v>
      </c>
      <c r="P12" s="15" t="s">
        <v>89</v>
      </c>
      <c r="Q12" s="17" t="s">
        <v>90</v>
      </c>
      <c r="R12" s="17"/>
      <c r="S12" s="15" t="s">
        <v>1215</v>
      </c>
    </row>
    <row r="13" customFormat="false" ht="22.35" hidden="false" customHeight="false" outlineLevel="0" collapsed="false">
      <c r="A13" s="14" t="s">
        <v>2929</v>
      </c>
      <c r="B13" s="15" t="s">
        <v>35</v>
      </c>
      <c r="C13" s="15" t="s">
        <v>35</v>
      </c>
      <c r="D13" s="15" t="s">
        <v>2930</v>
      </c>
      <c r="E13" s="15" t="s">
        <v>2419</v>
      </c>
      <c r="F13" s="15" t="s">
        <v>2420</v>
      </c>
      <c r="G13" s="15" t="s">
        <v>510</v>
      </c>
      <c r="H13" s="15" t="s">
        <v>1421</v>
      </c>
      <c r="I13" s="15" t="s">
        <v>2421</v>
      </c>
      <c r="J13" s="16"/>
      <c r="K13" s="14" t="s">
        <v>19</v>
      </c>
      <c r="L13" s="14" t="s">
        <v>86</v>
      </c>
      <c r="M13" s="14" t="s">
        <v>170</v>
      </c>
      <c r="N13" s="14" t="s">
        <v>87</v>
      </c>
      <c r="O13" s="15" t="s">
        <v>88</v>
      </c>
      <c r="P13" s="15" t="s">
        <v>89</v>
      </c>
      <c r="Q13" s="17" t="s">
        <v>90</v>
      </c>
      <c r="R13" s="17"/>
      <c r="S13" s="15" t="s">
        <v>1215</v>
      </c>
    </row>
    <row r="14" customFormat="false" ht="22.35" hidden="false" customHeight="false" outlineLevel="0" collapsed="false">
      <c r="A14" s="14" t="s">
        <v>2931</v>
      </c>
      <c r="B14" s="15" t="s">
        <v>35</v>
      </c>
      <c r="C14" s="15" t="s">
        <v>35</v>
      </c>
      <c r="D14" s="15" t="s">
        <v>2932</v>
      </c>
      <c r="E14" s="15" t="s">
        <v>2425</v>
      </c>
      <c r="F14" s="15" t="s">
        <v>2408</v>
      </c>
      <c r="G14" s="15" t="s">
        <v>510</v>
      </c>
      <c r="H14" s="15" t="s">
        <v>1421</v>
      </c>
      <c r="I14" s="15" t="s">
        <v>2426</v>
      </c>
      <c r="J14" s="16"/>
      <c r="K14" s="14" t="s">
        <v>19</v>
      </c>
      <c r="L14" s="14" t="s">
        <v>86</v>
      </c>
      <c r="M14" s="14" t="s">
        <v>170</v>
      </c>
      <c r="N14" s="14" t="s">
        <v>87</v>
      </c>
      <c r="O14" s="15" t="s">
        <v>88</v>
      </c>
      <c r="P14" s="15" t="s">
        <v>89</v>
      </c>
      <c r="Q14" s="17" t="s">
        <v>90</v>
      </c>
      <c r="R14" s="17"/>
      <c r="S14" s="15" t="s">
        <v>1215</v>
      </c>
    </row>
    <row r="15" customFormat="false" ht="22.35" hidden="false" customHeight="false" outlineLevel="0" collapsed="false">
      <c r="A15" s="14" t="s">
        <v>2933</v>
      </c>
      <c r="B15" s="15" t="s">
        <v>35</v>
      </c>
      <c r="C15" s="15" t="s">
        <v>35</v>
      </c>
      <c r="D15" s="15" t="s">
        <v>2934</v>
      </c>
      <c r="E15" s="15" t="s">
        <v>2935</v>
      </c>
      <c r="F15" s="15" t="s">
        <v>2936</v>
      </c>
      <c r="G15" s="15" t="s">
        <v>510</v>
      </c>
      <c r="H15" s="15" t="s">
        <v>2937</v>
      </c>
      <c r="I15" s="15" t="s">
        <v>2938</v>
      </c>
      <c r="J15" s="16"/>
      <c r="K15" s="14" t="s">
        <v>20</v>
      </c>
      <c r="L15" s="14" t="s">
        <v>108</v>
      </c>
      <c r="M15" s="14" t="s">
        <v>170</v>
      </c>
      <c r="N15" s="14" t="s">
        <v>87</v>
      </c>
      <c r="O15" s="15" t="s">
        <v>88</v>
      </c>
      <c r="P15" s="15" t="s">
        <v>89</v>
      </c>
      <c r="Q15" s="17" t="s">
        <v>90</v>
      </c>
      <c r="R15" s="17"/>
      <c r="S15" s="15" t="s">
        <v>1215</v>
      </c>
    </row>
    <row r="16" customFormat="false" ht="22.35" hidden="false" customHeight="false" outlineLevel="0" collapsed="false">
      <c r="A16" s="14" t="s">
        <v>2939</v>
      </c>
      <c r="B16" s="15" t="s">
        <v>35</v>
      </c>
      <c r="C16" s="15" t="s">
        <v>35</v>
      </c>
      <c r="D16" s="15" t="s">
        <v>2940</v>
      </c>
      <c r="E16" s="15" t="s">
        <v>2941</v>
      </c>
      <c r="F16" s="15" t="s">
        <v>2942</v>
      </c>
      <c r="G16" s="15" t="s">
        <v>510</v>
      </c>
      <c r="H16" s="15" t="s">
        <v>1741</v>
      </c>
      <c r="I16" s="15" t="s">
        <v>2943</v>
      </c>
      <c r="J16" s="16"/>
      <c r="K16" s="14" t="s">
        <v>20</v>
      </c>
      <c r="L16" s="14" t="s">
        <v>108</v>
      </c>
      <c r="M16" s="14" t="s">
        <v>170</v>
      </c>
      <c r="N16" s="14" t="s">
        <v>87</v>
      </c>
      <c r="O16" s="15" t="s">
        <v>88</v>
      </c>
      <c r="P16" s="15" t="s">
        <v>89</v>
      </c>
      <c r="Q16" s="17" t="s">
        <v>90</v>
      </c>
      <c r="R16" s="17"/>
      <c r="S16" s="15" t="s">
        <v>1215</v>
      </c>
    </row>
    <row r="17" customFormat="false" ht="22.35" hidden="false" customHeight="false" outlineLevel="0" collapsed="false">
      <c r="A17" s="14" t="s">
        <v>2944</v>
      </c>
      <c r="B17" s="15" t="s">
        <v>35</v>
      </c>
      <c r="C17" s="15" t="s">
        <v>35</v>
      </c>
      <c r="D17" s="15" t="s">
        <v>2945</v>
      </c>
      <c r="E17" s="15" t="s">
        <v>2946</v>
      </c>
      <c r="F17" s="15" t="s">
        <v>2408</v>
      </c>
      <c r="G17" s="15" t="s">
        <v>510</v>
      </c>
      <c r="H17" s="15" t="s">
        <v>1421</v>
      </c>
      <c r="I17" s="15" t="s">
        <v>2947</v>
      </c>
      <c r="J17" s="16"/>
      <c r="K17" s="14" t="s">
        <v>20</v>
      </c>
      <c r="L17" s="14" t="s">
        <v>108</v>
      </c>
      <c r="M17" s="14" t="s">
        <v>170</v>
      </c>
      <c r="N17" s="14" t="s">
        <v>87</v>
      </c>
      <c r="O17" s="15" t="s">
        <v>88</v>
      </c>
      <c r="P17" s="15" t="s">
        <v>89</v>
      </c>
      <c r="Q17" s="17" t="s">
        <v>90</v>
      </c>
      <c r="R17" s="17"/>
      <c r="S17" s="15" t="s">
        <v>1215</v>
      </c>
    </row>
    <row r="18" customFormat="false" ht="22.35" hidden="false" customHeight="false" outlineLevel="0" collapsed="false">
      <c r="A18" s="14" t="s">
        <v>2948</v>
      </c>
      <c r="B18" s="15" t="s">
        <v>35</v>
      </c>
      <c r="C18" s="15" t="s">
        <v>35</v>
      </c>
      <c r="D18" s="15" t="s">
        <v>2949</v>
      </c>
      <c r="E18" s="15" t="s">
        <v>2949</v>
      </c>
      <c r="F18" s="15" t="s">
        <v>2950</v>
      </c>
      <c r="G18" s="15" t="s">
        <v>510</v>
      </c>
      <c r="H18" s="15" t="s">
        <v>1405</v>
      </c>
      <c r="I18" s="15" t="s">
        <v>2951</v>
      </c>
      <c r="J18" s="16"/>
      <c r="K18" s="14" t="s">
        <v>21</v>
      </c>
      <c r="L18" s="14" t="s">
        <v>99</v>
      </c>
      <c r="M18" s="14" t="s">
        <v>170</v>
      </c>
      <c r="N18" s="14" t="s">
        <v>87</v>
      </c>
      <c r="O18" s="15" t="s">
        <v>88</v>
      </c>
      <c r="P18" s="15" t="s">
        <v>89</v>
      </c>
      <c r="Q18" s="17" t="s">
        <v>90</v>
      </c>
      <c r="R18" s="17"/>
      <c r="S18" s="15" t="s">
        <v>1215</v>
      </c>
    </row>
    <row r="19" customFormat="false" ht="22.35" hidden="false" customHeight="false" outlineLevel="0" collapsed="false">
      <c r="A19" s="14" t="s">
        <v>2952</v>
      </c>
      <c r="B19" s="15" t="s">
        <v>35</v>
      </c>
      <c r="C19" s="15" t="s">
        <v>35</v>
      </c>
      <c r="D19" s="15" t="s">
        <v>2430</v>
      </c>
      <c r="E19" s="15" t="s">
        <v>2430</v>
      </c>
      <c r="F19" s="15" t="s">
        <v>2431</v>
      </c>
      <c r="G19" s="15" t="s">
        <v>510</v>
      </c>
      <c r="H19" s="15" t="s">
        <v>2432</v>
      </c>
      <c r="I19" s="15" t="s">
        <v>2433</v>
      </c>
      <c r="J19" s="16"/>
      <c r="K19" s="14" t="s">
        <v>19</v>
      </c>
      <c r="L19" s="14" t="s">
        <v>86</v>
      </c>
      <c r="M19" s="14" t="s">
        <v>170</v>
      </c>
      <c r="N19" s="14" t="s">
        <v>87</v>
      </c>
      <c r="O19" s="15" t="s">
        <v>88</v>
      </c>
      <c r="P19" s="15" t="s">
        <v>89</v>
      </c>
      <c r="Q19" s="17" t="s">
        <v>90</v>
      </c>
      <c r="R19" s="17"/>
      <c r="S19" s="15" t="s">
        <v>1215</v>
      </c>
    </row>
    <row r="20" customFormat="false" ht="22.35" hidden="false" customHeight="false" outlineLevel="0" collapsed="false">
      <c r="A20" s="14" t="s">
        <v>2953</v>
      </c>
      <c r="B20" s="15" t="s">
        <v>35</v>
      </c>
      <c r="C20" s="15" t="s">
        <v>35</v>
      </c>
      <c r="D20" s="15" t="s">
        <v>2954</v>
      </c>
      <c r="E20" s="15" t="s">
        <v>2954</v>
      </c>
      <c r="F20" s="15" t="s">
        <v>2384</v>
      </c>
      <c r="G20" s="15" t="s">
        <v>510</v>
      </c>
      <c r="H20" s="15" t="s">
        <v>2586</v>
      </c>
      <c r="I20" s="15" t="s">
        <v>2955</v>
      </c>
      <c r="J20" s="16"/>
      <c r="K20" s="14" t="s">
        <v>20</v>
      </c>
      <c r="L20" s="14" t="s">
        <v>108</v>
      </c>
      <c r="M20" s="14" t="s">
        <v>170</v>
      </c>
      <c r="N20" s="14" t="s">
        <v>87</v>
      </c>
      <c r="O20" s="15" t="s">
        <v>88</v>
      </c>
      <c r="P20" s="15" t="s">
        <v>89</v>
      </c>
      <c r="Q20" s="17" t="s">
        <v>90</v>
      </c>
      <c r="R20" s="17"/>
      <c r="S20" s="15" t="s">
        <v>1082</v>
      </c>
    </row>
    <row r="21" customFormat="false" ht="22.35" hidden="false" customHeight="false" outlineLevel="0" collapsed="false">
      <c r="A21" s="14" t="s">
        <v>2956</v>
      </c>
      <c r="B21" s="15" t="s">
        <v>35</v>
      </c>
      <c r="C21" s="15" t="s">
        <v>35</v>
      </c>
      <c r="D21" s="15" t="s">
        <v>2957</v>
      </c>
      <c r="E21" s="15" t="s">
        <v>2957</v>
      </c>
      <c r="F21" s="15" t="s">
        <v>2958</v>
      </c>
      <c r="G21" s="15" t="s">
        <v>510</v>
      </c>
      <c r="H21" s="15" t="s">
        <v>2586</v>
      </c>
      <c r="I21" s="15" t="s">
        <v>2959</v>
      </c>
      <c r="J21" s="16"/>
      <c r="K21" s="14" t="s">
        <v>20</v>
      </c>
      <c r="L21" s="14" t="s">
        <v>108</v>
      </c>
      <c r="M21" s="14" t="s">
        <v>170</v>
      </c>
      <c r="N21" s="14" t="s">
        <v>87</v>
      </c>
      <c r="O21" s="15" t="s">
        <v>88</v>
      </c>
      <c r="P21" s="15" t="s">
        <v>89</v>
      </c>
      <c r="Q21" s="17" t="s">
        <v>90</v>
      </c>
      <c r="R21" s="17"/>
      <c r="S21" s="15" t="s">
        <v>728</v>
      </c>
    </row>
  </sheetData>
  <autoFilter ref="A1:S21"/>
  <conditionalFormatting sqref="K2:K21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Q2:Q21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4">
      <formula>"Fail"</formula>
    </cfRule>
    <cfRule type="cellIs" priority="8" operator="equal" aboveAverage="0" equalAverage="0" bottom="0" percent="0" rank="0" text="" dxfId="15">
      <formula>"Blocked"</formula>
    </cfRule>
    <cfRule type="cellIs" priority="9" operator="equal" aboveAverage="0" equalAverage="0" bottom="0" percent="0" rank="0" text="" dxfId="16">
      <formula>"Spec Confirmation"</formula>
    </cfRule>
  </conditionalFormatting>
  <conditionalFormatting sqref="I2:I21">
    <cfRule type="expression" priority="10" aboveAverage="0" equalAverage="0" bottom="0" percent="0" rank="0" text="" dxfId="16">
      <formula>LEFT($I2,13)="Requires Spec"</formula>
    </cfRule>
  </conditionalFormatting>
  <dataValidations count="4">
    <dataValidation allowBlank="true" errorStyle="stop" operator="between" showDropDown="false" showErrorMessage="false" showInputMessage="false" sqref="Q2:Q21" type="list">
      <formula1>"Not Run,Pass,Fail,Blocked,N/A,Spec Confirmation"</formula1>
      <formula2>0</formula2>
    </dataValidation>
    <dataValidation allowBlank="false" errorStyle="stop" operator="between" showDropDown="false" showErrorMessage="false" showInputMessage="false" sqref="K2:K21" type="list">
      <formula1>"P0,P1,P2,P3"</formula1>
      <formula2>0</formula2>
    </dataValidation>
    <dataValidation allowBlank="false" errorStyle="stop" operator="between" showDropDown="false" showErrorMessage="false" showInputMessage="false" sqref="L2:L21" type="list">
      <formula1>"Critical,High,Medium,Low"</formula1>
      <formula2>0</formula2>
    </dataValidation>
    <dataValidation allowBlank="false" errorStyle="stop" operator="between" showDropDown="false" showErrorMessage="false" showInputMessage="false" sqref="N2:N21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60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2960</v>
      </c>
    </row>
    <row r="3" customFormat="false" ht="35.05" hidden="false" customHeight="false" outlineLevel="0" collapsed="false">
      <c r="A3" s="4" t="s">
        <v>2961</v>
      </c>
      <c r="B3" s="4" t="s">
        <v>2962</v>
      </c>
      <c r="C3" s="4" t="s">
        <v>2963</v>
      </c>
      <c r="D3" s="4" t="s">
        <v>2964</v>
      </c>
      <c r="E3" s="4" t="s">
        <v>63</v>
      </c>
      <c r="F3" s="4" t="s">
        <v>2965</v>
      </c>
      <c r="G3" s="4" t="s">
        <v>2966</v>
      </c>
      <c r="H3" s="4" t="s">
        <v>2967</v>
      </c>
      <c r="I3" s="4" t="s">
        <v>2968</v>
      </c>
    </row>
    <row r="4" customFormat="false" ht="53.7" hidden="false" customHeight="false" outlineLevel="0" collapsed="false">
      <c r="A4" s="14" t="s">
        <v>2969</v>
      </c>
      <c r="B4" s="14" t="s">
        <v>2970</v>
      </c>
      <c r="C4" s="15" t="s">
        <v>2971</v>
      </c>
      <c r="D4" s="15" t="s">
        <v>2972</v>
      </c>
      <c r="E4" s="15" t="s">
        <v>2973</v>
      </c>
      <c r="F4" s="15" t="s">
        <v>2974</v>
      </c>
      <c r="G4" s="14" t="n">
        <f aca="false">COUNTIF('Functional Testing'!$S:$S,"*"&amp;$A4&amp;"*")+COUNTIF('Math Validation'!$S:$S,"*"&amp;$A4&amp;"*")+COUNTIF('Feature Testing'!$S:$S,"*"&amp;$A4&amp;"*")+COUNTIF('Edge &amp; Boundary Cases'!$S:$S,"*"&amp;$A4&amp;"*")+COUNTIF('UI-UX Testing'!$S:$S,"*"&amp;$A4&amp;"*")+COUNTIF('Compatibility Testing'!$S:$S,"*"&amp;$A4&amp;"*")+COUNTIF('Interruption &amp; Recovery'!$S:$S,"*"&amp;$A4&amp;"*")+COUNTIF('STR - Transaction Testing'!$S:$S,"*"&amp;$A4&amp;"*")+COUNTIF('Error Handling'!$S:$S,"*"&amp;$A4&amp;"*")</f>
        <v>24</v>
      </c>
      <c r="H4" s="14" t="str">
        <f aca="false">IF(G4=0,"NOT COVERED",IF(G4&lt;2,"Partial","Covered"))</f>
        <v>Covered</v>
      </c>
      <c r="I4" s="15" t="s">
        <v>2975</v>
      </c>
    </row>
    <row r="5" customFormat="false" ht="15" hidden="false" customHeight="false" outlineLevel="0" collapsed="false">
      <c r="A5" s="14" t="s">
        <v>2976</v>
      </c>
      <c r="B5" s="14" t="s">
        <v>2970</v>
      </c>
      <c r="C5" s="15" t="s">
        <v>2971</v>
      </c>
      <c r="D5" s="15" t="s">
        <v>2977</v>
      </c>
      <c r="E5" s="15" t="s">
        <v>2973</v>
      </c>
      <c r="F5" s="15" t="s">
        <v>2978</v>
      </c>
      <c r="G5" s="14" t="n">
        <f aca="false">COUNTIF('Functional Testing'!$S:$S,"*"&amp;$A5&amp;"*")+COUNTIF('Math Validation'!$S:$S,"*"&amp;$A5&amp;"*")+COUNTIF('Feature Testing'!$S:$S,"*"&amp;$A5&amp;"*")+COUNTIF('Edge &amp; Boundary Cases'!$S:$S,"*"&amp;$A5&amp;"*")+COUNTIF('UI-UX Testing'!$S:$S,"*"&amp;$A5&amp;"*")+COUNTIF('Compatibility Testing'!$S:$S,"*"&amp;$A5&amp;"*")+COUNTIF('Interruption &amp; Recovery'!$S:$S,"*"&amp;$A5&amp;"*")+COUNTIF('STR - Transaction Testing'!$S:$S,"*"&amp;$A5&amp;"*")+COUNTIF('Error Handling'!$S:$S,"*"&amp;$A5&amp;"*")</f>
        <v>5</v>
      </c>
      <c r="H5" s="14" t="str">
        <f aca="false">IF(G5=0,"NOT COVERED",IF(G5&lt;2,"Partial","Covered"))</f>
        <v>Covered</v>
      </c>
      <c r="I5" s="15"/>
    </row>
    <row r="6" customFormat="false" ht="15" hidden="false" customHeight="false" outlineLevel="0" collapsed="false">
      <c r="A6" s="14" t="s">
        <v>2979</v>
      </c>
      <c r="B6" s="14" t="s">
        <v>2970</v>
      </c>
      <c r="C6" s="15" t="s">
        <v>2971</v>
      </c>
      <c r="D6" s="15" t="s">
        <v>2980</v>
      </c>
      <c r="E6" s="15" t="s">
        <v>349</v>
      </c>
      <c r="F6" s="15" t="s">
        <v>2981</v>
      </c>
      <c r="G6" s="14" t="n">
        <f aca="false">COUNTIF('Functional Testing'!$S:$S,"*"&amp;$A6&amp;"*")+COUNTIF('Math Validation'!$S:$S,"*"&amp;$A6&amp;"*")+COUNTIF('Feature Testing'!$S:$S,"*"&amp;$A6&amp;"*")+COUNTIF('Edge &amp; Boundary Cases'!$S:$S,"*"&amp;$A6&amp;"*")+COUNTIF('UI-UX Testing'!$S:$S,"*"&amp;$A6&amp;"*")+COUNTIF('Compatibility Testing'!$S:$S,"*"&amp;$A6&amp;"*")+COUNTIF('Interruption &amp; Recovery'!$S:$S,"*"&amp;$A6&amp;"*")+COUNTIF('STR - Transaction Testing'!$S:$S,"*"&amp;$A6&amp;"*")+COUNTIF('Error Handling'!$S:$S,"*"&amp;$A6&amp;"*")</f>
        <v>3</v>
      </c>
      <c r="H6" s="14" t="str">
        <f aca="false">IF(G6=0,"NOT COVERED",IF(G6&lt;2,"Partial","Covered"))</f>
        <v>Covered</v>
      </c>
      <c r="I6" s="15"/>
    </row>
    <row r="7" customFormat="false" ht="32.8" hidden="false" customHeight="false" outlineLevel="0" collapsed="false">
      <c r="A7" s="14" t="s">
        <v>2982</v>
      </c>
      <c r="B7" s="14" t="s">
        <v>2970</v>
      </c>
      <c r="C7" s="15" t="s">
        <v>2971</v>
      </c>
      <c r="D7" s="15" t="s">
        <v>2983</v>
      </c>
      <c r="E7" s="15" t="s">
        <v>256</v>
      </c>
      <c r="F7" s="15" t="s">
        <v>2984</v>
      </c>
      <c r="G7" s="14" t="n">
        <f aca="false">COUNTIF('Functional Testing'!$S:$S,"*"&amp;$A7&amp;"*")+COUNTIF('Math Validation'!$S:$S,"*"&amp;$A7&amp;"*")+COUNTIF('Feature Testing'!$S:$S,"*"&amp;$A7&amp;"*")+COUNTIF('Edge &amp; Boundary Cases'!$S:$S,"*"&amp;$A7&amp;"*")+COUNTIF('UI-UX Testing'!$S:$S,"*"&amp;$A7&amp;"*")+COUNTIF('Compatibility Testing'!$S:$S,"*"&amp;$A7&amp;"*")+COUNTIF('Interruption &amp; Recovery'!$S:$S,"*"&amp;$A7&amp;"*")+COUNTIF('STR - Transaction Testing'!$S:$S,"*"&amp;$A7&amp;"*")+COUNTIF('Error Handling'!$S:$S,"*"&amp;$A7&amp;"*")</f>
        <v>11</v>
      </c>
      <c r="H7" s="14" t="str">
        <f aca="false">IF(G7=0,"NOT COVERED",IF(G7&lt;2,"Partial","Covered"))</f>
        <v>Covered</v>
      </c>
      <c r="I7" s="15"/>
    </row>
    <row r="8" customFormat="false" ht="32.8" hidden="false" customHeight="false" outlineLevel="0" collapsed="false">
      <c r="A8" s="14" t="s">
        <v>2985</v>
      </c>
      <c r="B8" s="14" t="s">
        <v>2970</v>
      </c>
      <c r="C8" s="15" t="s">
        <v>1144</v>
      </c>
      <c r="D8" s="15" t="s">
        <v>2986</v>
      </c>
      <c r="E8" s="15" t="s">
        <v>1144</v>
      </c>
      <c r="F8" s="15" t="s">
        <v>2987</v>
      </c>
      <c r="G8" s="14" t="n">
        <f aca="false">COUNTIF('Functional Testing'!$S:$S,"*"&amp;$A8&amp;"*")+COUNTIF('Math Validation'!$S:$S,"*"&amp;$A8&amp;"*")+COUNTIF('Feature Testing'!$S:$S,"*"&amp;$A8&amp;"*")+COUNTIF('Edge &amp; Boundary Cases'!$S:$S,"*"&amp;$A8&amp;"*")+COUNTIF('UI-UX Testing'!$S:$S,"*"&amp;$A8&amp;"*")+COUNTIF('Compatibility Testing'!$S:$S,"*"&amp;$A8&amp;"*")+COUNTIF('Interruption &amp; Recovery'!$S:$S,"*"&amp;$A8&amp;"*")+COUNTIF('STR - Transaction Testing'!$S:$S,"*"&amp;$A8&amp;"*")+COUNTIF('Error Handling'!$S:$S,"*"&amp;$A8&amp;"*")</f>
        <v>12</v>
      </c>
      <c r="H8" s="14" t="str">
        <f aca="false">IF(G8=0,"NOT COVERED",IF(G8&lt;2,"Partial","Covered"))</f>
        <v>Covered</v>
      </c>
      <c r="I8" s="15"/>
    </row>
    <row r="9" customFormat="false" ht="15" hidden="false" customHeight="false" outlineLevel="0" collapsed="false">
      <c r="A9" s="14" t="s">
        <v>2988</v>
      </c>
      <c r="B9" s="14" t="s">
        <v>2970</v>
      </c>
      <c r="C9" s="15" t="s">
        <v>1144</v>
      </c>
      <c r="D9" s="15" t="s">
        <v>2989</v>
      </c>
      <c r="E9" s="15" t="s">
        <v>1144</v>
      </c>
      <c r="F9" s="15" t="s">
        <v>2990</v>
      </c>
      <c r="G9" s="14" t="n">
        <f aca="false">COUNTIF('Functional Testing'!$S:$S,"*"&amp;$A9&amp;"*")+COUNTIF('Math Validation'!$S:$S,"*"&amp;$A9&amp;"*")+COUNTIF('Feature Testing'!$S:$S,"*"&amp;$A9&amp;"*")+COUNTIF('Edge &amp; Boundary Cases'!$S:$S,"*"&amp;$A9&amp;"*")+COUNTIF('UI-UX Testing'!$S:$S,"*"&amp;$A9&amp;"*")+COUNTIF('Compatibility Testing'!$S:$S,"*"&amp;$A9&amp;"*")+COUNTIF('Interruption &amp; Recovery'!$S:$S,"*"&amp;$A9&amp;"*")+COUNTIF('STR - Transaction Testing'!$S:$S,"*"&amp;$A9&amp;"*")+COUNTIF('Error Handling'!$S:$S,"*"&amp;$A9&amp;"*")</f>
        <v>4</v>
      </c>
      <c r="H9" s="14" t="str">
        <f aca="false">IF(G9=0,"NOT COVERED",IF(G9&lt;2,"Partial","Covered"))</f>
        <v>Covered</v>
      </c>
      <c r="I9" s="15" t="s">
        <v>2991</v>
      </c>
    </row>
    <row r="10" customFormat="false" ht="15" hidden="false" customHeight="false" outlineLevel="0" collapsed="false">
      <c r="A10" s="14" t="s">
        <v>2992</v>
      </c>
      <c r="B10" s="14" t="s">
        <v>2970</v>
      </c>
      <c r="C10" s="15" t="s">
        <v>1144</v>
      </c>
      <c r="D10" s="15" t="s">
        <v>2993</v>
      </c>
      <c r="E10" s="15" t="s">
        <v>1144</v>
      </c>
      <c r="F10" s="15" t="s">
        <v>2994</v>
      </c>
      <c r="G10" s="14" t="n">
        <f aca="false">COUNTIF('Functional Testing'!$S:$S,"*"&amp;$A10&amp;"*")+COUNTIF('Math Validation'!$S:$S,"*"&amp;$A10&amp;"*")+COUNTIF('Feature Testing'!$S:$S,"*"&amp;$A10&amp;"*")+COUNTIF('Edge &amp; Boundary Cases'!$S:$S,"*"&amp;$A10&amp;"*")+COUNTIF('UI-UX Testing'!$S:$S,"*"&amp;$A10&amp;"*")+COUNTIF('Compatibility Testing'!$S:$S,"*"&amp;$A10&amp;"*")+COUNTIF('Interruption &amp; Recovery'!$S:$S,"*"&amp;$A10&amp;"*")+COUNTIF('STR - Transaction Testing'!$S:$S,"*"&amp;$A10&amp;"*")+COUNTIF('Error Handling'!$S:$S,"*"&amp;$A10&amp;"*")</f>
        <v>5</v>
      </c>
      <c r="H10" s="14" t="str">
        <f aca="false">IF(G10=0,"NOT COVERED",IF(G10&lt;2,"Partial","Covered"))</f>
        <v>Covered</v>
      </c>
      <c r="I10" s="15" t="s">
        <v>2995</v>
      </c>
    </row>
    <row r="11" customFormat="false" ht="22.35" hidden="false" customHeight="false" outlineLevel="0" collapsed="false">
      <c r="A11" s="14" t="s">
        <v>2996</v>
      </c>
      <c r="B11" s="14" t="s">
        <v>2970</v>
      </c>
      <c r="C11" s="15" t="s">
        <v>1144</v>
      </c>
      <c r="D11" s="15" t="s">
        <v>2997</v>
      </c>
      <c r="E11" s="15" t="s">
        <v>1144</v>
      </c>
      <c r="F11" s="15" t="s">
        <v>2998</v>
      </c>
      <c r="G11" s="14" t="n">
        <f aca="false">COUNTIF('Functional Testing'!$S:$S,"*"&amp;$A11&amp;"*")+COUNTIF('Math Validation'!$S:$S,"*"&amp;$A11&amp;"*")+COUNTIF('Feature Testing'!$S:$S,"*"&amp;$A11&amp;"*")+COUNTIF('Edge &amp; Boundary Cases'!$S:$S,"*"&amp;$A11&amp;"*")+COUNTIF('UI-UX Testing'!$S:$S,"*"&amp;$A11&amp;"*")+COUNTIF('Compatibility Testing'!$S:$S,"*"&amp;$A11&amp;"*")+COUNTIF('Interruption &amp; Recovery'!$S:$S,"*"&amp;$A11&amp;"*")+COUNTIF('STR - Transaction Testing'!$S:$S,"*"&amp;$A11&amp;"*")+COUNTIF('Error Handling'!$S:$S,"*"&amp;$A11&amp;"*")</f>
        <v>8</v>
      </c>
      <c r="H11" s="14" t="str">
        <f aca="false">IF(G11=0,"NOT COVERED",IF(G11&lt;2,"Partial","Covered"))</f>
        <v>Covered</v>
      </c>
      <c r="I11" s="15" t="s">
        <v>2999</v>
      </c>
    </row>
    <row r="12" customFormat="false" ht="32.8" hidden="false" customHeight="false" outlineLevel="0" collapsed="false">
      <c r="A12" s="14" t="s">
        <v>3000</v>
      </c>
      <c r="B12" s="14" t="s">
        <v>2970</v>
      </c>
      <c r="C12" s="15" t="s">
        <v>1229</v>
      </c>
      <c r="D12" s="15" t="s">
        <v>3001</v>
      </c>
      <c r="E12" s="15" t="s">
        <v>1229</v>
      </c>
      <c r="F12" s="15" t="s">
        <v>3002</v>
      </c>
      <c r="G12" s="14" t="n">
        <f aca="false">COUNTIF('Functional Testing'!$S:$S,"*"&amp;$A12&amp;"*")+COUNTIF('Math Validation'!$S:$S,"*"&amp;$A12&amp;"*")+COUNTIF('Feature Testing'!$S:$S,"*"&amp;$A12&amp;"*")+COUNTIF('Edge &amp; Boundary Cases'!$S:$S,"*"&amp;$A12&amp;"*")+COUNTIF('UI-UX Testing'!$S:$S,"*"&amp;$A12&amp;"*")+COUNTIF('Compatibility Testing'!$S:$S,"*"&amp;$A12&amp;"*")+COUNTIF('Interruption &amp; Recovery'!$S:$S,"*"&amp;$A12&amp;"*")+COUNTIF('STR - Transaction Testing'!$S:$S,"*"&amp;$A12&amp;"*")+COUNTIF('Error Handling'!$S:$S,"*"&amp;$A12&amp;"*")</f>
        <v>12</v>
      </c>
      <c r="H12" s="14" t="str">
        <f aca="false">IF(G12=0,"NOT COVERED",IF(G12&lt;2,"Partial","Covered"))</f>
        <v>Covered</v>
      </c>
      <c r="I12" s="15"/>
    </row>
    <row r="13" customFormat="false" ht="22.35" hidden="false" customHeight="false" outlineLevel="0" collapsed="false">
      <c r="A13" s="14" t="s">
        <v>3003</v>
      </c>
      <c r="B13" s="14" t="s">
        <v>2970</v>
      </c>
      <c r="C13" s="15" t="s">
        <v>1229</v>
      </c>
      <c r="D13" s="15" t="s">
        <v>3004</v>
      </c>
      <c r="E13" s="15" t="s">
        <v>1229</v>
      </c>
      <c r="F13" s="15" t="s">
        <v>3005</v>
      </c>
      <c r="G13" s="14" t="n">
        <f aca="false">COUNTIF('Functional Testing'!$S:$S,"*"&amp;$A13&amp;"*")+COUNTIF('Math Validation'!$S:$S,"*"&amp;$A13&amp;"*")+COUNTIF('Feature Testing'!$S:$S,"*"&amp;$A13&amp;"*")+COUNTIF('Edge &amp; Boundary Cases'!$S:$S,"*"&amp;$A13&amp;"*")+COUNTIF('UI-UX Testing'!$S:$S,"*"&amp;$A13&amp;"*")+COUNTIF('Compatibility Testing'!$S:$S,"*"&amp;$A13&amp;"*")+COUNTIF('Interruption &amp; Recovery'!$S:$S,"*"&amp;$A13&amp;"*")+COUNTIF('STR - Transaction Testing'!$S:$S,"*"&amp;$A13&amp;"*")+COUNTIF('Error Handling'!$S:$S,"*"&amp;$A13&amp;"*")</f>
        <v>8</v>
      </c>
      <c r="H13" s="14" t="str">
        <f aca="false">IF(G13=0,"NOT COVERED",IF(G13&lt;2,"Partial","Covered"))</f>
        <v>Covered</v>
      </c>
      <c r="I13" s="15" t="s">
        <v>3006</v>
      </c>
    </row>
    <row r="14" customFormat="false" ht="15" hidden="false" customHeight="false" outlineLevel="0" collapsed="false">
      <c r="A14" s="14" t="s">
        <v>3007</v>
      </c>
      <c r="B14" s="14" t="s">
        <v>2970</v>
      </c>
      <c r="C14" s="15" t="s">
        <v>1229</v>
      </c>
      <c r="D14" s="15" t="s">
        <v>3008</v>
      </c>
      <c r="E14" s="15" t="s">
        <v>1229</v>
      </c>
      <c r="F14" s="15" t="s">
        <v>3009</v>
      </c>
      <c r="G14" s="14" t="n">
        <f aca="false">COUNTIF('Functional Testing'!$S:$S,"*"&amp;$A14&amp;"*")+COUNTIF('Math Validation'!$S:$S,"*"&amp;$A14&amp;"*")+COUNTIF('Feature Testing'!$S:$S,"*"&amp;$A14&amp;"*")+COUNTIF('Edge &amp; Boundary Cases'!$S:$S,"*"&amp;$A14&amp;"*")+COUNTIF('UI-UX Testing'!$S:$S,"*"&amp;$A14&amp;"*")+COUNTIF('Compatibility Testing'!$S:$S,"*"&amp;$A14&amp;"*")+COUNTIF('Interruption &amp; Recovery'!$S:$S,"*"&amp;$A14&amp;"*")+COUNTIF('STR - Transaction Testing'!$S:$S,"*"&amp;$A14&amp;"*")+COUNTIF('Error Handling'!$S:$S,"*"&amp;$A14&amp;"*")</f>
        <v>2</v>
      </c>
      <c r="H14" s="14" t="str">
        <f aca="false">IF(G14=0,"NOT COVERED",IF(G14&lt;2,"Partial","Covered"))</f>
        <v>Covered</v>
      </c>
      <c r="I14" s="15" t="s">
        <v>3010</v>
      </c>
    </row>
    <row r="15" customFormat="false" ht="22.35" hidden="false" customHeight="false" outlineLevel="0" collapsed="false">
      <c r="A15" s="14" t="s">
        <v>3011</v>
      </c>
      <c r="B15" s="14" t="s">
        <v>2970</v>
      </c>
      <c r="C15" s="15" t="s">
        <v>1229</v>
      </c>
      <c r="D15" s="15" t="s">
        <v>3012</v>
      </c>
      <c r="E15" s="15" t="s">
        <v>459</v>
      </c>
      <c r="F15" s="15" t="s">
        <v>3013</v>
      </c>
      <c r="G15" s="14" t="n">
        <f aca="false">COUNTIF('Functional Testing'!$S:$S,"*"&amp;$A15&amp;"*")+COUNTIF('Math Validation'!$S:$S,"*"&amp;$A15&amp;"*")+COUNTIF('Feature Testing'!$S:$S,"*"&amp;$A15&amp;"*")+COUNTIF('Edge &amp; Boundary Cases'!$S:$S,"*"&amp;$A15&amp;"*")+COUNTIF('UI-UX Testing'!$S:$S,"*"&amp;$A15&amp;"*")+COUNTIF('Compatibility Testing'!$S:$S,"*"&amp;$A15&amp;"*")+COUNTIF('Interruption &amp; Recovery'!$S:$S,"*"&amp;$A15&amp;"*")+COUNTIF('STR - Transaction Testing'!$S:$S,"*"&amp;$A15&amp;"*")+COUNTIF('Error Handling'!$S:$S,"*"&amp;$A15&amp;"*")</f>
        <v>11</v>
      </c>
      <c r="H15" s="14" t="str">
        <f aca="false">IF(G15=0,"NOT COVERED",IF(G15&lt;2,"Partial","Covered"))</f>
        <v>Covered</v>
      </c>
      <c r="I15" s="15" t="s">
        <v>3014</v>
      </c>
    </row>
    <row r="16" customFormat="false" ht="32.8" hidden="false" customHeight="false" outlineLevel="0" collapsed="false">
      <c r="A16" s="14" t="s">
        <v>3015</v>
      </c>
      <c r="B16" s="14" t="s">
        <v>2970</v>
      </c>
      <c r="C16" s="15" t="s">
        <v>3016</v>
      </c>
      <c r="D16" s="15" t="s">
        <v>3017</v>
      </c>
      <c r="E16" s="15" t="s">
        <v>907</v>
      </c>
      <c r="F16" s="15" t="s">
        <v>3018</v>
      </c>
      <c r="G16" s="14" t="n">
        <f aca="false">COUNTIF('Functional Testing'!$S:$S,"*"&amp;$A16&amp;"*")+COUNTIF('Math Validation'!$S:$S,"*"&amp;$A16&amp;"*")+COUNTIF('Feature Testing'!$S:$S,"*"&amp;$A16&amp;"*")+COUNTIF('Edge &amp; Boundary Cases'!$S:$S,"*"&amp;$A16&amp;"*")+COUNTIF('UI-UX Testing'!$S:$S,"*"&amp;$A16&amp;"*")+COUNTIF('Compatibility Testing'!$S:$S,"*"&amp;$A16&amp;"*")+COUNTIF('Interruption &amp; Recovery'!$S:$S,"*"&amp;$A16&amp;"*")+COUNTIF('STR - Transaction Testing'!$S:$S,"*"&amp;$A16&amp;"*")+COUNTIF('Error Handling'!$S:$S,"*"&amp;$A16&amp;"*")</f>
        <v>11</v>
      </c>
      <c r="H16" s="14" t="str">
        <f aca="false">IF(G16=0,"NOT COVERED",IF(G16&lt;2,"Partial","Covered"))</f>
        <v>Covered</v>
      </c>
      <c r="I16" s="15" t="s">
        <v>3019</v>
      </c>
    </row>
    <row r="17" customFormat="false" ht="22.35" hidden="false" customHeight="false" outlineLevel="0" collapsed="false">
      <c r="A17" s="14" t="s">
        <v>3020</v>
      </c>
      <c r="B17" s="14" t="s">
        <v>2970</v>
      </c>
      <c r="C17" s="15" t="s">
        <v>459</v>
      </c>
      <c r="D17" s="15" t="s">
        <v>3021</v>
      </c>
      <c r="E17" s="15" t="s">
        <v>3022</v>
      </c>
      <c r="F17" s="15" t="s">
        <v>3023</v>
      </c>
      <c r="G17" s="14" t="n">
        <f aca="false">COUNTIF('Functional Testing'!$S:$S,"*"&amp;$A17&amp;"*")+COUNTIF('Math Validation'!$S:$S,"*"&amp;$A17&amp;"*")+COUNTIF('Feature Testing'!$S:$S,"*"&amp;$A17&amp;"*")+COUNTIF('Edge &amp; Boundary Cases'!$S:$S,"*"&amp;$A17&amp;"*")+COUNTIF('UI-UX Testing'!$S:$S,"*"&amp;$A17&amp;"*")+COUNTIF('Compatibility Testing'!$S:$S,"*"&amp;$A17&amp;"*")+COUNTIF('Interruption &amp; Recovery'!$S:$S,"*"&amp;$A17&amp;"*")+COUNTIF('STR - Transaction Testing'!$S:$S,"*"&amp;$A17&amp;"*")+COUNTIF('Error Handling'!$S:$S,"*"&amp;$A17&amp;"*")</f>
        <v>8</v>
      </c>
      <c r="H17" s="14" t="str">
        <f aca="false">IF(G17=0,"NOT COVERED",IF(G17&lt;2,"Partial","Covered"))</f>
        <v>Covered</v>
      </c>
      <c r="I17" s="15" t="s">
        <v>3024</v>
      </c>
    </row>
    <row r="18" customFormat="false" ht="22.35" hidden="false" customHeight="false" outlineLevel="0" collapsed="false">
      <c r="A18" s="14" t="s">
        <v>3025</v>
      </c>
      <c r="B18" s="14" t="s">
        <v>2970</v>
      </c>
      <c r="C18" s="15" t="s">
        <v>459</v>
      </c>
      <c r="D18" s="15" t="s">
        <v>3026</v>
      </c>
      <c r="E18" s="15" t="s">
        <v>459</v>
      </c>
      <c r="F18" s="15" t="s">
        <v>3027</v>
      </c>
      <c r="G18" s="14" t="n">
        <f aca="false">COUNTIF('Functional Testing'!$S:$S,"*"&amp;$A18&amp;"*")+COUNTIF('Math Validation'!$S:$S,"*"&amp;$A18&amp;"*")+COUNTIF('Feature Testing'!$S:$S,"*"&amp;$A18&amp;"*")+COUNTIF('Edge &amp; Boundary Cases'!$S:$S,"*"&amp;$A18&amp;"*")+COUNTIF('UI-UX Testing'!$S:$S,"*"&amp;$A18&amp;"*")+COUNTIF('Compatibility Testing'!$S:$S,"*"&amp;$A18&amp;"*")+COUNTIF('Interruption &amp; Recovery'!$S:$S,"*"&amp;$A18&amp;"*")+COUNTIF('STR - Transaction Testing'!$S:$S,"*"&amp;$A18&amp;"*")+COUNTIF('Error Handling'!$S:$S,"*"&amp;$A18&amp;"*")</f>
        <v>8</v>
      </c>
      <c r="H18" s="14" t="str">
        <f aca="false">IF(G18=0,"NOT COVERED",IF(G18&lt;2,"Partial","Covered"))</f>
        <v>Covered</v>
      </c>
      <c r="I18" s="15"/>
    </row>
    <row r="19" customFormat="false" ht="53.7" hidden="false" customHeight="false" outlineLevel="0" collapsed="false">
      <c r="A19" s="14" t="s">
        <v>3028</v>
      </c>
      <c r="B19" s="14" t="s">
        <v>2970</v>
      </c>
      <c r="C19" s="15" t="s">
        <v>459</v>
      </c>
      <c r="D19" s="15" t="s">
        <v>3029</v>
      </c>
      <c r="E19" s="15" t="s">
        <v>1376</v>
      </c>
      <c r="F19" s="15" t="s">
        <v>3030</v>
      </c>
      <c r="G19" s="14" t="n">
        <f aca="false">COUNTIF('Functional Testing'!$S:$S,"*"&amp;$A19&amp;"*")+COUNTIF('Math Validation'!$S:$S,"*"&amp;$A19&amp;"*")+COUNTIF('Feature Testing'!$S:$S,"*"&amp;$A19&amp;"*")+COUNTIF('Edge &amp; Boundary Cases'!$S:$S,"*"&amp;$A19&amp;"*")+COUNTIF('UI-UX Testing'!$S:$S,"*"&amp;$A19&amp;"*")+COUNTIF('Compatibility Testing'!$S:$S,"*"&amp;$A19&amp;"*")+COUNTIF('Interruption &amp; Recovery'!$S:$S,"*"&amp;$A19&amp;"*")+COUNTIF('STR - Transaction Testing'!$S:$S,"*"&amp;$A19&amp;"*")+COUNTIF('Error Handling'!$S:$S,"*"&amp;$A19&amp;"*")</f>
        <v>27</v>
      </c>
      <c r="H19" s="14" t="str">
        <f aca="false">IF(G19=0,"NOT COVERED",IF(G19&lt;2,"Partial","Covered"))</f>
        <v>Covered</v>
      </c>
      <c r="I19" s="15" t="s">
        <v>3031</v>
      </c>
    </row>
    <row r="20" customFormat="false" ht="43.25" hidden="false" customHeight="false" outlineLevel="0" collapsed="false">
      <c r="A20" s="14" t="s">
        <v>3032</v>
      </c>
      <c r="B20" s="14" t="s">
        <v>2970</v>
      </c>
      <c r="C20" s="15" t="s">
        <v>459</v>
      </c>
      <c r="D20" s="15" t="s">
        <v>3033</v>
      </c>
      <c r="E20" s="15" t="s">
        <v>971</v>
      </c>
      <c r="F20" s="15" t="s">
        <v>3034</v>
      </c>
      <c r="G20" s="14" t="n">
        <f aca="false">COUNTIF('Functional Testing'!$S:$S,"*"&amp;$A20&amp;"*")+COUNTIF('Math Validation'!$S:$S,"*"&amp;$A20&amp;"*")+COUNTIF('Feature Testing'!$S:$S,"*"&amp;$A20&amp;"*")+COUNTIF('Edge &amp; Boundary Cases'!$S:$S,"*"&amp;$A20&amp;"*")+COUNTIF('UI-UX Testing'!$S:$S,"*"&amp;$A20&amp;"*")+COUNTIF('Compatibility Testing'!$S:$S,"*"&amp;$A20&amp;"*")+COUNTIF('Interruption &amp; Recovery'!$S:$S,"*"&amp;$A20&amp;"*")+COUNTIF('STR - Transaction Testing'!$S:$S,"*"&amp;$A20&amp;"*")+COUNTIF('Error Handling'!$S:$S,"*"&amp;$A20&amp;"*")</f>
        <v>21</v>
      </c>
      <c r="H20" s="14" t="str">
        <f aca="false">IF(G20=0,"NOT COVERED",IF(G20&lt;2,"Partial","Covered"))</f>
        <v>Covered</v>
      </c>
      <c r="I20" s="15"/>
    </row>
    <row r="21" customFormat="false" ht="15" hidden="false" customHeight="false" outlineLevel="0" collapsed="false">
      <c r="A21" s="14" t="s">
        <v>3035</v>
      </c>
      <c r="B21" s="14" t="s">
        <v>2970</v>
      </c>
      <c r="C21" s="15" t="s">
        <v>459</v>
      </c>
      <c r="D21" s="15" t="s">
        <v>3036</v>
      </c>
      <c r="E21" s="15" t="s">
        <v>459</v>
      </c>
      <c r="F21" s="15" t="s">
        <v>3037</v>
      </c>
      <c r="G21" s="14" t="n">
        <f aca="false">COUNTIF('Functional Testing'!$S:$S,"*"&amp;$A21&amp;"*")+COUNTIF('Math Validation'!$S:$S,"*"&amp;$A21&amp;"*")+COUNTIF('Feature Testing'!$S:$S,"*"&amp;$A21&amp;"*")+COUNTIF('Edge &amp; Boundary Cases'!$S:$S,"*"&amp;$A21&amp;"*")+COUNTIF('UI-UX Testing'!$S:$S,"*"&amp;$A21&amp;"*")+COUNTIF('Compatibility Testing'!$S:$S,"*"&amp;$A21&amp;"*")+COUNTIF('Interruption &amp; Recovery'!$S:$S,"*"&amp;$A21&amp;"*")+COUNTIF('STR - Transaction Testing'!$S:$S,"*"&amp;$A21&amp;"*")+COUNTIF('Error Handling'!$S:$S,"*"&amp;$A21&amp;"*")</f>
        <v>3</v>
      </c>
      <c r="H21" s="14" t="str">
        <f aca="false">IF(G21=0,"NOT COVERED",IF(G21&lt;2,"Partial","Covered"))</f>
        <v>Covered</v>
      </c>
      <c r="I21" s="15"/>
    </row>
    <row r="22" customFormat="false" ht="22.35" hidden="false" customHeight="false" outlineLevel="0" collapsed="false">
      <c r="A22" s="14" t="s">
        <v>3038</v>
      </c>
      <c r="B22" s="14" t="s">
        <v>2970</v>
      </c>
      <c r="C22" s="15" t="s">
        <v>3039</v>
      </c>
      <c r="D22" s="15" t="s">
        <v>3040</v>
      </c>
      <c r="E22" s="15" t="s">
        <v>3041</v>
      </c>
      <c r="F22" s="15" t="s">
        <v>3042</v>
      </c>
      <c r="G22" s="14" t="n">
        <f aca="false">COUNTIF('Functional Testing'!$S:$S,"*"&amp;$A22&amp;"*")+COUNTIF('Math Validation'!$S:$S,"*"&amp;$A22&amp;"*")+COUNTIF('Feature Testing'!$S:$S,"*"&amp;$A22&amp;"*")+COUNTIF('Edge &amp; Boundary Cases'!$S:$S,"*"&amp;$A22&amp;"*")+COUNTIF('UI-UX Testing'!$S:$S,"*"&amp;$A22&amp;"*")+COUNTIF('Compatibility Testing'!$S:$S,"*"&amp;$A22&amp;"*")+COUNTIF('Interruption &amp; Recovery'!$S:$S,"*"&amp;$A22&amp;"*")+COUNTIF('STR - Transaction Testing'!$S:$S,"*"&amp;$A22&amp;"*")+COUNTIF('Error Handling'!$S:$S,"*"&amp;$A22&amp;"*")</f>
        <v>8</v>
      </c>
      <c r="H22" s="14" t="str">
        <f aca="false">IF(G22=0,"NOT COVERED",IF(G22&lt;2,"Partial","Covered"))</f>
        <v>Covered</v>
      </c>
      <c r="I22" s="15"/>
    </row>
    <row r="23" customFormat="false" ht="22.35" hidden="false" customHeight="false" outlineLevel="0" collapsed="false">
      <c r="A23" s="14" t="s">
        <v>3043</v>
      </c>
      <c r="B23" s="14" t="s">
        <v>2970</v>
      </c>
      <c r="C23" s="15" t="s">
        <v>3039</v>
      </c>
      <c r="D23" s="15" t="s">
        <v>3044</v>
      </c>
      <c r="E23" s="15" t="s">
        <v>186</v>
      </c>
      <c r="F23" s="15" t="s">
        <v>3045</v>
      </c>
      <c r="G23" s="14" t="n">
        <f aca="false">COUNTIF('Functional Testing'!$S:$S,"*"&amp;$A23&amp;"*")+COUNTIF('Math Validation'!$S:$S,"*"&amp;$A23&amp;"*")+COUNTIF('Feature Testing'!$S:$S,"*"&amp;$A23&amp;"*")+COUNTIF('Edge &amp; Boundary Cases'!$S:$S,"*"&amp;$A23&amp;"*")+COUNTIF('UI-UX Testing'!$S:$S,"*"&amp;$A23&amp;"*")+COUNTIF('Compatibility Testing'!$S:$S,"*"&amp;$A23&amp;"*")+COUNTIF('Interruption &amp; Recovery'!$S:$S,"*"&amp;$A23&amp;"*")+COUNTIF('STR - Transaction Testing'!$S:$S,"*"&amp;$A23&amp;"*")+COUNTIF('Error Handling'!$S:$S,"*"&amp;$A23&amp;"*")</f>
        <v>9</v>
      </c>
      <c r="H23" s="14" t="str">
        <f aca="false">IF(G23=0,"NOT COVERED",IF(G23&lt;2,"Partial","Covered"))</f>
        <v>Covered</v>
      </c>
      <c r="I23" s="15"/>
    </row>
    <row r="24" customFormat="false" ht="15" hidden="false" customHeight="false" outlineLevel="0" collapsed="false">
      <c r="A24" s="14" t="s">
        <v>3046</v>
      </c>
      <c r="B24" s="14" t="s">
        <v>2970</v>
      </c>
      <c r="C24" s="15" t="s">
        <v>3039</v>
      </c>
      <c r="D24" s="15" t="s">
        <v>3047</v>
      </c>
      <c r="E24" s="15" t="s">
        <v>186</v>
      </c>
      <c r="F24" s="15" t="s">
        <v>3048</v>
      </c>
      <c r="G24" s="14" t="n">
        <f aca="false">COUNTIF('Functional Testing'!$S:$S,"*"&amp;$A24&amp;"*")+COUNTIF('Math Validation'!$S:$S,"*"&amp;$A24&amp;"*")+COUNTIF('Feature Testing'!$S:$S,"*"&amp;$A24&amp;"*")+COUNTIF('Edge &amp; Boundary Cases'!$S:$S,"*"&amp;$A24&amp;"*")+COUNTIF('UI-UX Testing'!$S:$S,"*"&amp;$A24&amp;"*")+COUNTIF('Compatibility Testing'!$S:$S,"*"&amp;$A24&amp;"*")+COUNTIF('Interruption &amp; Recovery'!$S:$S,"*"&amp;$A24&amp;"*")+COUNTIF('STR - Transaction Testing'!$S:$S,"*"&amp;$A24&amp;"*")+COUNTIF('Error Handling'!$S:$S,"*"&amp;$A24&amp;"*")</f>
        <v>2</v>
      </c>
      <c r="H24" s="14" t="str">
        <f aca="false">IF(G24=0,"NOT COVERED",IF(G24&lt;2,"Partial","Covered"))</f>
        <v>Covered</v>
      </c>
      <c r="I24" s="15"/>
    </row>
    <row r="25" customFormat="false" ht="74.6" hidden="false" customHeight="false" outlineLevel="0" collapsed="false">
      <c r="A25" s="14" t="s">
        <v>3049</v>
      </c>
      <c r="B25" s="14" t="s">
        <v>2970</v>
      </c>
      <c r="C25" s="15" t="s">
        <v>3039</v>
      </c>
      <c r="D25" s="15" t="s">
        <v>3050</v>
      </c>
      <c r="E25" s="15" t="s">
        <v>149</v>
      </c>
      <c r="F25" s="15" t="s">
        <v>3051</v>
      </c>
      <c r="G25" s="14" t="n">
        <f aca="false">COUNTIF('Functional Testing'!$S:$S,"*"&amp;$A25&amp;"*")+COUNTIF('Math Validation'!$S:$S,"*"&amp;$A25&amp;"*")+COUNTIF('Feature Testing'!$S:$S,"*"&amp;$A25&amp;"*")+COUNTIF('Edge &amp; Boundary Cases'!$S:$S,"*"&amp;$A25&amp;"*")+COUNTIF('UI-UX Testing'!$S:$S,"*"&amp;$A25&amp;"*")+COUNTIF('Compatibility Testing'!$S:$S,"*"&amp;$A25&amp;"*")+COUNTIF('Interruption &amp; Recovery'!$S:$S,"*"&amp;$A25&amp;"*")+COUNTIF('STR - Transaction Testing'!$S:$S,"*"&amp;$A25&amp;"*")+COUNTIF('Error Handling'!$S:$S,"*"&amp;$A25&amp;"*")</f>
        <v>36</v>
      </c>
      <c r="H25" s="14" t="str">
        <f aca="false">IF(G25=0,"NOT COVERED",IF(G25&lt;2,"Partial","Covered"))</f>
        <v>Covered</v>
      </c>
      <c r="I25" s="15"/>
    </row>
    <row r="26" customFormat="false" ht="15" hidden="false" customHeight="false" outlineLevel="0" collapsed="false">
      <c r="A26" s="14" t="s">
        <v>3052</v>
      </c>
      <c r="B26" s="14" t="s">
        <v>2970</v>
      </c>
      <c r="C26" s="15" t="s">
        <v>1565</v>
      </c>
      <c r="D26" s="15" t="s">
        <v>3053</v>
      </c>
      <c r="E26" s="15" t="s">
        <v>349</v>
      </c>
      <c r="F26" s="15" t="s">
        <v>372</v>
      </c>
      <c r="G26" s="14" t="n">
        <f aca="false">COUNTIF('Functional Testing'!$S:$S,"*"&amp;$A26&amp;"*")+COUNTIF('Math Validation'!$S:$S,"*"&amp;$A26&amp;"*")+COUNTIF('Feature Testing'!$S:$S,"*"&amp;$A26&amp;"*")+COUNTIF('Edge &amp; Boundary Cases'!$S:$S,"*"&amp;$A26&amp;"*")+COUNTIF('UI-UX Testing'!$S:$S,"*"&amp;$A26&amp;"*")+COUNTIF('Compatibility Testing'!$S:$S,"*"&amp;$A26&amp;"*")+COUNTIF('Interruption &amp; Recovery'!$S:$S,"*"&amp;$A26&amp;"*")+COUNTIF('STR - Transaction Testing'!$S:$S,"*"&amp;$A26&amp;"*")+COUNTIF('Error Handling'!$S:$S,"*"&amp;$A26&amp;"*")</f>
        <v>1</v>
      </c>
      <c r="H26" s="14" t="str">
        <f aca="false">IF(G26=0,"NOT COVERED",IF(G26&lt;2,"Partial","Covered"))</f>
        <v>Partial</v>
      </c>
      <c r="I26" s="15" t="s">
        <v>3054</v>
      </c>
    </row>
    <row r="27" customFormat="false" ht="15" hidden="false" customHeight="false" outlineLevel="0" collapsed="false">
      <c r="A27" s="14" t="s">
        <v>3055</v>
      </c>
      <c r="B27" s="14" t="s">
        <v>2970</v>
      </c>
      <c r="C27" s="15" t="s">
        <v>1565</v>
      </c>
      <c r="D27" s="15" t="s">
        <v>3056</v>
      </c>
      <c r="E27" s="15" t="s">
        <v>349</v>
      </c>
      <c r="F27" s="15" t="s">
        <v>348</v>
      </c>
      <c r="G27" s="14" t="n">
        <f aca="false">COUNTIF('Functional Testing'!$S:$S,"*"&amp;$A27&amp;"*")+COUNTIF('Math Validation'!$S:$S,"*"&amp;$A27&amp;"*")+COUNTIF('Feature Testing'!$S:$S,"*"&amp;$A27&amp;"*")+COUNTIF('Edge &amp; Boundary Cases'!$S:$S,"*"&amp;$A27&amp;"*")+COUNTIF('UI-UX Testing'!$S:$S,"*"&amp;$A27&amp;"*")+COUNTIF('Compatibility Testing'!$S:$S,"*"&amp;$A27&amp;"*")+COUNTIF('Interruption &amp; Recovery'!$S:$S,"*"&amp;$A27&amp;"*")+COUNTIF('STR - Transaction Testing'!$S:$S,"*"&amp;$A27&amp;"*")+COUNTIF('Error Handling'!$S:$S,"*"&amp;$A27&amp;"*")</f>
        <v>1</v>
      </c>
      <c r="H27" s="14" t="str">
        <f aca="false">IF(G27=0,"NOT COVERED",IF(G27&lt;2,"Partial","Covered"))</f>
        <v>Partial</v>
      </c>
      <c r="I27" s="15"/>
    </row>
    <row r="28" customFormat="false" ht="22.35" hidden="false" customHeight="false" outlineLevel="0" collapsed="false">
      <c r="A28" s="14" t="s">
        <v>3057</v>
      </c>
      <c r="B28" s="14" t="s">
        <v>2970</v>
      </c>
      <c r="C28" s="15" t="s">
        <v>1565</v>
      </c>
      <c r="D28" s="15" t="s">
        <v>3058</v>
      </c>
      <c r="E28" s="15" t="s">
        <v>3059</v>
      </c>
      <c r="F28" s="15" t="s">
        <v>3060</v>
      </c>
      <c r="G28" s="14" t="n">
        <f aca="false">COUNTIF('Functional Testing'!$S:$S,"*"&amp;$A28&amp;"*")+COUNTIF('Math Validation'!$S:$S,"*"&amp;$A28&amp;"*")+COUNTIF('Feature Testing'!$S:$S,"*"&amp;$A28&amp;"*")+COUNTIF('Edge &amp; Boundary Cases'!$S:$S,"*"&amp;$A28&amp;"*")+COUNTIF('UI-UX Testing'!$S:$S,"*"&amp;$A28&amp;"*")+COUNTIF('Compatibility Testing'!$S:$S,"*"&amp;$A28&amp;"*")+COUNTIF('Interruption &amp; Recovery'!$S:$S,"*"&amp;$A28&amp;"*")+COUNTIF('STR - Transaction Testing'!$S:$S,"*"&amp;$A28&amp;"*")+COUNTIF('Error Handling'!$S:$S,"*"&amp;$A28&amp;"*")</f>
        <v>10</v>
      </c>
      <c r="H28" s="14" t="str">
        <f aca="false">IF(G28=0,"NOT COVERED",IF(G28&lt;2,"Partial","Covered"))</f>
        <v>Covered</v>
      </c>
      <c r="I28" s="15" t="s">
        <v>3061</v>
      </c>
    </row>
    <row r="29" customFormat="false" ht="15" hidden="false" customHeight="false" outlineLevel="0" collapsed="false">
      <c r="A29" s="14" t="s">
        <v>3062</v>
      </c>
      <c r="B29" s="14" t="s">
        <v>2970</v>
      </c>
      <c r="C29" s="15" t="s">
        <v>1565</v>
      </c>
      <c r="D29" s="15" t="s">
        <v>3063</v>
      </c>
      <c r="E29" s="15" t="s">
        <v>349</v>
      </c>
      <c r="F29" s="15" t="s">
        <v>384</v>
      </c>
      <c r="G29" s="14" t="n">
        <f aca="false">COUNTIF('Functional Testing'!$S:$S,"*"&amp;$A29&amp;"*")+COUNTIF('Math Validation'!$S:$S,"*"&amp;$A29&amp;"*")+COUNTIF('Feature Testing'!$S:$S,"*"&amp;$A29&amp;"*")+COUNTIF('Edge &amp; Boundary Cases'!$S:$S,"*"&amp;$A29&amp;"*")+COUNTIF('UI-UX Testing'!$S:$S,"*"&amp;$A29&amp;"*")+COUNTIF('Compatibility Testing'!$S:$S,"*"&amp;$A29&amp;"*")+COUNTIF('Interruption &amp; Recovery'!$S:$S,"*"&amp;$A29&amp;"*")+COUNTIF('STR - Transaction Testing'!$S:$S,"*"&amp;$A29&amp;"*")+COUNTIF('Error Handling'!$S:$S,"*"&amp;$A29&amp;"*")</f>
        <v>1</v>
      </c>
      <c r="H29" s="14" t="str">
        <f aca="false">IF(G29=0,"NOT COVERED",IF(G29&lt;2,"Partial","Covered"))</f>
        <v>Partial</v>
      </c>
      <c r="I29" s="15" t="s">
        <v>2975</v>
      </c>
    </row>
    <row r="30" customFormat="false" ht="15" hidden="false" customHeight="false" outlineLevel="0" collapsed="false">
      <c r="A30" s="14" t="s">
        <v>3064</v>
      </c>
      <c r="B30" s="14" t="s">
        <v>2970</v>
      </c>
      <c r="C30" s="15" t="s">
        <v>1565</v>
      </c>
      <c r="D30" s="15" t="s">
        <v>3065</v>
      </c>
      <c r="E30" s="15" t="s">
        <v>256</v>
      </c>
      <c r="F30" s="15" t="s">
        <v>3066</v>
      </c>
      <c r="G30" s="14" t="n">
        <f aca="false">COUNTIF('Functional Testing'!$S:$S,"*"&amp;$A30&amp;"*")+COUNTIF('Math Validation'!$S:$S,"*"&amp;$A30&amp;"*")+COUNTIF('Feature Testing'!$S:$S,"*"&amp;$A30&amp;"*")+COUNTIF('Edge &amp; Boundary Cases'!$S:$S,"*"&amp;$A30&amp;"*")+COUNTIF('UI-UX Testing'!$S:$S,"*"&amp;$A30&amp;"*")+COUNTIF('Compatibility Testing'!$S:$S,"*"&amp;$A30&amp;"*")+COUNTIF('Interruption &amp; Recovery'!$S:$S,"*"&amp;$A30&amp;"*")+COUNTIF('STR - Transaction Testing'!$S:$S,"*"&amp;$A30&amp;"*")+COUNTIF('Error Handling'!$S:$S,"*"&amp;$A30&amp;"*")</f>
        <v>2</v>
      </c>
      <c r="H30" s="14" t="str">
        <f aca="false">IF(G30=0,"NOT COVERED",IF(G30&lt;2,"Partial","Covered"))</f>
        <v>Covered</v>
      </c>
      <c r="I30" s="15"/>
    </row>
    <row r="31" customFormat="false" ht="22.35" hidden="false" customHeight="false" outlineLevel="0" collapsed="false">
      <c r="A31" s="14" t="s">
        <v>3067</v>
      </c>
      <c r="B31" s="14" t="s">
        <v>2970</v>
      </c>
      <c r="C31" s="15" t="s">
        <v>3068</v>
      </c>
      <c r="D31" s="15" t="s">
        <v>3069</v>
      </c>
      <c r="E31" s="15" t="s">
        <v>186</v>
      </c>
      <c r="F31" s="15" t="s">
        <v>3070</v>
      </c>
      <c r="G31" s="14" t="n">
        <f aca="false">COUNTIF('Functional Testing'!$S:$S,"*"&amp;$A31&amp;"*")+COUNTIF('Math Validation'!$S:$S,"*"&amp;$A31&amp;"*")+COUNTIF('Feature Testing'!$S:$S,"*"&amp;$A31&amp;"*")+COUNTIF('Edge &amp; Boundary Cases'!$S:$S,"*"&amp;$A31&amp;"*")+COUNTIF('UI-UX Testing'!$S:$S,"*"&amp;$A31&amp;"*")+COUNTIF('Compatibility Testing'!$S:$S,"*"&amp;$A31&amp;"*")+COUNTIF('Interruption &amp; Recovery'!$S:$S,"*"&amp;$A31&amp;"*")+COUNTIF('STR - Transaction Testing'!$S:$S,"*"&amp;$A31&amp;"*")+COUNTIF('Error Handling'!$S:$S,"*"&amp;$A31&amp;"*")</f>
        <v>10</v>
      </c>
      <c r="H31" s="14" t="str">
        <f aca="false">IF(G31=0,"NOT COVERED",IF(G31&lt;2,"Partial","Covered"))</f>
        <v>Covered</v>
      </c>
      <c r="I31" s="15" t="s">
        <v>3071</v>
      </c>
    </row>
    <row r="32" customFormat="false" ht="32.8" hidden="false" customHeight="false" outlineLevel="0" collapsed="false">
      <c r="A32" s="14" t="s">
        <v>3072</v>
      </c>
      <c r="B32" s="14" t="s">
        <v>2970</v>
      </c>
      <c r="C32" s="15" t="s">
        <v>3068</v>
      </c>
      <c r="D32" s="15" t="s">
        <v>3073</v>
      </c>
      <c r="E32" s="15" t="s">
        <v>1061</v>
      </c>
      <c r="F32" s="15" t="s">
        <v>3074</v>
      </c>
      <c r="G32" s="14" t="n">
        <f aca="false">COUNTIF('Functional Testing'!$S:$S,"*"&amp;$A32&amp;"*")+COUNTIF('Math Validation'!$S:$S,"*"&amp;$A32&amp;"*")+COUNTIF('Feature Testing'!$S:$S,"*"&amp;$A32&amp;"*")+COUNTIF('Edge &amp; Boundary Cases'!$S:$S,"*"&amp;$A32&amp;"*")+COUNTIF('UI-UX Testing'!$S:$S,"*"&amp;$A32&amp;"*")+COUNTIF('Compatibility Testing'!$S:$S,"*"&amp;$A32&amp;"*")+COUNTIF('Interruption &amp; Recovery'!$S:$S,"*"&amp;$A32&amp;"*")+COUNTIF('STR - Transaction Testing'!$S:$S,"*"&amp;$A32&amp;"*")+COUNTIF('Error Handling'!$S:$S,"*"&amp;$A32&amp;"*")</f>
        <v>16</v>
      </c>
      <c r="H32" s="14" t="str">
        <f aca="false">IF(G32=0,"NOT COVERED",IF(G32&lt;2,"Partial","Covered"))</f>
        <v>Covered</v>
      </c>
      <c r="I32" s="15" t="s">
        <v>3075</v>
      </c>
    </row>
    <row r="33" customFormat="false" ht="15" hidden="false" customHeight="false" outlineLevel="0" collapsed="false">
      <c r="A33" s="14" t="s">
        <v>3076</v>
      </c>
      <c r="B33" s="14" t="s">
        <v>2970</v>
      </c>
      <c r="C33" s="15" t="s">
        <v>563</v>
      </c>
      <c r="D33" s="15" t="s">
        <v>3077</v>
      </c>
      <c r="E33" s="15" t="s">
        <v>563</v>
      </c>
      <c r="F33" s="15" t="s">
        <v>3078</v>
      </c>
      <c r="G33" s="14" t="n">
        <f aca="false">COUNTIF('Functional Testing'!$S:$S,"*"&amp;$A33&amp;"*")+COUNTIF('Math Validation'!$S:$S,"*"&amp;$A33&amp;"*")+COUNTIF('Feature Testing'!$S:$S,"*"&amp;$A33&amp;"*")+COUNTIF('Edge &amp; Boundary Cases'!$S:$S,"*"&amp;$A33&amp;"*")+COUNTIF('UI-UX Testing'!$S:$S,"*"&amp;$A33&amp;"*")+COUNTIF('Compatibility Testing'!$S:$S,"*"&amp;$A33&amp;"*")+COUNTIF('Interruption &amp; Recovery'!$S:$S,"*"&amp;$A33&amp;"*")+COUNTIF('STR - Transaction Testing'!$S:$S,"*"&amp;$A33&amp;"*")+COUNTIF('Error Handling'!$S:$S,"*"&amp;$A33&amp;"*")</f>
        <v>2</v>
      </c>
      <c r="H33" s="14" t="str">
        <f aca="false">IF(G33=0,"NOT COVERED",IF(G33&lt;2,"Partial","Covered"))</f>
        <v>Covered</v>
      </c>
      <c r="I33" s="15" t="s">
        <v>3079</v>
      </c>
    </row>
    <row r="34" customFormat="false" ht="15" hidden="false" customHeight="false" outlineLevel="0" collapsed="false">
      <c r="A34" s="14" t="s">
        <v>3080</v>
      </c>
      <c r="B34" s="14" t="s">
        <v>2970</v>
      </c>
      <c r="C34" s="15" t="s">
        <v>172</v>
      </c>
      <c r="D34" s="15" t="s">
        <v>3081</v>
      </c>
      <c r="E34" s="15" t="s">
        <v>172</v>
      </c>
      <c r="F34" s="15" t="s">
        <v>3082</v>
      </c>
      <c r="G34" s="14" t="n">
        <f aca="false">COUNTIF('Functional Testing'!$S:$S,"*"&amp;$A34&amp;"*")+COUNTIF('Math Validation'!$S:$S,"*"&amp;$A34&amp;"*")+COUNTIF('Feature Testing'!$S:$S,"*"&amp;$A34&amp;"*")+COUNTIF('Edge &amp; Boundary Cases'!$S:$S,"*"&amp;$A34&amp;"*")+COUNTIF('UI-UX Testing'!$S:$S,"*"&amp;$A34&amp;"*")+COUNTIF('Compatibility Testing'!$S:$S,"*"&amp;$A34&amp;"*")+COUNTIF('Interruption &amp; Recovery'!$S:$S,"*"&amp;$A34&amp;"*")+COUNTIF('STR - Transaction Testing'!$S:$S,"*"&amp;$A34&amp;"*")+COUNTIF('Error Handling'!$S:$S,"*"&amp;$A34&amp;"*")</f>
        <v>4</v>
      </c>
      <c r="H34" s="14" t="str">
        <f aca="false">IF(G34=0,"NOT COVERED",IF(G34&lt;2,"Partial","Covered"))</f>
        <v>Covered</v>
      </c>
      <c r="I34" s="15" t="s">
        <v>3083</v>
      </c>
    </row>
    <row r="35" customFormat="false" ht="43.25" hidden="false" customHeight="false" outlineLevel="0" collapsed="false">
      <c r="A35" s="14" t="s">
        <v>3084</v>
      </c>
      <c r="B35" s="14" t="s">
        <v>2970</v>
      </c>
      <c r="C35" s="15" t="s">
        <v>483</v>
      </c>
      <c r="D35" s="15" t="s">
        <v>3085</v>
      </c>
      <c r="E35" s="15" t="s">
        <v>3086</v>
      </c>
      <c r="F35" s="15" t="s">
        <v>3087</v>
      </c>
      <c r="G35" s="14" t="n">
        <f aca="false">COUNTIF('Functional Testing'!$S:$S,"*"&amp;$A35&amp;"*")+COUNTIF('Math Validation'!$S:$S,"*"&amp;$A35&amp;"*")+COUNTIF('Feature Testing'!$S:$S,"*"&amp;$A35&amp;"*")+COUNTIF('Edge &amp; Boundary Cases'!$S:$S,"*"&amp;$A35&amp;"*")+COUNTIF('UI-UX Testing'!$S:$S,"*"&amp;$A35&amp;"*")+COUNTIF('Compatibility Testing'!$S:$S,"*"&amp;$A35&amp;"*")+COUNTIF('Interruption &amp; Recovery'!$S:$S,"*"&amp;$A35&amp;"*")+COUNTIF('STR - Transaction Testing'!$S:$S,"*"&amp;$A35&amp;"*")+COUNTIF('Error Handling'!$S:$S,"*"&amp;$A35&amp;"*")</f>
        <v>21</v>
      </c>
      <c r="H35" s="14" t="str">
        <f aca="false">IF(G35=0,"NOT COVERED",IF(G35&lt;2,"Partial","Covered"))</f>
        <v>Covered</v>
      </c>
      <c r="I35" s="15" t="s">
        <v>3088</v>
      </c>
    </row>
    <row r="36" customFormat="false" ht="15" hidden="false" customHeight="false" outlineLevel="0" collapsed="false">
      <c r="A36" s="14" t="s">
        <v>3089</v>
      </c>
      <c r="B36" s="14" t="s">
        <v>2970</v>
      </c>
      <c r="C36" s="15" t="s">
        <v>483</v>
      </c>
      <c r="D36" s="15" t="s">
        <v>3090</v>
      </c>
      <c r="E36" s="15" t="s">
        <v>3086</v>
      </c>
      <c r="F36" s="15" t="s">
        <v>3091</v>
      </c>
      <c r="G36" s="14" t="n">
        <f aca="false">COUNTIF('Functional Testing'!$S:$S,"*"&amp;$A36&amp;"*")+COUNTIF('Math Validation'!$S:$S,"*"&amp;$A36&amp;"*")+COUNTIF('Feature Testing'!$S:$S,"*"&amp;$A36&amp;"*")+COUNTIF('Edge &amp; Boundary Cases'!$S:$S,"*"&amp;$A36&amp;"*")+COUNTIF('UI-UX Testing'!$S:$S,"*"&amp;$A36&amp;"*")+COUNTIF('Compatibility Testing'!$S:$S,"*"&amp;$A36&amp;"*")+COUNTIF('Interruption &amp; Recovery'!$S:$S,"*"&amp;$A36&amp;"*")+COUNTIF('STR - Transaction Testing'!$S:$S,"*"&amp;$A36&amp;"*")+COUNTIF('Error Handling'!$S:$S,"*"&amp;$A36&amp;"*")</f>
        <v>4</v>
      </c>
      <c r="H36" s="14" t="str">
        <f aca="false">IF(G36=0,"NOT COVERED",IF(G36&lt;2,"Partial","Covered"))</f>
        <v>Covered</v>
      </c>
      <c r="I36" s="15"/>
    </row>
    <row r="37" customFormat="false" ht="15" hidden="false" customHeight="false" outlineLevel="0" collapsed="false">
      <c r="A37" s="14" t="s">
        <v>3092</v>
      </c>
      <c r="B37" s="14" t="s">
        <v>2970</v>
      </c>
      <c r="C37" s="15" t="s">
        <v>483</v>
      </c>
      <c r="D37" s="15" t="s">
        <v>3093</v>
      </c>
      <c r="E37" s="15" t="s">
        <v>3086</v>
      </c>
      <c r="F37" s="15" t="s">
        <v>3094</v>
      </c>
      <c r="G37" s="14" t="n">
        <f aca="false">COUNTIF('Functional Testing'!$S:$S,"*"&amp;$A37&amp;"*")+COUNTIF('Math Validation'!$S:$S,"*"&amp;$A37&amp;"*")+COUNTIF('Feature Testing'!$S:$S,"*"&amp;$A37&amp;"*")+COUNTIF('Edge &amp; Boundary Cases'!$S:$S,"*"&amp;$A37&amp;"*")+COUNTIF('UI-UX Testing'!$S:$S,"*"&amp;$A37&amp;"*")+COUNTIF('Compatibility Testing'!$S:$S,"*"&amp;$A37&amp;"*")+COUNTIF('Interruption &amp; Recovery'!$S:$S,"*"&amp;$A37&amp;"*")+COUNTIF('STR - Transaction Testing'!$S:$S,"*"&amp;$A37&amp;"*")+COUNTIF('Error Handling'!$S:$S,"*"&amp;$A37&amp;"*")</f>
        <v>2</v>
      </c>
      <c r="H37" s="14" t="str">
        <f aca="false">IF(G37=0,"NOT COVERED",IF(G37&lt;2,"Partial","Covered"))</f>
        <v>Covered</v>
      </c>
      <c r="I37" s="15"/>
    </row>
    <row r="38" customFormat="false" ht="15" hidden="false" customHeight="false" outlineLevel="0" collapsed="false">
      <c r="A38" s="14" t="s">
        <v>3095</v>
      </c>
      <c r="B38" s="14" t="s">
        <v>2970</v>
      </c>
      <c r="C38" s="15" t="s">
        <v>483</v>
      </c>
      <c r="D38" s="15" t="s">
        <v>3096</v>
      </c>
      <c r="E38" s="15" t="s">
        <v>3086</v>
      </c>
      <c r="F38" s="15" t="s">
        <v>522</v>
      </c>
      <c r="G38" s="14" t="n">
        <f aca="false">COUNTIF('Functional Testing'!$S:$S,"*"&amp;$A38&amp;"*")+COUNTIF('Math Validation'!$S:$S,"*"&amp;$A38&amp;"*")+COUNTIF('Feature Testing'!$S:$S,"*"&amp;$A38&amp;"*")+COUNTIF('Edge &amp; Boundary Cases'!$S:$S,"*"&amp;$A38&amp;"*")+COUNTIF('UI-UX Testing'!$S:$S,"*"&amp;$A38&amp;"*")+COUNTIF('Compatibility Testing'!$S:$S,"*"&amp;$A38&amp;"*")+COUNTIF('Interruption &amp; Recovery'!$S:$S,"*"&amp;$A38&amp;"*")+COUNTIF('STR - Transaction Testing'!$S:$S,"*"&amp;$A38&amp;"*")+COUNTIF('Error Handling'!$S:$S,"*"&amp;$A38&amp;"*")</f>
        <v>1</v>
      </c>
      <c r="H38" s="14" t="str">
        <f aca="false">IF(G38=0,"NOT COVERED",IF(G38&lt;2,"Partial","Covered"))</f>
        <v>Partial</v>
      </c>
      <c r="I38" s="15"/>
    </row>
    <row r="39" customFormat="false" ht="32.8" hidden="false" customHeight="false" outlineLevel="0" collapsed="false">
      <c r="A39" s="14" t="s">
        <v>3097</v>
      </c>
      <c r="B39" s="14" t="s">
        <v>2970</v>
      </c>
      <c r="C39" s="15" t="s">
        <v>483</v>
      </c>
      <c r="D39" s="15" t="s">
        <v>3098</v>
      </c>
      <c r="E39" s="15" t="s">
        <v>3086</v>
      </c>
      <c r="F39" s="15" t="s">
        <v>3099</v>
      </c>
      <c r="G39" s="14" t="n">
        <f aca="false">COUNTIF('Functional Testing'!$S:$S,"*"&amp;$A39&amp;"*")+COUNTIF('Math Validation'!$S:$S,"*"&amp;$A39&amp;"*")+COUNTIF('Feature Testing'!$S:$S,"*"&amp;$A39&amp;"*")+COUNTIF('Edge &amp; Boundary Cases'!$S:$S,"*"&amp;$A39&amp;"*")+COUNTIF('UI-UX Testing'!$S:$S,"*"&amp;$A39&amp;"*")+COUNTIF('Compatibility Testing'!$S:$S,"*"&amp;$A39&amp;"*")+COUNTIF('Interruption &amp; Recovery'!$S:$S,"*"&amp;$A39&amp;"*")+COUNTIF('STR - Transaction Testing'!$S:$S,"*"&amp;$A39&amp;"*")+COUNTIF('Error Handling'!$S:$S,"*"&amp;$A39&amp;"*")</f>
        <v>12</v>
      </c>
      <c r="H39" s="14" t="str">
        <f aca="false">IF(G39=0,"NOT COVERED",IF(G39&lt;2,"Partial","Covered"))</f>
        <v>Covered</v>
      </c>
      <c r="I39" s="15"/>
    </row>
    <row r="40" customFormat="false" ht="15" hidden="false" customHeight="false" outlineLevel="0" collapsed="false">
      <c r="A40" s="14" t="s">
        <v>3100</v>
      </c>
      <c r="B40" s="14" t="s">
        <v>2970</v>
      </c>
      <c r="C40" s="15" t="s">
        <v>548</v>
      </c>
      <c r="D40" s="15" t="s">
        <v>3101</v>
      </c>
      <c r="E40" s="15" t="s">
        <v>2660</v>
      </c>
      <c r="F40" s="15" t="s">
        <v>3102</v>
      </c>
      <c r="G40" s="14" t="n">
        <f aca="false">COUNTIF('Functional Testing'!$S:$S,"*"&amp;$A40&amp;"*")+COUNTIF('Math Validation'!$S:$S,"*"&amp;$A40&amp;"*")+COUNTIF('Feature Testing'!$S:$S,"*"&amp;$A40&amp;"*")+COUNTIF('Edge &amp; Boundary Cases'!$S:$S,"*"&amp;$A40&amp;"*")+COUNTIF('UI-UX Testing'!$S:$S,"*"&amp;$A40&amp;"*")+COUNTIF('Compatibility Testing'!$S:$S,"*"&amp;$A40&amp;"*")+COUNTIF('Interruption &amp; Recovery'!$S:$S,"*"&amp;$A40&amp;"*")+COUNTIF('STR - Transaction Testing'!$S:$S,"*"&amp;$A40&amp;"*")+COUNTIF('Error Handling'!$S:$S,"*"&amp;$A40&amp;"*")</f>
        <v>5</v>
      </c>
      <c r="H40" s="14" t="str">
        <f aca="false">IF(G40=0,"NOT COVERED",IF(G40&lt;2,"Partial","Covered"))</f>
        <v>Covered</v>
      </c>
      <c r="I40" s="15" t="s">
        <v>3079</v>
      </c>
    </row>
    <row r="41" customFormat="false" ht="15" hidden="false" customHeight="false" outlineLevel="0" collapsed="false">
      <c r="A41" s="14" t="s">
        <v>3103</v>
      </c>
      <c r="B41" s="14" t="s">
        <v>2970</v>
      </c>
      <c r="C41" s="15" t="s">
        <v>577</v>
      </c>
      <c r="D41" s="15" t="s">
        <v>3104</v>
      </c>
      <c r="E41" s="15" t="s">
        <v>577</v>
      </c>
      <c r="F41" s="15" t="s">
        <v>3105</v>
      </c>
      <c r="G41" s="14" t="n">
        <f aca="false">COUNTIF('Functional Testing'!$S:$S,"*"&amp;$A41&amp;"*")+COUNTIF('Math Validation'!$S:$S,"*"&amp;$A41&amp;"*")+COUNTIF('Feature Testing'!$S:$S,"*"&amp;$A41&amp;"*")+COUNTIF('Edge &amp; Boundary Cases'!$S:$S,"*"&amp;$A41&amp;"*")+COUNTIF('UI-UX Testing'!$S:$S,"*"&amp;$A41&amp;"*")+COUNTIF('Compatibility Testing'!$S:$S,"*"&amp;$A41&amp;"*")+COUNTIF('Interruption &amp; Recovery'!$S:$S,"*"&amp;$A41&amp;"*")+COUNTIF('STR - Transaction Testing'!$S:$S,"*"&amp;$A41&amp;"*")+COUNTIF('Error Handling'!$S:$S,"*"&amp;$A41&amp;"*")</f>
        <v>3</v>
      </c>
      <c r="H41" s="14" t="str">
        <f aca="false">IF(G41=0,"NOT COVERED",IF(G41&lt;2,"Partial","Covered"))</f>
        <v>Covered</v>
      </c>
      <c r="I41" s="15"/>
    </row>
    <row r="42" customFormat="false" ht="15" hidden="false" customHeight="false" outlineLevel="0" collapsed="false">
      <c r="A42" s="14" t="s">
        <v>3106</v>
      </c>
      <c r="B42" s="14" t="s">
        <v>2970</v>
      </c>
      <c r="C42" s="15" t="s">
        <v>577</v>
      </c>
      <c r="D42" s="15" t="s">
        <v>3107</v>
      </c>
      <c r="E42" s="15" t="s">
        <v>577</v>
      </c>
      <c r="F42" s="15" t="s">
        <v>592</v>
      </c>
      <c r="G42" s="14" t="n">
        <f aca="false">COUNTIF('Functional Testing'!$S:$S,"*"&amp;$A42&amp;"*")+COUNTIF('Math Validation'!$S:$S,"*"&amp;$A42&amp;"*")+COUNTIF('Feature Testing'!$S:$S,"*"&amp;$A42&amp;"*")+COUNTIF('Edge &amp; Boundary Cases'!$S:$S,"*"&amp;$A42&amp;"*")+COUNTIF('UI-UX Testing'!$S:$S,"*"&amp;$A42&amp;"*")+COUNTIF('Compatibility Testing'!$S:$S,"*"&amp;$A42&amp;"*")+COUNTIF('Interruption &amp; Recovery'!$S:$S,"*"&amp;$A42&amp;"*")+COUNTIF('STR - Transaction Testing'!$S:$S,"*"&amp;$A42&amp;"*")+COUNTIF('Error Handling'!$S:$S,"*"&amp;$A42&amp;"*")</f>
        <v>1</v>
      </c>
      <c r="H42" s="14" t="str">
        <f aca="false">IF(G42=0,"NOT COVERED",IF(G42&lt;2,"Partial","Covered"))</f>
        <v>Partial</v>
      </c>
      <c r="I42" s="15"/>
    </row>
    <row r="43" customFormat="false" ht="15" hidden="false" customHeight="false" outlineLevel="0" collapsed="false">
      <c r="A43" s="14" t="s">
        <v>3108</v>
      </c>
      <c r="B43" s="14" t="s">
        <v>2970</v>
      </c>
      <c r="C43" s="15" t="s">
        <v>577</v>
      </c>
      <c r="D43" s="15" t="s">
        <v>3109</v>
      </c>
      <c r="E43" s="15" t="s">
        <v>577</v>
      </c>
      <c r="F43" s="15" t="s">
        <v>3110</v>
      </c>
      <c r="G43" s="14" t="n">
        <f aca="false">COUNTIF('Functional Testing'!$S:$S,"*"&amp;$A43&amp;"*")+COUNTIF('Math Validation'!$S:$S,"*"&amp;$A43&amp;"*")+COUNTIF('Feature Testing'!$S:$S,"*"&amp;$A43&amp;"*")+COUNTIF('Edge &amp; Boundary Cases'!$S:$S,"*"&amp;$A43&amp;"*")+COUNTIF('UI-UX Testing'!$S:$S,"*"&amp;$A43&amp;"*")+COUNTIF('Compatibility Testing'!$S:$S,"*"&amp;$A43&amp;"*")+COUNTIF('Interruption &amp; Recovery'!$S:$S,"*"&amp;$A43&amp;"*")+COUNTIF('STR - Transaction Testing'!$S:$S,"*"&amp;$A43&amp;"*")+COUNTIF('Error Handling'!$S:$S,"*"&amp;$A43&amp;"*")</f>
        <v>2</v>
      </c>
      <c r="H43" s="14" t="str">
        <f aca="false">IF(G43=0,"NOT COVERED",IF(G43&lt;2,"Partial","Covered"))</f>
        <v>Covered</v>
      </c>
      <c r="I43" s="15" t="s">
        <v>3111</v>
      </c>
    </row>
    <row r="44" customFormat="false" ht="15" hidden="false" customHeight="false" outlineLevel="0" collapsed="false">
      <c r="A44" s="14" t="s">
        <v>3112</v>
      </c>
      <c r="B44" s="14" t="s">
        <v>2970</v>
      </c>
      <c r="C44" s="15" t="s">
        <v>577</v>
      </c>
      <c r="D44" s="15" t="s">
        <v>3113</v>
      </c>
      <c r="E44" s="15" t="s">
        <v>577</v>
      </c>
      <c r="F44" s="15" t="s">
        <v>3114</v>
      </c>
      <c r="G44" s="14" t="n">
        <f aca="false">COUNTIF('Functional Testing'!$S:$S,"*"&amp;$A44&amp;"*")+COUNTIF('Math Validation'!$S:$S,"*"&amp;$A44&amp;"*")+COUNTIF('Feature Testing'!$S:$S,"*"&amp;$A44&amp;"*")+COUNTIF('Edge &amp; Boundary Cases'!$S:$S,"*"&amp;$A44&amp;"*")+COUNTIF('UI-UX Testing'!$S:$S,"*"&amp;$A44&amp;"*")+COUNTIF('Compatibility Testing'!$S:$S,"*"&amp;$A44&amp;"*")+COUNTIF('Interruption &amp; Recovery'!$S:$S,"*"&amp;$A44&amp;"*")+COUNTIF('STR - Transaction Testing'!$S:$S,"*"&amp;$A44&amp;"*")+COUNTIF('Error Handling'!$S:$S,"*"&amp;$A44&amp;"*")</f>
        <v>2</v>
      </c>
      <c r="H44" s="14" t="str">
        <f aca="false">IF(G44=0,"NOT COVERED",IF(G44&lt;2,"Partial","Covered"))</f>
        <v>Covered</v>
      </c>
      <c r="I44" s="15"/>
    </row>
    <row r="45" customFormat="false" ht="15" hidden="false" customHeight="false" outlineLevel="0" collapsed="false">
      <c r="A45" s="14" t="s">
        <v>3115</v>
      </c>
      <c r="B45" s="14" t="s">
        <v>2970</v>
      </c>
      <c r="C45" s="15" t="s">
        <v>577</v>
      </c>
      <c r="D45" s="15" t="s">
        <v>3116</v>
      </c>
      <c r="E45" s="15" t="s">
        <v>577</v>
      </c>
      <c r="F45" s="15" t="s">
        <v>623</v>
      </c>
      <c r="G45" s="14" t="n">
        <f aca="false">COUNTIF('Functional Testing'!$S:$S,"*"&amp;$A45&amp;"*")+COUNTIF('Math Validation'!$S:$S,"*"&amp;$A45&amp;"*")+COUNTIF('Feature Testing'!$S:$S,"*"&amp;$A45&amp;"*")+COUNTIF('Edge &amp; Boundary Cases'!$S:$S,"*"&amp;$A45&amp;"*")+COUNTIF('UI-UX Testing'!$S:$S,"*"&amp;$A45&amp;"*")+COUNTIF('Compatibility Testing'!$S:$S,"*"&amp;$A45&amp;"*")+COUNTIF('Interruption &amp; Recovery'!$S:$S,"*"&amp;$A45&amp;"*")+COUNTIF('STR - Transaction Testing'!$S:$S,"*"&amp;$A45&amp;"*")+COUNTIF('Error Handling'!$S:$S,"*"&amp;$A45&amp;"*")</f>
        <v>1</v>
      </c>
      <c r="H45" s="14" t="str">
        <f aca="false">IF(G45=0,"NOT COVERED",IF(G45&lt;2,"Partial","Covered"))</f>
        <v>Partial</v>
      </c>
      <c r="I45" s="15"/>
    </row>
    <row r="46" customFormat="false" ht="22.35" hidden="false" customHeight="false" outlineLevel="0" collapsed="false">
      <c r="A46" s="14" t="s">
        <v>3117</v>
      </c>
      <c r="B46" s="14" t="s">
        <v>2970</v>
      </c>
      <c r="C46" s="15" t="s">
        <v>577</v>
      </c>
      <c r="D46" s="15" t="s">
        <v>3118</v>
      </c>
      <c r="E46" s="15" t="s">
        <v>577</v>
      </c>
      <c r="F46" s="15" t="s">
        <v>3119</v>
      </c>
      <c r="G46" s="14" t="n">
        <f aca="false">COUNTIF('Functional Testing'!$S:$S,"*"&amp;$A46&amp;"*")+COUNTIF('Math Validation'!$S:$S,"*"&amp;$A46&amp;"*")+COUNTIF('Feature Testing'!$S:$S,"*"&amp;$A46&amp;"*")+COUNTIF('Edge &amp; Boundary Cases'!$S:$S,"*"&amp;$A46&amp;"*")+COUNTIF('UI-UX Testing'!$S:$S,"*"&amp;$A46&amp;"*")+COUNTIF('Compatibility Testing'!$S:$S,"*"&amp;$A46&amp;"*")+COUNTIF('Interruption &amp; Recovery'!$S:$S,"*"&amp;$A46&amp;"*")+COUNTIF('STR - Transaction Testing'!$S:$S,"*"&amp;$A46&amp;"*")+COUNTIF('Error Handling'!$S:$S,"*"&amp;$A46&amp;"*")</f>
        <v>7</v>
      </c>
      <c r="H46" s="14" t="str">
        <f aca="false">IF(G46=0,"NOT COVERED",IF(G46&lt;2,"Partial","Covered"))</f>
        <v>Covered</v>
      </c>
      <c r="I46" s="15" t="s">
        <v>3120</v>
      </c>
    </row>
    <row r="47" customFormat="false" ht="15" hidden="false" customHeight="false" outlineLevel="0" collapsed="false">
      <c r="A47" s="14" t="s">
        <v>3121</v>
      </c>
      <c r="B47" s="14" t="s">
        <v>2970</v>
      </c>
      <c r="C47" s="15" t="s">
        <v>3122</v>
      </c>
      <c r="D47" s="15" t="s">
        <v>3123</v>
      </c>
      <c r="E47" s="15" t="s">
        <v>149</v>
      </c>
      <c r="F47" s="15" t="s">
        <v>3124</v>
      </c>
      <c r="G47" s="14" t="n">
        <f aca="false">COUNTIF('Functional Testing'!$S:$S,"*"&amp;$A47&amp;"*")+COUNTIF('Math Validation'!$S:$S,"*"&amp;$A47&amp;"*")+COUNTIF('Feature Testing'!$S:$S,"*"&amp;$A47&amp;"*")+COUNTIF('Edge &amp; Boundary Cases'!$S:$S,"*"&amp;$A47&amp;"*")+COUNTIF('UI-UX Testing'!$S:$S,"*"&amp;$A47&amp;"*")+COUNTIF('Compatibility Testing'!$S:$S,"*"&amp;$A47&amp;"*")+COUNTIF('Interruption &amp; Recovery'!$S:$S,"*"&amp;$A47&amp;"*")+COUNTIF('STR - Transaction Testing'!$S:$S,"*"&amp;$A47&amp;"*")+COUNTIF('Error Handling'!$S:$S,"*"&amp;$A47&amp;"*")</f>
        <v>3</v>
      </c>
      <c r="H47" s="14" t="str">
        <f aca="false">IF(G47=0,"NOT COVERED",IF(G47&lt;2,"Partial","Covered"))</f>
        <v>Covered</v>
      </c>
      <c r="I47" s="15"/>
    </row>
    <row r="48" customFormat="false" ht="15" hidden="false" customHeight="false" outlineLevel="0" collapsed="false">
      <c r="A48" s="14" t="s">
        <v>3125</v>
      </c>
      <c r="B48" s="14" t="s">
        <v>2970</v>
      </c>
      <c r="C48" s="15" t="s">
        <v>3122</v>
      </c>
      <c r="D48" s="15" t="s">
        <v>3126</v>
      </c>
      <c r="E48" s="15" t="s">
        <v>186</v>
      </c>
      <c r="F48" s="15" t="s">
        <v>185</v>
      </c>
      <c r="G48" s="14" t="n">
        <f aca="false">COUNTIF('Functional Testing'!$S:$S,"*"&amp;$A48&amp;"*")+COUNTIF('Math Validation'!$S:$S,"*"&amp;$A48&amp;"*")+COUNTIF('Feature Testing'!$S:$S,"*"&amp;$A48&amp;"*")+COUNTIF('Edge &amp; Boundary Cases'!$S:$S,"*"&amp;$A48&amp;"*")+COUNTIF('UI-UX Testing'!$S:$S,"*"&amp;$A48&amp;"*")+COUNTIF('Compatibility Testing'!$S:$S,"*"&amp;$A48&amp;"*")+COUNTIF('Interruption &amp; Recovery'!$S:$S,"*"&amp;$A48&amp;"*")+COUNTIF('STR - Transaction Testing'!$S:$S,"*"&amp;$A48&amp;"*")+COUNTIF('Error Handling'!$S:$S,"*"&amp;$A48&amp;"*")</f>
        <v>1</v>
      </c>
      <c r="H48" s="14" t="str">
        <f aca="false">IF(G48=0,"NOT COVERED",IF(G48&lt;2,"Partial","Covered"))</f>
        <v>Partial</v>
      </c>
      <c r="I48" s="15"/>
    </row>
    <row r="49" customFormat="false" ht="22.35" hidden="false" customHeight="false" outlineLevel="0" collapsed="false">
      <c r="A49" s="14" t="s">
        <v>3127</v>
      </c>
      <c r="B49" s="14" t="s">
        <v>2970</v>
      </c>
      <c r="C49" s="15" t="s">
        <v>3122</v>
      </c>
      <c r="D49" s="15" t="s">
        <v>3128</v>
      </c>
      <c r="E49" s="15" t="s">
        <v>657</v>
      </c>
      <c r="F49" s="15" t="s">
        <v>3129</v>
      </c>
      <c r="G49" s="14" t="n">
        <f aca="false">COUNTIF('Functional Testing'!$S:$S,"*"&amp;$A49&amp;"*")+COUNTIF('Math Validation'!$S:$S,"*"&amp;$A49&amp;"*")+COUNTIF('Feature Testing'!$S:$S,"*"&amp;$A49&amp;"*")+COUNTIF('Edge &amp; Boundary Cases'!$S:$S,"*"&amp;$A49&amp;"*")+COUNTIF('UI-UX Testing'!$S:$S,"*"&amp;$A49&amp;"*")+COUNTIF('Compatibility Testing'!$S:$S,"*"&amp;$A49&amp;"*")+COUNTIF('Interruption &amp; Recovery'!$S:$S,"*"&amp;$A49&amp;"*")+COUNTIF('STR - Transaction Testing'!$S:$S,"*"&amp;$A49&amp;"*")+COUNTIF('Error Handling'!$S:$S,"*"&amp;$A49&amp;"*")</f>
        <v>6</v>
      </c>
      <c r="H49" s="14" t="str">
        <f aca="false">IF(G49=0,"NOT COVERED",IF(G49&lt;2,"Partial","Covered"))</f>
        <v>Covered</v>
      </c>
      <c r="I49" s="15"/>
    </row>
    <row r="50" customFormat="false" ht="15" hidden="false" customHeight="false" outlineLevel="0" collapsed="false">
      <c r="A50" s="14" t="s">
        <v>3130</v>
      </c>
      <c r="B50" s="14" t="s">
        <v>2970</v>
      </c>
      <c r="C50" s="15" t="s">
        <v>3122</v>
      </c>
      <c r="D50" s="15" t="s">
        <v>3131</v>
      </c>
      <c r="E50" s="15" t="s">
        <v>674</v>
      </c>
      <c r="F50" s="15" t="s">
        <v>3132</v>
      </c>
      <c r="G50" s="14" t="n">
        <f aca="false">COUNTIF('Functional Testing'!$S:$S,"*"&amp;$A50&amp;"*")+COUNTIF('Math Validation'!$S:$S,"*"&amp;$A50&amp;"*")+COUNTIF('Feature Testing'!$S:$S,"*"&amp;$A50&amp;"*")+COUNTIF('Edge &amp; Boundary Cases'!$S:$S,"*"&amp;$A50&amp;"*")+COUNTIF('UI-UX Testing'!$S:$S,"*"&amp;$A50&amp;"*")+COUNTIF('Compatibility Testing'!$S:$S,"*"&amp;$A50&amp;"*")+COUNTIF('Interruption &amp; Recovery'!$S:$S,"*"&amp;$A50&amp;"*")+COUNTIF('STR - Transaction Testing'!$S:$S,"*"&amp;$A50&amp;"*")+COUNTIF('Error Handling'!$S:$S,"*"&amp;$A50&amp;"*")</f>
        <v>4</v>
      </c>
      <c r="H50" s="14" t="str">
        <f aca="false">IF(G50=0,"NOT COVERED",IF(G50&lt;2,"Partial","Covered"))</f>
        <v>Covered</v>
      </c>
      <c r="I50" s="15"/>
    </row>
    <row r="51" customFormat="false" ht="15" hidden="false" customHeight="false" outlineLevel="0" collapsed="false">
      <c r="A51" s="14" t="s">
        <v>3133</v>
      </c>
      <c r="B51" s="14" t="s">
        <v>2970</v>
      </c>
      <c r="C51" s="15" t="s">
        <v>3122</v>
      </c>
      <c r="D51" s="15" t="s">
        <v>3134</v>
      </c>
      <c r="E51" s="15" t="s">
        <v>689</v>
      </c>
      <c r="F51" s="15" t="s">
        <v>3135</v>
      </c>
      <c r="G51" s="14" t="n">
        <f aca="false">COUNTIF('Functional Testing'!$S:$S,"*"&amp;$A51&amp;"*")+COUNTIF('Math Validation'!$S:$S,"*"&amp;$A51&amp;"*")+COUNTIF('Feature Testing'!$S:$S,"*"&amp;$A51&amp;"*")+COUNTIF('Edge &amp; Boundary Cases'!$S:$S,"*"&amp;$A51&amp;"*")+COUNTIF('UI-UX Testing'!$S:$S,"*"&amp;$A51&amp;"*")+COUNTIF('Compatibility Testing'!$S:$S,"*"&amp;$A51&amp;"*")+COUNTIF('Interruption &amp; Recovery'!$S:$S,"*"&amp;$A51&amp;"*")+COUNTIF('STR - Transaction Testing'!$S:$S,"*"&amp;$A51&amp;"*")+COUNTIF('Error Handling'!$S:$S,"*"&amp;$A51&amp;"*")</f>
        <v>5</v>
      </c>
      <c r="H51" s="14" t="str">
        <f aca="false">IF(G51=0,"NOT COVERED",IF(G51&lt;2,"Partial","Covered"))</f>
        <v>Covered</v>
      </c>
      <c r="I51" s="15"/>
    </row>
    <row r="52" customFormat="false" ht="22.35" hidden="false" customHeight="false" outlineLevel="0" collapsed="false">
      <c r="A52" s="14" t="s">
        <v>3136</v>
      </c>
      <c r="B52" s="14" t="s">
        <v>2970</v>
      </c>
      <c r="C52" s="15" t="s">
        <v>3122</v>
      </c>
      <c r="D52" s="15" t="s">
        <v>3137</v>
      </c>
      <c r="E52" s="15" t="s">
        <v>2664</v>
      </c>
      <c r="F52" s="15" t="s">
        <v>3138</v>
      </c>
      <c r="G52" s="14" t="n">
        <f aca="false">COUNTIF('Functional Testing'!$S:$S,"*"&amp;$A52&amp;"*")+COUNTIF('Math Validation'!$S:$S,"*"&amp;$A52&amp;"*")+COUNTIF('Feature Testing'!$S:$S,"*"&amp;$A52&amp;"*")+COUNTIF('Edge &amp; Boundary Cases'!$S:$S,"*"&amp;$A52&amp;"*")+COUNTIF('UI-UX Testing'!$S:$S,"*"&amp;$A52&amp;"*")+COUNTIF('Compatibility Testing'!$S:$S,"*"&amp;$A52&amp;"*")+COUNTIF('Interruption &amp; Recovery'!$S:$S,"*"&amp;$A52&amp;"*")+COUNTIF('STR - Transaction Testing'!$S:$S,"*"&amp;$A52&amp;"*")+COUNTIF('Error Handling'!$S:$S,"*"&amp;$A52&amp;"*")</f>
        <v>10</v>
      </c>
      <c r="H52" s="14" t="str">
        <f aca="false">IF(G52=0,"NOT COVERED",IF(G52&lt;2,"Partial","Covered"))</f>
        <v>Covered</v>
      </c>
      <c r="I52" s="15"/>
    </row>
    <row r="53" customFormat="false" ht="32.8" hidden="false" customHeight="false" outlineLevel="0" collapsed="false">
      <c r="A53" s="14" t="s">
        <v>3139</v>
      </c>
      <c r="B53" s="14" t="s">
        <v>2970</v>
      </c>
      <c r="C53" s="15" t="s">
        <v>256</v>
      </c>
      <c r="D53" s="15" t="s">
        <v>3140</v>
      </c>
      <c r="E53" s="15" t="s">
        <v>256</v>
      </c>
      <c r="F53" s="15" t="s">
        <v>3141</v>
      </c>
      <c r="G53" s="14" t="n">
        <f aca="false">COUNTIF('Functional Testing'!$S:$S,"*"&amp;$A53&amp;"*")+COUNTIF('Math Validation'!$S:$S,"*"&amp;$A53&amp;"*")+COUNTIF('Feature Testing'!$S:$S,"*"&amp;$A53&amp;"*")+COUNTIF('Edge &amp; Boundary Cases'!$S:$S,"*"&amp;$A53&amp;"*")+COUNTIF('UI-UX Testing'!$S:$S,"*"&amp;$A53&amp;"*")+COUNTIF('Compatibility Testing'!$S:$S,"*"&amp;$A53&amp;"*")+COUNTIF('Interruption &amp; Recovery'!$S:$S,"*"&amp;$A53&amp;"*")+COUNTIF('STR - Transaction Testing'!$S:$S,"*"&amp;$A53&amp;"*")+COUNTIF('Error Handling'!$S:$S,"*"&amp;$A53&amp;"*")</f>
        <v>13</v>
      </c>
      <c r="H53" s="14" t="str">
        <f aca="false">IF(G53=0,"NOT COVERED",IF(G53&lt;2,"Partial","Covered"))</f>
        <v>Covered</v>
      </c>
      <c r="I53" s="15" t="s">
        <v>3142</v>
      </c>
    </row>
    <row r="54" customFormat="false" ht="15" hidden="false" customHeight="false" outlineLevel="0" collapsed="false">
      <c r="A54" s="14" t="s">
        <v>3143</v>
      </c>
      <c r="B54" s="14" t="s">
        <v>2970</v>
      </c>
      <c r="C54" s="15" t="s">
        <v>256</v>
      </c>
      <c r="D54" s="15" t="s">
        <v>3144</v>
      </c>
      <c r="E54" s="15" t="s">
        <v>256</v>
      </c>
      <c r="F54" s="15" t="s">
        <v>3145</v>
      </c>
      <c r="G54" s="14" t="n">
        <f aca="false">COUNTIF('Functional Testing'!$S:$S,"*"&amp;$A54&amp;"*")+COUNTIF('Math Validation'!$S:$S,"*"&amp;$A54&amp;"*")+COUNTIF('Feature Testing'!$S:$S,"*"&amp;$A54&amp;"*")+COUNTIF('Edge &amp; Boundary Cases'!$S:$S,"*"&amp;$A54&amp;"*")+COUNTIF('UI-UX Testing'!$S:$S,"*"&amp;$A54&amp;"*")+COUNTIF('Compatibility Testing'!$S:$S,"*"&amp;$A54&amp;"*")+COUNTIF('Interruption &amp; Recovery'!$S:$S,"*"&amp;$A54&amp;"*")+COUNTIF('STR - Transaction Testing'!$S:$S,"*"&amp;$A54&amp;"*")+COUNTIF('Error Handling'!$S:$S,"*"&amp;$A54&amp;"*")</f>
        <v>2</v>
      </c>
      <c r="H54" s="14" t="str">
        <f aca="false">IF(G54=0,"NOT COVERED",IF(G54&lt;2,"Partial","Covered"))</f>
        <v>Covered</v>
      </c>
      <c r="I54" s="15"/>
    </row>
    <row r="55" customFormat="false" ht="53.7" hidden="false" customHeight="false" outlineLevel="0" collapsed="false">
      <c r="A55" s="14" t="s">
        <v>3146</v>
      </c>
      <c r="B55" s="14" t="s">
        <v>2970</v>
      </c>
      <c r="C55" s="15" t="s">
        <v>3147</v>
      </c>
      <c r="D55" s="15" t="s">
        <v>3148</v>
      </c>
      <c r="E55" s="15" t="s">
        <v>3149</v>
      </c>
      <c r="F55" s="15" t="s">
        <v>3150</v>
      </c>
      <c r="G55" s="14" t="n">
        <f aca="false">COUNTIF('Functional Testing'!$S:$S,"*"&amp;$A55&amp;"*")+COUNTIF('Math Validation'!$S:$S,"*"&amp;$A55&amp;"*")+COUNTIF('Feature Testing'!$S:$S,"*"&amp;$A55&amp;"*")+COUNTIF('Edge &amp; Boundary Cases'!$S:$S,"*"&amp;$A55&amp;"*")+COUNTIF('UI-UX Testing'!$S:$S,"*"&amp;$A55&amp;"*")+COUNTIF('Compatibility Testing'!$S:$S,"*"&amp;$A55&amp;"*")+COUNTIF('Interruption &amp; Recovery'!$S:$S,"*"&amp;$A55&amp;"*")+COUNTIF('STR - Transaction Testing'!$S:$S,"*"&amp;$A55&amp;"*")+COUNTIF('Error Handling'!$S:$S,"*"&amp;$A55&amp;"*")</f>
        <v>29</v>
      </c>
      <c r="H55" s="14" t="str">
        <f aca="false">IF(G55=0,"NOT COVERED",IF(G55&lt;2,"Partial","Covered"))</f>
        <v>Covered</v>
      </c>
      <c r="I55" s="15" t="s">
        <v>3083</v>
      </c>
    </row>
    <row r="56" customFormat="false" ht="15" hidden="false" customHeight="false" outlineLevel="0" collapsed="false">
      <c r="A56" s="14" t="s">
        <v>3151</v>
      </c>
      <c r="B56" s="14" t="s">
        <v>2970</v>
      </c>
      <c r="C56" s="15" t="s">
        <v>3152</v>
      </c>
      <c r="D56" s="15" t="s">
        <v>3153</v>
      </c>
      <c r="E56" s="15" t="s">
        <v>545</v>
      </c>
      <c r="F56" s="15" t="s">
        <v>3154</v>
      </c>
      <c r="G56" s="14" t="n">
        <f aca="false">COUNTIF('Functional Testing'!$S:$S,"*"&amp;$A56&amp;"*")+COUNTIF('Math Validation'!$S:$S,"*"&amp;$A56&amp;"*")+COUNTIF('Feature Testing'!$S:$S,"*"&amp;$A56&amp;"*")+COUNTIF('Edge &amp; Boundary Cases'!$S:$S,"*"&amp;$A56&amp;"*")+COUNTIF('UI-UX Testing'!$S:$S,"*"&amp;$A56&amp;"*")+COUNTIF('Compatibility Testing'!$S:$S,"*"&amp;$A56&amp;"*")+COUNTIF('Interruption &amp; Recovery'!$S:$S,"*"&amp;$A56&amp;"*")+COUNTIF('STR - Transaction Testing'!$S:$S,"*"&amp;$A56&amp;"*")+COUNTIF('Error Handling'!$S:$S,"*"&amp;$A56&amp;"*")</f>
        <v>2</v>
      </c>
      <c r="H56" s="14" t="str">
        <f aca="false">IF(G56=0,"NOT COVERED",IF(G56&lt;2,"Partial","Covered"))</f>
        <v>Covered</v>
      </c>
      <c r="I56" s="15"/>
    </row>
    <row r="57" customFormat="false" ht="15" hidden="false" customHeight="false" outlineLevel="0" collapsed="false">
      <c r="A57" s="14" t="s">
        <v>3155</v>
      </c>
      <c r="B57" s="14" t="s">
        <v>2970</v>
      </c>
      <c r="C57" s="15" t="s">
        <v>3152</v>
      </c>
      <c r="D57" s="15" t="s">
        <v>3156</v>
      </c>
      <c r="E57" s="15" t="s">
        <v>545</v>
      </c>
      <c r="F57" s="15" t="s">
        <v>3157</v>
      </c>
      <c r="G57" s="14" t="n">
        <f aca="false">COUNTIF('Functional Testing'!$S:$S,"*"&amp;$A57&amp;"*")+COUNTIF('Math Validation'!$S:$S,"*"&amp;$A57&amp;"*")+COUNTIF('Feature Testing'!$S:$S,"*"&amp;$A57&amp;"*")+COUNTIF('Edge &amp; Boundary Cases'!$S:$S,"*"&amp;$A57&amp;"*")+COUNTIF('UI-UX Testing'!$S:$S,"*"&amp;$A57&amp;"*")+COUNTIF('Compatibility Testing'!$S:$S,"*"&amp;$A57&amp;"*")+COUNTIF('Interruption &amp; Recovery'!$S:$S,"*"&amp;$A57&amp;"*")+COUNTIF('STR - Transaction Testing'!$S:$S,"*"&amp;$A57&amp;"*")+COUNTIF('Error Handling'!$S:$S,"*"&amp;$A57&amp;"*")</f>
        <v>3</v>
      </c>
      <c r="H57" s="14" t="str">
        <f aca="false">IF(G57=0,"NOT COVERED",IF(G57&lt;2,"Partial","Covered"))</f>
        <v>Covered</v>
      </c>
      <c r="I57" s="15" t="s">
        <v>3071</v>
      </c>
    </row>
    <row r="58" customFormat="false" ht="15" hidden="false" customHeight="false" outlineLevel="0" collapsed="false">
      <c r="A58" s="14" t="s">
        <v>3158</v>
      </c>
      <c r="B58" s="14" t="s">
        <v>2970</v>
      </c>
      <c r="C58" s="15" t="s">
        <v>3152</v>
      </c>
      <c r="D58" s="15" t="s">
        <v>3159</v>
      </c>
      <c r="E58" s="15" t="s">
        <v>545</v>
      </c>
      <c r="F58" s="15" t="s">
        <v>3160</v>
      </c>
      <c r="G58" s="14" t="n">
        <f aca="false">COUNTIF('Functional Testing'!$S:$S,"*"&amp;$A58&amp;"*")+COUNTIF('Math Validation'!$S:$S,"*"&amp;$A58&amp;"*")+COUNTIF('Feature Testing'!$S:$S,"*"&amp;$A58&amp;"*")+COUNTIF('Edge &amp; Boundary Cases'!$S:$S,"*"&amp;$A58&amp;"*")+COUNTIF('UI-UX Testing'!$S:$S,"*"&amp;$A58&amp;"*")+COUNTIF('Compatibility Testing'!$S:$S,"*"&amp;$A58&amp;"*")+COUNTIF('Interruption &amp; Recovery'!$S:$S,"*"&amp;$A58&amp;"*")+COUNTIF('STR - Transaction Testing'!$S:$S,"*"&amp;$A58&amp;"*")+COUNTIF('Error Handling'!$S:$S,"*"&amp;$A58&amp;"*")</f>
        <v>3</v>
      </c>
      <c r="H58" s="14" t="str">
        <f aca="false">IF(G58=0,"NOT COVERED",IF(G58&lt;2,"Partial","Covered"))</f>
        <v>Covered</v>
      </c>
      <c r="I58" s="15" t="s">
        <v>3161</v>
      </c>
    </row>
    <row r="59" customFormat="false" ht="126.85" hidden="false" customHeight="false" outlineLevel="0" collapsed="false">
      <c r="A59" s="14" t="s">
        <v>3162</v>
      </c>
      <c r="B59" s="14" t="s">
        <v>2970</v>
      </c>
      <c r="C59" s="15" t="s">
        <v>3152</v>
      </c>
      <c r="D59" s="15" t="s">
        <v>3163</v>
      </c>
      <c r="E59" s="15" t="s">
        <v>1214</v>
      </c>
      <c r="F59" s="15" t="s">
        <v>3164</v>
      </c>
      <c r="G59" s="14" t="n">
        <f aca="false">COUNTIF('Functional Testing'!$S:$S,"*"&amp;$A59&amp;"*")+COUNTIF('Math Validation'!$S:$S,"*"&amp;$A59&amp;"*")+COUNTIF('Feature Testing'!$S:$S,"*"&amp;$A59&amp;"*")+COUNTIF('Edge &amp; Boundary Cases'!$S:$S,"*"&amp;$A59&amp;"*")+COUNTIF('UI-UX Testing'!$S:$S,"*"&amp;$A59&amp;"*")+COUNTIF('Compatibility Testing'!$S:$S,"*"&amp;$A59&amp;"*")+COUNTIF('Interruption &amp; Recovery'!$S:$S,"*"&amp;$A59&amp;"*")+COUNTIF('STR - Transaction Testing'!$S:$S,"*"&amp;$A59&amp;"*")+COUNTIF('Error Handling'!$S:$S,"*"&amp;$A59&amp;"*")</f>
        <v>65</v>
      </c>
      <c r="H59" s="14" t="str">
        <f aca="false">IF(G59=0,"NOT COVERED",IF(G59&lt;2,"Partial","Covered"))</f>
        <v>Covered</v>
      </c>
      <c r="I59" s="15"/>
    </row>
    <row r="60" customFormat="false" ht="15" hidden="false" customHeight="false" outlineLevel="0" collapsed="false">
      <c r="A60" s="14" t="s">
        <v>3165</v>
      </c>
      <c r="B60" s="14" t="s">
        <v>2970</v>
      </c>
      <c r="C60" s="15" t="s">
        <v>3152</v>
      </c>
      <c r="D60" s="15" t="s">
        <v>3166</v>
      </c>
      <c r="E60" s="15" t="s">
        <v>1214</v>
      </c>
      <c r="F60" s="15" t="s">
        <v>1761</v>
      </c>
      <c r="G60" s="14" t="n">
        <f aca="false">COUNTIF('Functional Testing'!$S:$S,"*"&amp;$A60&amp;"*")+COUNTIF('Math Validation'!$S:$S,"*"&amp;$A60&amp;"*")+COUNTIF('Feature Testing'!$S:$S,"*"&amp;$A60&amp;"*")+COUNTIF('Edge &amp; Boundary Cases'!$S:$S,"*"&amp;$A60&amp;"*")+COUNTIF('UI-UX Testing'!$S:$S,"*"&amp;$A60&amp;"*")+COUNTIF('Compatibility Testing'!$S:$S,"*"&amp;$A60&amp;"*")+COUNTIF('Interruption &amp; Recovery'!$S:$S,"*"&amp;$A60&amp;"*")+COUNTIF('STR - Transaction Testing'!$S:$S,"*"&amp;$A60&amp;"*")+COUNTIF('Error Handling'!$S:$S,"*"&amp;$A60&amp;"*")</f>
        <v>1</v>
      </c>
      <c r="H60" s="14" t="str">
        <f aca="false">IF(G60=0,"NOT COVERED",IF(G60&lt;2,"Partial","Covered"))</f>
        <v>Partial</v>
      </c>
      <c r="I60" s="15"/>
    </row>
    <row r="61" customFormat="false" ht="15" hidden="false" customHeight="false" outlineLevel="0" collapsed="false">
      <c r="A61" s="14" t="s">
        <v>3167</v>
      </c>
      <c r="B61" s="14" t="s">
        <v>2970</v>
      </c>
      <c r="C61" s="15" t="s">
        <v>3152</v>
      </c>
      <c r="D61" s="15" t="s">
        <v>3168</v>
      </c>
      <c r="E61" s="15" t="s">
        <v>1214</v>
      </c>
      <c r="F61" s="15" t="s">
        <v>3169</v>
      </c>
      <c r="G61" s="14" t="n">
        <f aca="false">COUNTIF('Functional Testing'!$S:$S,"*"&amp;$A61&amp;"*")+COUNTIF('Math Validation'!$S:$S,"*"&amp;$A61&amp;"*")+COUNTIF('Feature Testing'!$S:$S,"*"&amp;$A61&amp;"*")+COUNTIF('Edge &amp; Boundary Cases'!$S:$S,"*"&amp;$A61&amp;"*")+COUNTIF('UI-UX Testing'!$S:$S,"*"&amp;$A61&amp;"*")+COUNTIF('Compatibility Testing'!$S:$S,"*"&amp;$A61&amp;"*")+COUNTIF('Interruption &amp; Recovery'!$S:$S,"*"&amp;$A61&amp;"*")+COUNTIF('STR - Transaction Testing'!$S:$S,"*"&amp;$A61&amp;"*")+COUNTIF('Error Handling'!$S:$S,"*"&amp;$A61&amp;"*")</f>
        <v>3</v>
      </c>
      <c r="H61" s="14" t="str">
        <f aca="false">IF(G61=0,"NOT COVERED",IF(G61&lt;2,"Partial","Covered"))</f>
        <v>Covered</v>
      </c>
      <c r="I61" s="15" t="s">
        <v>3170</v>
      </c>
    </row>
    <row r="62" customFormat="false" ht="15" hidden="false" customHeight="false" outlineLevel="0" collapsed="false">
      <c r="A62" s="14" t="s">
        <v>3171</v>
      </c>
      <c r="B62" s="14" t="s">
        <v>2970</v>
      </c>
      <c r="C62" s="15" t="s">
        <v>3152</v>
      </c>
      <c r="D62" s="15" t="s">
        <v>3172</v>
      </c>
      <c r="E62" s="15" t="s">
        <v>545</v>
      </c>
      <c r="F62" s="15" t="s">
        <v>3173</v>
      </c>
      <c r="G62" s="14" t="n">
        <f aca="false">COUNTIF('Functional Testing'!$S:$S,"*"&amp;$A62&amp;"*")+COUNTIF('Math Validation'!$S:$S,"*"&amp;$A62&amp;"*")+COUNTIF('Feature Testing'!$S:$S,"*"&amp;$A62&amp;"*")+COUNTIF('Edge &amp; Boundary Cases'!$S:$S,"*"&amp;$A62&amp;"*")+COUNTIF('UI-UX Testing'!$S:$S,"*"&amp;$A62&amp;"*")+COUNTIF('Compatibility Testing'!$S:$S,"*"&amp;$A62&amp;"*")+COUNTIF('Interruption &amp; Recovery'!$S:$S,"*"&amp;$A62&amp;"*")+COUNTIF('STR - Transaction Testing'!$S:$S,"*"&amp;$A62&amp;"*")+COUNTIF('Error Handling'!$S:$S,"*"&amp;$A62&amp;"*")</f>
        <v>2</v>
      </c>
      <c r="H62" s="14" t="str">
        <f aca="false">IF(G62=0,"NOT COVERED",IF(G62&lt;2,"Partial","Covered"))</f>
        <v>Covered</v>
      </c>
      <c r="I62" s="15" t="s">
        <v>3174</v>
      </c>
    </row>
    <row r="63" customFormat="false" ht="22.35" hidden="false" customHeight="false" outlineLevel="0" collapsed="false">
      <c r="A63" s="14" t="s">
        <v>3175</v>
      </c>
      <c r="B63" s="14" t="s">
        <v>1118</v>
      </c>
      <c r="C63" s="15" t="s">
        <v>3176</v>
      </c>
      <c r="D63" s="15" t="s">
        <v>3177</v>
      </c>
      <c r="E63" s="15" t="s">
        <v>739</v>
      </c>
      <c r="F63" s="15" t="s">
        <v>3178</v>
      </c>
      <c r="G63" s="14" t="n">
        <f aca="false">COUNTIF('Functional Testing'!$S:$S,"*"&amp;$A63&amp;"*")+COUNTIF('Math Validation'!$S:$S,"*"&amp;$A63&amp;"*")+COUNTIF('Feature Testing'!$S:$S,"*"&amp;$A63&amp;"*")+COUNTIF('Edge &amp; Boundary Cases'!$S:$S,"*"&amp;$A63&amp;"*")+COUNTIF('UI-UX Testing'!$S:$S,"*"&amp;$A63&amp;"*")+COUNTIF('Compatibility Testing'!$S:$S,"*"&amp;$A63&amp;"*")+COUNTIF('Interruption &amp; Recovery'!$S:$S,"*"&amp;$A63&amp;"*")+COUNTIF('STR - Transaction Testing'!$S:$S,"*"&amp;$A63&amp;"*")+COUNTIF('Error Handling'!$S:$S,"*"&amp;$A63&amp;"*")</f>
        <v>6</v>
      </c>
      <c r="H63" s="14" t="str">
        <f aca="false">IF(G63=0,"NOT COVERED",IF(G63&lt;2,"Partial","Covered"))</f>
        <v>Covered</v>
      </c>
      <c r="I63" s="15" t="s">
        <v>3179</v>
      </c>
    </row>
    <row r="64" customFormat="false" ht="15" hidden="false" customHeight="false" outlineLevel="0" collapsed="false">
      <c r="A64" s="14" t="s">
        <v>3180</v>
      </c>
      <c r="B64" s="14" t="s">
        <v>1118</v>
      </c>
      <c r="C64" s="15" t="s">
        <v>3181</v>
      </c>
      <c r="D64" s="15" t="s">
        <v>3182</v>
      </c>
      <c r="E64" s="15" t="s">
        <v>791</v>
      </c>
      <c r="F64" s="15" t="s">
        <v>790</v>
      </c>
      <c r="G64" s="14" t="n">
        <f aca="false">COUNTIF('Functional Testing'!$S:$S,"*"&amp;$A64&amp;"*")+COUNTIF('Math Validation'!$S:$S,"*"&amp;$A64&amp;"*")+COUNTIF('Feature Testing'!$S:$S,"*"&amp;$A64&amp;"*")+COUNTIF('Edge &amp; Boundary Cases'!$S:$S,"*"&amp;$A64&amp;"*")+COUNTIF('UI-UX Testing'!$S:$S,"*"&amp;$A64&amp;"*")+COUNTIF('Compatibility Testing'!$S:$S,"*"&amp;$A64&amp;"*")+COUNTIF('Interruption &amp; Recovery'!$S:$S,"*"&amp;$A64&amp;"*")+COUNTIF('STR - Transaction Testing'!$S:$S,"*"&amp;$A64&amp;"*")+COUNTIF('Error Handling'!$S:$S,"*"&amp;$A64&amp;"*")</f>
        <v>1</v>
      </c>
      <c r="H64" s="14" t="str">
        <f aca="false">IF(G64=0,"NOT COVERED",IF(G64&lt;2,"Partial","Covered"))</f>
        <v>Partial</v>
      </c>
      <c r="I64" s="15"/>
    </row>
    <row r="65" customFormat="false" ht="15" hidden="false" customHeight="false" outlineLevel="0" collapsed="false">
      <c r="A65" s="14" t="s">
        <v>3183</v>
      </c>
      <c r="B65" s="14" t="s">
        <v>1118</v>
      </c>
      <c r="C65" s="15" t="s">
        <v>3184</v>
      </c>
      <c r="D65" s="15" t="s">
        <v>3185</v>
      </c>
      <c r="E65" s="15" t="s">
        <v>806</v>
      </c>
      <c r="F65" s="15" t="s">
        <v>3186</v>
      </c>
      <c r="G65" s="14" t="n">
        <f aca="false">COUNTIF('Functional Testing'!$S:$S,"*"&amp;$A65&amp;"*")+COUNTIF('Math Validation'!$S:$S,"*"&amp;$A65&amp;"*")+COUNTIF('Feature Testing'!$S:$S,"*"&amp;$A65&amp;"*")+COUNTIF('Edge &amp; Boundary Cases'!$S:$S,"*"&amp;$A65&amp;"*")+COUNTIF('UI-UX Testing'!$S:$S,"*"&amp;$A65&amp;"*")+COUNTIF('Compatibility Testing'!$S:$S,"*"&amp;$A65&amp;"*")+COUNTIF('Interruption &amp; Recovery'!$S:$S,"*"&amp;$A65&amp;"*")+COUNTIF('STR - Transaction Testing'!$S:$S,"*"&amp;$A65&amp;"*")+COUNTIF('Error Handling'!$S:$S,"*"&amp;$A65&amp;"*")</f>
        <v>2</v>
      </c>
      <c r="H65" s="14" t="str">
        <f aca="false">IF(G65=0,"NOT COVERED",IF(G65&lt;2,"Partial","Covered"))</f>
        <v>Covered</v>
      </c>
      <c r="I65" s="15"/>
    </row>
    <row r="66" customFormat="false" ht="15" hidden="false" customHeight="false" outlineLevel="0" collapsed="false">
      <c r="A66" s="14" t="s">
        <v>3187</v>
      </c>
      <c r="B66" s="14" t="s">
        <v>1118</v>
      </c>
      <c r="C66" s="15" t="s">
        <v>3188</v>
      </c>
      <c r="D66" s="15" t="s">
        <v>3189</v>
      </c>
      <c r="E66" s="15" t="s">
        <v>1061</v>
      </c>
      <c r="F66" s="15" t="s">
        <v>3190</v>
      </c>
      <c r="G66" s="14" t="n">
        <f aca="false">COUNTIF('Functional Testing'!$S:$S,"*"&amp;$A66&amp;"*")+COUNTIF('Math Validation'!$S:$S,"*"&amp;$A66&amp;"*")+COUNTIF('Feature Testing'!$S:$S,"*"&amp;$A66&amp;"*")+COUNTIF('Edge &amp; Boundary Cases'!$S:$S,"*"&amp;$A66&amp;"*")+COUNTIF('UI-UX Testing'!$S:$S,"*"&amp;$A66&amp;"*")+COUNTIF('Compatibility Testing'!$S:$S,"*"&amp;$A66&amp;"*")+COUNTIF('Interruption &amp; Recovery'!$S:$S,"*"&amp;$A66&amp;"*")+COUNTIF('STR - Transaction Testing'!$S:$S,"*"&amp;$A66&amp;"*")+COUNTIF('Error Handling'!$S:$S,"*"&amp;$A66&amp;"*")</f>
        <v>2</v>
      </c>
      <c r="H66" s="14" t="str">
        <f aca="false">IF(G66=0,"NOT COVERED",IF(G66&lt;2,"Partial","Covered"))</f>
        <v>Covered</v>
      </c>
      <c r="I66" s="15" t="s">
        <v>3191</v>
      </c>
    </row>
    <row r="67" customFormat="false" ht="53.7" hidden="false" customHeight="false" outlineLevel="0" collapsed="false">
      <c r="A67" s="14" t="s">
        <v>3192</v>
      </c>
      <c r="B67" s="14" t="s">
        <v>1118</v>
      </c>
      <c r="C67" s="15" t="s">
        <v>3193</v>
      </c>
      <c r="D67" s="15" t="s">
        <v>3194</v>
      </c>
      <c r="E67" s="15" t="s">
        <v>256</v>
      </c>
      <c r="F67" s="15" t="s">
        <v>3195</v>
      </c>
      <c r="G67" s="14" t="n">
        <f aca="false">COUNTIF('Functional Testing'!$S:$S,"*"&amp;$A67&amp;"*")+COUNTIF('Math Validation'!$S:$S,"*"&amp;$A67&amp;"*")+COUNTIF('Feature Testing'!$S:$S,"*"&amp;$A67&amp;"*")+COUNTIF('Edge &amp; Boundary Cases'!$S:$S,"*"&amp;$A67&amp;"*")+COUNTIF('UI-UX Testing'!$S:$S,"*"&amp;$A67&amp;"*")+COUNTIF('Compatibility Testing'!$S:$S,"*"&amp;$A67&amp;"*")+COUNTIF('Interruption &amp; Recovery'!$S:$S,"*"&amp;$A67&amp;"*")+COUNTIF('STR - Transaction Testing'!$S:$S,"*"&amp;$A67&amp;"*")+COUNTIF('Error Handling'!$S:$S,"*"&amp;$A67&amp;"*")</f>
        <v>27</v>
      </c>
      <c r="H67" s="14" t="str">
        <f aca="false">IF(G67=0,"NOT COVERED",IF(G67&lt;2,"Partial","Covered"))</f>
        <v>Covered</v>
      </c>
      <c r="I67" s="15" t="s">
        <v>3196</v>
      </c>
    </row>
    <row r="68" customFormat="false" ht="22.35" hidden="false" customHeight="false" outlineLevel="0" collapsed="false">
      <c r="A68" s="14" t="s">
        <v>3197</v>
      </c>
      <c r="B68" s="14" t="s">
        <v>1118</v>
      </c>
      <c r="C68" s="15" t="s">
        <v>3198</v>
      </c>
      <c r="D68" s="15" t="s">
        <v>3199</v>
      </c>
      <c r="E68" s="15" t="s">
        <v>2973</v>
      </c>
      <c r="F68" s="15" t="s">
        <v>3200</v>
      </c>
      <c r="G68" s="14" t="n">
        <f aca="false">COUNTIF('Functional Testing'!$S:$S,"*"&amp;$A68&amp;"*")+COUNTIF('Math Validation'!$S:$S,"*"&amp;$A68&amp;"*")+COUNTIF('Feature Testing'!$S:$S,"*"&amp;$A68&amp;"*")+COUNTIF('Edge &amp; Boundary Cases'!$S:$S,"*"&amp;$A68&amp;"*")+COUNTIF('UI-UX Testing'!$S:$S,"*"&amp;$A68&amp;"*")+COUNTIF('Compatibility Testing'!$S:$S,"*"&amp;$A68&amp;"*")+COUNTIF('Interruption &amp; Recovery'!$S:$S,"*"&amp;$A68&amp;"*")+COUNTIF('STR - Transaction Testing'!$S:$S,"*"&amp;$A68&amp;"*")+COUNTIF('Error Handling'!$S:$S,"*"&amp;$A68&amp;"*")</f>
        <v>7</v>
      </c>
      <c r="H68" s="14" t="str">
        <f aca="false">IF(G68=0,"NOT COVERED",IF(G68&lt;2,"Partial","Covered"))</f>
        <v>Covered</v>
      </c>
      <c r="I68" s="15"/>
    </row>
    <row r="69" customFormat="false" ht="22.35" hidden="false" customHeight="false" outlineLevel="0" collapsed="false">
      <c r="A69" s="14" t="s">
        <v>3201</v>
      </c>
      <c r="B69" s="14" t="s">
        <v>1118</v>
      </c>
      <c r="C69" s="15" t="s">
        <v>3202</v>
      </c>
      <c r="D69" s="15" t="s">
        <v>3203</v>
      </c>
      <c r="E69" s="15" t="s">
        <v>401</v>
      </c>
      <c r="F69" s="15" t="s">
        <v>3204</v>
      </c>
      <c r="G69" s="14" t="n">
        <f aca="false">COUNTIF('Functional Testing'!$S:$S,"*"&amp;$A69&amp;"*")+COUNTIF('Math Validation'!$S:$S,"*"&amp;$A69&amp;"*")+COUNTIF('Feature Testing'!$S:$S,"*"&amp;$A69&amp;"*")+COUNTIF('Edge &amp; Boundary Cases'!$S:$S,"*"&amp;$A69&amp;"*")+COUNTIF('UI-UX Testing'!$S:$S,"*"&amp;$A69&amp;"*")+COUNTIF('Compatibility Testing'!$S:$S,"*"&amp;$A69&amp;"*")+COUNTIF('Interruption &amp; Recovery'!$S:$S,"*"&amp;$A69&amp;"*")+COUNTIF('STR - Transaction Testing'!$S:$S,"*"&amp;$A69&amp;"*")+COUNTIF('Error Handling'!$S:$S,"*"&amp;$A69&amp;"*")</f>
        <v>10</v>
      </c>
      <c r="H69" s="14" t="str">
        <f aca="false">IF(G69=0,"NOT COVERED",IF(G69&lt;2,"Partial","Covered"))</f>
        <v>Covered</v>
      </c>
      <c r="I69" s="15" t="s">
        <v>3205</v>
      </c>
    </row>
    <row r="70" customFormat="false" ht="22.35" hidden="false" customHeight="false" outlineLevel="0" collapsed="false">
      <c r="A70" s="14" t="s">
        <v>3206</v>
      </c>
      <c r="B70" s="14" t="s">
        <v>1118</v>
      </c>
      <c r="C70" s="15" t="s">
        <v>3207</v>
      </c>
      <c r="D70" s="15" t="s">
        <v>3208</v>
      </c>
      <c r="E70" s="15" t="s">
        <v>1607</v>
      </c>
      <c r="F70" s="15" t="s">
        <v>3209</v>
      </c>
      <c r="G70" s="14" t="n">
        <f aca="false">COUNTIF('Functional Testing'!$S:$S,"*"&amp;$A70&amp;"*")+COUNTIF('Math Validation'!$S:$S,"*"&amp;$A70&amp;"*")+COUNTIF('Feature Testing'!$S:$S,"*"&amp;$A70&amp;"*")+COUNTIF('Edge &amp; Boundary Cases'!$S:$S,"*"&amp;$A70&amp;"*")+COUNTIF('UI-UX Testing'!$S:$S,"*"&amp;$A70&amp;"*")+COUNTIF('Compatibility Testing'!$S:$S,"*"&amp;$A70&amp;"*")+COUNTIF('Interruption &amp; Recovery'!$S:$S,"*"&amp;$A70&amp;"*")+COUNTIF('STR - Transaction Testing'!$S:$S,"*"&amp;$A70&amp;"*")+COUNTIF('Error Handling'!$S:$S,"*"&amp;$A70&amp;"*")</f>
        <v>7</v>
      </c>
      <c r="H70" s="14" t="str">
        <f aca="false">IF(G70=0,"NOT COVERED",IF(G70&lt;2,"Partial","Covered"))</f>
        <v>Covered</v>
      </c>
      <c r="I70" s="15" t="s">
        <v>3024</v>
      </c>
    </row>
    <row r="71" customFormat="false" ht="15" hidden="false" customHeight="false" outlineLevel="0" collapsed="false">
      <c r="A71" s="14" t="s">
        <v>3210</v>
      </c>
      <c r="B71" s="14" t="s">
        <v>1118</v>
      </c>
      <c r="C71" s="15" t="s">
        <v>3211</v>
      </c>
      <c r="D71" s="15" t="s">
        <v>3212</v>
      </c>
      <c r="E71" s="15" t="s">
        <v>829</v>
      </c>
      <c r="F71" s="15" t="s">
        <v>3213</v>
      </c>
      <c r="G71" s="14" t="n">
        <f aca="false">COUNTIF('Functional Testing'!$S:$S,"*"&amp;$A71&amp;"*")+COUNTIF('Math Validation'!$S:$S,"*"&amp;$A71&amp;"*")+COUNTIF('Feature Testing'!$S:$S,"*"&amp;$A71&amp;"*")+COUNTIF('Edge &amp; Boundary Cases'!$S:$S,"*"&amp;$A71&amp;"*")+COUNTIF('UI-UX Testing'!$S:$S,"*"&amp;$A71&amp;"*")+COUNTIF('Compatibility Testing'!$S:$S,"*"&amp;$A71&amp;"*")+COUNTIF('Interruption &amp; Recovery'!$S:$S,"*"&amp;$A71&amp;"*")+COUNTIF('STR - Transaction Testing'!$S:$S,"*"&amp;$A71&amp;"*")+COUNTIF('Error Handling'!$S:$S,"*"&amp;$A71&amp;"*")</f>
        <v>3</v>
      </c>
      <c r="H71" s="14" t="str">
        <f aca="false">IF(G71=0,"NOT COVERED",IF(G71&lt;2,"Partial","Covered"))</f>
        <v>Covered</v>
      </c>
      <c r="I71" s="15"/>
    </row>
    <row r="72" customFormat="false" ht="15" hidden="false" customHeight="false" outlineLevel="0" collapsed="false">
      <c r="A72" s="14" t="s">
        <v>3214</v>
      </c>
      <c r="B72" s="14" t="s">
        <v>1118</v>
      </c>
      <c r="C72" s="15" t="s">
        <v>3215</v>
      </c>
      <c r="D72" s="15" t="s">
        <v>3216</v>
      </c>
      <c r="E72" s="15" t="s">
        <v>3022</v>
      </c>
      <c r="F72" s="15" t="s">
        <v>3217</v>
      </c>
      <c r="G72" s="14" t="n">
        <f aca="false">COUNTIF('Functional Testing'!$S:$S,"*"&amp;$A72&amp;"*")+COUNTIF('Math Validation'!$S:$S,"*"&amp;$A72&amp;"*")+COUNTIF('Feature Testing'!$S:$S,"*"&amp;$A72&amp;"*")+COUNTIF('Edge &amp; Boundary Cases'!$S:$S,"*"&amp;$A72&amp;"*")+COUNTIF('UI-UX Testing'!$S:$S,"*"&amp;$A72&amp;"*")+COUNTIF('Compatibility Testing'!$S:$S,"*"&amp;$A72&amp;"*")+COUNTIF('Interruption &amp; Recovery'!$S:$S,"*"&amp;$A72&amp;"*")+COUNTIF('STR - Transaction Testing'!$S:$S,"*"&amp;$A72&amp;"*")+COUNTIF('Error Handling'!$S:$S,"*"&amp;$A72&amp;"*")</f>
        <v>2</v>
      </c>
      <c r="H72" s="14" t="str">
        <f aca="false">IF(G72=0,"NOT COVERED",IF(G72&lt;2,"Partial","Covered"))</f>
        <v>Covered</v>
      </c>
      <c r="I72" s="15"/>
    </row>
    <row r="73" customFormat="false" ht="32.8" hidden="false" customHeight="false" outlineLevel="0" collapsed="false">
      <c r="A73" s="14" t="s">
        <v>3218</v>
      </c>
      <c r="B73" s="14" t="s">
        <v>1118</v>
      </c>
      <c r="C73" s="15" t="s">
        <v>3219</v>
      </c>
      <c r="D73" s="15" t="s">
        <v>3220</v>
      </c>
      <c r="E73" s="15" t="s">
        <v>1229</v>
      </c>
      <c r="F73" s="15" t="s">
        <v>3221</v>
      </c>
      <c r="G73" s="14" t="n">
        <f aca="false">COUNTIF('Functional Testing'!$S:$S,"*"&amp;$A73&amp;"*")+COUNTIF('Math Validation'!$S:$S,"*"&amp;$A73&amp;"*")+COUNTIF('Feature Testing'!$S:$S,"*"&amp;$A73&amp;"*")+COUNTIF('Edge &amp; Boundary Cases'!$S:$S,"*"&amp;$A73&amp;"*")+COUNTIF('UI-UX Testing'!$S:$S,"*"&amp;$A73&amp;"*")+COUNTIF('Compatibility Testing'!$S:$S,"*"&amp;$A73&amp;"*")+COUNTIF('Interruption &amp; Recovery'!$S:$S,"*"&amp;$A73&amp;"*")+COUNTIF('STR - Transaction Testing'!$S:$S,"*"&amp;$A73&amp;"*")+COUNTIF('Error Handling'!$S:$S,"*"&amp;$A73&amp;"*")</f>
        <v>14</v>
      </c>
      <c r="H73" s="14" t="str">
        <f aca="false">IF(G73=0,"NOT COVERED",IF(G73&lt;2,"Partial","Covered"))</f>
        <v>Covered</v>
      </c>
      <c r="I73" s="15" t="s">
        <v>3222</v>
      </c>
    </row>
    <row r="74" customFormat="false" ht="43.25" hidden="false" customHeight="false" outlineLevel="0" collapsed="false">
      <c r="A74" s="14" t="s">
        <v>3223</v>
      </c>
      <c r="B74" s="14" t="s">
        <v>1118</v>
      </c>
      <c r="C74" s="15" t="s">
        <v>3224</v>
      </c>
      <c r="D74" s="15" t="s">
        <v>3225</v>
      </c>
      <c r="E74" s="15" t="s">
        <v>1144</v>
      </c>
      <c r="F74" s="15" t="s">
        <v>3226</v>
      </c>
      <c r="G74" s="14" t="n">
        <f aca="false">COUNTIF('Functional Testing'!$S:$S,"*"&amp;$A74&amp;"*")+COUNTIF('Math Validation'!$S:$S,"*"&amp;$A74&amp;"*")+COUNTIF('Feature Testing'!$S:$S,"*"&amp;$A74&amp;"*")+COUNTIF('Edge &amp; Boundary Cases'!$S:$S,"*"&amp;$A74&amp;"*")+COUNTIF('UI-UX Testing'!$S:$S,"*"&amp;$A74&amp;"*")+COUNTIF('Compatibility Testing'!$S:$S,"*"&amp;$A74&amp;"*")+COUNTIF('Interruption &amp; Recovery'!$S:$S,"*"&amp;$A74&amp;"*")+COUNTIF('STR - Transaction Testing'!$S:$S,"*"&amp;$A74&amp;"*")+COUNTIF('Error Handling'!$S:$S,"*"&amp;$A74&amp;"*")</f>
        <v>17</v>
      </c>
      <c r="H74" s="14" t="str">
        <f aca="false">IF(G74=0,"NOT COVERED",IF(G74&lt;2,"Partial","Covered"))</f>
        <v>Covered</v>
      </c>
      <c r="I74" s="15" t="s">
        <v>3227</v>
      </c>
    </row>
    <row r="75" customFormat="false" ht="15" hidden="false" customHeight="false" outlineLevel="0" collapsed="false">
      <c r="A75" s="14" t="s">
        <v>3228</v>
      </c>
      <c r="B75" s="14" t="s">
        <v>1118</v>
      </c>
      <c r="C75" s="15" t="s">
        <v>3229</v>
      </c>
      <c r="D75" s="15" t="s">
        <v>3230</v>
      </c>
      <c r="E75" s="15" t="s">
        <v>1144</v>
      </c>
      <c r="F75" s="15" t="s">
        <v>3231</v>
      </c>
      <c r="G75" s="14" t="n">
        <f aca="false">COUNTIF('Functional Testing'!$S:$S,"*"&amp;$A75&amp;"*")+COUNTIF('Math Validation'!$S:$S,"*"&amp;$A75&amp;"*")+COUNTIF('Feature Testing'!$S:$S,"*"&amp;$A75&amp;"*")+COUNTIF('Edge &amp; Boundary Cases'!$S:$S,"*"&amp;$A75&amp;"*")+COUNTIF('UI-UX Testing'!$S:$S,"*"&amp;$A75&amp;"*")+COUNTIF('Compatibility Testing'!$S:$S,"*"&amp;$A75&amp;"*")+COUNTIF('Interruption &amp; Recovery'!$S:$S,"*"&amp;$A75&amp;"*")+COUNTIF('STR - Transaction Testing'!$S:$S,"*"&amp;$A75&amp;"*")+COUNTIF('Error Handling'!$S:$S,"*"&amp;$A75&amp;"*")</f>
        <v>5</v>
      </c>
      <c r="H75" s="14" t="str">
        <f aca="false">IF(G75=0,"NOT COVERED",IF(G75&lt;2,"Partial","Covered"))</f>
        <v>Covered</v>
      </c>
      <c r="I75" s="15" t="s">
        <v>2999</v>
      </c>
    </row>
    <row r="76" customFormat="false" ht="15" hidden="false" customHeight="false" outlineLevel="0" collapsed="false">
      <c r="A76" s="14" t="s">
        <v>3232</v>
      </c>
      <c r="B76" s="14" t="s">
        <v>1118</v>
      </c>
      <c r="C76" s="15" t="s">
        <v>3233</v>
      </c>
      <c r="D76" s="15" t="s">
        <v>3234</v>
      </c>
      <c r="E76" s="15" t="s">
        <v>3086</v>
      </c>
      <c r="F76" s="15" t="s">
        <v>3235</v>
      </c>
      <c r="G76" s="14" t="n">
        <f aca="false">COUNTIF('Functional Testing'!$S:$S,"*"&amp;$A76&amp;"*")+COUNTIF('Math Validation'!$S:$S,"*"&amp;$A76&amp;"*")+COUNTIF('Feature Testing'!$S:$S,"*"&amp;$A76&amp;"*")+COUNTIF('Edge &amp; Boundary Cases'!$S:$S,"*"&amp;$A76&amp;"*")+COUNTIF('UI-UX Testing'!$S:$S,"*"&amp;$A76&amp;"*")+COUNTIF('Compatibility Testing'!$S:$S,"*"&amp;$A76&amp;"*")+COUNTIF('Interruption &amp; Recovery'!$S:$S,"*"&amp;$A76&amp;"*")+COUNTIF('STR - Transaction Testing'!$S:$S,"*"&amp;$A76&amp;"*")+COUNTIF('Error Handling'!$S:$S,"*"&amp;$A76&amp;"*")</f>
        <v>2</v>
      </c>
      <c r="H76" s="14" t="str">
        <f aca="false">IF(G76=0,"NOT COVERED",IF(G76&lt;2,"Partial","Covered"))</f>
        <v>Covered</v>
      </c>
      <c r="I76" s="15"/>
    </row>
    <row r="77" customFormat="false" ht="22.35" hidden="false" customHeight="false" outlineLevel="0" collapsed="false">
      <c r="A77" s="14" t="s">
        <v>3236</v>
      </c>
      <c r="B77" s="14" t="s">
        <v>1118</v>
      </c>
      <c r="C77" s="15" t="s">
        <v>3237</v>
      </c>
      <c r="D77" s="15" t="s">
        <v>3238</v>
      </c>
      <c r="E77" s="15" t="s">
        <v>3086</v>
      </c>
      <c r="F77" s="15" t="s">
        <v>3239</v>
      </c>
      <c r="G77" s="14" t="n">
        <f aca="false">COUNTIF('Functional Testing'!$S:$S,"*"&amp;$A77&amp;"*")+COUNTIF('Math Validation'!$S:$S,"*"&amp;$A77&amp;"*")+COUNTIF('Feature Testing'!$S:$S,"*"&amp;$A77&amp;"*")+COUNTIF('Edge &amp; Boundary Cases'!$S:$S,"*"&amp;$A77&amp;"*")+COUNTIF('UI-UX Testing'!$S:$S,"*"&amp;$A77&amp;"*")+COUNTIF('Compatibility Testing'!$S:$S,"*"&amp;$A77&amp;"*")+COUNTIF('Interruption &amp; Recovery'!$S:$S,"*"&amp;$A77&amp;"*")+COUNTIF('STR - Transaction Testing'!$S:$S,"*"&amp;$A77&amp;"*")+COUNTIF('Error Handling'!$S:$S,"*"&amp;$A77&amp;"*")</f>
        <v>9</v>
      </c>
      <c r="H77" s="14" t="str">
        <f aca="false">IF(G77=0,"NOT COVERED",IF(G77&lt;2,"Partial","Covered"))</f>
        <v>Covered</v>
      </c>
      <c r="I77" s="15" t="s">
        <v>3088</v>
      </c>
    </row>
    <row r="78" customFormat="false" ht="22.35" hidden="false" customHeight="false" outlineLevel="0" collapsed="false">
      <c r="A78" s="14" t="s">
        <v>3240</v>
      </c>
      <c r="B78" s="14" t="s">
        <v>1118</v>
      </c>
      <c r="C78" s="15" t="s">
        <v>3241</v>
      </c>
      <c r="D78" s="15" t="s">
        <v>3242</v>
      </c>
      <c r="E78" s="15" t="s">
        <v>3086</v>
      </c>
      <c r="F78" s="15" t="s">
        <v>3243</v>
      </c>
      <c r="G78" s="14" t="n">
        <f aca="false">COUNTIF('Functional Testing'!$S:$S,"*"&amp;$A78&amp;"*")+COUNTIF('Math Validation'!$S:$S,"*"&amp;$A78&amp;"*")+COUNTIF('Feature Testing'!$S:$S,"*"&amp;$A78&amp;"*")+COUNTIF('Edge &amp; Boundary Cases'!$S:$S,"*"&amp;$A78&amp;"*")+COUNTIF('UI-UX Testing'!$S:$S,"*"&amp;$A78&amp;"*")+COUNTIF('Compatibility Testing'!$S:$S,"*"&amp;$A78&amp;"*")+COUNTIF('Interruption &amp; Recovery'!$S:$S,"*"&amp;$A78&amp;"*")+COUNTIF('STR - Transaction Testing'!$S:$S,"*"&amp;$A78&amp;"*")+COUNTIF('Error Handling'!$S:$S,"*"&amp;$A78&amp;"*")</f>
        <v>9</v>
      </c>
      <c r="H78" s="14" t="str">
        <f aca="false">IF(G78=0,"NOT COVERED",IF(G78&lt;2,"Partial","Covered"))</f>
        <v>Covered</v>
      </c>
      <c r="I78" s="15" t="s">
        <v>3244</v>
      </c>
    </row>
    <row r="79" customFormat="false" ht="15" hidden="false" customHeight="false" outlineLevel="0" collapsed="false">
      <c r="A79" s="14" t="s">
        <v>3245</v>
      </c>
      <c r="B79" s="14" t="s">
        <v>1118</v>
      </c>
      <c r="C79" s="15" t="s">
        <v>3246</v>
      </c>
      <c r="D79" s="15" t="s">
        <v>3247</v>
      </c>
      <c r="E79" s="15" t="s">
        <v>3086</v>
      </c>
      <c r="F79" s="15" t="s">
        <v>3248</v>
      </c>
      <c r="G79" s="14" t="n">
        <f aca="false">COUNTIF('Functional Testing'!$S:$S,"*"&amp;$A79&amp;"*")+COUNTIF('Math Validation'!$S:$S,"*"&amp;$A79&amp;"*")+COUNTIF('Feature Testing'!$S:$S,"*"&amp;$A79&amp;"*")+COUNTIF('Edge &amp; Boundary Cases'!$S:$S,"*"&amp;$A79&amp;"*")+COUNTIF('UI-UX Testing'!$S:$S,"*"&amp;$A79&amp;"*")+COUNTIF('Compatibility Testing'!$S:$S,"*"&amp;$A79&amp;"*")+COUNTIF('Interruption &amp; Recovery'!$S:$S,"*"&amp;$A79&amp;"*")+COUNTIF('STR - Transaction Testing'!$S:$S,"*"&amp;$A79&amp;"*")+COUNTIF('Error Handling'!$S:$S,"*"&amp;$A79&amp;"*")</f>
        <v>3</v>
      </c>
      <c r="H79" s="14" t="str">
        <f aca="false">IF(G79=0,"NOT COVERED",IF(G79&lt;2,"Partial","Covered"))</f>
        <v>Covered</v>
      </c>
      <c r="I79" s="15" t="s">
        <v>3249</v>
      </c>
    </row>
    <row r="80" customFormat="false" ht="15" hidden="false" customHeight="false" outlineLevel="0" collapsed="false">
      <c r="A80" s="14" t="s">
        <v>3250</v>
      </c>
      <c r="B80" s="14" t="s">
        <v>1118</v>
      </c>
      <c r="C80" s="15" t="s">
        <v>3251</v>
      </c>
      <c r="D80" s="15" t="s">
        <v>3252</v>
      </c>
      <c r="E80" s="15" t="s">
        <v>971</v>
      </c>
      <c r="F80" s="15" t="s">
        <v>3253</v>
      </c>
      <c r="G80" s="14" t="n">
        <f aca="false">COUNTIF('Functional Testing'!$S:$S,"*"&amp;$A80&amp;"*")+COUNTIF('Math Validation'!$S:$S,"*"&amp;$A80&amp;"*")+COUNTIF('Feature Testing'!$S:$S,"*"&amp;$A80&amp;"*")+COUNTIF('Edge &amp; Boundary Cases'!$S:$S,"*"&amp;$A80&amp;"*")+COUNTIF('UI-UX Testing'!$S:$S,"*"&amp;$A80&amp;"*")+COUNTIF('Compatibility Testing'!$S:$S,"*"&amp;$A80&amp;"*")+COUNTIF('Interruption &amp; Recovery'!$S:$S,"*"&amp;$A80&amp;"*")+COUNTIF('STR - Transaction Testing'!$S:$S,"*"&amp;$A80&amp;"*")+COUNTIF('Error Handling'!$S:$S,"*"&amp;$A80&amp;"*")</f>
        <v>2</v>
      </c>
      <c r="H80" s="14" t="str">
        <f aca="false">IF(G80=0,"NOT COVERED",IF(G80&lt;2,"Partial","Covered"))</f>
        <v>Covered</v>
      </c>
      <c r="I80" s="15"/>
    </row>
    <row r="81" customFormat="false" ht="53.7" hidden="false" customHeight="false" outlineLevel="0" collapsed="false">
      <c r="A81" s="14" t="s">
        <v>3254</v>
      </c>
      <c r="B81" s="14" t="s">
        <v>1118</v>
      </c>
      <c r="C81" s="15" t="s">
        <v>3255</v>
      </c>
      <c r="D81" s="15" t="s">
        <v>3256</v>
      </c>
      <c r="E81" s="15" t="s">
        <v>186</v>
      </c>
      <c r="F81" s="15" t="s">
        <v>3257</v>
      </c>
      <c r="G81" s="14" t="n">
        <f aca="false">COUNTIF('Functional Testing'!$S:$S,"*"&amp;$A81&amp;"*")+COUNTIF('Math Validation'!$S:$S,"*"&amp;$A81&amp;"*")+COUNTIF('Feature Testing'!$S:$S,"*"&amp;$A81&amp;"*")+COUNTIF('Edge &amp; Boundary Cases'!$S:$S,"*"&amp;$A81&amp;"*")+COUNTIF('UI-UX Testing'!$S:$S,"*"&amp;$A81&amp;"*")+COUNTIF('Compatibility Testing'!$S:$S,"*"&amp;$A81&amp;"*")+COUNTIF('Interruption &amp; Recovery'!$S:$S,"*"&amp;$A81&amp;"*")+COUNTIF('STR - Transaction Testing'!$S:$S,"*"&amp;$A81&amp;"*")+COUNTIF('Error Handling'!$S:$S,"*"&amp;$A81&amp;"*")</f>
        <v>24</v>
      </c>
      <c r="H81" s="14" t="str">
        <f aca="false">IF(G81=0,"NOT COVERED",IF(G81&lt;2,"Partial","Covered"))</f>
        <v>Covered</v>
      </c>
      <c r="I81" s="15"/>
    </row>
    <row r="82" customFormat="false" ht="22.35" hidden="false" customHeight="false" outlineLevel="0" collapsed="false">
      <c r="A82" s="14" t="s">
        <v>3258</v>
      </c>
      <c r="B82" s="14" t="s">
        <v>1118</v>
      </c>
      <c r="C82" s="15" t="s">
        <v>3259</v>
      </c>
      <c r="D82" s="15" t="s">
        <v>3260</v>
      </c>
      <c r="E82" s="15" t="s">
        <v>1118</v>
      </c>
      <c r="F82" s="15" t="s">
        <v>3261</v>
      </c>
      <c r="G82" s="14" t="n">
        <f aca="false">COUNTIF('Functional Testing'!$S:$S,"*"&amp;$A82&amp;"*")+COUNTIF('Math Validation'!$S:$S,"*"&amp;$A82&amp;"*")+COUNTIF('Feature Testing'!$S:$S,"*"&amp;$A82&amp;"*")+COUNTIF('Edge &amp; Boundary Cases'!$S:$S,"*"&amp;$A82&amp;"*")+COUNTIF('UI-UX Testing'!$S:$S,"*"&amp;$A82&amp;"*")+COUNTIF('Compatibility Testing'!$S:$S,"*"&amp;$A82&amp;"*")+COUNTIF('Interruption &amp; Recovery'!$S:$S,"*"&amp;$A82&amp;"*")+COUNTIF('STR - Transaction Testing'!$S:$S,"*"&amp;$A82&amp;"*")+COUNTIF('Error Handling'!$S:$S,"*"&amp;$A82&amp;"*")</f>
        <v>2</v>
      </c>
      <c r="H82" s="14" t="str">
        <f aca="false">IF(G82=0,"NOT COVERED",IF(G82&lt;2,"Partial","Covered"))</f>
        <v>Covered</v>
      </c>
      <c r="I82" s="15" t="s">
        <v>3174</v>
      </c>
    </row>
    <row r="84" customFormat="false" ht="15" hidden="false" customHeight="false" outlineLevel="0" collapsed="false">
      <c r="A84" s="7" t="s">
        <v>3262</v>
      </c>
    </row>
    <row r="85" customFormat="false" ht="15" hidden="false" customHeight="false" outlineLevel="0" collapsed="false">
      <c r="A85" s="18" t="s">
        <v>3263</v>
      </c>
      <c r="B85" s="18"/>
      <c r="C85" s="18"/>
      <c r="D85" s="19" t="n">
        <f aca="false">COUNTIF(H4:H82,"NOT COVERED")</f>
        <v>0</v>
      </c>
      <c r="E85" s="3" t="s">
        <v>3264</v>
      </c>
      <c r="F85" s="3"/>
      <c r="G85" s="3"/>
      <c r="H85" s="3"/>
      <c r="I85" s="3"/>
    </row>
    <row r="86" customFormat="false" ht="15" hidden="false" customHeight="false" outlineLevel="0" collapsed="false">
      <c r="A86" s="18" t="s">
        <v>3265</v>
      </c>
      <c r="B86" s="18"/>
      <c r="C86" s="18"/>
      <c r="D86" s="19" t="n">
        <f aca="false">COUNTIF(H4:H82,"Partial")</f>
        <v>9</v>
      </c>
      <c r="E86" s="3" t="s">
        <v>3266</v>
      </c>
      <c r="F86" s="3"/>
      <c r="G86" s="3"/>
      <c r="H86" s="3"/>
      <c r="I86" s="3"/>
    </row>
    <row r="87" customFormat="false" ht="15" hidden="false" customHeight="false" outlineLevel="0" collapsed="false">
      <c r="A87" s="18" t="s">
        <v>3267</v>
      </c>
      <c r="B87" s="18"/>
      <c r="C87" s="18"/>
      <c r="D87" s="19" t="n">
        <f aca="false">COUNTIFS(B4:B82,"Math File",H4:H82,"NOT COVERED")</f>
        <v>0</v>
      </c>
      <c r="E87" s="3" t="s">
        <v>3268</v>
      </c>
      <c r="F87" s="3"/>
      <c r="G87" s="3"/>
      <c r="H87" s="3"/>
      <c r="I87" s="3"/>
    </row>
    <row r="88" customFormat="false" ht="15" hidden="false" customHeight="false" outlineLevel="0" collapsed="false">
      <c r="A88" s="18" t="s">
        <v>3269</v>
      </c>
      <c r="B88" s="18"/>
      <c r="C88" s="18"/>
      <c r="D88" s="19" t="n">
        <f aca="false">COUNTIF('Defect-Observation Log'!B:B,"Spec Conflict")</f>
        <v>6</v>
      </c>
      <c r="E88" s="3" t="s">
        <v>3270</v>
      </c>
      <c r="F88" s="3"/>
      <c r="G88" s="3"/>
      <c r="H88" s="3"/>
      <c r="I88" s="3"/>
    </row>
    <row r="89" customFormat="false" ht="15" hidden="false" customHeight="false" outlineLevel="0" collapsed="false">
      <c r="A89" s="18" t="s">
        <v>3271</v>
      </c>
      <c r="B89" s="18"/>
      <c r="C89" s="18"/>
      <c r="D89" s="19" t="n">
        <f aca="false">COUNTIF('Defect-Observation Log'!B:B,"Missing Spec")+COUNTIF('Defect-Observation Log'!B:B,"Ambiguity")</f>
        <v>14</v>
      </c>
      <c r="E89" s="3" t="s">
        <v>3272</v>
      </c>
      <c r="F89" s="3"/>
      <c r="G89" s="3"/>
      <c r="H89" s="3"/>
      <c r="I89" s="3"/>
    </row>
    <row r="90" customFormat="false" ht="15" hidden="false" customHeight="false" outlineLevel="0" collapsed="false">
      <c r="A90" s="18" t="s">
        <v>3273</v>
      </c>
      <c r="B90" s="18"/>
      <c r="C90" s="18"/>
      <c r="D90" s="19" t="n">
        <f aca="false">COUNTIF('Functional Testing'!I:I,"Requires Specification*")+COUNTIF('Math Validation'!I:I,"Requires Specification*")+COUNTIF('Feature Testing'!I:I,"Requires Specification*")+COUNTIF('Edge &amp; Boundary Cases'!I:I,"Requires Specification*")+COUNTIF('UI-UX Testing'!I:I,"Requires Specification*")+COUNTIF('Compatibility Testing'!I:I,"Requires Specification*")+COUNTIF('Interruption &amp; Recovery'!I:I,"Requires Specification*")+COUNTIF('STR - Transaction Testing'!I:I,"Requires Specification*")+COUNTIF('Error Handling'!I:I,"Requires Specification*")</f>
        <v>40</v>
      </c>
      <c r="E90" s="3" t="s">
        <v>3274</v>
      </c>
      <c r="F90" s="3"/>
      <c r="G90" s="3"/>
      <c r="H90" s="3"/>
      <c r="I90" s="3"/>
    </row>
    <row r="92" customFormat="false" ht="15" hidden="false" customHeight="false" outlineLevel="0" collapsed="false">
      <c r="A92" s="7" t="s">
        <v>3275</v>
      </c>
    </row>
    <row r="93" customFormat="false" ht="15" hidden="false" customHeight="true" outlineLevel="0" collapsed="false">
      <c r="A93" s="20" t="s">
        <v>3276</v>
      </c>
      <c r="B93" s="20"/>
      <c r="C93" s="20"/>
      <c r="D93" s="20"/>
      <c r="E93" s="20"/>
      <c r="F93" s="20"/>
      <c r="G93" s="20"/>
      <c r="H93" s="20"/>
      <c r="I93" s="20"/>
    </row>
  </sheetData>
  <autoFilter ref="A3:I82"/>
  <mergeCells count="13">
    <mergeCell ref="A85:C85"/>
    <mergeCell ref="E85:I85"/>
    <mergeCell ref="A86:C86"/>
    <mergeCell ref="E86:I86"/>
    <mergeCell ref="A87:C87"/>
    <mergeCell ref="E87:I87"/>
    <mergeCell ref="A88:C88"/>
    <mergeCell ref="E88:I88"/>
    <mergeCell ref="A89:C89"/>
    <mergeCell ref="E89:I89"/>
    <mergeCell ref="A90:C90"/>
    <mergeCell ref="E90:I90"/>
    <mergeCell ref="A93:I93"/>
  </mergeCells>
  <conditionalFormatting sqref="H4:H82">
    <cfRule type="cellIs" priority="2" operator="equal" aboveAverage="0" equalAverage="0" bottom="0" percent="0" rank="0" text="" dxfId="14">
      <formula>"NOT COVERED"</formula>
    </cfRule>
    <cfRule type="cellIs" priority="3" operator="equal" aboveAverage="0" equalAverage="0" bottom="0" percent="0" rank="0" text="" dxfId="18">
      <formula>"Partial"</formula>
    </cfRule>
    <cfRule type="cellIs" priority="4" operator="equal" aboveAverage="0" equalAverage="0" bottom="0" percent="0" rank="0" text="" dxfId="13">
      <formula>"Covered"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7" min="5" style="0" width="2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3.85" hidden="false" customHeight="false" outlineLevel="0" collapsed="false">
      <c r="A1" s="4" t="s">
        <v>3277</v>
      </c>
      <c r="B1" s="4" t="s">
        <v>3278</v>
      </c>
      <c r="C1" s="4" t="s">
        <v>3279</v>
      </c>
      <c r="D1" s="4" t="s">
        <v>3280</v>
      </c>
      <c r="E1" s="4" t="s">
        <v>3281</v>
      </c>
      <c r="F1" s="4" t="s">
        <v>3282</v>
      </c>
      <c r="G1" s="4" t="s">
        <v>3283</v>
      </c>
      <c r="H1" s="4" t="s">
        <v>71</v>
      </c>
      <c r="I1" s="4" t="s">
        <v>70</v>
      </c>
      <c r="J1" s="4" t="s">
        <v>3284</v>
      </c>
      <c r="K1" s="4" t="s">
        <v>3285</v>
      </c>
      <c r="L1" s="4" t="s">
        <v>3286</v>
      </c>
      <c r="M1" s="4" t="s">
        <v>58</v>
      </c>
      <c r="N1" s="4" t="s">
        <v>3287</v>
      </c>
      <c r="O1" s="4" t="s">
        <v>3288</v>
      </c>
      <c r="P1" s="4" t="s">
        <v>3289</v>
      </c>
    </row>
    <row r="2" customFormat="false" ht="32.8" hidden="false" customHeight="false" outlineLevel="0" collapsed="false">
      <c r="A2" s="14" t="s">
        <v>3010</v>
      </c>
      <c r="B2" s="14" t="s">
        <v>3290</v>
      </c>
      <c r="C2" s="15" t="s">
        <v>907</v>
      </c>
      <c r="D2" s="15" t="s">
        <v>3291</v>
      </c>
      <c r="E2" s="15" t="s">
        <v>3292</v>
      </c>
      <c r="F2" s="15" t="s">
        <v>3293</v>
      </c>
      <c r="G2" s="15" t="s">
        <v>3294</v>
      </c>
      <c r="H2" s="14" t="s">
        <v>86</v>
      </c>
      <c r="I2" s="14" t="s">
        <v>19</v>
      </c>
      <c r="J2" s="15" t="s">
        <v>3295</v>
      </c>
      <c r="K2" s="15" t="s">
        <v>3296</v>
      </c>
      <c r="L2" s="15" t="s">
        <v>3297</v>
      </c>
      <c r="M2" s="14" t="s">
        <v>3298</v>
      </c>
      <c r="N2" s="15" t="s">
        <v>3299</v>
      </c>
      <c r="O2" s="14" t="s">
        <v>12</v>
      </c>
      <c r="P2" s="15"/>
    </row>
    <row r="3" customFormat="false" ht="53.7" hidden="false" customHeight="false" outlineLevel="0" collapsed="false">
      <c r="A3" s="14" t="s">
        <v>3205</v>
      </c>
      <c r="B3" s="14" t="s">
        <v>3300</v>
      </c>
      <c r="C3" s="15" t="s">
        <v>3301</v>
      </c>
      <c r="D3" s="15" t="s">
        <v>3302</v>
      </c>
      <c r="E3" s="15" t="s">
        <v>3303</v>
      </c>
      <c r="F3" s="15" t="s">
        <v>3202</v>
      </c>
      <c r="G3" s="15" t="s">
        <v>3304</v>
      </c>
      <c r="H3" s="14" t="s">
        <v>86</v>
      </c>
      <c r="I3" s="14" t="s">
        <v>19</v>
      </c>
      <c r="J3" s="15" t="s">
        <v>3201</v>
      </c>
      <c r="K3" s="15" t="s">
        <v>3305</v>
      </c>
      <c r="L3" s="15" t="s">
        <v>3306</v>
      </c>
      <c r="M3" s="14" t="s">
        <v>3298</v>
      </c>
      <c r="N3" s="15" t="s">
        <v>3299</v>
      </c>
      <c r="O3" s="14" t="s">
        <v>12</v>
      </c>
      <c r="P3" s="15"/>
    </row>
    <row r="4" customFormat="false" ht="53.7" hidden="false" customHeight="false" outlineLevel="0" collapsed="false">
      <c r="A4" s="14" t="s">
        <v>3054</v>
      </c>
      <c r="B4" s="14" t="s">
        <v>3290</v>
      </c>
      <c r="C4" s="15" t="s">
        <v>349</v>
      </c>
      <c r="D4" s="15" t="s">
        <v>3307</v>
      </c>
      <c r="E4" s="15" t="s">
        <v>3308</v>
      </c>
      <c r="F4" s="15" t="s">
        <v>3309</v>
      </c>
      <c r="G4" s="15" t="s">
        <v>3310</v>
      </c>
      <c r="H4" s="14" t="s">
        <v>108</v>
      </c>
      <c r="I4" s="14" t="s">
        <v>19</v>
      </c>
      <c r="J4" s="15" t="s">
        <v>3311</v>
      </c>
      <c r="K4" s="15" t="s">
        <v>3312</v>
      </c>
      <c r="L4" s="15" t="s">
        <v>3313</v>
      </c>
      <c r="M4" s="14" t="s">
        <v>3298</v>
      </c>
      <c r="N4" s="15" t="s">
        <v>3299</v>
      </c>
      <c r="O4" s="14" t="s">
        <v>12</v>
      </c>
      <c r="P4" s="15"/>
    </row>
    <row r="5" customFormat="false" ht="32.8" hidden="false" customHeight="false" outlineLevel="0" collapsed="false">
      <c r="A5" s="14" t="s">
        <v>2975</v>
      </c>
      <c r="B5" s="14" t="s">
        <v>3290</v>
      </c>
      <c r="C5" s="15" t="s">
        <v>349</v>
      </c>
      <c r="D5" s="15" t="s">
        <v>3314</v>
      </c>
      <c r="E5" s="15" t="s">
        <v>3315</v>
      </c>
      <c r="F5" s="15" t="s">
        <v>3316</v>
      </c>
      <c r="G5" s="15" t="s">
        <v>3317</v>
      </c>
      <c r="H5" s="14" t="s">
        <v>108</v>
      </c>
      <c r="I5" s="14" t="s">
        <v>20</v>
      </c>
      <c r="J5" s="15" t="s">
        <v>3318</v>
      </c>
      <c r="K5" s="15" t="s">
        <v>3319</v>
      </c>
      <c r="L5" s="15" t="s">
        <v>3320</v>
      </c>
      <c r="M5" s="14" t="s">
        <v>3298</v>
      </c>
      <c r="N5" s="15" t="s">
        <v>3299</v>
      </c>
      <c r="O5" s="14" t="s">
        <v>12</v>
      </c>
      <c r="P5" s="15"/>
    </row>
    <row r="6" customFormat="false" ht="32.8" hidden="false" customHeight="false" outlineLevel="0" collapsed="false">
      <c r="A6" s="14" t="s">
        <v>3006</v>
      </c>
      <c r="B6" s="14" t="s">
        <v>3290</v>
      </c>
      <c r="C6" s="15" t="s">
        <v>1026</v>
      </c>
      <c r="D6" s="15" t="s">
        <v>3321</v>
      </c>
      <c r="E6" s="15" t="s">
        <v>3322</v>
      </c>
      <c r="F6" s="15" t="s">
        <v>3323</v>
      </c>
      <c r="G6" s="15" t="s">
        <v>3324</v>
      </c>
      <c r="H6" s="14" t="s">
        <v>108</v>
      </c>
      <c r="I6" s="14" t="s">
        <v>20</v>
      </c>
      <c r="J6" s="15" t="s">
        <v>3325</v>
      </c>
      <c r="K6" s="15" t="s">
        <v>3326</v>
      </c>
      <c r="L6" s="15" t="s">
        <v>3327</v>
      </c>
      <c r="M6" s="14" t="s">
        <v>3298</v>
      </c>
      <c r="N6" s="15" t="s">
        <v>3299</v>
      </c>
      <c r="O6" s="14" t="s">
        <v>12</v>
      </c>
      <c r="P6" s="15"/>
    </row>
    <row r="7" customFormat="false" ht="32.8" hidden="false" customHeight="false" outlineLevel="0" collapsed="false">
      <c r="A7" s="14" t="s">
        <v>2991</v>
      </c>
      <c r="B7" s="14" t="s">
        <v>3328</v>
      </c>
      <c r="C7" s="15" t="s">
        <v>1040</v>
      </c>
      <c r="D7" s="15" t="s">
        <v>3329</v>
      </c>
      <c r="E7" s="15" t="s">
        <v>3330</v>
      </c>
      <c r="F7" s="15" t="s">
        <v>3331</v>
      </c>
      <c r="G7" s="15" t="s">
        <v>3332</v>
      </c>
      <c r="H7" s="14" t="s">
        <v>99</v>
      </c>
      <c r="I7" s="14" t="s">
        <v>20</v>
      </c>
      <c r="J7" s="15" t="s">
        <v>3333</v>
      </c>
      <c r="K7" s="15" t="s">
        <v>3334</v>
      </c>
      <c r="L7" s="15" t="s">
        <v>3335</v>
      </c>
      <c r="M7" s="14" t="s">
        <v>3298</v>
      </c>
      <c r="N7" s="15" t="s">
        <v>3299</v>
      </c>
      <c r="O7" s="14" t="s">
        <v>12</v>
      </c>
      <c r="P7" s="15"/>
    </row>
    <row r="8" customFormat="false" ht="22.35" hidden="false" customHeight="false" outlineLevel="0" collapsed="false">
      <c r="A8" s="14" t="s">
        <v>2999</v>
      </c>
      <c r="B8" s="14" t="s">
        <v>3328</v>
      </c>
      <c r="C8" s="15" t="s">
        <v>1040</v>
      </c>
      <c r="D8" s="15" t="s">
        <v>3336</v>
      </c>
      <c r="E8" s="15" t="s">
        <v>3337</v>
      </c>
      <c r="F8" s="15" t="s">
        <v>3338</v>
      </c>
      <c r="G8" s="15" t="s">
        <v>3339</v>
      </c>
      <c r="H8" s="14" t="s">
        <v>99</v>
      </c>
      <c r="I8" s="14" t="s">
        <v>20</v>
      </c>
      <c r="J8" s="15" t="s">
        <v>3340</v>
      </c>
      <c r="K8" s="15" t="s">
        <v>3341</v>
      </c>
      <c r="L8" s="15" t="s">
        <v>3342</v>
      </c>
      <c r="M8" s="14" t="s">
        <v>3298</v>
      </c>
      <c r="N8" s="15" t="s">
        <v>3299</v>
      </c>
      <c r="O8" s="14" t="s">
        <v>12</v>
      </c>
      <c r="P8" s="15"/>
    </row>
    <row r="9" customFormat="false" ht="22.35" hidden="false" customHeight="false" outlineLevel="0" collapsed="false">
      <c r="A9" s="14" t="s">
        <v>3014</v>
      </c>
      <c r="B9" s="14" t="s">
        <v>3328</v>
      </c>
      <c r="C9" s="15" t="s">
        <v>459</v>
      </c>
      <c r="D9" s="15" t="s">
        <v>3343</v>
      </c>
      <c r="E9" s="15" t="s">
        <v>3344</v>
      </c>
      <c r="F9" s="15" t="s">
        <v>96</v>
      </c>
      <c r="G9" s="15" t="s">
        <v>3345</v>
      </c>
      <c r="H9" s="14" t="s">
        <v>99</v>
      </c>
      <c r="I9" s="14" t="s">
        <v>20</v>
      </c>
      <c r="J9" s="15" t="s">
        <v>3011</v>
      </c>
      <c r="K9" s="15" t="s">
        <v>3346</v>
      </c>
      <c r="L9" s="15" t="s">
        <v>3347</v>
      </c>
      <c r="M9" s="14" t="s">
        <v>3298</v>
      </c>
      <c r="N9" s="15" t="s">
        <v>3299</v>
      </c>
      <c r="O9" s="14" t="s">
        <v>12</v>
      </c>
      <c r="P9" s="15"/>
    </row>
    <row r="10" customFormat="false" ht="85.05" hidden="false" customHeight="false" outlineLevel="0" collapsed="false">
      <c r="A10" s="14" t="s">
        <v>3071</v>
      </c>
      <c r="B10" s="14" t="s">
        <v>3300</v>
      </c>
      <c r="C10" s="15" t="s">
        <v>3348</v>
      </c>
      <c r="D10" s="15" t="s">
        <v>3349</v>
      </c>
      <c r="E10" s="15" t="s">
        <v>3350</v>
      </c>
      <c r="F10" s="15" t="s">
        <v>3351</v>
      </c>
      <c r="G10" s="15" t="s">
        <v>3352</v>
      </c>
      <c r="H10" s="14" t="s">
        <v>86</v>
      </c>
      <c r="I10" s="14" t="s">
        <v>19</v>
      </c>
      <c r="J10" s="15" t="s">
        <v>3353</v>
      </c>
      <c r="K10" s="15" t="s">
        <v>3354</v>
      </c>
      <c r="L10" s="15" t="s">
        <v>3355</v>
      </c>
      <c r="M10" s="14" t="s">
        <v>3298</v>
      </c>
      <c r="N10" s="15" t="s">
        <v>3299</v>
      </c>
      <c r="O10" s="14" t="s">
        <v>12</v>
      </c>
      <c r="P10" s="15"/>
    </row>
    <row r="11" customFormat="false" ht="32.8" hidden="false" customHeight="false" outlineLevel="0" collapsed="false">
      <c r="A11" s="14" t="s">
        <v>3088</v>
      </c>
      <c r="B11" s="14" t="s">
        <v>3290</v>
      </c>
      <c r="C11" s="15" t="s">
        <v>3086</v>
      </c>
      <c r="D11" s="15" t="s">
        <v>3356</v>
      </c>
      <c r="E11" s="15" t="s">
        <v>3357</v>
      </c>
      <c r="F11" s="15" t="s">
        <v>3358</v>
      </c>
      <c r="G11" s="15" t="s">
        <v>3359</v>
      </c>
      <c r="H11" s="14" t="s">
        <v>108</v>
      </c>
      <c r="I11" s="14" t="s">
        <v>19</v>
      </c>
      <c r="J11" s="15" t="s">
        <v>3360</v>
      </c>
      <c r="K11" s="15" t="s">
        <v>3361</v>
      </c>
      <c r="L11" s="15" t="s">
        <v>3362</v>
      </c>
      <c r="M11" s="14" t="s">
        <v>3298</v>
      </c>
      <c r="N11" s="15" t="s">
        <v>3299</v>
      </c>
      <c r="O11" s="14" t="s">
        <v>12</v>
      </c>
      <c r="P11" s="15"/>
    </row>
    <row r="12" customFormat="false" ht="32.8" hidden="false" customHeight="false" outlineLevel="0" collapsed="false">
      <c r="A12" s="14" t="s">
        <v>3249</v>
      </c>
      <c r="B12" s="14" t="s">
        <v>3363</v>
      </c>
      <c r="C12" s="15" t="s">
        <v>3086</v>
      </c>
      <c r="D12" s="15" t="s">
        <v>3364</v>
      </c>
      <c r="E12" s="15" t="s">
        <v>96</v>
      </c>
      <c r="F12" s="15" t="s">
        <v>3365</v>
      </c>
      <c r="G12" s="15" t="s">
        <v>3366</v>
      </c>
      <c r="H12" s="14" t="s">
        <v>99</v>
      </c>
      <c r="I12" s="14" t="s">
        <v>21</v>
      </c>
      <c r="J12" s="15" t="s">
        <v>3245</v>
      </c>
      <c r="K12" s="15" t="s">
        <v>3248</v>
      </c>
      <c r="L12" s="15" t="s">
        <v>3367</v>
      </c>
      <c r="M12" s="14" t="s">
        <v>3298</v>
      </c>
      <c r="N12" s="15" t="s">
        <v>3299</v>
      </c>
      <c r="O12" s="14" t="s">
        <v>12</v>
      </c>
      <c r="P12" s="15"/>
    </row>
    <row r="13" customFormat="false" ht="22.35" hidden="false" customHeight="false" outlineLevel="0" collapsed="false">
      <c r="A13" s="14" t="s">
        <v>3191</v>
      </c>
      <c r="B13" s="14" t="s">
        <v>3368</v>
      </c>
      <c r="C13" s="15" t="s">
        <v>1061</v>
      </c>
      <c r="D13" s="15" t="s">
        <v>3369</v>
      </c>
      <c r="E13" s="15" t="s">
        <v>3370</v>
      </c>
      <c r="F13" s="15" t="s">
        <v>3371</v>
      </c>
      <c r="G13" s="15" t="s">
        <v>3372</v>
      </c>
      <c r="H13" s="14" t="s">
        <v>108</v>
      </c>
      <c r="I13" s="14" t="s">
        <v>19</v>
      </c>
      <c r="J13" s="15" t="s">
        <v>3373</v>
      </c>
      <c r="K13" s="15" t="s">
        <v>3374</v>
      </c>
      <c r="L13" s="15" t="s">
        <v>3375</v>
      </c>
      <c r="M13" s="14" t="s">
        <v>3298</v>
      </c>
      <c r="N13" s="15" t="s">
        <v>3299</v>
      </c>
      <c r="O13" s="14" t="s">
        <v>12</v>
      </c>
      <c r="P13" s="15"/>
    </row>
    <row r="14" customFormat="false" ht="22.35" hidden="false" customHeight="false" outlineLevel="0" collapsed="false">
      <c r="A14" s="14" t="s">
        <v>3174</v>
      </c>
      <c r="B14" s="14" t="s">
        <v>3290</v>
      </c>
      <c r="C14" s="15" t="s">
        <v>1118</v>
      </c>
      <c r="D14" s="15" t="s">
        <v>3376</v>
      </c>
      <c r="E14" s="15" t="s">
        <v>730</v>
      </c>
      <c r="F14" s="15" t="s">
        <v>3377</v>
      </c>
      <c r="G14" s="15" t="s">
        <v>3378</v>
      </c>
      <c r="H14" s="14" t="s">
        <v>108</v>
      </c>
      <c r="I14" s="14" t="s">
        <v>19</v>
      </c>
      <c r="J14" s="15" t="s">
        <v>3379</v>
      </c>
      <c r="K14" s="15" t="s">
        <v>3261</v>
      </c>
      <c r="L14" s="15" t="s">
        <v>3380</v>
      </c>
      <c r="M14" s="14" t="s">
        <v>3298</v>
      </c>
      <c r="N14" s="15" t="s">
        <v>3299</v>
      </c>
      <c r="O14" s="14" t="s">
        <v>12</v>
      </c>
      <c r="P14" s="15"/>
    </row>
    <row r="15" customFormat="false" ht="22.35" hidden="false" customHeight="false" outlineLevel="0" collapsed="false">
      <c r="A15" s="14" t="s">
        <v>3179</v>
      </c>
      <c r="B15" s="14" t="s">
        <v>3300</v>
      </c>
      <c r="C15" s="15" t="s">
        <v>739</v>
      </c>
      <c r="D15" s="15" t="s">
        <v>3381</v>
      </c>
      <c r="E15" s="15" t="s">
        <v>3382</v>
      </c>
      <c r="F15" s="15" t="s">
        <v>3383</v>
      </c>
      <c r="G15" s="15" t="s">
        <v>3384</v>
      </c>
      <c r="H15" s="14" t="s">
        <v>108</v>
      </c>
      <c r="I15" s="14" t="s">
        <v>19</v>
      </c>
      <c r="J15" s="15" t="s">
        <v>3385</v>
      </c>
      <c r="K15" s="15" t="s">
        <v>3386</v>
      </c>
      <c r="L15" s="15" t="s">
        <v>3387</v>
      </c>
      <c r="M15" s="14" t="s">
        <v>3298</v>
      </c>
      <c r="N15" s="15" t="s">
        <v>3299</v>
      </c>
      <c r="O15" s="14" t="s">
        <v>12</v>
      </c>
      <c r="P15" s="15"/>
    </row>
    <row r="16" customFormat="false" ht="53.7" hidden="false" customHeight="false" outlineLevel="0" collapsed="false">
      <c r="A16" s="14" t="s">
        <v>3142</v>
      </c>
      <c r="B16" s="14" t="s">
        <v>3300</v>
      </c>
      <c r="C16" s="15" t="s">
        <v>256</v>
      </c>
      <c r="D16" s="15" t="s">
        <v>3388</v>
      </c>
      <c r="E16" s="15" t="s">
        <v>3389</v>
      </c>
      <c r="F16" s="15" t="s">
        <v>3390</v>
      </c>
      <c r="G16" s="15" t="s">
        <v>3391</v>
      </c>
      <c r="H16" s="14" t="s">
        <v>99</v>
      </c>
      <c r="I16" s="14" t="s">
        <v>20</v>
      </c>
      <c r="J16" s="15" t="s">
        <v>3392</v>
      </c>
      <c r="K16" s="15" t="s">
        <v>3393</v>
      </c>
      <c r="L16" s="15" t="s">
        <v>3394</v>
      </c>
      <c r="M16" s="14" t="s">
        <v>3298</v>
      </c>
      <c r="N16" s="15" t="s">
        <v>3299</v>
      </c>
      <c r="O16" s="14" t="s">
        <v>12</v>
      </c>
      <c r="P16" s="15"/>
    </row>
    <row r="17" customFormat="false" ht="22.35" hidden="false" customHeight="false" outlineLevel="0" collapsed="false">
      <c r="A17" s="14" t="s">
        <v>3024</v>
      </c>
      <c r="B17" s="14" t="s">
        <v>3328</v>
      </c>
      <c r="C17" s="15" t="s">
        <v>1607</v>
      </c>
      <c r="D17" s="15" t="s">
        <v>3395</v>
      </c>
      <c r="E17" s="15" t="s">
        <v>3396</v>
      </c>
      <c r="F17" s="15" t="s">
        <v>3397</v>
      </c>
      <c r="G17" s="15" t="s">
        <v>3398</v>
      </c>
      <c r="H17" s="14" t="s">
        <v>99</v>
      </c>
      <c r="I17" s="14" t="s">
        <v>21</v>
      </c>
      <c r="J17" s="15" t="s">
        <v>3399</v>
      </c>
      <c r="K17" s="15" t="s">
        <v>3400</v>
      </c>
      <c r="L17" s="15" t="s">
        <v>3401</v>
      </c>
      <c r="M17" s="14" t="s">
        <v>3298</v>
      </c>
      <c r="N17" s="15" t="s">
        <v>3299</v>
      </c>
      <c r="O17" s="14" t="s">
        <v>12</v>
      </c>
      <c r="P17" s="15"/>
    </row>
    <row r="18" customFormat="false" ht="32.8" hidden="false" customHeight="false" outlineLevel="0" collapsed="false">
      <c r="A18" s="14" t="s">
        <v>3019</v>
      </c>
      <c r="B18" s="14" t="s">
        <v>3328</v>
      </c>
      <c r="C18" s="15" t="s">
        <v>3016</v>
      </c>
      <c r="D18" s="15" t="s">
        <v>3402</v>
      </c>
      <c r="E18" s="15" t="s">
        <v>3403</v>
      </c>
      <c r="F18" s="15" t="s">
        <v>3404</v>
      </c>
      <c r="G18" s="15" t="s">
        <v>3405</v>
      </c>
      <c r="H18" s="14" t="s">
        <v>338</v>
      </c>
      <c r="I18" s="14" t="s">
        <v>21</v>
      </c>
      <c r="J18" s="15" t="s">
        <v>3015</v>
      </c>
      <c r="K18" s="15" t="s">
        <v>955</v>
      </c>
      <c r="L18" s="15" t="s">
        <v>3406</v>
      </c>
      <c r="M18" s="14" t="s">
        <v>3298</v>
      </c>
      <c r="N18" s="15" t="s">
        <v>3299</v>
      </c>
      <c r="O18" s="14" t="s">
        <v>12</v>
      </c>
      <c r="P18" s="15"/>
    </row>
    <row r="19" customFormat="false" ht="22.35" hidden="false" customHeight="false" outlineLevel="0" collapsed="false">
      <c r="A19" s="14" t="s">
        <v>3079</v>
      </c>
      <c r="B19" s="14" t="s">
        <v>3328</v>
      </c>
      <c r="C19" s="15" t="s">
        <v>3407</v>
      </c>
      <c r="D19" s="15" t="s">
        <v>3408</v>
      </c>
      <c r="E19" s="15" t="s">
        <v>3409</v>
      </c>
      <c r="F19" s="15" t="s">
        <v>96</v>
      </c>
      <c r="G19" s="15" t="s">
        <v>3410</v>
      </c>
      <c r="H19" s="14" t="s">
        <v>338</v>
      </c>
      <c r="I19" s="14" t="s">
        <v>21</v>
      </c>
      <c r="J19" s="15" t="s">
        <v>3411</v>
      </c>
      <c r="K19" s="15" t="s">
        <v>562</v>
      </c>
      <c r="L19" s="15" t="s">
        <v>3412</v>
      </c>
      <c r="M19" s="14" t="s">
        <v>3298</v>
      </c>
      <c r="N19" s="15" t="s">
        <v>3299</v>
      </c>
      <c r="O19" s="14" t="s">
        <v>12</v>
      </c>
      <c r="P19" s="15"/>
    </row>
    <row r="20" customFormat="false" ht="22.35" hidden="false" customHeight="false" outlineLevel="0" collapsed="false">
      <c r="A20" s="14" t="s">
        <v>3083</v>
      </c>
      <c r="B20" s="14" t="s">
        <v>3328</v>
      </c>
      <c r="C20" s="15" t="s">
        <v>3147</v>
      </c>
      <c r="D20" s="15" t="s">
        <v>3413</v>
      </c>
      <c r="E20" s="15" t="s">
        <v>3414</v>
      </c>
      <c r="F20" s="15" t="s">
        <v>96</v>
      </c>
      <c r="G20" s="15" t="s">
        <v>3415</v>
      </c>
      <c r="H20" s="14" t="s">
        <v>338</v>
      </c>
      <c r="I20" s="14" t="s">
        <v>22</v>
      </c>
      <c r="J20" s="15" t="s">
        <v>3416</v>
      </c>
      <c r="K20" s="15" t="s">
        <v>2504</v>
      </c>
      <c r="L20" s="15" t="s">
        <v>3417</v>
      </c>
      <c r="M20" s="14" t="s">
        <v>3298</v>
      </c>
      <c r="N20" s="15" t="s">
        <v>3299</v>
      </c>
      <c r="O20" s="14" t="s">
        <v>12</v>
      </c>
      <c r="P20" s="15"/>
    </row>
    <row r="21" customFormat="false" ht="22.35" hidden="false" customHeight="false" outlineLevel="0" collapsed="false">
      <c r="A21" s="14" t="s">
        <v>3418</v>
      </c>
      <c r="B21" s="14" t="s">
        <v>2067</v>
      </c>
      <c r="C21" s="15" t="s">
        <v>3419</v>
      </c>
      <c r="D21" s="15" t="s">
        <v>3420</v>
      </c>
      <c r="E21" s="15" t="s">
        <v>3421</v>
      </c>
      <c r="F21" s="15" t="s">
        <v>96</v>
      </c>
      <c r="G21" s="15" t="s">
        <v>3422</v>
      </c>
      <c r="H21" s="14" t="s">
        <v>338</v>
      </c>
      <c r="I21" s="14" t="s">
        <v>22</v>
      </c>
      <c r="J21" s="15" t="s">
        <v>2992</v>
      </c>
      <c r="K21" s="15" t="s">
        <v>2624</v>
      </c>
      <c r="L21" s="15" t="s">
        <v>3423</v>
      </c>
      <c r="M21" s="14" t="s">
        <v>3298</v>
      </c>
      <c r="N21" s="15" t="s">
        <v>3299</v>
      </c>
      <c r="O21" s="14" t="s">
        <v>12</v>
      </c>
      <c r="P21" s="15"/>
    </row>
    <row r="22" customFormat="false" ht="22.35" hidden="false" customHeight="false" outlineLevel="0" collapsed="false">
      <c r="A22" s="14" t="s">
        <v>3111</v>
      </c>
      <c r="B22" s="14" t="s">
        <v>3328</v>
      </c>
      <c r="C22" s="15" t="s">
        <v>577</v>
      </c>
      <c r="D22" s="15" t="s">
        <v>3424</v>
      </c>
      <c r="E22" s="15" t="s">
        <v>3425</v>
      </c>
      <c r="F22" s="15" t="s">
        <v>96</v>
      </c>
      <c r="G22" s="15" t="s">
        <v>545</v>
      </c>
      <c r="H22" s="14" t="s">
        <v>99</v>
      </c>
      <c r="I22" s="14" t="s">
        <v>20</v>
      </c>
      <c r="J22" s="15" t="s">
        <v>3108</v>
      </c>
      <c r="K22" s="15" t="s">
        <v>3110</v>
      </c>
      <c r="L22" s="15" t="s">
        <v>3426</v>
      </c>
      <c r="M22" s="14" t="s">
        <v>3298</v>
      </c>
      <c r="N22" s="15" t="s">
        <v>3299</v>
      </c>
      <c r="O22" s="14" t="s">
        <v>12</v>
      </c>
      <c r="P22" s="15"/>
    </row>
    <row r="23" customFormat="false" ht="22.35" hidden="false" customHeight="false" outlineLevel="0" collapsed="false">
      <c r="A23" s="14" t="s">
        <v>3061</v>
      </c>
      <c r="B23" s="14" t="s">
        <v>3300</v>
      </c>
      <c r="C23" s="15" t="s">
        <v>3427</v>
      </c>
      <c r="D23" s="15" t="s">
        <v>3428</v>
      </c>
      <c r="E23" s="15" t="s">
        <v>96</v>
      </c>
      <c r="F23" s="15" t="s">
        <v>96</v>
      </c>
      <c r="G23" s="15" t="s">
        <v>3429</v>
      </c>
      <c r="H23" s="14" t="s">
        <v>338</v>
      </c>
      <c r="I23" s="14" t="s">
        <v>21</v>
      </c>
      <c r="J23" s="15" t="s">
        <v>3057</v>
      </c>
      <c r="K23" s="15" t="s">
        <v>2545</v>
      </c>
      <c r="L23" s="15" t="s">
        <v>3430</v>
      </c>
      <c r="M23" s="14" t="s">
        <v>3298</v>
      </c>
      <c r="N23" s="15" t="s">
        <v>3299</v>
      </c>
      <c r="O23" s="14" t="s">
        <v>12</v>
      </c>
      <c r="P23" s="15"/>
    </row>
    <row r="24" customFormat="false" ht="22.35" hidden="false" customHeight="false" outlineLevel="0" collapsed="false">
      <c r="A24" s="14" t="s">
        <v>3170</v>
      </c>
      <c r="B24" s="14" t="s">
        <v>3368</v>
      </c>
      <c r="C24" s="15" t="s">
        <v>1762</v>
      </c>
      <c r="D24" s="15" t="s">
        <v>3431</v>
      </c>
      <c r="E24" s="15" t="s">
        <v>3432</v>
      </c>
      <c r="F24" s="15" t="s">
        <v>96</v>
      </c>
      <c r="G24" s="15" t="s">
        <v>545</v>
      </c>
      <c r="H24" s="14" t="s">
        <v>108</v>
      </c>
      <c r="I24" s="14" t="s">
        <v>20</v>
      </c>
      <c r="J24" s="15" t="s">
        <v>3167</v>
      </c>
      <c r="K24" s="15" t="s">
        <v>1479</v>
      </c>
      <c r="L24" s="15" t="s">
        <v>3433</v>
      </c>
      <c r="M24" s="14" t="s">
        <v>3298</v>
      </c>
      <c r="N24" s="15" t="s">
        <v>3299</v>
      </c>
      <c r="O24" s="14" t="s">
        <v>12</v>
      </c>
      <c r="P24" s="15"/>
    </row>
    <row r="25" customFormat="false" ht="22.35" hidden="false" customHeight="false" outlineLevel="0" collapsed="false">
      <c r="A25" s="14" t="s">
        <v>3120</v>
      </c>
      <c r="B25" s="14" t="s">
        <v>3300</v>
      </c>
      <c r="C25" s="15" t="s">
        <v>577</v>
      </c>
      <c r="D25" s="15" t="s">
        <v>3434</v>
      </c>
      <c r="E25" s="15" t="s">
        <v>3425</v>
      </c>
      <c r="F25" s="15" t="s">
        <v>96</v>
      </c>
      <c r="G25" s="15" t="s">
        <v>3435</v>
      </c>
      <c r="H25" s="14" t="s">
        <v>99</v>
      </c>
      <c r="I25" s="14" t="s">
        <v>21</v>
      </c>
      <c r="J25" s="15" t="s">
        <v>3436</v>
      </c>
      <c r="K25" s="15" t="s">
        <v>3437</v>
      </c>
      <c r="L25" s="15" t="s">
        <v>3438</v>
      </c>
      <c r="M25" s="14" t="s">
        <v>3298</v>
      </c>
      <c r="N25" s="15" t="s">
        <v>3299</v>
      </c>
      <c r="O25" s="14" t="s">
        <v>12</v>
      </c>
      <c r="P25" s="15"/>
    </row>
    <row r="26" customFormat="false" ht="15" hidden="false" customHeight="false" outlineLevel="0" collapsed="false">
      <c r="A26" s="15" t="s">
        <v>3439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customFormat="false" ht="15" hidden="false" customHeight="false" outlineLevel="0" collapsed="false">
      <c r="A27" s="15" t="s">
        <v>3440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customFormat="false" ht="15" hidden="false" customHeight="false" outlineLevel="0" collapsed="false">
      <c r="A28" s="15" t="s">
        <v>3441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customFormat="false" ht="15" hidden="false" customHeight="false" outlineLevel="0" collapsed="false">
      <c r="A29" s="15" t="s">
        <v>3442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customFormat="false" ht="15" hidden="false" customHeight="false" outlineLevel="0" collapsed="false">
      <c r="A30" s="15" t="s">
        <v>3443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customFormat="false" ht="15" hidden="false" customHeight="false" outlineLevel="0" collapsed="false">
      <c r="A31" s="15" t="s">
        <v>3444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customFormat="false" ht="15" hidden="false" customHeight="false" outlineLevel="0" collapsed="false">
      <c r="A32" s="15" t="s">
        <v>3445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customFormat="false" ht="15" hidden="false" customHeight="false" outlineLevel="0" collapsed="false">
      <c r="A33" s="15" t="s">
        <v>3446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customFormat="false" ht="15" hidden="false" customHeight="false" outlineLevel="0" collapsed="false">
      <c r="A34" s="15" t="s">
        <v>3447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customFormat="false" ht="15" hidden="false" customHeight="false" outlineLevel="0" collapsed="false">
      <c r="A35" s="15" t="s">
        <v>3448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customFormat="false" ht="15" hidden="false" customHeight="false" outlineLevel="0" collapsed="false">
      <c r="A36" s="15" t="s">
        <v>3449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customFormat="false" ht="15" hidden="false" customHeight="false" outlineLevel="0" collapsed="false">
      <c r="A37" s="15" t="s">
        <v>3450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customFormat="false" ht="15" hidden="false" customHeight="false" outlineLevel="0" collapsed="false">
      <c r="A38" s="15" t="s">
        <v>3451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customFormat="false" ht="15" hidden="false" customHeight="false" outlineLevel="0" collapsed="false">
      <c r="A39" s="15" t="s">
        <v>3452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customFormat="false" ht="15" hidden="false" customHeight="false" outlineLevel="0" collapsed="false">
      <c r="A40" s="15" t="s">
        <v>3453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customFormat="false" ht="15" hidden="false" customHeight="false" outlineLevel="0" collapsed="false">
      <c r="A41" s="15" t="s">
        <v>3454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customFormat="false" ht="15" hidden="false" customHeight="false" outlineLevel="0" collapsed="false">
      <c r="A42" s="15" t="s">
        <v>3455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customFormat="false" ht="15" hidden="false" customHeight="false" outlineLevel="0" collapsed="false">
      <c r="A43" s="15" t="s">
        <v>3456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customFormat="false" ht="15" hidden="false" customHeight="false" outlineLevel="0" collapsed="false">
      <c r="A44" s="15" t="s">
        <v>3457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customFormat="false" ht="15" hidden="false" customHeight="false" outlineLevel="0" collapsed="false">
      <c r="A45" s="15" t="s">
        <v>3458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customFormat="false" ht="15" hidden="false" customHeight="false" outlineLevel="0" collapsed="false">
      <c r="A46" s="15" t="s">
        <v>3459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customFormat="false" ht="15" hidden="false" customHeight="false" outlineLevel="0" collapsed="false">
      <c r="A47" s="15" t="s">
        <v>3460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customFormat="false" ht="15" hidden="false" customHeight="false" outlineLevel="0" collapsed="false">
      <c r="A48" s="15" t="s">
        <v>3461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customFormat="false" ht="15" hidden="false" customHeight="false" outlineLevel="0" collapsed="false">
      <c r="A49" s="15" t="s">
        <v>3462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customFormat="false" ht="15" hidden="false" customHeight="false" outlineLevel="0" collapsed="false">
      <c r="A50" s="15" t="s">
        <v>3463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customFormat="false" ht="15" hidden="false" customHeight="false" outlineLevel="0" collapsed="false">
      <c r="A51" s="15" t="s">
        <v>3464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customFormat="false" ht="15" hidden="false" customHeight="false" outlineLevel="0" collapsed="false">
      <c r="A52" s="15" t="s">
        <v>3465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customFormat="false" ht="15" hidden="false" customHeight="false" outlineLevel="0" collapsed="false">
      <c r="A53" s="15" t="s">
        <v>3466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customFormat="false" ht="15" hidden="false" customHeight="false" outlineLevel="0" collapsed="false">
      <c r="A54" s="15" t="s">
        <v>3467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customFormat="false" ht="15" hidden="false" customHeight="false" outlineLevel="0" collapsed="false">
      <c r="A55" s="15" t="s">
        <v>3468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</sheetData>
  <autoFilter ref="A1:P55"/>
  <conditionalFormatting sqref="H2:H55">
    <cfRule type="cellIs" priority="2" operator="equal" aboveAverage="0" equalAverage="0" bottom="0" percent="0" rank="0" text="" dxfId="19">
      <formula>"Critical"</formula>
    </cfRule>
    <cfRule type="cellIs" priority="3" operator="equal" aboveAverage="0" equalAverage="0" bottom="0" percent="0" rank="0" text="" dxfId="20">
      <formula>"High"</formula>
    </cfRule>
    <cfRule type="cellIs" priority="4" operator="equal" aboveAverage="0" equalAverage="0" bottom="0" percent="0" rank="0" text="" dxfId="18">
      <formula>"Medium"</formula>
    </cfRule>
    <cfRule type="cellIs" priority="5" operator="equal" aboveAverage="0" equalAverage="0" bottom="0" percent="0" rank="0" text="" dxfId="21">
      <formula>"Low"</formula>
    </cfRule>
  </conditionalFormatting>
  <dataValidations count="4">
    <dataValidation allowBlank="false" errorStyle="stop" operator="between" showDropDown="false" showErrorMessage="false" showInputMessage="false" sqref="B2:B55" type="list">
      <formula1>"Spec Conflict,Missing Spec,Ambiguity,Risk,Information,Text,Defect"</formula1>
      <formula2>0</formula2>
    </dataValidation>
    <dataValidation allowBlank="false" errorStyle="stop" operator="between" showDropDown="false" showErrorMessage="false" showInputMessage="false" sqref="H2:H55" type="list">
      <formula1>"Critical,High,Medium,Low"</formula1>
      <formula2>0</formula2>
    </dataValidation>
    <dataValidation allowBlank="false" errorStyle="stop" operator="between" showDropDown="false" showErrorMessage="false" showInputMessage="false" sqref="I2:I55" type="list">
      <formula1>"P0,P1,P2,P3"</formula1>
      <formula2>0</formula2>
    </dataValidation>
    <dataValidation allowBlank="false" errorStyle="stop" operator="between" showDropDown="false" showErrorMessage="false" showInputMessage="false" sqref="M2:M55" type="list">
      <formula1>"Open,In Progress,Fixed,Retest,Closed,Rejected,Deferred"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3469</v>
      </c>
    </row>
    <row r="2" customFormat="false" ht="15" hidden="false" customHeight="false" outlineLevel="0" collapsed="false">
      <c r="A2" s="21" t="s">
        <v>3470</v>
      </c>
    </row>
    <row r="4" customFormat="false" ht="15" hidden="false" customHeight="false" outlineLevel="0" collapsed="false">
      <c r="A4" s="2" t="s">
        <v>3471</v>
      </c>
      <c r="B4" s="22"/>
      <c r="C4" s="22"/>
      <c r="D4" s="22"/>
      <c r="E4" s="22"/>
    </row>
    <row r="5" customFormat="false" ht="15" hidden="false" customHeight="false" outlineLevel="0" collapsed="false">
      <c r="A5" s="2" t="s">
        <v>74</v>
      </c>
      <c r="B5" s="22"/>
      <c r="C5" s="22"/>
      <c r="D5" s="22"/>
      <c r="E5" s="22"/>
    </row>
    <row r="6" customFormat="false" ht="15" hidden="false" customHeight="false" outlineLevel="0" collapsed="false">
      <c r="A6" s="2" t="s">
        <v>3472</v>
      </c>
      <c r="B6" s="22"/>
      <c r="C6" s="22"/>
      <c r="D6" s="22"/>
      <c r="E6" s="22"/>
    </row>
    <row r="7" customFormat="false" ht="15" hidden="false" customHeight="false" outlineLevel="0" collapsed="false">
      <c r="A7" s="2" t="s">
        <v>3473</v>
      </c>
      <c r="B7" s="22"/>
      <c r="C7" s="22"/>
      <c r="D7" s="22"/>
      <c r="E7" s="22"/>
    </row>
    <row r="8" customFormat="false" ht="15" hidden="false" customHeight="false" outlineLevel="0" collapsed="false">
      <c r="A8" s="2" t="s">
        <v>3474</v>
      </c>
      <c r="B8" s="22"/>
      <c r="C8" s="22"/>
      <c r="D8" s="22"/>
      <c r="E8" s="22"/>
    </row>
    <row r="9" customFormat="false" ht="15" hidden="false" customHeight="false" outlineLevel="0" collapsed="false">
      <c r="A9" s="2" t="s">
        <v>3475</v>
      </c>
      <c r="B9" s="22"/>
      <c r="C9" s="22"/>
      <c r="D9" s="22"/>
      <c r="E9" s="22"/>
    </row>
    <row r="10" customFormat="false" ht="15" hidden="false" customHeight="false" outlineLevel="0" collapsed="false">
      <c r="A10" s="2" t="s">
        <v>3476</v>
      </c>
      <c r="B10" s="22"/>
      <c r="C10" s="22"/>
      <c r="D10" s="22"/>
      <c r="E10" s="22"/>
    </row>
    <row r="13" customFormat="false" ht="23.85" hidden="false" customHeight="false" outlineLevel="0" collapsed="false">
      <c r="A13" s="4" t="s">
        <v>17</v>
      </c>
      <c r="B13" s="4" t="s">
        <v>3477</v>
      </c>
      <c r="C13" s="4" t="s">
        <v>90</v>
      </c>
      <c r="D13" s="4" t="s">
        <v>59</v>
      </c>
      <c r="E13" s="4" t="s">
        <v>3478</v>
      </c>
      <c r="F13" s="4" t="s">
        <v>3479</v>
      </c>
      <c r="G13" s="4" t="s">
        <v>96</v>
      </c>
      <c r="H13" s="4" t="s">
        <v>3480</v>
      </c>
      <c r="I13" s="4" t="s">
        <v>3481</v>
      </c>
      <c r="J13" s="4" t="s">
        <v>3482</v>
      </c>
      <c r="K13" s="4" t="s">
        <v>3483</v>
      </c>
    </row>
    <row r="14" customFormat="false" ht="15" hidden="false" customHeight="false" outlineLevel="0" collapsed="false">
      <c r="A14" s="5" t="s">
        <v>26</v>
      </c>
      <c r="B14" s="5" t="n">
        <f aca="false">COUNTA('Functional Testing'!A:A)-1</f>
        <v>90</v>
      </c>
      <c r="C14" s="5" t="n">
        <f aca="false">COUNTIF('Functional Testing'!Q:Q,"Not Run")</f>
        <v>90</v>
      </c>
      <c r="D14" s="5" t="n">
        <f aca="false">COUNTIF('Functional Testing'!Q:Q,"Pass")</f>
        <v>0</v>
      </c>
      <c r="E14" s="5" t="n">
        <f aca="false">COUNTIF('Functional Testing'!Q:Q,"Fail")</f>
        <v>0</v>
      </c>
      <c r="F14" s="5" t="n">
        <f aca="false">COUNTIF('Functional Testing'!Q:Q,"Blocked")</f>
        <v>0</v>
      </c>
      <c r="G14" s="5" t="n">
        <f aca="false">COUNTIF('Functional Testing'!Q:Q,"N/A")</f>
        <v>0</v>
      </c>
      <c r="H14" s="5" t="n">
        <f aca="false">COUNTIF('Functional Testing'!Q:Q,"Spec Confirmation")</f>
        <v>0</v>
      </c>
      <c r="I14" s="5" t="n">
        <f aca="false">B14-C14</f>
        <v>0</v>
      </c>
      <c r="J14" s="23" t="n">
        <f aca="false">IF(I14=0,0,D14/I14)</f>
        <v>0</v>
      </c>
      <c r="K14" s="23" t="n">
        <f aca="false">IF(B14=0,0,I14/B14)</f>
        <v>0</v>
      </c>
    </row>
    <row r="15" customFormat="false" ht="15" hidden="false" customHeight="false" outlineLevel="0" collapsed="false">
      <c r="A15" s="5" t="s">
        <v>27</v>
      </c>
      <c r="B15" s="5" t="n">
        <f aca="false">COUNTA('Math Validation'!A:A)-1</f>
        <v>63</v>
      </c>
      <c r="C15" s="5" t="n">
        <f aca="false">COUNTIF('Math Validation'!Q:Q,"Not Run")</f>
        <v>63</v>
      </c>
      <c r="D15" s="5" t="n">
        <f aca="false">COUNTIF('Math Validation'!Q:Q,"Pass")</f>
        <v>0</v>
      </c>
      <c r="E15" s="5" t="n">
        <f aca="false">COUNTIF('Math Validation'!Q:Q,"Fail")</f>
        <v>0</v>
      </c>
      <c r="F15" s="5" t="n">
        <f aca="false">COUNTIF('Math Validation'!Q:Q,"Blocked")</f>
        <v>0</v>
      </c>
      <c r="G15" s="5" t="n">
        <f aca="false">COUNTIF('Math Validation'!Q:Q,"N/A")</f>
        <v>0</v>
      </c>
      <c r="H15" s="5" t="n">
        <f aca="false">COUNTIF('Math Validation'!Q:Q,"Spec Confirmation")</f>
        <v>0</v>
      </c>
      <c r="I15" s="5" t="n">
        <f aca="false">B15-C15</f>
        <v>0</v>
      </c>
      <c r="J15" s="23" t="n">
        <f aca="false">IF(I15=0,0,D15/I15)</f>
        <v>0</v>
      </c>
      <c r="K15" s="23" t="n">
        <f aca="false">IF(B15=0,0,I15/B15)</f>
        <v>0</v>
      </c>
    </row>
    <row r="16" customFormat="false" ht="15" hidden="false" customHeight="false" outlineLevel="0" collapsed="false">
      <c r="A16" s="5" t="s">
        <v>28</v>
      </c>
      <c r="B16" s="5" t="n">
        <f aca="false">COUNTA('Feature Testing'!A:A)-1</f>
        <v>59</v>
      </c>
      <c r="C16" s="5" t="n">
        <f aca="false">COUNTIF('Feature Testing'!Q:Q,"Not Run")</f>
        <v>59</v>
      </c>
      <c r="D16" s="5" t="n">
        <f aca="false">COUNTIF('Feature Testing'!Q:Q,"Pass")</f>
        <v>0</v>
      </c>
      <c r="E16" s="5" t="n">
        <f aca="false">COUNTIF('Feature Testing'!Q:Q,"Fail")</f>
        <v>0</v>
      </c>
      <c r="F16" s="5" t="n">
        <f aca="false">COUNTIF('Feature Testing'!Q:Q,"Blocked")</f>
        <v>0</v>
      </c>
      <c r="G16" s="5" t="n">
        <f aca="false">COUNTIF('Feature Testing'!Q:Q,"N/A")</f>
        <v>0</v>
      </c>
      <c r="H16" s="5" t="n">
        <f aca="false">COUNTIF('Feature Testing'!Q:Q,"Spec Confirmation")</f>
        <v>0</v>
      </c>
      <c r="I16" s="5" t="n">
        <f aca="false">B16-C16</f>
        <v>0</v>
      </c>
      <c r="J16" s="23" t="n">
        <f aca="false">IF(I16=0,0,D16/I16)</f>
        <v>0</v>
      </c>
      <c r="K16" s="23" t="n">
        <f aca="false">IF(B16=0,0,I16/B16)</f>
        <v>0</v>
      </c>
    </row>
    <row r="17" customFormat="false" ht="15" hidden="false" customHeight="false" outlineLevel="0" collapsed="false">
      <c r="A17" s="5" t="s">
        <v>29</v>
      </c>
      <c r="B17" s="5" t="n">
        <f aca="false">COUNTA('Edge &amp; Boundary Cases'!A:A)-1</f>
        <v>42</v>
      </c>
      <c r="C17" s="5" t="n">
        <f aca="false">COUNTIF('Edge &amp; Boundary Cases'!Q:Q,"Not Run")</f>
        <v>42</v>
      </c>
      <c r="D17" s="5" t="n">
        <f aca="false">COUNTIF('Edge &amp; Boundary Cases'!Q:Q,"Pass")</f>
        <v>0</v>
      </c>
      <c r="E17" s="5" t="n">
        <f aca="false">COUNTIF('Edge &amp; Boundary Cases'!Q:Q,"Fail")</f>
        <v>0</v>
      </c>
      <c r="F17" s="5" t="n">
        <f aca="false">COUNTIF('Edge &amp; Boundary Cases'!Q:Q,"Blocked")</f>
        <v>0</v>
      </c>
      <c r="G17" s="5" t="n">
        <f aca="false">COUNTIF('Edge &amp; Boundary Cases'!Q:Q,"N/A")</f>
        <v>0</v>
      </c>
      <c r="H17" s="5" t="n">
        <f aca="false">COUNTIF('Edge &amp; Boundary Cases'!Q:Q,"Spec Confirmation")</f>
        <v>0</v>
      </c>
      <c r="I17" s="5" t="n">
        <f aca="false">B17-C17</f>
        <v>0</v>
      </c>
      <c r="J17" s="23" t="n">
        <f aca="false">IF(I17=0,0,D17/I17)</f>
        <v>0</v>
      </c>
      <c r="K17" s="23" t="n">
        <f aca="false">IF(B17=0,0,I17/B17)</f>
        <v>0</v>
      </c>
    </row>
    <row r="18" customFormat="false" ht="15" hidden="false" customHeight="false" outlineLevel="0" collapsed="false">
      <c r="A18" s="5" t="s">
        <v>30</v>
      </c>
      <c r="B18" s="5" t="n">
        <f aca="false">COUNTA('Regression Suite'!A:A)-1</f>
        <v>162</v>
      </c>
      <c r="C18" s="5" t="n">
        <f aca="false">COUNTIF('Regression Suite'!Q:Q,"Not Run")</f>
        <v>162</v>
      </c>
      <c r="D18" s="5" t="n">
        <f aca="false">COUNTIF('Regression Suite'!Q:Q,"Pass")</f>
        <v>0</v>
      </c>
      <c r="E18" s="5" t="n">
        <f aca="false">COUNTIF('Regression Suite'!Q:Q,"Fail")</f>
        <v>0</v>
      </c>
      <c r="F18" s="5" t="n">
        <f aca="false">COUNTIF('Regression Suite'!Q:Q,"Blocked")</f>
        <v>0</v>
      </c>
      <c r="G18" s="5" t="n">
        <f aca="false">COUNTIF('Regression Suite'!Q:Q,"N/A")</f>
        <v>0</v>
      </c>
      <c r="H18" s="5" t="n">
        <f aca="false">COUNTIF('Regression Suite'!Q:Q,"Spec Confirmation")</f>
        <v>0</v>
      </c>
      <c r="I18" s="5" t="n">
        <f aca="false">B18-C18</f>
        <v>0</v>
      </c>
      <c r="J18" s="23" t="n">
        <f aca="false">IF(I18=0,0,D18/I18)</f>
        <v>0</v>
      </c>
      <c r="K18" s="23" t="n">
        <f aca="false">IF(B18=0,0,I18/B18)</f>
        <v>0</v>
      </c>
    </row>
    <row r="19" customFormat="false" ht="15" hidden="false" customHeight="false" outlineLevel="0" collapsed="false">
      <c r="A19" s="5" t="s">
        <v>31</v>
      </c>
      <c r="B19" s="5" t="n">
        <f aca="false">COUNTA('UI-UX Testing'!A:A)-1</f>
        <v>47</v>
      </c>
      <c r="C19" s="5" t="n">
        <f aca="false">COUNTIF('UI-UX Testing'!Q:Q,"Not Run")</f>
        <v>47</v>
      </c>
      <c r="D19" s="5" t="n">
        <f aca="false">COUNTIF('UI-UX Testing'!Q:Q,"Pass")</f>
        <v>0</v>
      </c>
      <c r="E19" s="5" t="n">
        <f aca="false">COUNTIF('UI-UX Testing'!Q:Q,"Fail")</f>
        <v>0</v>
      </c>
      <c r="F19" s="5" t="n">
        <f aca="false">COUNTIF('UI-UX Testing'!Q:Q,"Blocked")</f>
        <v>0</v>
      </c>
      <c r="G19" s="5" t="n">
        <f aca="false">COUNTIF('UI-UX Testing'!Q:Q,"N/A")</f>
        <v>0</v>
      </c>
      <c r="H19" s="5" t="n">
        <f aca="false">COUNTIF('UI-UX Testing'!Q:Q,"Spec Confirmation")</f>
        <v>0</v>
      </c>
      <c r="I19" s="5" t="n">
        <f aca="false">B19-C19</f>
        <v>0</v>
      </c>
      <c r="J19" s="23" t="n">
        <f aca="false">IF(I19=0,0,D19/I19)</f>
        <v>0</v>
      </c>
      <c r="K19" s="23" t="n">
        <f aca="false">IF(B19=0,0,I19/B19)</f>
        <v>0</v>
      </c>
    </row>
    <row r="20" customFormat="false" ht="15" hidden="false" customHeight="false" outlineLevel="0" collapsed="false">
      <c r="A20" s="5" t="s">
        <v>32</v>
      </c>
      <c r="B20" s="5" t="n">
        <f aca="false">COUNTA('Compatibility Testing'!A:A)-1</f>
        <v>21</v>
      </c>
      <c r="C20" s="5" t="n">
        <f aca="false">COUNTIF('Compatibility Testing'!Q:Q,"Not Run")</f>
        <v>21</v>
      </c>
      <c r="D20" s="5" t="n">
        <f aca="false">COUNTIF('Compatibility Testing'!Q:Q,"Pass")</f>
        <v>0</v>
      </c>
      <c r="E20" s="5" t="n">
        <f aca="false">COUNTIF('Compatibility Testing'!Q:Q,"Fail")</f>
        <v>0</v>
      </c>
      <c r="F20" s="5" t="n">
        <f aca="false">COUNTIF('Compatibility Testing'!Q:Q,"Blocked")</f>
        <v>0</v>
      </c>
      <c r="G20" s="5" t="n">
        <f aca="false">COUNTIF('Compatibility Testing'!Q:Q,"N/A")</f>
        <v>0</v>
      </c>
      <c r="H20" s="5" t="n">
        <f aca="false">COUNTIF('Compatibility Testing'!Q:Q,"Spec Confirmation")</f>
        <v>0</v>
      </c>
      <c r="I20" s="5" t="n">
        <f aca="false">B20-C20</f>
        <v>0</v>
      </c>
      <c r="J20" s="23" t="n">
        <f aca="false">IF(I20=0,0,D20/I20)</f>
        <v>0</v>
      </c>
      <c r="K20" s="23" t="n">
        <f aca="false">IF(B20=0,0,I20/B20)</f>
        <v>0</v>
      </c>
    </row>
    <row r="21" customFormat="false" ht="15" hidden="false" customHeight="false" outlineLevel="0" collapsed="false">
      <c r="A21" s="5" t="s">
        <v>33</v>
      </c>
      <c r="B21" s="5" t="n">
        <f aca="false">COUNTA('Interruption &amp; Recovery'!A:A)-1</f>
        <v>30</v>
      </c>
      <c r="C21" s="5" t="n">
        <f aca="false">COUNTIF('Interruption &amp; Recovery'!Q:Q,"Not Run")</f>
        <v>30</v>
      </c>
      <c r="D21" s="5" t="n">
        <f aca="false">COUNTIF('Interruption &amp; Recovery'!Q:Q,"Pass")</f>
        <v>0</v>
      </c>
      <c r="E21" s="5" t="n">
        <f aca="false">COUNTIF('Interruption &amp; Recovery'!Q:Q,"Fail")</f>
        <v>0</v>
      </c>
      <c r="F21" s="5" t="n">
        <f aca="false">COUNTIF('Interruption &amp; Recovery'!Q:Q,"Blocked")</f>
        <v>0</v>
      </c>
      <c r="G21" s="5" t="n">
        <f aca="false">COUNTIF('Interruption &amp; Recovery'!Q:Q,"N/A")</f>
        <v>0</v>
      </c>
      <c r="H21" s="5" t="n">
        <f aca="false">COUNTIF('Interruption &amp; Recovery'!Q:Q,"Spec Confirmation")</f>
        <v>0</v>
      </c>
      <c r="I21" s="5" t="n">
        <f aca="false">B21-C21</f>
        <v>0</v>
      </c>
      <c r="J21" s="23" t="n">
        <f aca="false">IF(I21=0,0,D21/I21)</f>
        <v>0</v>
      </c>
      <c r="K21" s="23" t="n">
        <f aca="false">IF(B21=0,0,I21/B21)</f>
        <v>0</v>
      </c>
    </row>
    <row r="22" customFormat="false" ht="15" hidden="false" customHeight="false" outlineLevel="0" collapsed="false">
      <c r="A22" s="5" t="s">
        <v>34</v>
      </c>
      <c r="B22" s="5" t="n">
        <f aca="false">COUNTA('STR - Transaction Testing'!A:A)-1</f>
        <v>27</v>
      </c>
      <c r="C22" s="5" t="n">
        <f aca="false">COUNTIF('STR - Transaction Testing'!Q:Q,"Not Run")</f>
        <v>27</v>
      </c>
      <c r="D22" s="5" t="n">
        <f aca="false">COUNTIF('STR - Transaction Testing'!Q:Q,"Pass")</f>
        <v>0</v>
      </c>
      <c r="E22" s="5" t="n">
        <f aca="false">COUNTIF('STR - Transaction Testing'!Q:Q,"Fail")</f>
        <v>0</v>
      </c>
      <c r="F22" s="5" t="n">
        <f aca="false">COUNTIF('STR - Transaction Testing'!Q:Q,"Blocked")</f>
        <v>0</v>
      </c>
      <c r="G22" s="5" t="n">
        <f aca="false">COUNTIF('STR - Transaction Testing'!Q:Q,"N/A")</f>
        <v>0</v>
      </c>
      <c r="H22" s="5" t="n">
        <f aca="false">COUNTIF('STR - Transaction Testing'!Q:Q,"Spec Confirmation")</f>
        <v>0</v>
      </c>
      <c r="I22" s="5" t="n">
        <f aca="false">B22-C22</f>
        <v>0</v>
      </c>
      <c r="J22" s="23" t="n">
        <f aca="false">IF(I22=0,0,D22/I22)</f>
        <v>0</v>
      </c>
      <c r="K22" s="23" t="n">
        <f aca="false">IF(B22=0,0,I22/B22)</f>
        <v>0</v>
      </c>
    </row>
    <row r="23" customFormat="false" ht="15" hidden="false" customHeight="false" outlineLevel="0" collapsed="false">
      <c r="A23" s="5" t="s">
        <v>35</v>
      </c>
      <c r="B23" s="5" t="n">
        <f aca="false">COUNTA('Error Handling'!A:A)-1</f>
        <v>20</v>
      </c>
      <c r="C23" s="5" t="n">
        <f aca="false">COUNTIF('Error Handling'!Q:Q,"Not Run")</f>
        <v>20</v>
      </c>
      <c r="D23" s="5" t="n">
        <f aca="false">COUNTIF('Error Handling'!Q:Q,"Pass")</f>
        <v>0</v>
      </c>
      <c r="E23" s="5" t="n">
        <f aca="false">COUNTIF('Error Handling'!Q:Q,"Fail")</f>
        <v>0</v>
      </c>
      <c r="F23" s="5" t="n">
        <f aca="false">COUNTIF('Error Handling'!Q:Q,"Blocked")</f>
        <v>0</v>
      </c>
      <c r="G23" s="5" t="n">
        <f aca="false">COUNTIF('Error Handling'!Q:Q,"N/A")</f>
        <v>0</v>
      </c>
      <c r="H23" s="5" t="n">
        <f aca="false">COUNTIF('Error Handling'!Q:Q,"Spec Confirmation")</f>
        <v>0</v>
      </c>
      <c r="I23" s="5" t="n">
        <f aca="false">B23-C23</f>
        <v>0</v>
      </c>
      <c r="J23" s="23" t="n">
        <f aca="false">IF(I23=0,0,D23/I23)</f>
        <v>0</v>
      </c>
      <c r="K23" s="23" t="n">
        <f aca="false">IF(B23=0,0,I23/B23)</f>
        <v>0</v>
      </c>
    </row>
    <row r="24" customFormat="false" ht="15" hidden="false" customHeight="false" outlineLevel="0" collapsed="false">
      <c r="A24" s="2" t="s">
        <v>3477</v>
      </c>
      <c r="B24" s="6" t="n">
        <f aca="false">SUM(B14:B23)</f>
        <v>561</v>
      </c>
      <c r="C24" s="6" t="n">
        <f aca="false">SUM(C14:C23)</f>
        <v>561</v>
      </c>
      <c r="D24" s="6" t="n">
        <f aca="false">SUM(D14:D23)</f>
        <v>0</v>
      </c>
      <c r="E24" s="6" t="n">
        <f aca="false">SUM(E14:E23)</f>
        <v>0</v>
      </c>
      <c r="F24" s="6" t="n">
        <f aca="false">SUM(F14:F23)</f>
        <v>0</v>
      </c>
      <c r="G24" s="6" t="n">
        <f aca="false">SUM(G14:G23)</f>
        <v>0</v>
      </c>
      <c r="H24" s="6" t="n">
        <f aca="false">SUM(H14:H23)</f>
        <v>0</v>
      </c>
      <c r="I24" s="6" t="n">
        <f aca="false">SUM(I14:I23)</f>
        <v>0</v>
      </c>
      <c r="J24" s="24" t="n">
        <f aca="false">IF(I24=0,0,D24/I24)</f>
        <v>0</v>
      </c>
      <c r="K24" s="24" t="n">
        <f aca="false">IF(B24=0,0,I24/B24)</f>
        <v>0</v>
      </c>
    </row>
    <row r="26" customFormat="false" ht="15" hidden="false" customHeight="false" outlineLevel="0" collapsed="false">
      <c r="A26" s="7" t="s">
        <v>3484</v>
      </c>
    </row>
    <row r="27" customFormat="false" ht="23.85" hidden="false" customHeight="false" outlineLevel="0" collapsed="false">
      <c r="A27" s="4" t="s">
        <v>17</v>
      </c>
      <c r="B27" s="4" t="s">
        <v>3485</v>
      </c>
      <c r="C27" s="4" t="s">
        <v>3486</v>
      </c>
      <c r="D27" s="4" t="s">
        <v>3487</v>
      </c>
      <c r="E27" s="4" t="s">
        <v>3488</v>
      </c>
    </row>
    <row r="28" customFormat="false" ht="15" hidden="false" customHeight="false" outlineLevel="0" collapsed="false">
      <c r="A28" s="5" t="s">
        <v>26</v>
      </c>
      <c r="B28" s="5" t="n">
        <f aca="false">COUNTIF('Functional Testing'!K:K,"P0")</f>
        <v>49</v>
      </c>
      <c r="C28" s="5" t="n">
        <f aca="false">COUNTIFS('Functional Testing'!K:K,"P0",'Functional Testing'!Q:Q,"Pass")</f>
        <v>0</v>
      </c>
      <c r="D28" s="5" t="n">
        <f aca="false">COUNTIFS('Functional Testing'!K:K,"P0",'Functional Testing'!Q:Q,"Fail")</f>
        <v>0</v>
      </c>
      <c r="E28" s="5" t="n">
        <f aca="false">COUNTIFS('Functional Testing'!K:K,"P0",'Functional Testing'!Q:Q,"Not Run")+COUNTIFS('Functional Testing'!K:K,"P0",'Functional Testing'!Q:Q,"Blocked")</f>
        <v>49</v>
      </c>
    </row>
    <row r="29" customFormat="false" ht="15" hidden="false" customHeight="false" outlineLevel="0" collapsed="false">
      <c r="A29" s="5" t="s">
        <v>27</v>
      </c>
      <c r="B29" s="5" t="n">
        <f aca="false">COUNTIF('Math Validation'!K:K,"P0")</f>
        <v>45</v>
      </c>
      <c r="C29" s="5" t="n">
        <f aca="false">COUNTIFS('Math Validation'!K:K,"P0",'Math Validation'!Q:Q,"Pass")</f>
        <v>0</v>
      </c>
      <c r="D29" s="5" t="n">
        <f aca="false">COUNTIFS('Math Validation'!K:K,"P0",'Math Validation'!Q:Q,"Fail")</f>
        <v>0</v>
      </c>
      <c r="E29" s="5" t="n">
        <f aca="false">COUNTIFS('Math Validation'!K:K,"P0",'Math Validation'!Q:Q,"Not Run")+COUNTIFS('Math Validation'!K:K,"P0",'Math Validation'!Q:Q,"Blocked")</f>
        <v>45</v>
      </c>
    </row>
    <row r="30" customFormat="false" ht="15" hidden="false" customHeight="false" outlineLevel="0" collapsed="false">
      <c r="A30" s="5" t="s">
        <v>28</v>
      </c>
      <c r="B30" s="5" t="n">
        <f aca="false">COUNTIF('Feature Testing'!K:K,"P0")</f>
        <v>40</v>
      </c>
      <c r="C30" s="5" t="n">
        <f aca="false">COUNTIFS('Feature Testing'!K:K,"P0",'Feature Testing'!Q:Q,"Pass")</f>
        <v>0</v>
      </c>
      <c r="D30" s="5" t="n">
        <f aca="false">COUNTIFS('Feature Testing'!K:K,"P0",'Feature Testing'!Q:Q,"Fail")</f>
        <v>0</v>
      </c>
      <c r="E30" s="5" t="n">
        <f aca="false">COUNTIFS('Feature Testing'!K:K,"P0",'Feature Testing'!Q:Q,"Not Run")+COUNTIFS('Feature Testing'!K:K,"P0",'Feature Testing'!Q:Q,"Blocked")</f>
        <v>40</v>
      </c>
    </row>
    <row r="31" customFormat="false" ht="15" hidden="false" customHeight="false" outlineLevel="0" collapsed="false">
      <c r="A31" s="5" t="s">
        <v>29</v>
      </c>
      <c r="B31" s="5" t="n">
        <f aca="false">COUNTIF('Edge &amp; Boundary Cases'!K:K,"P0")</f>
        <v>16</v>
      </c>
      <c r="C31" s="5" t="n">
        <f aca="false">COUNTIFS('Edge &amp; Boundary Cases'!K:K,"P0",'Edge &amp; Boundary Cases'!Q:Q,"Pass")</f>
        <v>0</v>
      </c>
      <c r="D31" s="5" t="n">
        <f aca="false">COUNTIFS('Edge &amp; Boundary Cases'!K:K,"P0",'Edge &amp; Boundary Cases'!Q:Q,"Fail")</f>
        <v>0</v>
      </c>
      <c r="E31" s="5" t="n">
        <f aca="false">COUNTIFS('Edge &amp; Boundary Cases'!K:K,"P0",'Edge &amp; Boundary Cases'!Q:Q,"Not Run")+COUNTIFS('Edge &amp; Boundary Cases'!K:K,"P0",'Edge &amp; Boundary Cases'!Q:Q,"Blocked")</f>
        <v>16</v>
      </c>
    </row>
    <row r="32" customFormat="false" ht="15" hidden="false" customHeight="false" outlineLevel="0" collapsed="false">
      <c r="A32" s="5" t="s">
        <v>31</v>
      </c>
      <c r="B32" s="5" t="n">
        <f aca="false">COUNTIF('UI-UX Testing'!K:K,"P0")</f>
        <v>1</v>
      </c>
      <c r="C32" s="5" t="n">
        <f aca="false">COUNTIFS('UI-UX Testing'!K:K,"P0",'UI-UX Testing'!Q:Q,"Pass")</f>
        <v>0</v>
      </c>
      <c r="D32" s="5" t="n">
        <f aca="false">COUNTIFS('UI-UX Testing'!K:K,"P0",'UI-UX Testing'!Q:Q,"Fail")</f>
        <v>0</v>
      </c>
      <c r="E32" s="5" t="n">
        <f aca="false">COUNTIFS('UI-UX Testing'!K:K,"P0",'UI-UX Testing'!Q:Q,"Not Run")+COUNTIFS('UI-UX Testing'!K:K,"P0",'UI-UX Testing'!Q:Q,"Blocked")</f>
        <v>1</v>
      </c>
    </row>
    <row r="33" customFormat="false" ht="15" hidden="false" customHeight="false" outlineLevel="0" collapsed="false">
      <c r="A33" s="5" t="s">
        <v>32</v>
      </c>
      <c r="B33" s="5" t="n">
        <f aca="false">COUNTIF('Compatibility Testing'!K:K,"P0")</f>
        <v>3</v>
      </c>
      <c r="C33" s="5" t="n">
        <f aca="false">COUNTIFS('Compatibility Testing'!K:K,"P0",'Compatibility Testing'!Q:Q,"Pass")</f>
        <v>0</v>
      </c>
      <c r="D33" s="5" t="n">
        <f aca="false">COUNTIFS('Compatibility Testing'!K:K,"P0",'Compatibility Testing'!Q:Q,"Fail")</f>
        <v>0</v>
      </c>
      <c r="E33" s="5" t="n">
        <f aca="false">COUNTIFS('Compatibility Testing'!K:K,"P0",'Compatibility Testing'!Q:Q,"Not Run")+COUNTIFS('Compatibility Testing'!K:K,"P0",'Compatibility Testing'!Q:Q,"Blocked")</f>
        <v>3</v>
      </c>
    </row>
    <row r="34" customFormat="false" ht="15" hidden="false" customHeight="false" outlineLevel="0" collapsed="false">
      <c r="A34" s="5" t="s">
        <v>33</v>
      </c>
      <c r="B34" s="5" t="n">
        <f aca="false">COUNTIF('Interruption &amp; Recovery'!K:K,"P0")</f>
        <v>24</v>
      </c>
      <c r="C34" s="5" t="n">
        <f aca="false">COUNTIFS('Interruption &amp; Recovery'!K:K,"P0",'Interruption &amp; Recovery'!Q:Q,"Pass")</f>
        <v>0</v>
      </c>
      <c r="D34" s="5" t="n">
        <f aca="false">COUNTIFS('Interruption &amp; Recovery'!K:K,"P0",'Interruption &amp; Recovery'!Q:Q,"Fail")</f>
        <v>0</v>
      </c>
      <c r="E34" s="5" t="n">
        <f aca="false">COUNTIFS('Interruption &amp; Recovery'!K:K,"P0",'Interruption &amp; Recovery'!Q:Q,"Not Run")+COUNTIFS('Interruption &amp; Recovery'!K:K,"P0",'Interruption &amp; Recovery'!Q:Q,"Blocked")</f>
        <v>24</v>
      </c>
    </row>
    <row r="35" customFormat="false" ht="15" hidden="false" customHeight="false" outlineLevel="0" collapsed="false">
      <c r="A35" s="5" t="s">
        <v>34</v>
      </c>
      <c r="B35" s="5" t="n">
        <f aca="false">COUNTIF('STR - Transaction Testing'!K:K,"P0")</f>
        <v>23</v>
      </c>
      <c r="C35" s="5" t="n">
        <f aca="false">COUNTIFS('STR - Transaction Testing'!K:K,"P0",'STR - Transaction Testing'!Q:Q,"Pass")</f>
        <v>0</v>
      </c>
      <c r="D35" s="5" t="n">
        <f aca="false">COUNTIFS('STR - Transaction Testing'!K:K,"P0",'STR - Transaction Testing'!Q:Q,"Fail")</f>
        <v>0</v>
      </c>
      <c r="E35" s="5" t="n">
        <f aca="false">COUNTIFS('STR - Transaction Testing'!K:K,"P0",'STR - Transaction Testing'!Q:Q,"Not Run")+COUNTIFS('STR - Transaction Testing'!K:K,"P0",'STR - Transaction Testing'!Q:Q,"Blocked")</f>
        <v>23</v>
      </c>
    </row>
    <row r="36" customFormat="false" ht="15" hidden="false" customHeight="false" outlineLevel="0" collapsed="false">
      <c r="A36" s="5" t="s">
        <v>35</v>
      </c>
      <c r="B36" s="5" t="n">
        <f aca="false">COUNTIF('Error Handling'!K:K,"P0")</f>
        <v>8</v>
      </c>
      <c r="C36" s="5" t="n">
        <f aca="false">COUNTIFS('Error Handling'!K:K,"P0",'Error Handling'!Q:Q,"Pass")</f>
        <v>0</v>
      </c>
      <c r="D36" s="5" t="n">
        <f aca="false">COUNTIFS('Error Handling'!K:K,"P0",'Error Handling'!Q:Q,"Fail")</f>
        <v>0</v>
      </c>
      <c r="E36" s="5" t="n">
        <f aca="false">COUNTIFS('Error Handling'!K:K,"P0",'Error Handling'!Q:Q,"Not Run")+COUNTIFS('Error Handling'!K:K,"P0",'Error Handling'!Q:Q,"Blocked")</f>
        <v>8</v>
      </c>
    </row>
    <row r="37" customFormat="false" ht="15" hidden="false" customHeight="false" outlineLevel="0" collapsed="false">
      <c r="A37" s="2" t="s">
        <v>3489</v>
      </c>
      <c r="B37" s="2" t="str">
        <f aca="false">IF(AND(SUM(D28:D36)=0,SUM(E28:E36)=0),"GO (all P0 passed)","NO GO")</f>
        <v>NO GO</v>
      </c>
    </row>
    <row r="39" customFormat="false" ht="15" hidden="false" customHeight="false" outlineLevel="0" collapsed="false">
      <c r="A39" s="7" t="s">
        <v>3490</v>
      </c>
    </row>
    <row r="40" customFormat="false" ht="23.85" hidden="false" customHeight="false" outlineLevel="0" collapsed="false">
      <c r="A40" s="4" t="s">
        <v>71</v>
      </c>
      <c r="B40" s="4" t="s">
        <v>3491</v>
      </c>
      <c r="C40" s="4" t="s">
        <v>3492</v>
      </c>
      <c r="D40" s="4" t="s">
        <v>3493</v>
      </c>
    </row>
    <row r="41" customFormat="false" ht="15" hidden="false" customHeight="false" outlineLevel="0" collapsed="false">
      <c r="A41" s="5" t="s">
        <v>86</v>
      </c>
      <c r="B41" s="5" t="n">
        <f aca="false">COUNTIFS('Defect-Observation Log'!H:H,"Critical",'Defect-Observation Log'!A:A,"OBS-*")</f>
        <v>3</v>
      </c>
      <c r="C41" s="5" t="n">
        <f aca="false">COUNTIFS('Defect-Observation Log'!H:H,"Critical",'Defect-Observation Log'!A:A,"PS-DEF-*")</f>
        <v>0</v>
      </c>
      <c r="D41" s="5" t="n">
        <f aca="false">COUNTIFS('Defect-Observation Log'!H:H,"Critical",'Defect-Observation Log'!M:M,"Open")+COUNTIFS('Defect-Observation Log'!H:H,"Critical",'Defect-Observation Log'!M:M,"In Progress")</f>
        <v>3</v>
      </c>
    </row>
    <row r="42" customFormat="false" ht="15" hidden="false" customHeight="false" outlineLevel="0" collapsed="false">
      <c r="A42" s="5" t="s">
        <v>108</v>
      </c>
      <c r="B42" s="5" t="n">
        <f aca="false">COUNTIFS('Defect-Observation Log'!H:H,"High",'Defect-Observation Log'!A:A,"OBS-*")</f>
        <v>8</v>
      </c>
      <c r="C42" s="5" t="n">
        <f aca="false">COUNTIFS('Defect-Observation Log'!H:H,"High",'Defect-Observation Log'!A:A,"PS-DEF-*")</f>
        <v>0</v>
      </c>
      <c r="D42" s="5" t="n">
        <f aca="false">COUNTIFS('Defect-Observation Log'!H:H,"High",'Defect-Observation Log'!M:M,"Open")+COUNTIFS('Defect-Observation Log'!H:H,"High",'Defect-Observation Log'!M:M,"In Progress")</f>
        <v>8</v>
      </c>
    </row>
    <row r="43" customFormat="false" ht="15" hidden="false" customHeight="false" outlineLevel="0" collapsed="false">
      <c r="A43" s="5" t="s">
        <v>99</v>
      </c>
      <c r="B43" s="5" t="n">
        <f aca="false">COUNTIFS('Defect-Observation Log'!H:H,"Medium",'Defect-Observation Log'!A:A,"OBS-*")</f>
        <v>8</v>
      </c>
      <c r="C43" s="5" t="n">
        <f aca="false">COUNTIFS('Defect-Observation Log'!H:H,"Medium",'Defect-Observation Log'!A:A,"PS-DEF-*")</f>
        <v>0</v>
      </c>
      <c r="D43" s="5" t="n">
        <f aca="false">COUNTIFS('Defect-Observation Log'!H:H,"Medium",'Defect-Observation Log'!M:M,"Open")+COUNTIFS('Defect-Observation Log'!H:H,"Medium",'Defect-Observation Log'!M:M,"In Progress")</f>
        <v>8</v>
      </c>
    </row>
    <row r="44" customFormat="false" ht="15" hidden="false" customHeight="false" outlineLevel="0" collapsed="false">
      <c r="A44" s="5" t="s">
        <v>338</v>
      </c>
      <c r="B44" s="5" t="n">
        <f aca="false">COUNTIFS('Defect-Observation Log'!H:H,"Low",'Defect-Observation Log'!A:A,"OBS-*")</f>
        <v>5</v>
      </c>
      <c r="C44" s="5" t="n">
        <f aca="false">COUNTIFS('Defect-Observation Log'!H:H,"Low",'Defect-Observation Log'!A:A,"PS-DEF-*")</f>
        <v>0</v>
      </c>
      <c r="D44" s="5" t="n">
        <f aca="false">COUNTIFS('Defect-Observation Log'!H:H,"Low",'Defect-Observation Log'!M:M,"Open")+COUNTIFS('Defect-Observation Log'!H:H,"Low",'Defect-Observation Log'!M:M,"In Progress")</f>
        <v>5</v>
      </c>
    </row>
  </sheetData>
  <mergeCells count="7">
    <mergeCell ref="B4:E4"/>
    <mergeCell ref="B5:E5"/>
    <mergeCell ref="B6:E6"/>
    <mergeCell ref="B7:E7"/>
    <mergeCell ref="B8:E8"/>
    <mergeCell ref="B9:E9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3494</v>
      </c>
    </row>
    <row r="2" customFormat="false" ht="15" hidden="false" customHeight="false" outlineLevel="0" collapsed="false">
      <c r="A2" s="21" t="s">
        <v>3495</v>
      </c>
    </row>
    <row r="4" customFormat="false" ht="15" hidden="false" customHeight="false" outlineLevel="0" collapsed="false">
      <c r="A4" s="2" t="s">
        <v>3496</v>
      </c>
      <c r="B4" s="25" t="n">
        <v>20</v>
      </c>
    </row>
    <row r="5" customFormat="false" ht="15" hidden="false" customHeight="false" outlineLevel="0" collapsed="false">
      <c r="A5" s="2" t="s">
        <v>3497</v>
      </c>
      <c r="B5" s="26" t="n">
        <v>1</v>
      </c>
    </row>
    <row r="7" customFormat="false" ht="15" hidden="false" customHeight="false" outlineLevel="0" collapsed="false">
      <c r="A7" s="7" t="s">
        <v>3498</v>
      </c>
    </row>
    <row r="8" customFormat="false" ht="23.85" hidden="false" customHeight="false" outlineLevel="0" collapsed="false">
      <c r="A8" s="4" t="s">
        <v>3499</v>
      </c>
      <c r="B8" s="4" t="s">
        <v>3500</v>
      </c>
      <c r="C8" s="4" t="s">
        <v>3501</v>
      </c>
      <c r="D8" s="4" t="s">
        <v>3502</v>
      </c>
      <c r="E8" s="4" t="s">
        <v>3503</v>
      </c>
      <c r="F8" s="4" t="s">
        <v>3504</v>
      </c>
      <c r="G8" s="4" t="s">
        <v>3505</v>
      </c>
      <c r="H8" s="4" t="s">
        <v>3506</v>
      </c>
      <c r="I8" s="4" t="s">
        <v>3507</v>
      </c>
      <c r="J8" s="4" t="s">
        <v>3508</v>
      </c>
      <c r="K8" s="4" t="s">
        <v>3509</v>
      </c>
    </row>
    <row r="9" customFormat="false" ht="15" hidden="false" customHeight="false" outlineLevel="0" collapsed="false">
      <c r="A9" s="6" t="s">
        <v>3510</v>
      </c>
      <c r="B9" s="27" t="n">
        <v>150</v>
      </c>
      <c r="C9" s="27" t="n">
        <v>60</v>
      </c>
      <c r="D9" s="27" t="n">
        <v>40</v>
      </c>
      <c r="E9" s="27" t="n">
        <v>15</v>
      </c>
      <c r="F9" s="28" t="n">
        <f aca="false">B9/$B$4</f>
        <v>7.5</v>
      </c>
      <c r="G9" s="28" t="n">
        <f aca="false">C9/$B$4</f>
        <v>3</v>
      </c>
      <c r="H9" s="28" t="n">
        <f aca="false">D9/$B$4</f>
        <v>2</v>
      </c>
      <c r="I9" s="28" t="n">
        <f aca="false">E9/$B$4</f>
        <v>0.75</v>
      </c>
      <c r="J9" s="29" t="n">
        <f aca="false">F9*$B$5</f>
        <v>7.5</v>
      </c>
      <c r="K9" s="29" t="n">
        <f aca="false">I9*$B$5</f>
        <v>0.75</v>
      </c>
    </row>
    <row r="10" customFormat="false" ht="15" hidden="false" customHeight="false" outlineLevel="0" collapsed="false">
      <c r="A10" s="6" t="s">
        <v>3511</v>
      </c>
      <c r="B10" s="27" t="n">
        <v>60</v>
      </c>
      <c r="C10" s="27" t="n">
        <v>30</v>
      </c>
      <c r="D10" s="27" t="n">
        <v>20</v>
      </c>
      <c r="E10" s="27" t="n">
        <v>10</v>
      </c>
      <c r="F10" s="28" t="n">
        <f aca="false">B10/$B$4</f>
        <v>3</v>
      </c>
      <c r="G10" s="28" t="n">
        <f aca="false">C10/$B$4</f>
        <v>1.5</v>
      </c>
      <c r="H10" s="28" t="n">
        <f aca="false">D10/$B$4</f>
        <v>1</v>
      </c>
      <c r="I10" s="28" t="n">
        <f aca="false">E10/$B$4</f>
        <v>0.5</v>
      </c>
      <c r="J10" s="29" t="n">
        <f aca="false">F10*$B$5</f>
        <v>3</v>
      </c>
      <c r="K10" s="29" t="n">
        <f aca="false">I10*$B$5</f>
        <v>0.5</v>
      </c>
    </row>
    <row r="11" customFormat="false" ht="15" hidden="false" customHeight="false" outlineLevel="0" collapsed="false">
      <c r="A11" s="6" t="s">
        <v>3512</v>
      </c>
      <c r="B11" s="27" t="n">
        <v>40</v>
      </c>
      <c r="C11" s="27" t="n">
        <v>20</v>
      </c>
      <c r="D11" s="27" t="n">
        <v>15</v>
      </c>
      <c r="E11" s="27" t="n">
        <v>7</v>
      </c>
      <c r="F11" s="28" t="n">
        <f aca="false">B11/$B$4</f>
        <v>2</v>
      </c>
      <c r="G11" s="28" t="n">
        <f aca="false">C11/$B$4</f>
        <v>1</v>
      </c>
      <c r="H11" s="28" t="n">
        <f aca="false">D11/$B$4</f>
        <v>0.75</v>
      </c>
      <c r="I11" s="28" t="n">
        <f aca="false">E11/$B$4</f>
        <v>0.35</v>
      </c>
      <c r="J11" s="29" t="n">
        <f aca="false">F11*$B$5</f>
        <v>2</v>
      </c>
      <c r="K11" s="29" t="n">
        <f aca="false">I11*$B$5</f>
        <v>0.35</v>
      </c>
    </row>
    <row r="12" customFormat="false" ht="15" hidden="false" customHeight="false" outlineLevel="0" collapsed="false">
      <c r="A12" s="6" t="s">
        <v>3513</v>
      </c>
      <c r="B12" s="27" t="n">
        <v>30</v>
      </c>
      <c r="C12" s="27" t="n">
        <v>15</v>
      </c>
      <c r="D12" s="27" t="n">
        <v>10</v>
      </c>
      <c r="E12" s="27" t="n">
        <v>4</v>
      </c>
      <c r="F12" s="28" t="n">
        <f aca="false">B12/$B$4</f>
        <v>1.5</v>
      </c>
      <c r="G12" s="28" t="n">
        <f aca="false">C12/$B$4</f>
        <v>0.75</v>
      </c>
      <c r="H12" s="28" t="n">
        <f aca="false">D12/$B$4</f>
        <v>0.5</v>
      </c>
      <c r="I12" s="28" t="n">
        <f aca="false">E12/$B$4</f>
        <v>0.2</v>
      </c>
      <c r="J12" s="29" t="n">
        <f aca="false">F12*$B$5</f>
        <v>1.5</v>
      </c>
      <c r="K12" s="29" t="n">
        <f aca="false">I12*$B$5</f>
        <v>0.2</v>
      </c>
    </row>
    <row r="13" customFormat="false" ht="15" hidden="false" customHeight="false" outlineLevel="0" collapsed="false">
      <c r="A13" s="6" t="s">
        <v>3514</v>
      </c>
      <c r="B13" s="27" t="n">
        <v>30</v>
      </c>
      <c r="C13" s="27" t="n">
        <v>10</v>
      </c>
      <c r="D13" s="27" t="n">
        <v>8</v>
      </c>
      <c r="E13" s="27" t="n">
        <v>3</v>
      </c>
      <c r="F13" s="28" t="n">
        <f aca="false">B13/$B$4</f>
        <v>1.5</v>
      </c>
      <c r="G13" s="28" t="n">
        <f aca="false">C13/$B$4</f>
        <v>0.5</v>
      </c>
      <c r="H13" s="28" t="n">
        <f aca="false">D13/$B$4</f>
        <v>0.4</v>
      </c>
      <c r="I13" s="28" t="n">
        <f aca="false">E13/$B$4</f>
        <v>0.15</v>
      </c>
      <c r="J13" s="29" t="n">
        <f aca="false">F13*$B$5</f>
        <v>1.5</v>
      </c>
      <c r="K13" s="29" t="n">
        <f aca="false">I13*$B$5</f>
        <v>0.15</v>
      </c>
    </row>
    <row r="14" customFormat="false" ht="15" hidden="false" customHeight="false" outlineLevel="0" collapsed="false">
      <c r="A14" s="6" t="s">
        <v>3515</v>
      </c>
      <c r="B14" s="27" t="n">
        <v>30</v>
      </c>
      <c r="C14" s="27" t="n">
        <v>10</v>
      </c>
      <c r="D14" s="27" t="n">
        <v>8</v>
      </c>
      <c r="E14" s="27" t="n">
        <v>3</v>
      </c>
      <c r="F14" s="28" t="n">
        <f aca="false">B14/$B$4</f>
        <v>1.5</v>
      </c>
      <c r="G14" s="28" t="n">
        <f aca="false">C14/$B$4</f>
        <v>0.5</v>
      </c>
      <c r="H14" s="28" t="n">
        <f aca="false">D14/$B$4</f>
        <v>0.4</v>
      </c>
      <c r="I14" s="28" t="n">
        <f aca="false">E14/$B$4</f>
        <v>0.15</v>
      </c>
      <c r="J14" s="29" t="n">
        <f aca="false">F14*$B$5</f>
        <v>1.5</v>
      </c>
      <c r="K14" s="29" t="n">
        <f aca="false">I14*$B$5</f>
        <v>0.15</v>
      </c>
    </row>
    <row r="15" customFormat="false" ht="15" hidden="false" customHeight="false" outlineLevel="0" collapsed="false">
      <c r="A15" s="6" t="s">
        <v>3516</v>
      </c>
      <c r="B15" s="27" t="n">
        <v>20</v>
      </c>
      <c r="C15" s="27" t="n">
        <v>6</v>
      </c>
      <c r="D15" s="27" t="n">
        <v>4</v>
      </c>
      <c r="E15" s="27" t="n">
        <v>2</v>
      </c>
      <c r="F15" s="28" t="n">
        <f aca="false">B15/$B$4</f>
        <v>1</v>
      </c>
      <c r="G15" s="28" t="n">
        <f aca="false">C15/$B$4</f>
        <v>0.3</v>
      </c>
      <c r="H15" s="28" t="n">
        <f aca="false">D15/$B$4</f>
        <v>0.2</v>
      </c>
      <c r="I15" s="28" t="n">
        <f aca="false">E15/$B$4</f>
        <v>0.1</v>
      </c>
      <c r="J15" s="29" t="n">
        <f aca="false">F15*$B$5</f>
        <v>1</v>
      </c>
      <c r="K15" s="29" t="n">
        <f aca="false">I15*$B$5</f>
        <v>0.1</v>
      </c>
    </row>
    <row r="16" customFormat="false" ht="15" hidden="false" customHeight="false" outlineLevel="0" collapsed="false">
      <c r="A16" s="6" t="s">
        <v>3517</v>
      </c>
      <c r="B16" s="27" t="n">
        <v>20</v>
      </c>
      <c r="C16" s="27" t="n">
        <v>6</v>
      </c>
      <c r="D16" s="27" t="n">
        <v>4</v>
      </c>
      <c r="E16" s="27" t="n">
        <v>2</v>
      </c>
      <c r="F16" s="28" t="n">
        <f aca="false">B16/$B$4</f>
        <v>1</v>
      </c>
      <c r="G16" s="28" t="n">
        <f aca="false">C16/$B$4</f>
        <v>0.3</v>
      </c>
      <c r="H16" s="28" t="n">
        <f aca="false">D16/$B$4</f>
        <v>0.2</v>
      </c>
      <c r="I16" s="28" t="n">
        <f aca="false">E16/$B$4</f>
        <v>0.1</v>
      </c>
      <c r="J16" s="29" t="n">
        <f aca="false">F16*$B$5</f>
        <v>1</v>
      </c>
      <c r="K16" s="29" t="n">
        <f aca="false">I16*$B$5</f>
        <v>0.1</v>
      </c>
    </row>
    <row r="17" customFormat="false" ht="15" hidden="false" customHeight="false" outlineLevel="0" collapsed="false">
      <c r="A17" s="6" t="s">
        <v>3518</v>
      </c>
      <c r="B17" s="27" t="n">
        <v>20</v>
      </c>
      <c r="C17" s="27" t="n">
        <v>6</v>
      </c>
      <c r="D17" s="27" t="n">
        <v>4</v>
      </c>
      <c r="E17" s="27" t="n">
        <v>2</v>
      </c>
      <c r="F17" s="28" t="n">
        <f aca="false">B17/$B$4</f>
        <v>1</v>
      </c>
      <c r="G17" s="28" t="n">
        <f aca="false">C17/$B$4</f>
        <v>0.3</v>
      </c>
      <c r="H17" s="28" t="n">
        <f aca="false">D17/$B$4</f>
        <v>0.2</v>
      </c>
      <c r="I17" s="28" t="n">
        <f aca="false">E17/$B$4</f>
        <v>0.1</v>
      </c>
      <c r="J17" s="29" t="n">
        <f aca="false">F17*$B$5</f>
        <v>1</v>
      </c>
      <c r="K17" s="29" t="n">
        <f aca="false">I17*$B$5</f>
        <v>0.1</v>
      </c>
    </row>
    <row r="18" customFormat="false" ht="15" hidden="false" customHeight="false" outlineLevel="0" collapsed="false">
      <c r="A18" s="6" t="s">
        <v>3519</v>
      </c>
      <c r="B18" s="27" t="n">
        <v>10</v>
      </c>
      <c r="C18" s="27" t="n">
        <v>4</v>
      </c>
      <c r="D18" s="27" t="n">
        <v>2</v>
      </c>
      <c r="E18" s="27" t="n">
        <v>1</v>
      </c>
      <c r="F18" s="28" t="n">
        <f aca="false">B18/$B$4</f>
        <v>0.5</v>
      </c>
      <c r="G18" s="28" t="n">
        <f aca="false">C18/$B$4</f>
        <v>0.2</v>
      </c>
      <c r="H18" s="28" t="n">
        <f aca="false">D18/$B$4</f>
        <v>0.1</v>
      </c>
      <c r="I18" s="28" t="n">
        <f aca="false">E18/$B$4</f>
        <v>0.05</v>
      </c>
      <c r="J18" s="29" t="n">
        <f aca="false">F18*$B$5</f>
        <v>0.5</v>
      </c>
      <c r="K18" s="29" t="n">
        <f aca="false">I18*$B$5</f>
        <v>0.05</v>
      </c>
    </row>
    <row r="19" customFormat="false" ht="15" hidden="false" customHeight="false" outlineLevel="0" collapsed="false">
      <c r="A19" s="6" t="s">
        <v>3520</v>
      </c>
      <c r="B19" s="27" t="n">
        <v>10</v>
      </c>
      <c r="C19" s="27" t="n">
        <v>4</v>
      </c>
      <c r="D19" s="27" t="n">
        <v>2</v>
      </c>
      <c r="E19" s="27" t="n">
        <v>1</v>
      </c>
      <c r="F19" s="28" t="n">
        <f aca="false">B19/$B$4</f>
        <v>0.5</v>
      </c>
      <c r="G19" s="28" t="n">
        <f aca="false">C19/$B$4</f>
        <v>0.2</v>
      </c>
      <c r="H19" s="28" t="n">
        <f aca="false">D19/$B$4</f>
        <v>0.1</v>
      </c>
      <c r="I19" s="28" t="n">
        <f aca="false">E19/$B$4</f>
        <v>0.05</v>
      </c>
      <c r="J19" s="29" t="n">
        <f aca="false">F19*$B$5</f>
        <v>0.5</v>
      </c>
      <c r="K19" s="29" t="n">
        <f aca="false">I19*$B$5</f>
        <v>0.05</v>
      </c>
    </row>
    <row r="21" customFormat="false" ht="15" hidden="false" customHeight="false" outlineLevel="0" collapsed="false">
      <c r="A21" s="7" t="s">
        <v>3521</v>
      </c>
    </row>
    <row r="22" customFormat="false" ht="23.85" hidden="false" customHeight="false" outlineLevel="0" collapsed="false">
      <c r="A22" s="4" t="s">
        <v>3522</v>
      </c>
      <c r="B22" s="4" t="s">
        <v>995</v>
      </c>
      <c r="C22" s="4" t="s">
        <v>972</v>
      </c>
    </row>
    <row r="23" customFormat="false" ht="15" hidden="false" customHeight="false" outlineLevel="0" collapsed="false">
      <c r="A23" s="27" t="n">
        <v>3</v>
      </c>
      <c r="B23" s="27" t="n">
        <v>15</v>
      </c>
      <c r="C23" s="27" t="n">
        <v>7</v>
      </c>
    </row>
    <row r="24" customFormat="false" ht="15" hidden="false" customHeight="false" outlineLevel="0" collapsed="false">
      <c r="A24" s="27" t="n">
        <v>4</v>
      </c>
      <c r="B24" s="27" t="n">
        <v>18</v>
      </c>
      <c r="C24" s="27" t="n">
        <v>12</v>
      </c>
    </row>
    <row r="25" customFormat="false" ht="15" hidden="false" customHeight="false" outlineLevel="0" collapsed="false">
      <c r="A25" s="27" t="n">
        <v>5</v>
      </c>
      <c r="B25" s="27" t="n">
        <v>25</v>
      </c>
      <c r="C25" s="27" t="n">
        <v>15</v>
      </c>
    </row>
    <row r="26" customFormat="false" ht="15" hidden="false" customHeight="false" outlineLevel="0" collapsed="false">
      <c r="A26" s="27" t="n">
        <v>6</v>
      </c>
      <c r="B26" s="27" t="n">
        <v>30</v>
      </c>
      <c r="C26" s="27" t="n">
        <v>20</v>
      </c>
    </row>
    <row r="28" customFormat="false" ht="15" hidden="false" customHeight="false" outlineLevel="0" collapsed="false">
      <c r="A28" s="7" t="s">
        <v>3523</v>
      </c>
    </row>
    <row r="29" customFormat="false" ht="15" hidden="false" customHeight="false" outlineLevel="0" collapsed="false">
      <c r="A29" s="4" t="s">
        <v>3524</v>
      </c>
      <c r="B29" s="4" t="s">
        <v>3525</v>
      </c>
      <c r="C29" s="4" t="s">
        <v>3526</v>
      </c>
      <c r="D29" s="4" t="s">
        <v>3527</v>
      </c>
      <c r="E29" s="4" t="s">
        <v>3528</v>
      </c>
      <c r="F29" s="4" t="s">
        <v>3529</v>
      </c>
      <c r="G29" s="4" t="s">
        <v>3530</v>
      </c>
      <c r="H29" s="4" t="s">
        <v>3531</v>
      </c>
    </row>
    <row r="30" customFormat="false" ht="15" hidden="false" customHeight="false" outlineLevel="0" collapsed="false">
      <c r="A30" s="2" t="s">
        <v>3532</v>
      </c>
      <c r="B30" s="27" t="n">
        <v>10</v>
      </c>
      <c r="C30" s="27" t="n">
        <v>5</v>
      </c>
      <c r="D30" s="27" t="n">
        <v>2</v>
      </c>
      <c r="E30" s="30" t="n">
        <f aca="false">B30/SUM($B30:$D30)</f>
        <v>0.588235294117647</v>
      </c>
      <c r="F30" s="30" t="n">
        <f aca="false">C30/SUM($B30:$D30)</f>
        <v>0.294117647058824</v>
      </c>
      <c r="G30" s="30" t="n">
        <f aca="false">D30/SUM($B30:$D30)</f>
        <v>0.117647058823529</v>
      </c>
      <c r="H30" s="31" t="n">
        <f aca="false">(B30*1+C30*2+D30*3)/SUM(B30:D30)</f>
        <v>1.52941176470588</v>
      </c>
    </row>
    <row r="31" customFormat="false" ht="15" hidden="false" customHeight="false" outlineLevel="0" collapsed="false">
      <c r="A31" s="2" t="s">
        <v>3533</v>
      </c>
      <c r="B31" s="27" t="n">
        <v>1000</v>
      </c>
      <c r="C31" s="27" t="n">
        <v>500</v>
      </c>
      <c r="D31" s="27" t="n">
        <v>189</v>
      </c>
      <c r="E31" s="30" t="n">
        <f aca="false">B31/SUM($B31:$D31)</f>
        <v>0.59206631142688</v>
      </c>
      <c r="F31" s="30" t="n">
        <f aca="false">C31/SUM($B31:$D31)</f>
        <v>0.29603315571344</v>
      </c>
      <c r="G31" s="30" t="n">
        <f aca="false">D31/SUM($B31:$D31)</f>
        <v>0.11190053285968</v>
      </c>
      <c r="H31" s="31" t="n">
        <f aca="false">(B31*1+C31*2+D31*3)/SUM(B31:D31)</f>
        <v>1.5198342214328</v>
      </c>
    </row>
    <row r="32" customFormat="false" ht="15" hidden="false" customHeight="false" outlineLevel="0" collapsed="false">
      <c r="A32" s="2" t="s">
        <v>3534</v>
      </c>
      <c r="B32" s="27" t="n">
        <v>1000</v>
      </c>
      <c r="C32" s="27" t="n">
        <v>500</v>
      </c>
      <c r="D32" s="27" t="n">
        <v>189</v>
      </c>
      <c r="E32" s="30" t="n">
        <f aca="false">B32/SUM($B32:$D32)</f>
        <v>0.59206631142688</v>
      </c>
      <c r="F32" s="30" t="n">
        <f aca="false">C32/SUM($B32:$D32)</f>
        <v>0.29603315571344</v>
      </c>
      <c r="G32" s="30" t="n">
        <f aca="false">D32/SUM($B32:$D32)</f>
        <v>0.11190053285968</v>
      </c>
      <c r="H32" s="31" t="n">
        <f aca="false">(B32*1+C32*2+D32*3)/SUM(B32:D32)</f>
        <v>1.5198342214328</v>
      </c>
    </row>
    <row r="33" customFormat="false" ht="15" hidden="false" customHeight="false" outlineLevel="0" collapsed="false">
      <c r="A33" s="2" t="s">
        <v>3535</v>
      </c>
      <c r="B33" s="27" t="n">
        <v>8</v>
      </c>
      <c r="C33" s="27" t="n">
        <v>2</v>
      </c>
      <c r="D33" s="27" t="n">
        <v>1</v>
      </c>
      <c r="E33" s="30" t="n">
        <f aca="false">B33/SUM($B33:$D33)</f>
        <v>0.727272727272727</v>
      </c>
      <c r="F33" s="30" t="n">
        <f aca="false">C33/SUM($B33:$D33)</f>
        <v>0.181818181818182</v>
      </c>
      <c r="G33" s="30" t="n">
        <f aca="false">D33/SUM($B33:$D33)</f>
        <v>0.0909090909090909</v>
      </c>
      <c r="H33" s="31" t="n">
        <f aca="false">(B33*1+C33*2+D33*3)/SUM(B33:D33)</f>
        <v>1.36363636363636</v>
      </c>
    </row>
    <row r="34" customFormat="false" ht="15" hidden="false" customHeight="false" outlineLevel="0" collapsed="false">
      <c r="A34" s="2" t="s">
        <v>3536</v>
      </c>
      <c r="B34" s="27" t="n">
        <v>875</v>
      </c>
      <c r="C34" s="27" t="n">
        <v>200</v>
      </c>
      <c r="D34" s="27" t="n">
        <v>100</v>
      </c>
      <c r="E34" s="30" t="n">
        <f aca="false">B34/SUM($B34:$D34)</f>
        <v>0.74468085106383</v>
      </c>
      <c r="F34" s="30" t="n">
        <f aca="false">C34/SUM($B34:$D34)</f>
        <v>0.170212765957447</v>
      </c>
      <c r="G34" s="30" t="n">
        <f aca="false">D34/SUM($B34:$D34)</f>
        <v>0.0851063829787234</v>
      </c>
      <c r="H34" s="31" t="n">
        <f aca="false">(B34*1+C34*2+D34*3)/SUM(B34:D34)</f>
        <v>1.34042553191489</v>
      </c>
    </row>
    <row r="36" customFormat="false" ht="15" hidden="false" customHeight="false" outlineLevel="0" collapsed="false">
      <c r="A36" s="7" t="s">
        <v>3537</v>
      </c>
    </row>
    <row r="37" customFormat="false" ht="15" hidden="false" customHeight="false" outlineLevel="0" collapsed="false">
      <c r="A37" s="4" t="s">
        <v>3524</v>
      </c>
      <c r="B37" s="4" t="s">
        <v>3538</v>
      </c>
      <c r="C37" s="4" t="s">
        <v>3539</v>
      </c>
      <c r="D37" s="4" t="s">
        <v>3540</v>
      </c>
      <c r="E37" s="4" t="s">
        <v>3541</v>
      </c>
      <c r="F37" s="4" t="s">
        <v>3542</v>
      </c>
      <c r="G37" s="4" t="s">
        <v>3543</v>
      </c>
      <c r="H37" s="4" t="s">
        <v>3544</v>
      </c>
      <c r="I37" s="4" t="s">
        <v>3545</v>
      </c>
      <c r="J37" s="4" t="s">
        <v>3546</v>
      </c>
    </row>
    <row r="38" customFormat="false" ht="15" hidden="false" customHeight="false" outlineLevel="0" collapsed="false">
      <c r="A38" s="2" t="s">
        <v>3547</v>
      </c>
      <c r="B38" s="27" t="n">
        <v>838</v>
      </c>
      <c r="C38" s="27" t="n">
        <v>200</v>
      </c>
      <c r="D38" s="27" t="n">
        <v>500</v>
      </c>
      <c r="E38" s="27" t="n">
        <v>200</v>
      </c>
      <c r="F38" s="27" t="n">
        <v>50</v>
      </c>
      <c r="G38" s="27" t="n">
        <v>25</v>
      </c>
      <c r="H38" s="27" t="n">
        <v>10</v>
      </c>
      <c r="I38" s="30" t="n">
        <f aca="false">B38/SUM(B38:H38)</f>
        <v>0.459681843115743</v>
      </c>
      <c r="J38" s="31" t="n">
        <f aca="false">SUMPRODUCT(B38:H38,{0,1,2,3,4,5,6})/SUM(B38:H38)</f>
        <v>1.19857377948437</v>
      </c>
    </row>
    <row r="39" customFormat="false" ht="15" hidden="false" customHeight="false" outlineLevel="0" collapsed="false">
      <c r="A39" s="2" t="s">
        <v>3548</v>
      </c>
      <c r="B39" s="27" t="n">
        <v>433</v>
      </c>
      <c r="C39" s="27" t="n">
        <v>200</v>
      </c>
      <c r="D39" s="27" t="n">
        <v>500</v>
      </c>
      <c r="E39" s="27" t="n">
        <v>200</v>
      </c>
      <c r="F39" s="27" t="n">
        <v>50</v>
      </c>
      <c r="G39" s="27" t="n">
        <v>25</v>
      </c>
      <c r="H39" s="27" t="n">
        <v>10</v>
      </c>
      <c r="I39" s="30" t="n">
        <f aca="false">B39/SUM(B39:H39)</f>
        <v>0.305359661495064</v>
      </c>
      <c r="J39" s="31" t="n">
        <f aca="false">SUMPRODUCT(B39:H39,{0,1,2,3,4,5,6})/SUM(B39:H39)</f>
        <v>1.54090267983075</v>
      </c>
    </row>
    <row r="40" customFormat="false" ht="15" hidden="false" customHeight="false" outlineLevel="0" collapsed="false">
      <c r="A40" s="2" t="s">
        <v>3549</v>
      </c>
      <c r="B40" s="27" t="n">
        <v>500</v>
      </c>
      <c r="C40" s="27" t="n">
        <v>126</v>
      </c>
      <c r="D40" s="27" t="n">
        <v>50</v>
      </c>
      <c r="E40" s="27" t="n">
        <v>10</v>
      </c>
      <c r="F40" s="27" t="n">
        <v>0</v>
      </c>
      <c r="G40" s="27" t="n">
        <v>0</v>
      </c>
      <c r="H40" s="27" t="n">
        <v>0</v>
      </c>
      <c r="I40" s="30" t="n">
        <f aca="false">B40/SUM(B40:H40)</f>
        <v>0.728862973760933</v>
      </c>
      <c r="J40" s="31" t="n">
        <f aca="false">SUMPRODUCT(B40:H40,{0,1,2,3,4,5,6})/SUM(B40:H40)</f>
        <v>0.373177842565598</v>
      </c>
    </row>
    <row r="41" customFormat="false" ht="15" hidden="false" customHeight="false" outlineLevel="0" collapsed="false">
      <c r="A41" s="2" t="s">
        <v>3550</v>
      </c>
      <c r="B41" s="27" t="n">
        <v>424</v>
      </c>
      <c r="C41" s="27" t="n">
        <v>126</v>
      </c>
      <c r="D41" s="27" t="n">
        <v>50</v>
      </c>
      <c r="E41" s="27" t="n">
        <v>10</v>
      </c>
      <c r="F41" s="27" t="n">
        <v>0</v>
      </c>
      <c r="G41" s="27" t="n">
        <v>0</v>
      </c>
      <c r="H41" s="27" t="n">
        <v>0</v>
      </c>
      <c r="I41" s="30" t="n">
        <f aca="false">B41/SUM(B41:H41)</f>
        <v>0.695081967213115</v>
      </c>
      <c r="J41" s="31" t="n">
        <f aca="false">SUMPRODUCT(B41:H41,{0,1,2,3,4,5,6})/SUM(B41:H41)</f>
        <v>0.419672131147541</v>
      </c>
    </row>
    <row r="43" customFormat="false" ht="15" hidden="false" customHeight="false" outlineLevel="0" collapsed="false">
      <c r="A43" s="7" t="s">
        <v>3551</v>
      </c>
    </row>
    <row r="44" customFormat="false" ht="35.05" hidden="false" customHeight="false" outlineLevel="0" collapsed="false">
      <c r="A44" s="4" t="s">
        <v>3552</v>
      </c>
      <c r="B44" s="4" t="s">
        <v>3553</v>
      </c>
      <c r="C44" s="4" t="s">
        <v>3554</v>
      </c>
      <c r="D44" s="4" t="s">
        <v>3555</v>
      </c>
    </row>
    <row r="45" customFormat="false" ht="15" hidden="false" customHeight="false" outlineLevel="0" collapsed="false">
      <c r="A45" s="2" t="s">
        <v>3556</v>
      </c>
      <c r="B45" s="27" t="n">
        <v>23</v>
      </c>
      <c r="C45" s="30" t="n">
        <f aca="false">B45/SUM($B$45:$B$53)</f>
        <v>0.00614808874632451</v>
      </c>
      <c r="D45" s="21" t="s">
        <v>3557</v>
      </c>
    </row>
    <row r="46" customFormat="false" ht="15" hidden="false" customHeight="false" outlineLevel="0" collapsed="false">
      <c r="A46" s="2" t="s">
        <v>3558</v>
      </c>
      <c r="B46" s="27" t="n">
        <v>50</v>
      </c>
      <c r="C46" s="30" t="n">
        <f aca="false">B46/SUM($B$45:$B$53)</f>
        <v>0.0133654103180968</v>
      </c>
      <c r="D46" s="21" t="s">
        <v>3559</v>
      </c>
    </row>
    <row r="47" customFormat="false" ht="15" hidden="false" customHeight="false" outlineLevel="0" collapsed="false">
      <c r="A47" s="2" t="s">
        <v>3560</v>
      </c>
      <c r="B47" s="27" t="n">
        <v>60</v>
      </c>
      <c r="C47" s="30" t="n">
        <f aca="false">B47/SUM($B$45:$B$53)</f>
        <v>0.0160384923817161</v>
      </c>
      <c r="D47" s="21" t="s">
        <v>3559</v>
      </c>
    </row>
    <row r="48" customFormat="false" ht="15" hidden="false" customHeight="false" outlineLevel="0" collapsed="false">
      <c r="A48" s="2" t="s">
        <v>3561</v>
      </c>
      <c r="B48" s="27" t="n">
        <v>2000</v>
      </c>
      <c r="C48" s="30" t="n">
        <f aca="false">B48/SUM($B$45:$B$53)</f>
        <v>0.534616412723871</v>
      </c>
      <c r="D48" s="21" t="s">
        <v>3559</v>
      </c>
    </row>
    <row r="49" customFormat="false" ht="15" hidden="false" customHeight="false" outlineLevel="0" collapsed="false">
      <c r="A49" s="2" t="s">
        <v>3562</v>
      </c>
      <c r="B49" s="27" t="n">
        <v>475</v>
      </c>
      <c r="C49" s="30" t="n">
        <f aca="false">B49/SUM($B$45:$B$53)</f>
        <v>0.126971398021919</v>
      </c>
      <c r="D49" s="21" t="s">
        <v>3559</v>
      </c>
    </row>
    <row r="50" customFormat="false" ht="15" hidden="false" customHeight="false" outlineLevel="0" collapsed="false">
      <c r="A50" s="2" t="s">
        <v>3563</v>
      </c>
      <c r="B50" s="27" t="n">
        <v>33</v>
      </c>
      <c r="C50" s="30" t="n">
        <f aca="false">B50/SUM($B$45:$B$53)</f>
        <v>0.00882117080994387</v>
      </c>
      <c r="D50" s="21" t="s">
        <v>3564</v>
      </c>
    </row>
    <row r="51" customFormat="false" ht="15" hidden="false" customHeight="false" outlineLevel="0" collapsed="false">
      <c r="A51" s="2" t="s">
        <v>3565</v>
      </c>
      <c r="B51" s="27" t="n">
        <v>50</v>
      </c>
      <c r="C51" s="30" t="n">
        <f aca="false">B51/SUM($B$45:$B$53)</f>
        <v>0.0133654103180968</v>
      </c>
      <c r="D51" s="21" t="s">
        <v>3559</v>
      </c>
    </row>
    <row r="52" customFormat="false" ht="15" hidden="false" customHeight="false" outlineLevel="0" collapsed="false">
      <c r="A52" s="2" t="s">
        <v>3566</v>
      </c>
      <c r="B52" s="27" t="n">
        <v>50</v>
      </c>
      <c r="C52" s="30" t="n">
        <f aca="false">B52/SUM($B$45:$B$53)</f>
        <v>0.0133654103180968</v>
      </c>
      <c r="D52" s="21" t="s">
        <v>3559</v>
      </c>
    </row>
    <row r="53" customFormat="false" ht="15" hidden="false" customHeight="false" outlineLevel="0" collapsed="false">
      <c r="A53" s="2" t="s">
        <v>3567</v>
      </c>
      <c r="B53" s="27" t="n">
        <v>1000</v>
      </c>
      <c r="C53" s="30" t="n">
        <f aca="false">B53/SUM($B$45:$B$53)</f>
        <v>0.267308206361935</v>
      </c>
      <c r="D53" s="21" t="s">
        <v>3559</v>
      </c>
    </row>
    <row r="55" customFormat="false" ht="15" hidden="false" customHeight="false" outlineLevel="0" collapsed="false">
      <c r="A55" s="7" t="s">
        <v>3568</v>
      </c>
    </row>
    <row r="56" customFormat="false" ht="15" hidden="false" customHeight="false" outlineLevel="0" collapsed="false">
      <c r="A56" s="4" t="s">
        <v>3569</v>
      </c>
      <c r="B56" s="4" t="s">
        <v>3570</v>
      </c>
      <c r="C56" s="4" t="s">
        <v>3571</v>
      </c>
      <c r="D56" s="4" t="s">
        <v>3572</v>
      </c>
      <c r="E56" s="4" t="s">
        <v>3573</v>
      </c>
    </row>
    <row r="57" customFormat="false" ht="15" hidden="false" customHeight="false" outlineLevel="0" collapsed="false">
      <c r="A57" s="27" t="n">
        <v>2</v>
      </c>
      <c r="B57" s="27" t="n">
        <v>100</v>
      </c>
      <c r="C57" s="27" t="n">
        <v>25</v>
      </c>
      <c r="D57" s="30" t="n">
        <f aca="false">B57/SUM(B$57:B$62)</f>
        <v>0.222222222222222</v>
      </c>
      <c r="E57" s="30" t="n">
        <f aca="false">C57/SUM(C$57:C$62)</f>
        <v>0.0625</v>
      </c>
    </row>
    <row r="58" customFormat="false" ht="15" hidden="false" customHeight="false" outlineLevel="0" collapsed="false">
      <c r="A58" s="27" t="n">
        <v>3</v>
      </c>
      <c r="B58" s="27" t="n">
        <v>200</v>
      </c>
      <c r="C58" s="27" t="n">
        <v>75</v>
      </c>
      <c r="D58" s="30" t="n">
        <f aca="false">B58/SUM(B$57:B$62)</f>
        <v>0.444444444444444</v>
      </c>
      <c r="E58" s="30" t="n">
        <f aca="false">C58/SUM(C$57:C$62)</f>
        <v>0.1875</v>
      </c>
    </row>
    <row r="59" customFormat="false" ht="15" hidden="false" customHeight="false" outlineLevel="0" collapsed="false">
      <c r="A59" s="27" t="n">
        <v>4</v>
      </c>
      <c r="B59" s="27" t="n">
        <v>75</v>
      </c>
      <c r="C59" s="27" t="n">
        <v>75</v>
      </c>
      <c r="D59" s="30" t="n">
        <f aca="false">B59/SUM(B$57:B$62)</f>
        <v>0.166666666666667</v>
      </c>
      <c r="E59" s="30" t="n">
        <f aca="false">C59/SUM(C$57:C$62)</f>
        <v>0.1875</v>
      </c>
    </row>
    <row r="60" customFormat="false" ht="15" hidden="false" customHeight="false" outlineLevel="0" collapsed="false">
      <c r="A60" s="27" t="n">
        <v>5</v>
      </c>
      <c r="B60" s="27" t="n">
        <v>50</v>
      </c>
      <c r="C60" s="27" t="n">
        <v>75</v>
      </c>
      <c r="D60" s="30" t="n">
        <f aca="false">B60/SUM(B$57:B$62)</f>
        <v>0.111111111111111</v>
      </c>
      <c r="E60" s="30" t="n">
        <f aca="false">C60/SUM(C$57:C$62)</f>
        <v>0.1875</v>
      </c>
    </row>
    <row r="61" customFormat="false" ht="15" hidden="false" customHeight="false" outlineLevel="0" collapsed="false">
      <c r="A61" s="27" t="n">
        <v>6</v>
      </c>
      <c r="B61" s="27" t="n">
        <v>15</v>
      </c>
      <c r="C61" s="27" t="n">
        <v>75</v>
      </c>
      <c r="D61" s="30" t="n">
        <f aca="false">B61/SUM(B$57:B$62)</f>
        <v>0.0333333333333333</v>
      </c>
      <c r="E61" s="30" t="n">
        <f aca="false">C61/SUM(C$57:C$62)</f>
        <v>0.1875</v>
      </c>
    </row>
    <row r="62" customFormat="false" ht="15" hidden="false" customHeight="false" outlineLevel="0" collapsed="false">
      <c r="A62" s="27" t="n">
        <v>7</v>
      </c>
      <c r="B62" s="27" t="n">
        <v>10</v>
      </c>
      <c r="C62" s="27" t="n">
        <v>75</v>
      </c>
      <c r="D62" s="30" t="n">
        <f aca="false">B62/SUM(B$57:B$62)</f>
        <v>0.0222222222222222</v>
      </c>
      <c r="E62" s="30" t="n">
        <f aca="false">C62/SUM(C$57:C$62)</f>
        <v>0.1875</v>
      </c>
    </row>
    <row r="64" customFormat="false" ht="15" hidden="false" customHeight="false" outlineLevel="0" collapsed="false">
      <c r="A64" s="7" t="s">
        <v>3574</v>
      </c>
    </row>
    <row r="65" customFormat="false" ht="23.85" hidden="false" customHeight="false" outlineLevel="0" collapsed="false">
      <c r="A65" s="4" t="s">
        <v>3575</v>
      </c>
      <c r="B65" s="4" t="s">
        <v>3576</v>
      </c>
      <c r="C65" s="4" t="s">
        <v>3577</v>
      </c>
      <c r="D65" s="4" t="s">
        <v>3578</v>
      </c>
      <c r="E65" s="4" t="s">
        <v>3579</v>
      </c>
    </row>
    <row r="66" customFormat="false" ht="15" hidden="false" customHeight="false" outlineLevel="0" collapsed="false">
      <c r="A66" s="2" t="s">
        <v>740</v>
      </c>
      <c r="B66" s="32" t="n">
        <v>0.9698864</v>
      </c>
      <c r="C66" s="32" t="n">
        <v>0.9708362</v>
      </c>
      <c r="D66" s="32" t="n">
        <v>0.9710962</v>
      </c>
      <c r="E66" s="21" t="s">
        <v>3580</v>
      </c>
    </row>
    <row r="67" customFormat="false" ht="15" hidden="false" customHeight="false" outlineLevel="0" collapsed="false">
      <c r="A67" s="2" t="s">
        <v>3581</v>
      </c>
      <c r="B67" s="32" t="n">
        <v>0.6892386</v>
      </c>
      <c r="C67" s="32" t="n">
        <v>0.0213131</v>
      </c>
      <c r="D67" s="32" t="n">
        <v>0.0213002</v>
      </c>
      <c r="E67" s="21" t="s">
        <v>3580</v>
      </c>
    </row>
    <row r="68" customFormat="false" ht="15" hidden="false" customHeight="false" outlineLevel="0" collapsed="false">
      <c r="A68" s="2" t="s">
        <v>3582</v>
      </c>
      <c r="B68" s="32" t="n">
        <v>0.2806479</v>
      </c>
      <c r="C68" s="32" t="n">
        <v>0.9495232</v>
      </c>
      <c r="D68" s="32" t="n">
        <v>0.949796</v>
      </c>
      <c r="E68" s="21" t="s">
        <v>3580</v>
      </c>
    </row>
    <row r="69" customFormat="false" ht="15" hidden="false" customHeight="false" outlineLevel="0" collapsed="false">
      <c r="A69" s="2" t="s">
        <v>3583</v>
      </c>
      <c r="B69" s="32" t="n">
        <v>0.316018</v>
      </c>
      <c r="C69" s="32" t="n">
        <v>0.9999702</v>
      </c>
      <c r="D69" s="32" t="n">
        <v>0.9741966</v>
      </c>
      <c r="E69" s="21" t="s">
        <v>3580</v>
      </c>
    </row>
    <row r="70" customFormat="false" ht="15" hidden="false" customHeight="false" outlineLevel="0" collapsed="false">
      <c r="A70" s="2" t="s">
        <v>3584</v>
      </c>
      <c r="B70" s="33" t="n">
        <v>16.802387755102</v>
      </c>
      <c r="C70" s="33" t="n">
        <v>1.61841326530612</v>
      </c>
      <c r="D70" s="33" t="n">
        <v>3.71081632653061</v>
      </c>
      <c r="E70" s="21" t="s">
        <v>3585</v>
      </c>
    </row>
    <row r="71" customFormat="false" ht="15" hidden="false" customHeight="false" outlineLevel="0" collapsed="false">
      <c r="A71" s="2" t="s">
        <v>3586</v>
      </c>
      <c r="B71" s="34" t="n">
        <v>1009091</v>
      </c>
      <c r="C71" s="34" t="n">
        <v>487402</v>
      </c>
      <c r="D71" s="34" t="n">
        <v>1674912</v>
      </c>
      <c r="E71" s="21" t="s">
        <v>3587</v>
      </c>
    </row>
    <row r="72" customFormat="false" ht="15" hidden="false" customHeight="false" outlineLevel="0" collapsed="false">
      <c r="A72" s="2" t="s">
        <v>3588</v>
      </c>
      <c r="B72" s="33" t="n">
        <v>268.89187</v>
      </c>
      <c r="C72" s="33" t="n">
        <v>1</v>
      </c>
      <c r="D72" s="33" t="n">
        <v>1</v>
      </c>
      <c r="E72" s="21" t="s">
        <v>3589</v>
      </c>
    </row>
    <row r="73" customFormat="false" ht="15" hidden="false" customHeight="false" outlineLevel="0" collapsed="false">
      <c r="A73" s="2" t="s">
        <v>3590</v>
      </c>
      <c r="B73" s="33" t="n">
        <v>12.372</v>
      </c>
      <c r="C73" s="33" t="n">
        <v>16.15818</v>
      </c>
      <c r="D73" s="33" t="n">
        <v>8.59024</v>
      </c>
      <c r="E73" s="21" t="s">
        <v>3589</v>
      </c>
    </row>
    <row r="74" customFormat="false" ht="15" hidden="false" customHeight="false" outlineLevel="0" collapsed="false">
      <c r="A74" s="2" t="s">
        <v>3591</v>
      </c>
      <c r="B74" s="33"/>
      <c r="C74" s="33" t="n">
        <v>100</v>
      </c>
      <c r="D74" s="33" t="n">
        <v>100</v>
      </c>
      <c r="E74" s="21" t="s">
        <v>3592</v>
      </c>
    </row>
    <row r="75" customFormat="false" ht="15" hidden="false" customHeight="false" outlineLevel="0" collapsed="false">
      <c r="A75" s="2" t="s">
        <v>3593</v>
      </c>
      <c r="B75" s="29" t="n">
        <f aca="false">B71/$B$4</f>
        <v>50454.55</v>
      </c>
      <c r="C75" s="29" t="n">
        <f aca="false">C71/$B$4</f>
        <v>24370.1</v>
      </c>
      <c r="D75" s="29" t="n">
        <f aca="false">D71/$B$4</f>
        <v>83745.6</v>
      </c>
      <c r="E75" s="21" t="s">
        <v>3594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2026-10-23T09:31:33Z</dcterms:created>
  <dc:creator>openpyxl</dc:creator>
  <dc:description/>
  <dc:language>en-US</dc:language>
  <cp:lastModifiedBy/>
  <dcterms:modified xsi:type="dcterms:W3CDTF">2026-10-23T09:31:34Z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