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6a0b38e756c4da80/Documents/GitHub/SlotMathPrivate/Fushenz/DogHouseMegaways/"/>
    </mc:Choice>
  </mc:AlternateContent>
  <xr:revisionPtr revIDLastSave="115" documentId="13_ncr:1_{A8FAF647-1258-4225-AFF2-27AA3098F7BA}" xr6:coauthVersionLast="47" xr6:coauthVersionMax="47" xr10:uidLastSave="{E1673555-A7A8-461C-8C77-BAA10BEA666A}"/>
  <bookViews>
    <workbookView xWindow="-98" yWindow="-98" windowWidth="21795" windowHeight="12975" tabRatio="932" activeTab="2" xr2:uid="{00000000-000D-0000-FFFF-FFFF00000000}"/>
  </bookViews>
  <sheets>
    <sheet name="Summary" sheetId="23" r:id="rId1"/>
    <sheet name="BG Calc" sheetId="5" r:id="rId2"/>
    <sheet name="BG1 Reel" sheetId="6" r:id="rId3"/>
    <sheet name="BG2 Reel" sheetId="22" r:id="rId4"/>
    <sheet name="BG3 Reel" sheetId="8" r:id="rId5"/>
    <sheet name="BG4 Reel" sheetId="9" r:id="rId6"/>
    <sheet name="BG5 Reel" sheetId="10" r:id="rId7"/>
    <sheet name="BG6 Reel" sheetId="11" r:id="rId8"/>
    <sheet name="BG7 Reel" sheetId="12" r:id="rId9"/>
    <sheet name="BG8 Reel" sheetId="13" r:id="rId10"/>
    <sheet name="BG9 Reel" sheetId="14" r:id="rId11"/>
    <sheet name="FG1 Calc" sheetId="17" r:id="rId12"/>
    <sheet name="FG1 Reel" sheetId="18" r:id="rId13"/>
    <sheet name="FG2 Calc" sheetId="19" r:id="rId14"/>
    <sheet name="FG2 Reel" sheetId="20" r:id="rId15"/>
    <sheet name="StickyWildMovement" sheetId="24" r:id="rId16"/>
    <sheet name="Buy FG1 Calc" sheetId="25" r:id="rId17"/>
    <sheet name="Buy FG1 Reel" sheetId="26" r:id="rId18"/>
    <sheet name="Buy FG2 Calc" sheetId="27" r:id="rId19"/>
    <sheet name="Buy FG2 Reel" sheetId="28" r:id="rId20"/>
  </sheets>
  <definedNames>
    <definedName name="BG_Multiplier_Weight">'BG Calc'!$AA$3:$AA$5</definedName>
    <definedName name="BG_Opt_Weight">'BG Calc'!$AG$18:$AG$52</definedName>
    <definedName name="BG_Opt0_Weight">'BG Calc'!$AK$20:$AK$25</definedName>
    <definedName name="BG_Opt1_Weight">'BG Calc'!$AL$20:$AL$25</definedName>
    <definedName name="BG_Reel_Weight">'BG Calc'!$AF$3:$AF$11</definedName>
    <definedName name="BG1_Reel1">'BG1 Reel'!$C$10:$C$82</definedName>
    <definedName name="BG1_Reel2">'BG1 Reel'!$D$10:$D$71</definedName>
    <definedName name="BG1_Reel3">'BG1 Reel'!$E$10:$E$53</definedName>
    <definedName name="BG1_Reel4">'BG1 Reel'!$F$10:$F$68</definedName>
    <definedName name="BG1_Reel5">'BG1 Reel'!$G$10:$G$47</definedName>
    <definedName name="BG1_Reel6">'BG1 Reel'!$H$10:$H$92</definedName>
    <definedName name="BG2_Reel1">'BG2 Reel'!$C$10:$C$96</definedName>
    <definedName name="BG2_Reel2">'BG2 Reel'!$D$10:$D$46</definedName>
    <definedName name="BG2_Reel3">'BG2 Reel'!$E$10:$E$88</definedName>
    <definedName name="BG2_Reel4">'BG2 Reel'!$F$10:$F$84</definedName>
    <definedName name="BG2_Reel5">'BG2 Reel'!$G$10:$G$108</definedName>
    <definedName name="BG2_Reel6">'BG2 Reel'!$H$10:$H$109</definedName>
    <definedName name="BG3_Reel1">'BG3 Reel'!$C$10:$C$108</definedName>
    <definedName name="BG3_Reel2">'BG3 Reel'!$D$10:$D$80</definedName>
    <definedName name="BG3_Reel3">'BG3 Reel'!$E$10:$E$88</definedName>
    <definedName name="BG3_Reel4">'BG3 Reel'!$F$10:$F$86</definedName>
    <definedName name="BG3_Reel5">'BG3 Reel'!$G$10:$G$64</definedName>
    <definedName name="BG3_Reel6">'BG3 Reel'!$H$10:$H$48</definedName>
    <definedName name="BG4_Reel1">'BG4 Reel'!$C$10:$C$96</definedName>
    <definedName name="BG4_Reel2">'BG4 Reel'!$D$10:$D$61</definedName>
    <definedName name="BG4_Reel3">'BG4 Reel'!$E$10:$E$108</definedName>
    <definedName name="BG4_Reel4">'BG4 Reel'!$F$10:$F$74</definedName>
    <definedName name="BG4_Reel5">'BG4 Reel'!$G$10:$G$50</definedName>
    <definedName name="BG4_Reel6">'BG4 Reel'!$H$10:$H$78</definedName>
    <definedName name="BG5_Reel1">'BG5 Reel'!$C$10:$C$68</definedName>
    <definedName name="BG5_Reel2">'BG5 Reel'!$D$10:$D$100</definedName>
    <definedName name="BG5_Reel3">'BG5 Reel'!$E$10:$E$86</definedName>
    <definedName name="BG5_Reel4">'BG5 Reel'!$F$10:$F$60</definedName>
    <definedName name="BG5_Reel5">'BG5 Reel'!$G$10:$G$70</definedName>
    <definedName name="BG5_Reel6">'BG5 Reel'!$H$10:$H$95</definedName>
    <definedName name="BG6_Reel1">'BG6 Reel'!$C$10:$C$27</definedName>
    <definedName name="BG6_Reel2">'BG6 Reel'!$D$10:$D$46</definedName>
    <definedName name="BG6_Reel3">'BG6 Reel'!$E$10:$E$58</definedName>
    <definedName name="BG6_Reel4">'BG6 Reel'!$F$10:$F$79</definedName>
    <definedName name="BG6_Reel5">'BG6 Reel'!$G$10:$G$101</definedName>
    <definedName name="BG6_Reel6">'BG6 Reel'!$H$10:$H$97</definedName>
    <definedName name="BG7_Reel1">'BG7 Reel'!$C$10:$C$90</definedName>
    <definedName name="BG7_Reel2">'BG7 Reel'!$D$10:$D$66</definedName>
    <definedName name="BG7_Reel3">'BG7 Reel'!$E$10:$E$89</definedName>
    <definedName name="BG7_Reel4">'BG7 Reel'!$F$10:$F$47</definedName>
    <definedName name="BG7_Reel5">'BG7 Reel'!$G$10:$G$82</definedName>
    <definedName name="BG7_Reel6">'BG7 Reel'!$H$10:$H$79</definedName>
    <definedName name="BG8_Reel1">'BG8 Reel'!$C$10:$C$54</definedName>
    <definedName name="BG8_Reel2">'BG8 Reel'!$D$10:$D$69</definedName>
    <definedName name="BG8_Reel3">'BG8 Reel'!$E$10:$E$99</definedName>
    <definedName name="BG8_Reel4">'BG8 Reel'!$F$10:$F$55</definedName>
    <definedName name="BG8_Reel5">'BG8 Reel'!$G$10:$G$54</definedName>
    <definedName name="BG8_Reel6">'BG8 Reel'!$H$10:$H$106</definedName>
    <definedName name="BG9_Reel1">'BG9 Reel'!$C$10:$C$88</definedName>
    <definedName name="BG9_Reel2">'BG9 Reel'!$D$10:$D$76</definedName>
    <definedName name="BG9_Reel3">'BG9 Reel'!$E$10:$E$73</definedName>
    <definedName name="BG9_Reel4">'BG9 Reel'!$F$10:$F$100</definedName>
    <definedName name="BG9_Reel5">'BG9 Reel'!$G$10:$G$100</definedName>
    <definedName name="BG9_Reel6">'BG9 Reel'!$H$10:$H$106</definedName>
    <definedName name="Buy_FG1_Multiplier_Weight">'Buy FG1 Calc'!$AA$3:$AA$5</definedName>
    <definedName name="Buy_FG1_Opt_Weight">'Buy FG1 Calc'!$AG$18:$AG$52</definedName>
    <definedName name="Buy_FG1_Opt0_Weight">'Buy FG1 Calc'!$AK$20:$AK$25</definedName>
    <definedName name="Buy_FG1_Opt1_Weight">'Buy FG1 Calc'!$AL$20:$AL$25</definedName>
    <definedName name="Buy_FG1_RandomWild_Weight">'Buy FG1 Calc'!$AJ$3:$AJ$9</definedName>
    <definedName name="Buy_FG1_Reel1">'Buy FG1 Reel'!$C$10:$C$77</definedName>
    <definedName name="Buy_FG1_Reel2">'Buy FG1 Reel'!$D$10:$D$99</definedName>
    <definedName name="Buy_FG1_Reel3">'Buy FG1 Reel'!$E$10:$E$71</definedName>
    <definedName name="Buy_FG1_Reel4">'Buy FG1 Reel'!$F$10:$F$64</definedName>
    <definedName name="Buy_FG1_Reel5">'Buy FG1 Reel'!$G$10:$G$75</definedName>
    <definedName name="Buy_FG1_Reel6">'Buy FG1 Reel'!$H$10:$H$107</definedName>
    <definedName name="Buy_FG2_Multiplier_Weight">'Buy FG2 Calc'!$AA$3:$AA$5</definedName>
    <definedName name="Buy_FG2_Opt_Weight">'Buy FG2 Calc'!$AG$31:$AG$65</definedName>
    <definedName name="Buy_FG2_Opt0_Weight">'Buy FG2 Calc'!$AK$33:$AK$38</definedName>
    <definedName name="Buy_FG2_Opt1_Weight">'Buy FG2 Calc'!$AL$33:$AL$38</definedName>
    <definedName name="Buy_FG2_RandomWild_Weight">'Buy FG2 Calc'!$AJ$3:$AJ$6</definedName>
    <definedName name="Buy_FG2_Reel1">'Buy FG2 Reel'!$C$10:$C$49</definedName>
    <definedName name="Buy_FG2_Reel2">'Buy FG2 Reel'!$D$10:$D$82</definedName>
    <definedName name="Buy_FG2_Reel3">'Buy FG2 Reel'!$E$10:$E$93</definedName>
    <definedName name="Buy_FG2_Reel4">'Buy FG2 Reel'!$F$10:$F$76</definedName>
    <definedName name="Buy_FG2_Reel5">'Buy FG2 Reel'!$G$10:$G$100</definedName>
    <definedName name="Buy_FG2_Reel6">'Buy FG2 Reel'!$H$10:$H$59</definedName>
    <definedName name="Buy_Weight_NumRows_Stick2">'Buy FG2 Calc'!$AA$20:$AA$25</definedName>
    <definedName name="Buy_Weight_NumRows_Stick3">'Buy FG2 Calc'!$AD$20:$AD$25</definedName>
    <definedName name="Buy_Weight_NumRows_Stick4">'Buy FG2 Calc'!$AG$20:$AG$25</definedName>
    <definedName name="Buy_Weight_NumRows_Stick5">'Buy FG2 Calc'!$AJ$20:$AJ$25</definedName>
    <definedName name="Buy_Weight_NumRows_Stick6">'Buy FG2 Calc'!$AM$20:$AM$25</definedName>
    <definedName name="CurrentState">StickyWildMovement!$R$2:$R$715</definedName>
    <definedName name="FG1_Multiplier_Weight">'FG1 Calc'!$AA$3:$AA$5</definedName>
    <definedName name="FG1_Opt_Weight">'FG1 Calc'!$AG$18:$AG$52</definedName>
    <definedName name="FG1_Opt0_Weight">'FG1 Calc'!$AK$20:$AK$25</definedName>
    <definedName name="FG1_Opt1_Weight">'FG1 Calc'!$AL$20:$AL$25</definedName>
    <definedName name="FG1_RandomWild_Weight">'FG1 Calc'!$AJ$3:$AJ$9</definedName>
    <definedName name="FG1_Reel1">'FG1 Reel'!$C$10:$C$77</definedName>
    <definedName name="FG1_Reel2">'FG1 Reel'!$D$10:$D$99</definedName>
    <definedName name="FG1_Reel3">'FG1 Reel'!$E$10:$E$71</definedName>
    <definedName name="FG1_Reel4">'FG1 Reel'!$F$10:$F$64</definedName>
    <definedName name="FG1_Reel5">'FG1 Reel'!$G$10:$G$75</definedName>
    <definedName name="FG1_Reel6">'FG1 Reel'!$H$10:$H$107</definedName>
    <definedName name="FG2_Multiplier_Weight">'FG2 Calc'!$AA$3:$AA$5</definedName>
    <definedName name="FG2_Opt_Weight">'FG2 Calc'!$AG$31:$AG$65</definedName>
    <definedName name="FG2_Opt0_Weight">'FG2 Calc'!$AK$33:$AK$38</definedName>
    <definedName name="FG2_Opt1_Weight">'FG2 Calc'!$AL$33:$AL$38</definedName>
    <definedName name="FG2_RandomWild_Weight">'FG2 Calc'!$AJ$3:$AJ$6</definedName>
    <definedName name="FG2_Reel1">'FG2 Reel'!$C$10:$C$49</definedName>
    <definedName name="FG2_Reel2">'FG2 Reel'!$D$10:$D$82</definedName>
    <definedName name="FG2_Reel3">'FG2 Reel'!$E$10:$E$93</definedName>
    <definedName name="FG2_Reel4">'FG2 Reel'!$F$10:$F$76</definedName>
    <definedName name="FG2_Reel5">'FG2 Reel'!$G$10:$G$100</definedName>
    <definedName name="FG2_Reel6">'FG2 Reel'!$H$10:$H$59</definedName>
    <definedName name="NextState">StickyWildMovement!$S$2:$S$715</definedName>
    <definedName name="Opt">'BG Calc'!$AA$18:$AF$52</definedName>
    <definedName name="Pays">'BG Calc'!$S$3:$V$15</definedName>
    <definedName name="Weight_NumRows_Stick2">'FG2 Calc'!$AA$20:$AA$25</definedName>
    <definedName name="Weight_NumRows_Stick3">'FG2 Calc'!$AD$20:$AD$25</definedName>
    <definedName name="Weight_NumRows_Stick4">'FG2 Calc'!$AG$20:$AG$25</definedName>
    <definedName name="Weight_NumRows_Stick5">'FG2 Calc'!$AJ$20:$AJ$25</definedName>
    <definedName name="Weight_NumRows_Stick6">'FG2 Calc'!$AM$20:$AM$25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3" l="1"/>
  <c r="AH12" i="5"/>
  <c r="AH13" i="5" s="1"/>
  <c r="AG12" i="5"/>
  <c r="AH8" i="5"/>
  <c r="AH3" i="5"/>
  <c r="AQ24" i="27"/>
  <c r="AQ25" i="27" s="1"/>
  <c r="AQ26" i="27" s="1"/>
  <c r="AQ27" i="27" s="1"/>
  <c r="AP24" i="27"/>
  <c r="AP25" i="27" s="1"/>
  <c r="AP26" i="27" s="1"/>
  <c r="AP27" i="27" s="1"/>
  <c r="AU23" i="27"/>
  <c r="AU24" i="27" s="1"/>
  <c r="AU25" i="27" s="1"/>
  <c r="AU26" i="27" s="1"/>
  <c r="AU27" i="27" s="1"/>
  <c r="AT23" i="27"/>
  <c r="AT24" i="27" s="1"/>
  <c r="AT25" i="27" s="1"/>
  <c r="AT26" i="27" s="1"/>
  <c r="AT27" i="27" s="1"/>
  <c r="AS23" i="27"/>
  <c r="AS24" i="27" s="1"/>
  <c r="AS25" i="27" s="1"/>
  <c r="AS26" i="27" s="1"/>
  <c r="AS27" i="27" s="1"/>
  <c r="AR23" i="27"/>
  <c r="AR24" i="27" s="1"/>
  <c r="AR25" i="27" s="1"/>
  <c r="AR26" i="27" s="1"/>
  <c r="AR27" i="27" s="1"/>
  <c r="AQ23" i="27"/>
  <c r="AP23" i="27"/>
  <c r="AU22" i="27"/>
  <c r="AT22" i="27"/>
  <c r="AS22" i="27"/>
  <c r="AR22" i="27"/>
  <c r="AQ22" i="27"/>
  <c r="AP22" i="27"/>
  <c r="AR21" i="27"/>
  <c r="AS21" i="27" s="1"/>
  <c r="AT21" i="27" s="1"/>
  <c r="AU21" i="27" s="1"/>
  <c r="AQ21" i="27"/>
  <c r="D17" i="23"/>
  <c r="C17" i="23"/>
  <c r="C12" i="23"/>
  <c r="C10" i="23"/>
  <c r="C9" i="23"/>
  <c r="D5" i="23"/>
  <c r="C5" i="23"/>
  <c r="C4" i="23"/>
  <c r="AJ14" i="19"/>
  <c r="AJ12" i="19"/>
  <c r="D21" i="23"/>
  <c r="C21" i="23"/>
  <c r="D20" i="23"/>
  <c r="C20" i="23"/>
  <c r="D19" i="23"/>
  <c r="C19" i="23"/>
  <c r="D18" i="23"/>
  <c r="C18" i="23"/>
  <c r="O135" i="28"/>
  <c r="N135" i="28"/>
  <c r="M135" i="28"/>
  <c r="L135" i="28"/>
  <c r="K135" i="28"/>
  <c r="J135" i="28"/>
  <c r="O134" i="28"/>
  <c r="N134" i="28"/>
  <c r="M134" i="28"/>
  <c r="L134" i="28"/>
  <c r="K134" i="28"/>
  <c r="J134" i="28"/>
  <c r="O133" i="28"/>
  <c r="N133" i="28"/>
  <c r="M133" i="28"/>
  <c r="L133" i="28"/>
  <c r="K133" i="28"/>
  <c r="J133" i="28"/>
  <c r="O132" i="28"/>
  <c r="N132" i="28"/>
  <c r="M132" i="28"/>
  <c r="L132" i="28"/>
  <c r="K132" i="28"/>
  <c r="J132" i="28"/>
  <c r="O131" i="28"/>
  <c r="N131" i="28"/>
  <c r="M131" i="28"/>
  <c r="L131" i="28"/>
  <c r="K131" i="28"/>
  <c r="J131" i="28"/>
  <c r="O130" i="28"/>
  <c r="N130" i="28"/>
  <c r="M130" i="28"/>
  <c r="L130" i="28"/>
  <c r="K130" i="28"/>
  <c r="J130" i="28"/>
  <c r="O129" i="28"/>
  <c r="N129" i="28"/>
  <c r="M129" i="28"/>
  <c r="L129" i="28"/>
  <c r="K129" i="28"/>
  <c r="J129" i="28"/>
  <c r="O128" i="28"/>
  <c r="N128" i="28"/>
  <c r="M128" i="28"/>
  <c r="L128" i="28"/>
  <c r="K128" i="28"/>
  <c r="J128" i="28"/>
  <c r="O127" i="28"/>
  <c r="N127" i="28"/>
  <c r="M127" i="28"/>
  <c r="L127" i="28"/>
  <c r="K127" i="28"/>
  <c r="J127" i="28"/>
  <c r="O126" i="28"/>
  <c r="N126" i="28"/>
  <c r="M126" i="28"/>
  <c r="L126" i="28"/>
  <c r="K126" i="28"/>
  <c r="J126" i="28"/>
  <c r="O125" i="28"/>
  <c r="N125" i="28"/>
  <c r="M125" i="28"/>
  <c r="L125" i="28"/>
  <c r="K125" i="28"/>
  <c r="J125" i="28"/>
  <c r="O124" i="28"/>
  <c r="N124" i="28"/>
  <c r="M124" i="28"/>
  <c r="L124" i="28"/>
  <c r="K124" i="28"/>
  <c r="J124" i="28"/>
  <c r="O123" i="28"/>
  <c r="N123" i="28"/>
  <c r="M123" i="28"/>
  <c r="L123" i="28"/>
  <c r="K123" i="28"/>
  <c r="J123" i="28"/>
  <c r="O122" i="28"/>
  <c r="N122" i="28"/>
  <c r="M122" i="28"/>
  <c r="L122" i="28"/>
  <c r="K122" i="28"/>
  <c r="J122" i="28"/>
  <c r="O121" i="28"/>
  <c r="N121" i="28"/>
  <c r="M121" i="28"/>
  <c r="L121" i="28"/>
  <c r="K121" i="28"/>
  <c r="J121" i="28"/>
  <c r="O120" i="28"/>
  <c r="N120" i="28"/>
  <c r="M120" i="28"/>
  <c r="L120" i="28"/>
  <c r="K120" i="28"/>
  <c r="J120" i="28"/>
  <c r="O119" i="28"/>
  <c r="N119" i="28"/>
  <c r="M119" i="28"/>
  <c r="L119" i="28"/>
  <c r="K119" i="28"/>
  <c r="J119" i="28"/>
  <c r="O118" i="28"/>
  <c r="N118" i="28"/>
  <c r="M118" i="28"/>
  <c r="L118" i="28"/>
  <c r="K118" i="28"/>
  <c r="J118" i="28"/>
  <c r="O117" i="28"/>
  <c r="N117" i="28"/>
  <c r="M117" i="28"/>
  <c r="L117" i="28"/>
  <c r="K117" i="28"/>
  <c r="J117" i="28"/>
  <c r="O116" i="28"/>
  <c r="N116" i="28"/>
  <c r="M116" i="28"/>
  <c r="L116" i="28"/>
  <c r="K116" i="28"/>
  <c r="J116" i="28"/>
  <c r="O115" i="28"/>
  <c r="N115" i="28"/>
  <c r="M115" i="28"/>
  <c r="L115" i="28"/>
  <c r="K115" i="28"/>
  <c r="J115" i="28"/>
  <c r="O114" i="28"/>
  <c r="N114" i="28"/>
  <c r="M114" i="28"/>
  <c r="L114" i="28"/>
  <c r="K114" i="28"/>
  <c r="J114" i="28"/>
  <c r="O113" i="28"/>
  <c r="N113" i="28"/>
  <c r="M113" i="28"/>
  <c r="L113" i="28"/>
  <c r="K113" i="28"/>
  <c r="J113" i="28"/>
  <c r="O112" i="28"/>
  <c r="N112" i="28"/>
  <c r="M112" i="28"/>
  <c r="L112" i="28"/>
  <c r="K112" i="28"/>
  <c r="J112" i="28"/>
  <c r="O111" i="28"/>
  <c r="N111" i="28"/>
  <c r="M111" i="28"/>
  <c r="L111" i="28"/>
  <c r="K111" i="28"/>
  <c r="J111" i="28"/>
  <c r="O110" i="28"/>
  <c r="N110" i="28"/>
  <c r="M110" i="28"/>
  <c r="L110" i="28"/>
  <c r="K110" i="28"/>
  <c r="J110" i="28"/>
  <c r="O109" i="28"/>
  <c r="N109" i="28"/>
  <c r="M109" i="28"/>
  <c r="L109" i="28"/>
  <c r="K109" i="28"/>
  <c r="J109" i="28"/>
  <c r="O108" i="28"/>
  <c r="N108" i="28"/>
  <c r="M108" i="28"/>
  <c r="L108" i="28"/>
  <c r="K108" i="28"/>
  <c r="J108" i="28"/>
  <c r="O107" i="28"/>
  <c r="N107" i="28"/>
  <c r="M107" i="28"/>
  <c r="L107" i="28"/>
  <c r="K107" i="28"/>
  <c r="J107" i="28"/>
  <c r="AJ106" i="28"/>
  <c r="AJ107" i="28" s="1"/>
  <c r="AJ108" i="28" s="1"/>
  <c r="AJ109" i="28" s="1"/>
  <c r="AJ110" i="28" s="1"/>
  <c r="AJ111" i="28" s="1"/>
  <c r="AJ112" i="28" s="1"/>
  <c r="AJ113" i="28" s="1"/>
  <c r="O106" i="28"/>
  <c r="N106" i="28"/>
  <c r="M106" i="28"/>
  <c r="L106" i="28"/>
  <c r="K106" i="28"/>
  <c r="J106" i="28"/>
  <c r="O105" i="28"/>
  <c r="N105" i="28"/>
  <c r="M105" i="28"/>
  <c r="L105" i="28"/>
  <c r="K105" i="28"/>
  <c r="J105" i="28"/>
  <c r="O104" i="28"/>
  <c r="N104" i="28"/>
  <c r="M104" i="28"/>
  <c r="L104" i="28"/>
  <c r="K104" i="28"/>
  <c r="J104" i="28"/>
  <c r="O103" i="28"/>
  <c r="N103" i="28"/>
  <c r="M103" i="28"/>
  <c r="L103" i="28"/>
  <c r="K103" i="28"/>
  <c r="J103" i="28"/>
  <c r="O102" i="28"/>
  <c r="N102" i="28"/>
  <c r="M102" i="28"/>
  <c r="L102" i="28"/>
  <c r="K102" i="28"/>
  <c r="J102" i="28"/>
  <c r="O101" i="28"/>
  <c r="N101" i="28"/>
  <c r="M101" i="28"/>
  <c r="L101" i="28"/>
  <c r="K101" i="28"/>
  <c r="J101" i="28"/>
  <c r="O100" i="28"/>
  <c r="N100" i="28"/>
  <c r="M100" i="28"/>
  <c r="L100" i="28"/>
  <c r="K100" i="28"/>
  <c r="J100" i="28"/>
  <c r="O99" i="28"/>
  <c r="N99" i="28"/>
  <c r="M99" i="28"/>
  <c r="L99" i="28"/>
  <c r="K99" i="28"/>
  <c r="J99" i="28"/>
  <c r="AJ98" i="28"/>
  <c r="AJ99" i="28" s="1"/>
  <c r="AJ100" i="28" s="1"/>
  <c r="AJ101" i="28" s="1"/>
  <c r="AJ102" i="28" s="1"/>
  <c r="AJ103" i="28" s="1"/>
  <c r="AJ104" i="28" s="1"/>
  <c r="AJ105" i="28" s="1"/>
  <c r="O98" i="28"/>
  <c r="N98" i="28"/>
  <c r="M98" i="28"/>
  <c r="L98" i="28"/>
  <c r="K98" i="28"/>
  <c r="J98" i="28"/>
  <c r="O97" i="28"/>
  <c r="N97" i="28"/>
  <c r="M97" i="28"/>
  <c r="L97" i="28"/>
  <c r="K97" i="28"/>
  <c r="J97" i="28"/>
  <c r="O96" i="28"/>
  <c r="N96" i="28"/>
  <c r="M96" i="28"/>
  <c r="L96" i="28"/>
  <c r="K96" i="28"/>
  <c r="J96" i="28"/>
  <c r="O95" i="28"/>
  <c r="N95" i="28"/>
  <c r="M95" i="28"/>
  <c r="L95" i="28"/>
  <c r="K95" i="28"/>
  <c r="J95" i="28"/>
  <c r="O94" i="28"/>
  <c r="N94" i="28"/>
  <c r="M94" i="28"/>
  <c r="L94" i="28"/>
  <c r="K94" i="28"/>
  <c r="J94" i="28"/>
  <c r="O93" i="28"/>
  <c r="N93" i="28"/>
  <c r="M93" i="28"/>
  <c r="L93" i="28"/>
  <c r="K93" i="28"/>
  <c r="J93" i="28"/>
  <c r="AJ92" i="28"/>
  <c r="AJ93" i="28" s="1"/>
  <c r="AJ94" i="28" s="1"/>
  <c r="AJ95" i="28" s="1"/>
  <c r="AJ96" i="28" s="1"/>
  <c r="AJ97" i="28" s="1"/>
  <c r="O92" i="28"/>
  <c r="N92" i="28"/>
  <c r="M92" i="28"/>
  <c r="L92" i="28"/>
  <c r="K92" i="28"/>
  <c r="J92" i="28"/>
  <c r="O91" i="28"/>
  <c r="N91" i="28"/>
  <c r="M91" i="28"/>
  <c r="L91" i="28"/>
  <c r="K91" i="28"/>
  <c r="J91" i="28"/>
  <c r="AJ90" i="28"/>
  <c r="AJ91" i="28" s="1"/>
  <c r="O90" i="28"/>
  <c r="N90" i="28"/>
  <c r="M90" i="28"/>
  <c r="L90" i="28"/>
  <c r="K90" i="28"/>
  <c r="J90" i="28"/>
  <c r="O89" i="28"/>
  <c r="N89" i="28"/>
  <c r="M89" i="28"/>
  <c r="L89" i="28"/>
  <c r="K89" i="28"/>
  <c r="J89" i="28"/>
  <c r="O88" i="28"/>
  <c r="N88" i="28"/>
  <c r="M88" i="28"/>
  <c r="L88" i="28"/>
  <c r="K88" i="28"/>
  <c r="J88" i="28"/>
  <c r="O87" i="28"/>
  <c r="N87" i="28"/>
  <c r="M87" i="28"/>
  <c r="L87" i="28"/>
  <c r="K87" i="28"/>
  <c r="J87" i="28"/>
  <c r="O86" i="28"/>
  <c r="N86" i="28"/>
  <c r="M86" i="28"/>
  <c r="L86" i="28"/>
  <c r="K86" i="28"/>
  <c r="J86" i="28"/>
  <c r="O85" i="28"/>
  <c r="N85" i="28"/>
  <c r="M85" i="28"/>
  <c r="L85" i="28"/>
  <c r="K85" i="28"/>
  <c r="J85" i="28"/>
  <c r="AJ84" i="28"/>
  <c r="AJ85" i="28" s="1"/>
  <c r="AJ86" i="28" s="1"/>
  <c r="AJ87" i="28" s="1"/>
  <c r="AJ88" i="28" s="1"/>
  <c r="AJ89" i="28" s="1"/>
  <c r="O84" i="28"/>
  <c r="N84" i="28"/>
  <c r="M84" i="28"/>
  <c r="L84" i="28"/>
  <c r="K84" i="28"/>
  <c r="J84" i="28"/>
  <c r="O83" i="28"/>
  <c r="N83" i="28"/>
  <c r="M83" i="28"/>
  <c r="L83" i="28"/>
  <c r="K83" i="28"/>
  <c r="J83" i="28"/>
  <c r="AJ82" i="28"/>
  <c r="AJ83" i="28" s="1"/>
  <c r="O82" i="28"/>
  <c r="N82" i="28"/>
  <c r="M82" i="28"/>
  <c r="L82" i="28"/>
  <c r="K82" i="28"/>
  <c r="J82" i="28"/>
  <c r="O81" i="28"/>
  <c r="N81" i="28"/>
  <c r="M81" i="28"/>
  <c r="L81" i="28"/>
  <c r="K81" i="28"/>
  <c r="J81" i="28"/>
  <c r="O80" i="28"/>
  <c r="N80" i="28"/>
  <c r="M80" i="28"/>
  <c r="L80" i="28"/>
  <c r="K80" i="28"/>
  <c r="J80" i="28"/>
  <c r="O79" i="28"/>
  <c r="N79" i="28"/>
  <c r="M79" i="28"/>
  <c r="L79" i="28"/>
  <c r="K79" i="28"/>
  <c r="J79" i="28"/>
  <c r="O78" i="28"/>
  <c r="N78" i="28"/>
  <c r="M78" i="28"/>
  <c r="L78" i="28"/>
  <c r="K78" i="28"/>
  <c r="J78" i="28"/>
  <c r="O77" i="28"/>
  <c r="N77" i="28"/>
  <c r="M77" i="28"/>
  <c r="L77" i="28"/>
  <c r="K77" i="28"/>
  <c r="J77" i="28"/>
  <c r="O76" i="28"/>
  <c r="N76" i="28"/>
  <c r="M76" i="28"/>
  <c r="L76" i="28"/>
  <c r="K76" i="28"/>
  <c r="J76" i="28"/>
  <c r="O75" i="28"/>
  <c r="N75" i="28"/>
  <c r="M75" i="28"/>
  <c r="L75" i="28"/>
  <c r="K75" i="28"/>
  <c r="J75" i="28"/>
  <c r="AJ74" i="28"/>
  <c r="AJ75" i="28" s="1"/>
  <c r="AJ76" i="28" s="1"/>
  <c r="AJ77" i="28" s="1"/>
  <c r="AJ78" i="28" s="1"/>
  <c r="AJ79" i="28" s="1"/>
  <c r="AJ80" i="28" s="1"/>
  <c r="AJ81" i="28" s="1"/>
  <c r="O74" i="28"/>
  <c r="N74" i="28"/>
  <c r="M74" i="28"/>
  <c r="L74" i="28"/>
  <c r="K74" i="28"/>
  <c r="J74" i="28"/>
  <c r="O73" i="28"/>
  <c r="N73" i="28"/>
  <c r="M73" i="28"/>
  <c r="L73" i="28"/>
  <c r="K73" i="28"/>
  <c r="J73" i="28"/>
  <c r="O72" i="28"/>
  <c r="N72" i="28"/>
  <c r="M72" i="28"/>
  <c r="L72" i="28"/>
  <c r="K72" i="28"/>
  <c r="J72" i="28"/>
  <c r="O71" i="28"/>
  <c r="N71" i="28"/>
  <c r="M71" i="28"/>
  <c r="L71" i="28"/>
  <c r="K71" i="28"/>
  <c r="J71" i="28"/>
  <c r="AG70" i="28"/>
  <c r="O70" i="28"/>
  <c r="N70" i="28"/>
  <c r="M70" i="28"/>
  <c r="L70" i="28"/>
  <c r="K70" i="28"/>
  <c r="J70" i="28"/>
  <c r="O69" i="28"/>
  <c r="N69" i="28"/>
  <c r="M69" i="28"/>
  <c r="L69" i="28"/>
  <c r="K69" i="28"/>
  <c r="J69" i="28"/>
  <c r="O68" i="28"/>
  <c r="N68" i="28"/>
  <c r="M68" i="28"/>
  <c r="L68" i="28"/>
  <c r="K68" i="28"/>
  <c r="J68" i="28"/>
  <c r="O67" i="28"/>
  <c r="N67" i="28"/>
  <c r="M67" i="28"/>
  <c r="L67" i="28"/>
  <c r="K67" i="28"/>
  <c r="J67" i="28"/>
  <c r="AJ66" i="28"/>
  <c r="AJ67" i="28" s="1"/>
  <c r="AJ68" i="28" s="1"/>
  <c r="AJ69" i="28" s="1"/>
  <c r="AJ70" i="28" s="1"/>
  <c r="AJ71" i="28" s="1"/>
  <c r="AJ72" i="28" s="1"/>
  <c r="AJ73" i="28" s="1"/>
  <c r="O66" i="28"/>
  <c r="N66" i="28"/>
  <c r="M66" i="28"/>
  <c r="L66" i="28"/>
  <c r="K66" i="28"/>
  <c r="J66" i="28"/>
  <c r="O65" i="28"/>
  <c r="N65" i="28"/>
  <c r="M65" i="28"/>
  <c r="L65" i="28"/>
  <c r="K65" i="28"/>
  <c r="J65" i="28"/>
  <c r="O64" i="28"/>
  <c r="N64" i="28"/>
  <c r="M64" i="28"/>
  <c r="L64" i="28"/>
  <c r="K64" i="28"/>
  <c r="J64" i="28"/>
  <c r="O63" i="28"/>
  <c r="N63" i="28"/>
  <c r="M63" i="28"/>
  <c r="L63" i="28"/>
  <c r="K63" i="28"/>
  <c r="J63" i="28"/>
  <c r="O62" i="28"/>
  <c r="N62" i="28"/>
  <c r="M62" i="28"/>
  <c r="L62" i="28"/>
  <c r="K62" i="28"/>
  <c r="J62" i="28"/>
  <c r="O61" i="28"/>
  <c r="N61" i="28"/>
  <c r="M61" i="28"/>
  <c r="L61" i="28"/>
  <c r="K61" i="28"/>
  <c r="J61" i="28"/>
  <c r="O60" i="28"/>
  <c r="N60" i="28"/>
  <c r="M60" i="28"/>
  <c r="L60" i="28"/>
  <c r="K60" i="28"/>
  <c r="J60" i="28"/>
  <c r="O59" i="28"/>
  <c r="N59" i="28"/>
  <c r="M59" i="28"/>
  <c r="L59" i="28"/>
  <c r="K59" i="28"/>
  <c r="J59" i="28"/>
  <c r="AJ58" i="28"/>
  <c r="AJ59" i="28" s="1"/>
  <c r="AJ60" i="28" s="1"/>
  <c r="AJ61" i="28" s="1"/>
  <c r="AJ62" i="28" s="1"/>
  <c r="AJ63" i="28" s="1"/>
  <c r="AJ64" i="28" s="1"/>
  <c r="AJ65" i="28" s="1"/>
  <c r="O58" i="28"/>
  <c r="N58" i="28"/>
  <c r="M58" i="28"/>
  <c r="L58" i="28"/>
  <c r="K58" i="28"/>
  <c r="J58" i="28"/>
  <c r="O57" i="28"/>
  <c r="N57" i="28"/>
  <c r="M57" i="28"/>
  <c r="L57" i="28"/>
  <c r="K57" i="28"/>
  <c r="J57" i="28"/>
  <c r="O56" i="28"/>
  <c r="N56" i="28"/>
  <c r="M56" i="28"/>
  <c r="L56" i="28"/>
  <c r="K56" i="28"/>
  <c r="J56" i="28"/>
  <c r="O55" i="28"/>
  <c r="N55" i="28"/>
  <c r="M55" i="28"/>
  <c r="L55" i="28"/>
  <c r="K55" i="28"/>
  <c r="J55" i="28"/>
  <c r="O54" i="28"/>
  <c r="N54" i="28"/>
  <c r="M54" i="28"/>
  <c r="L54" i="28"/>
  <c r="K54" i="28"/>
  <c r="J54" i="28"/>
  <c r="O53" i="28"/>
  <c r="N53" i="28"/>
  <c r="M53" i="28"/>
  <c r="L53" i="28"/>
  <c r="K53" i="28"/>
  <c r="J53" i="28"/>
  <c r="AJ52" i="28"/>
  <c r="AJ53" i="28" s="1"/>
  <c r="AJ54" i="28" s="1"/>
  <c r="AJ55" i="28" s="1"/>
  <c r="AJ56" i="28" s="1"/>
  <c r="AJ57" i="28" s="1"/>
  <c r="O52" i="28"/>
  <c r="N52" i="28"/>
  <c r="M52" i="28"/>
  <c r="L52" i="28"/>
  <c r="K52" i="28"/>
  <c r="J52" i="28"/>
  <c r="AJ51" i="28"/>
  <c r="O51" i="28"/>
  <c r="N51" i="28"/>
  <c r="M51" i="28"/>
  <c r="L51" i="28"/>
  <c r="K51" i="28"/>
  <c r="J51" i="28"/>
  <c r="AJ50" i="28"/>
  <c r="O50" i="28"/>
  <c r="N50" i="28"/>
  <c r="M50" i="28"/>
  <c r="L50" i="28"/>
  <c r="K50" i="28"/>
  <c r="J50" i="28"/>
  <c r="O49" i="28"/>
  <c r="N49" i="28"/>
  <c r="M49" i="28"/>
  <c r="L49" i="28"/>
  <c r="K49" i="28"/>
  <c r="J49" i="28"/>
  <c r="O48" i="28"/>
  <c r="N48" i="28"/>
  <c r="M48" i="28"/>
  <c r="L48" i="28"/>
  <c r="K48" i="28"/>
  <c r="J48" i="28"/>
  <c r="AJ47" i="28"/>
  <c r="AJ48" i="28" s="1"/>
  <c r="AJ49" i="28" s="1"/>
  <c r="O47" i="28"/>
  <c r="N47" i="28"/>
  <c r="M47" i="28"/>
  <c r="L47" i="28"/>
  <c r="K47" i="28"/>
  <c r="J47" i="28"/>
  <c r="AJ46" i="28"/>
  <c r="O46" i="28"/>
  <c r="N46" i="28"/>
  <c r="M46" i="28"/>
  <c r="L46" i="28"/>
  <c r="K46" i="28"/>
  <c r="J46" i="28"/>
  <c r="O45" i="28"/>
  <c r="N45" i="28"/>
  <c r="M45" i="28"/>
  <c r="L45" i="28"/>
  <c r="K45" i="28"/>
  <c r="J45" i="28"/>
  <c r="AJ44" i="28"/>
  <c r="AJ45" i="28" s="1"/>
  <c r="O44" i="28"/>
  <c r="N44" i="28"/>
  <c r="M44" i="28"/>
  <c r="L44" i="28"/>
  <c r="K44" i="28"/>
  <c r="J44" i="28"/>
  <c r="AJ43" i="28"/>
  <c r="O43" i="28"/>
  <c r="N43" i="28"/>
  <c r="M43" i="28"/>
  <c r="L43" i="28"/>
  <c r="K43" i="28"/>
  <c r="J43" i="28"/>
  <c r="AJ42" i="28"/>
  <c r="O42" i="28"/>
  <c r="N42" i="28"/>
  <c r="M42" i="28"/>
  <c r="L42" i="28"/>
  <c r="K42" i="28"/>
  <c r="J42" i="28"/>
  <c r="O41" i="28"/>
  <c r="N41" i="28"/>
  <c r="M41" i="28"/>
  <c r="L41" i="28"/>
  <c r="K41" i="28"/>
  <c r="J41" i="28"/>
  <c r="O40" i="28"/>
  <c r="N40" i="28"/>
  <c r="M40" i="28"/>
  <c r="L40" i="28"/>
  <c r="K40" i="28"/>
  <c r="J40" i="28"/>
  <c r="O39" i="28"/>
  <c r="N39" i="28"/>
  <c r="M39" i="28"/>
  <c r="L39" i="28"/>
  <c r="K39" i="28"/>
  <c r="J39" i="28"/>
  <c r="O38" i="28"/>
  <c r="N38" i="28"/>
  <c r="M38" i="28"/>
  <c r="L38" i="28"/>
  <c r="K38" i="28"/>
  <c r="J38" i="28"/>
  <c r="O37" i="28"/>
  <c r="N37" i="28"/>
  <c r="M37" i="28"/>
  <c r="L37" i="28"/>
  <c r="K37" i="28"/>
  <c r="J37" i="28"/>
  <c r="O36" i="28"/>
  <c r="N36" i="28"/>
  <c r="M36" i="28"/>
  <c r="L36" i="28"/>
  <c r="K36" i="28"/>
  <c r="J36" i="28"/>
  <c r="O35" i="28"/>
  <c r="N35" i="28"/>
  <c r="M35" i="28"/>
  <c r="L35" i="28"/>
  <c r="K35" i="28"/>
  <c r="J35" i="28"/>
  <c r="AJ34" i="28"/>
  <c r="AJ35" i="28" s="1"/>
  <c r="AJ36" i="28" s="1"/>
  <c r="AJ37" i="28" s="1"/>
  <c r="AJ38" i="28" s="1"/>
  <c r="AJ39" i="28" s="1"/>
  <c r="AJ40" i="28" s="1"/>
  <c r="AJ41" i="28" s="1"/>
  <c r="O34" i="28"/>
  <c r="N34" i="28"/>
  <c r="M34" i="28"/>
  <c r="L34" i="28"/>
  <c r="K34" i="28"/>
  <c r="J34" i="28"/>
  <c r="O33" i="28"/>
  <c r="N33" i="28"/>
  <c r="M33" i="28"/>
  <c r="L33" i="28"/>
  <c r="K33" i="28"/>
  <c r="J33" i="28"/>
  <c r="O32" i="28"/>
  <c r="N32" i="28"/>
  <c r="M32" i="28"/>
  <c r="L32" i="28"/>
  <c r="K32" i="28"/>
  <c r="J32" i="28"/>
  <c r="O31" i="28"/>
  <c r="N31" i="28"/>
  <c r="M31" i="28"/>
  <c r="L31" i="28"/>
  <c r="K31" i="28"/>
  <c r="J31" i="28"/>
  <c r="O30" i="28"/>
  <c r="N30" i="28"/>
  <c r="M30" i="28"/>
  <c r="L30" i="28"/>
  <c r="K30" i="28"/>
  <c r="J30" i="28"/>
  <c r="O29" i="28"/>
  <c r="N29" i="28"/>
  <c r="M29" i="28"/>
  <c r="L29" i="28"/>
  <c r="K29" i="28"/>
  <c r="J29" i="28"/>
  <c r="O28" i="28"/>
  <c r="N28" i="28"/>
  <c r="M28" i="28"/>
  <c r="L28" i="28"/>
  <c r="K28" i="28"/>
  <c r="J28" i="28"/>
  <c r="AJ27" i="28"/>
  <c r="AJ28" i="28" s="1"/>
  <c r="AJ29" i="28" s="1"/>
  <c r="AJ30" i="28" s="1"/>
  <c r="AJ31" i="28" s="1"/>
  <c r="AJ32" i="28" s="1"/>
  <c r="AJ33" i="28" s="1"/>
  <c r="O27" i="28"/>
  <c r="N27" i="28"/>
  <c r="M27" i="28"/>
  <c r="L27" i="28"/>
  <c r="K27" i="28"/>
  <c r="J27" i="28"/>
  <c r="AJ26" i="28"/>
  <c r="O26" i="28"/>
  <c r="N26" i="28"/>
  <c r="M26" i="28"/>
  <c r="L26" i="28"/>
  <c r="K26" i="28"/>
  <c r="J26" i="28"/>
  <c r="O25" i="28"/>
  <c r="N25" i="28"/>
  <c r="M25" i="28"/>
  <c r="L25" i="28"/>
  <c r="K25" i="28"/>
  <c r="J25" i="28"/>
  <c r="O24" i="28"/>
  <c r="N24" i="28"/>
  <c r="M24" i="28"/>
  <c r="L24" i="28"/>
  <c r="K24" i="28"/>
  <c r="J24" i="28"/>
  <c r="O23" i="28"/>
  <c r="N23" i="28"/>
  <c r="M23" i="28"/>
  <c r="L23" i="28"/>
  <c r="K23" i="28"/>
  <c r="J23" i="28"/>
  <c r="AR22" i="28"/>
  <c r="AR35" i="28" s="1"/>
  <c r="W22" i="28"/>
  <c r="V22" i="28"/>
  <c r="U22" i="28"/>
  <c r="T22" i="28"/>
  <c r="S22" i="28"/>
  <c r="R22" i="28"/>
  <c r="O22" i="28"/>
  <c r="N22" i="28"/>
  <c r="M22" i="28"/>
  <c r="L22" i="28"/>
  <c r="K22" i="28"/>
  <c r="J22" i="28"/>
  <c r="AR21" i="28"/>
  <c r="AR34" i="28" s="1"/>
  <c r="W21" i="28"/>
  <c r="V21" i="28"/>
  <c r="U21" i="28"/>
  <c r="T21" i="28"/>
  <c r="S21" i="28"/>
  <c r="R21" i="28"/>
  <c r="O21" i="28"/>
  <c r="N21" i="28"/>
  <c r="M21" i="28"/>
  <c r="L21" i="28"/>
  <c r="K21" i="28"/>
  <c r="J21" i="28"/>
  <c r="AR20" i="28"/>
  <c r="AR33" i="28" s="1"/>
  <c r="Q20" i="28"/>
  <c r="W20" i="28" s="1"/>
  <c r="O20" i="28"/>
  <c r="N20" i="28"/>
  <c r="M20" i="28"/>
  <c r="L20" i="28"/>
  <c r="K20" i="28"/>
  <c r="J20" i="28"/>
  <c r="AR19" i="28"/>
  <c r="AR32" i="28" s="1"/>
  <c r="Q19" i="28"/>
  <c r="W19" i="28" s="1"/>
  <c r="O19" i="28"/>
  <c r="N19" i="28"/>
  <c r="M19" i="28"/>
  <c r="L19" i="28"/>
  <c r="K19" i="28"/>
  <c r="J19" i="28"/>
  <c r="AR18" i="28"/>
  <c r="AR31" i="28" s="1"/>
  <c r="AJ18" i="28"/>
  <c r="AJ19" i="28" s="1"/>
  <c r="AJ20" i="28" s="1"/>
  <c r="AJ21" i="28" s="1"/>
  <c r="AJ22" i="28" s="1"/>
  <c r="AJ23" i="28" s="1"/>
  <c r="AJ24" i="28" s="1"/>
  <c r="AJ25" i="28" s="1"/>
  <c r="AB18" i="28"/>
  <c r="W18" i="28"/>
  <c r="Q18" i="28"/>
  <c r="V18" i="28" s="1"/>
  <c r="O18" i="28"/>
  <c r="N18" i="28"/>
  <c r="M18" i="28"/>
  <c r="L18" i="28"/>
  <c r="K18" i="28"/>
  <c r="J18" i="28"/>
  <c r="AR17" i="28"/>
  <c r="AR30" i="28" s="1"/>
  <c r="W17" i="28"/>
  <c r="V17" i="28"/>
  <c r="U17" i="28"/>
  <c r="S17" i="28"/>
  <c r="R17" i="28"/>
  <c r="Q17" i="28"/>
  <c r="T17" i="28" s="1"/>
  <c r="O17" i="28"/>
  <c r="N17" i="28"/>
  <c r="M17" i="28"/>
  <c r="L17" i="28"/>
  <c r="K17" i="28"/>
  <c r="J17" i="28"/>
  <c r="AR16" i="28"/>
  <c r="AR29" i="28" s="1"/>
  <c r="W16" i="28"/>
  <c r="V16" i="28"/>
  <c r="U16" i="28"/>
  <c r="R16" i="28"/>
  <c r="Q16" i="28"/>
  <c r="T16" i="28" s="1"/>
  <c r="M9" i="27" s="1"/>
  <c r="O16" i="28"/>
  <c r="N16" i="28"/>
  <c r="M16" i="28"/>
  <c r="L16" i="28"/>
  <c r="K16" i="28"/>
  <c r="J16" i="28"/>
  <c r="AR15" i="28"/>
  <c r="AR28" i="28" s="1"/>
  <c r="W15" i="28"/>
  <c r="V15" i="28"/>
  <c r="U15" i="28"/>
  <c r="N8" i="27" s="1"/>
  <c r="T15" i="28"/>
  <c r="Q15" i="28"/>
  <c r="S15" i="28" s="1"/>
  <c r="L8" i="27" s="1"/>
  <c r="O15" i="28"/>
  <c r="N15" i="28"/>
  <c r="M15" i="28"/>
  <c r="L15" i="28"/>
  <c r="K15" i="28"/>
  <c r="J15" i="28"/>
  <c r="AR14" i="28"/>
  <c r="AR27" i="28" s="1"/>
  <c r="W14" i="28"/>
  <c r="V14" i="28"/>
  <c r="U14" i="28"/>
  <c r="T14" i="28"/>
  <c r="S14" i="28"/>
  <c r="R14" i="28"/>
  <c r="Q14" i="28"/>
  <c r="O14" i="28"/>
  <c r="N14" i="28"/>
  <c r="M14" i="28"/>
  <c r="L14" i="28"/>
  <c r="K14" i="28"/>
  <c r="J14" i="28"/>
  <c r="AR13" i="28"/>
  <c r="AR26" i="28" s="1"/>
  <c r="Q13" i="28"/>
  <c r="W13" i="28" s="1"/>
  <c r="O13" i="28"/>
  <c r="N13" i="28"/>
  <c r="M13" i="28"/>
  <c r="L13" i="28"/>
  <c r="K13" i="28"/>
  <c r="J13" i="28"/>
  <c r="AR12" i="28"/>
  <c r="AR25" i="28" s="1"/>
  <c r="W12" i="28"/>
  <c r="V12" i="28"/>
  <c r="S12" i="28"/>
  <c r="R12" i="28"/>
  <c r="Q12" i="28"/>
  <c r="U12" i="28" s="1"/>
  <c r="N5" i="27" s="1"/>
  <c r="O12" i="28"/>
  <c r="N12" i="28"/>
  <c r="M12" i="28"/>
  <c r="L12" i="28"/>
  <c r="K12" i="28"/>
  <c r="J12" i="28"/>
  <c r="B12" i="28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AR11" i="28"/>
  <c r="AR24" i="28" s="1"/>
  <c r="W11" i="28"/>
  <c r="V11" i="28"/>
  <c r="O4" i="27" s="1"/>
  <c r="U11" i="28"/>
  <c r="T11" i="28"/>
  <c r="M4" i="27" s="1"/>
  <c r="Q11" i="28"/>
  <c r="S11" i="28" s="1"/>
  <c r="L4" i="27" s="1"/>
  <c r="O11" i="28"/>
  <c r="N11" i="28"/>
  <c r="M11" i="28"/>
  <c r="L11" i="28"/>
  <c r="K11" i="28"/>
  <c r="J11" i="28"/>
  <c r="B11" i="28"/>
  <c r="AR10" i="28"/>
  <c r="AR23" i="28" s="1"/>
  <c r="AJ10" i="28"/>
  <c r="AJ11" i="28" s="1"/>
  <c r="AJ12" i="28" s="1"/>
  <c r="AJ13" i="28" s="1"/>
  <c r="AJ14" i="28" s="1"/>
  <c r="AJ15" i="28" s="1"/>
  <c r="AJ16" i="28" s="1"/>
  <c r="AJ17" i="28" s="1"/>
  <c r="Y10" i="28"/>
  <c r="Y11" i="28" s="1"/>
  <c r="Y12" i="28" s="1"/>
  <c r="Q10" i="28"/>
  <c r="O10" i="28"/>
  <c r="N10" i="28"/>
  <c r="M10" i="28"/>
  <c r="L10" i="28"/>
  <c r="K10" i="28"/>
  <c r="J10" i="28"/>
  <c r="D9" i="28"/>
  <c r="K9" i="28" s="1"/>
  <c r="B9" i="28"/>
  <c r="C129" i="27"/>
  <c r="B118" i="27"/>
  <c r="G115" i="27"/>
  <c r="G108" i="27"/>
  <c r="E108" i="27"/>
  <c r="D107" i="27"/>
  <c r="D102" i="27"/>
  <c r="B101" i="27"/>
  <c r="B90" i="27"/>
  <c r="G85" i="27"/>
  <c r="F85" i="27"/>
  <c r="G84" i="27"/>
  <c r="B82" i="27"/>
  <c r="G80" i="27"/>
  <c r="F80" i="27"/>
  <c r="G79" i="27"/>
  <c r="G77" i="27"/>
  <c r="G75" i="27"/>
  <c r="F75" i="27"/>
  <c r="G74" i="27"/>
  <c r="G70" i="27"/>
  <c r="F70" i="27"/>
  <c r="G69" i="27"/>
  <c r="G65" i="27"/>
  <c r="F65" i="27"/>
  <c r="G64" i="27"/>
  <c r="G60" i="27"/>
  <c r="F60" i="27"/>
  <c r="G59" i="27"/>
  <c r="G55" i="27"/>
  <c r="F55" i="27"/>
  <c r="C55" i="27"/>
  <c r="G54" i="27"/>
  <c r="E54" i="27"/>
  <c r="F54" i="27" s="1"/>
  <c r="C54" i="27"/>
  <c r="E53" i="27"/>
  <c r="C53" i="27"/>
  <c r="E52" i="27"/>
  <c r="C52" i="27"/>
  <c r="B52" i="27"/>
  <c r="G50" i="27"/>
  <c r="F50" i="27"/>
  <c r="G49" i="27"/>
  <c r="G45" i="27"/>
  <c r="F45" i="27"/>
  <c r="G44" i="27"/>
  <c r="G40" i="27"/>
  <c r="F40" i="27"/>
  <c r="G39" i="27"/>
  <c r="G35" i="27"/>
  <c r="F35" i="27"/>
  <c r="G34" i="27"/>
  <c r="B28" i="27"/>
  <c r="F125" i="27" s="1"/>
  <c r="B27" i="27"/>
  <c r="P26" i="27"/>
  <c r="W3" i="28" s="1"/>
  <c r="O26" i="27"/>
  <c r="V3" i="28" s="1"/>
  <c r="N26" i="27"/>
  <c r="U3" i="28" s="1"/>
  <c r="M26" i="27"/>
  <c r="T3" i="28" s="1"/>
  <c r="AD50" i="28" s="1"/>
  <c r="L26" i="27"/>
  <c r="S3" i="28" s="1"/>
  <c r="AC50" i="28" s="1"/>
  <c r="K26" i="27"/>
  <c r="R3" i="28" s="1"/>
  <c r="AB38" i="28" s="1"/>
  <c r="B26" i="27"/>
  <c r="B25" i="27"/>
  <c r="B24" i="27"/>
  <c r="B23" i="27"/>
  <c r="B22" i="27"/>
  <c r="B21" i="27"/>
  <c r="B20" i="27"/>
  <c r="B19" i="27"/>
  <c r="B18" i="27"/>
  <c r="B17" i="27"/>
  <c r="B16" i="27"/>
  <c r="V15" i="27"/>
  <c r="U15" i="27"/>
  <c r="T15" i="27"/>
  <c r="S15" i="27"/>
  <c r="R15" i="27"/>
  <c r="P15" i="27"/>
  <c r="O15" i="27"/>
  <c r="N15" i="27"/>
  <c r="M15" i="27"/>
  <c r="L15" i="27"/>
  <c r="K15" i="27"/>
  <c r="J15" i="27"/>
  <c r="B15" i="27"/>
  <c r="B129" i="27" s="1"/>
  <c r="V14" i="27"/>
  <c r="U14" i="27"/>
  <c r="T14" i="27"/>
  <c r="S14" i="27"/>
  <c r="R14" i="27"/>
  <c r="P14" i="27"/>
  <c r="O14" i="27"/>
  <c r="N14" i="27"/>
  <c r="M14" i="27"/>
  <c r="L14" i="27"/>
  <c r="K14" i="27"/>
  <c r="J14" i="27"/>
  <c r="B14" i="27"/>
  <c r="V13" i="27"/>
  <c r="U13" i="27"/>
  <c r="T13" i="27"/>
  <c r="S13" i="27"/>
  <c r="R13" i="27"/>
  <c r="P13" i="27"/>
  <c r="J13" i="27"/>
  <c r="B13" i="27"/>
  <c r="B77" i="27" s="1"/>
  <c r="V12" i="27"/>
  <c r="U12" i="27"/>
  <c r="T12" i="27"/>
  <c r="S12" i="27"/>
  <c r="R12" i="27"/>
  <c r="P12" i="27"/>
  <c r="J12" i="27"/>
  <c r="B12" i="27"/>
  <c r="B72" i="27" s="1"/>
  <c r="V11" i="27"/>
  <c r="U11" i="27"/>
  <c r="T11" i="27"/>
  <c r="S11" i="27"/>
  <c r="R11" i="27"/>
  <c r="P11" i="27"/>
  <c r="O11" i="27"/>
  <c r="J11" i="27"/>
  <c r="B11" i="27"/>
  <c r="B67" i="27" s="1"/>
  <c r="V10" i="27"/>
  <c r="U10" i="27"/>
  <c r="T10" i="27"/>
  <c r="S10" i="27"/>
  <c r="R10" i="27"/>
  <c r="P10" i="27"/>
  <c r="O10" i="27"/>
  <c r="N10" i="27"/>
  <c r="M10" i="27"/>
  <c r="L10" i="27"/>
  <c r="K10" i="27"/>
  <c r="J10" i="27"/>
  <c r="B10" i="27"/>
  <c r="B62" i="27" s="1"/>
  <c r="V9" i="27"/>
  <c r="U9" i="27"/>
  <c r="T9" i="27"/>
  <c r="S9" i="27"/>
  <c r="R9" i="27"/>
  <c r="P9" i="27"/>
  <c r="O9" i="27"/>
  <c r="N9" i="27"/>
  <c r="K9" i="27"/>
  <c r="J9" i="27"/>
  <c r="B9" i="27"/>
  <c r="B57" i="27" s="1"/>
  <c r="V8" i="27"/>
  <c r="U8" i="27"/>
  <c r="T8" i="27"/>
  <c r="S8" i="27"/>
  <c r="R8" i="27"/>
  <c r="P8" i="27"/>
  <c r="O8" i="27"/>
  <c r="M8" i="27"/>
  <c r="J8" i="27"/>
  <c r="B8" i="27"/>
  <c r="V7" i="27"/>
  <c r="U7" i="27"/>
  <c r="T7" i="27"/>
  <c r="S7" i="27"/>
  <c r="R7" i="27"/>
  <c r="P7" i="27"/>
  <c r="O7" i="27"/>
  <c r="N7" i="27"/>
  <c r="M7" i="27"/>
  <c r="L7" i="27"/>
  <c r="K7" i="27"/>
  <c r="J7" i="27"/>
  <c r="B7" i="27"/>
  <c r="B47" i="27" s="1"/>
  <c r="V6" i="27"/>
  <c r="U6" i="27"/>
  <c r="T6" i="27"/>
  <c r="S6" i="27"/>
  <c r="R6" i="27"/>
  <c r="P6" i="27"/>
  <c r="J6" i="27"/>
  <c r="B6" i="27"/>
  <c r="B42" i="27" s="1"/>
  <c r="V5" i="27"/>
  <c r="U5" i="27"/>
  <c r="T5" i="27"/>
  <c r="S5" i="27"/>
  <c r="R5" i="27"/>
  <c r="P5" i="27"/>
  <c r="O5" i="27"/>
  <c r="L5" i="27"/>
  <c r="K5" i="27"/>
  <c r="J5" i="27"/>
  <c r="B5" i="27"/>
  <c r="B37" i="27" s="1"/>
  <c r="V4" i="27"/>
  <c r="U4" i="27"/>
  <c r="T4" i="27"/>
  <c r="S4" i="27"/>
  <c r="R4" i="27"/>
  <c r="P4" i="27"/>
  <c r="N4" i="27"/>
  <c r="J4" i="27"/>
  <c r="B4" i="27"/>
  <c r="V3" i="27"/>
  <c r="U3" i="27"/>
  <c r="T3" i="27"/>
  <c r="S3" i="27"/>
  <c r="R3" i="27"/>
  <c r="J3" i="27"/>
  <c r="B3" i="27"/>
  <c r="P2" i="27"/>
  <c r="O2" i="27"/>
  <c r="N2" i="27"/>
  <c r="M2" i="27"/>
  <c r="L2" i="27"/>
  <c r="K2" i="27"/>
  <c r="H2" i="27"/>
  <c r="G2" i="27"/>
  <c r="F2" i="27"/>
  <c r="E2" i="27"/>
  <c r="D2" i="27"/>
  <c r="C2" i="27"/>
  <c r="O135" i="26"/>
  <c r="N135" i="26"/>
  <c r="M135" i="26"/>
  <c r="L135" i="26"/>
  <c r="K135" i="26"/>
  <c r="J135" i="26"/>
  <c r="O134" i="26"/>
  <c r="N134" i="26"/>
  <c r="M134" i="26"/>
  <c r="L134" i="26"/>
  <c r="K134" i="26"/>
  <c r="J134" i="26"/>
  <c r="O133" i="26"/>
  <c r="N133" i="26"/>
  <c r="M133" i="26"/>
  <c r="L133" i="26"/>
  <c r="K133" i="26"/>
  <c r="J133" i="26"/>
  <c r="O132" i="26"/>
  <c r="N132" i="26"/>
  <c r="M132" i="26"/>
  <c r="L132" i="26"/>
  <c r="K132" i="26"/>
  <c r="J132" i="26"/>
  <c r="O131" i="26"/>
  <c r="N131" i="26"/>
  <c r="M131" i="26"/>
  <c r="L131" i="26"/>
  <c r="K131" i="26"/>
  <c r="J131" i="26"/>
  <c r="O130" i="26"/>
  <c r="N130" i="26"/>
  <c r="M130" i="26"/>
  <c r="L130" i="26"/>
  <c r="K130" i="26"/>
  <c r="J130" i="26"/>
  <c r="O129" i="26"/>
  <c r="N129" i="26"/>
  <c r="M129" i="26"/>
  <c r="L129" i="26"/>
  <c r="K129" i="26"/>
  <c r="J129" i="26"/>
  <c r="O128" i="26"/>
  <c r="N128" i="26"/>
  <c r="M128" i="26"/>
  <c r="L128" i="26"/>
  <c r="K128" i="26"/>
  <c r="J128" i="26"/>
  <c r="O127" i="26"/>
  <c r="N127" i="26"/>
  <c r="M127" i="26"/>
  <c r="L127" i="26"/>
  <c r="K127" i="26"/>
  <c r="J127" i="26"/>
  <c r="O126" i="26"/>
  <c r="N126" i="26"/>
  <c r="M126" i="26"/>
  <c r="L126" i="26"/>
  <c r="K126" i="26"/>
  <c r="J126" i="26"/>
  <c r="O125" i="26"/>
  <c r="N125" i="26"/>
  <c r="M125" i="26"/>
  <c r="L125" i="26"/>
  <c r="K125" i="26"/>
  <c r="J125" i="26"/>
  <c r="O124" i="26"/>
  <c r="N124" i="26"/>
  <c r="M124" i="26"/>
  <c r="L124" i="26"/>
  <c r="K124" i="26"/>
  <c r="J124" i="26"/>
  <c r="O123" i="26"/>
  <c r="N123" i="26"/>
  <c r="M123" i="26"/>
  <c r="L123" i="26"/>
  <c r="K123" i="26"/>
  <c r="J123" i="26"/>
  <c r="O122" i="26"/>
  <c r="N122" i="26"/>
  <c r="M122" i="26"/>
  <c r="L122" i="26"/>
  <c r="K122" i="26"/>
  <c r="J122" i="26"/>
  <c r="O121" i="26"/>
  <c r="N121" i="26"/>
  <c r="M121" i="26"/>
  <c r="L121" i="26"/>
  <c r="K121" i="26"/>
  <c r="J121" i="26"/>
  <c r="O120" i="26"/>
  <c r="N120" i="26"/>
  <c r="M120" i="26"/>
  <c r="L120" i="26"/>
  <c r="K120" i="26"/>
  <c r="J120" i="26"/>
  <c r="O119" i="26"/>
  <c r="N119" i="26"/>
  <c r="M119" i="26"/>
  <c r="L119" i="26"/>
  <c r="K119" i="26"/>
  <c r="J119" i="26"/>
  <c r="O118" i="26"/>
  <c r="N118" i="26"/>
  <c r="M118" i="26"/>
  <c r="L118" i="26"/>
  <c r="K118" i="26"/>
  <c r="J118" i="26"/>
  <c r="O117" i="26"/>
  <c r="N117" i="26"/>
  <c r="M117" i="26"/>
  <c r="L117" i="26"/>
  <c r="K117" i="26"/>
  <c r="J117" i="26"/>
  <c r="O116" i="26"/>
  <c r="N116" i="26"/>
  <c r="M116" i="26"/>
  <c r="L116" i="26"/>
  <c r="K116" i="26"/>
  <c r="J116" i="26"/>
  <c r="O115" i="26"/>
  <c r="N115" i="26"/>
  <c r="M115" i="26"/>
  <c r="L115" i="26"/>
  <c r="K115" i="26"/>
  <c r="J115" i="26"/>
  <c r="O114" i="26"/>
  <c r="N114" i="26"/>
  <c r="M114" i="26"/>
  <c r="L114" i="26"/>
  <c r="K114" i="26"/>
  <c r="J114" i="26"/>
  <c r="O113" i="26"/>
  <c r="N113" i="26"/>
  <c r="M113" i="26"/>
  <c r="L113" i="26"/>
  <c r="K113" i="26"/>
  <c r="J113" i="26"/>
  <c r="O112" i="26"/>
  <c r="N112" i="26"/>
  <c r="M112" i="26"/>
  <c r="L112" i="26"/>
  <c r="K112" i="26"/>
  <c r="J112" i="26"/>
  <c r="O111" i="26"/>
  <c r="N111" i="26"/>
  <c r="M111" i="26"/>
  <c r="L111" i="26"/>
  <c r="K111" i="26"/>
  <c r="J111" i="26"/>
  <c r="O110" i="26"/>
  <c r="N110" i="26"/>
  <c r="M110" i="26"/>
  <c r="L110" i="26"/>
  <c r="K110" i="26"/>
  <c r="J110" i="26"/>
  <c r="O109" i="26"/>
  <c r="N109" i="26"/>
  <c r="M109" i="26"/>
  <c r="L109" i="26"/>
  <c r="K109" i="26"/>
  <c r="J109" i="26"/>
  <c r="O108" i="26"/>
  <c r="N108" i="26"/>
  <c r="M108" i="26"/>
  <c r="L108" i="26"/>
  <c r="K108" i="26"/>
  <c r="J108" i="26"/>
  <c r="O107" i="26"/>
  <c r="N107" i="26"/>
  <c r="M107" i="26"/>
  <c r="L107" i="26"/>
  <c r="K107" i="26"/>
  <c r="J107" i="26"/>
  <c r="AJ106" i="26"/>
  <c r="AJ107" i="26" s="1"/>
  <c r="AJ108" i="26" s="1"/>
  <c r="AJ109" i="26" s="1"/>
  <c r="AJ110" i="26" s="1"/>
  <c r="AJ111" i="26" s="1"/>
  <c r="AJ112" i="26" s="1"/>
  <c r="AJ113" i="26" s="1"/>
  <c r="O106" i="26"/>
  <c r="N106" i="26"/>
  <c r="M106" i="26"/>
  <c r="L106" i="26"/>
  <c r="K106" i="26"/>
  <c r="J106" i="26"/>
  <c r="O105" i="26"/>
  <c r="N105" i="26"/>
  <c r="M105" i="26"/>
  <c r="L105" i="26"/>
  <c r="K105" i="26"/>
  <c r="J105" i="26"/>
  <c r="O104" i="26"/>
  <c r="N104" i="26"/>
  <c r="M104" i="26"/>
  <c r="L104" i="26"/>
  <c r="K104" i="26"/>
  <c r="J104" i="26"/>
  <c r="O103" i="26"/>
  <c r="N103" i="26"/>
  <c r="M103" i="26"/>
  <c r="L103" i="26"/>
  <c r="K103" i="26"/>
  <c r="J103" i="26"/>
  <c r="O102" i="26"/>
  <c r="N102" i="26"/>
  <c r="M102" i="26"/>
  <c r="L102" i="26"/>
  <c r="K102" i="26"/>
  <c r="J102" i="26"/>
  <c r="O101" i="26"/>
  <c r="N101" i="26"/>
  <c r="M101" i="26"/>
  <c r="L101" i="26"/>
  <c r="K101" i="26"/>
  <c r="J101" i="26"/>
  <c r="O100" i="26"/>
  <c r="N100" i="26"/>
  <c r="M100" i="26"/>
  <c r="L100" i="26"/>
  <c r="K100" i="26"/>
  <c r="J100" i="26"/>
  <c r="O99" i="26"/>
  <c r="N99" i="26"/>
  <c r="M99" i="26"/>
  <c r="L99" i="26"/>
  <c r="K99" i="26"/>
  <c r="J99" i="26"/>
  <c r="AJ98" i="26"/>
  <c r="AJ99" i="26" s="1"/>
  <c r="AJ100" i="26" s="1"/>
  <c r="AJ101" i="26" s="1"/>
  <c r="AJ102" i="26" s="1"/>
  <c r="AJ103" i="26" s="1"/>
  <c r="AJ104" i="26" s="1"/>
  <c r="AJ105" i="26" s="1"/>
  <c r="O98" i="26"/>
  <c r="N98" i="26"/>
  <c r="M98" i="26"/>
  <c r="L98" i="26"/>
  <c r="K98" i="26"/>
  <c r="J98" i="26"/>
  <c r="O97" i="26"/>
  <c r="N97" i="26"/>
  <c r="M97" i="26"/>
  <c r="L97" i="26"/>
  <c r="K97" i="26"/>
  <c r="J97" i="26"/>
  <c r="O96" i="26"/>
  <c r="N96" i="26"/>
  <c r="M96" i="26"/>
  <c r="L96" i="26"/>
  <c r="K96" i="26"/>
  <c r="J96" i="26"/>
  <c r="O95" i="26"/>
  <c r="N95" i="26"/>
  <c r="M95" i="26"/>
  <c r="L95" i="26"/>
  <c r="K95" i="26"/>
  <c r="J95" i="26"/>
  <c r="O94" i="26"/>
  <c r="N94" i="26"/>
  <c r="M94" i="26"/>
  <c r="L94" i="26"/>
  <c r="K94" i="26"/>
  <c r="J94" i="26"/>
  <c r="O93" i="26"/>
  <c r="N93" i="26"/>
  <c r="M93" i="26"/>
  <c r="L93" i="26"/>
  <c r="K93" i="26"/>
  <c r="J93" i="26"/>
  <c r="O92" i="26"/>
  <c r="N92" i="26"/>
  <c r="M92" i="26"/>
  <c r="L92" i="26"/>
  <c r="K92" i="26"/>
  <c r="J92" i="26"/>
  <c r="O91" i="26"/>
  <c r="N91" i="26"/>
  <c r="M91" i="26"/>
  <c r="L91" i="26"/>
  <c r="K91" i="26"/>
  <c r="J91" i="26"/>
  <c r="AJ90" i="26"/>
  <c r="AJ91" i="26" s="1"/>
  <c r="AJ92" i="26" s="1"/>
  <c r="AJ93" i="26" s="1"/>
  <c r="AJ94" i="26" s="1"/>
  <c r="AJ95" i="26" s="1"/>
  <c r="AJ96" i="26" s="1"/>
  <c r="AJ97" i="26" s="1"/>
  <c r="O90" i="26"/>
  <c r="N90" i="26"/>
  <c r="M90" i="26"/>
  <c r="L90" i="26"/>
  <c r="K90" i="26"/>
  <c r="J90" i="26"/>
  <c r="O89" i="26"/>
  <c r="N89" i="26"/>
  <c r="M89" i="26"/>
  <c r="L89" i="26"/>
  <c r="K89" i="26"/>
  <c r="J89" i="26"/>
  <c r="O88" i="26"/>
  <c r="N88" i="26"/>
  <c r="M88" i="26"/>
  <c r="L88" i="26"/>
  <c r="K88" i="26"/>
  <c r="J88" i="26"/>
  <c r="O87" i="26"/>
  <c r="N87" i="26"/>
  <c r="M87" i="26"/>
  <c r="L87" i="26"/>
  <c r="K87" i="26"/>
  <c r="J87" i="26"/>
  <c r="O86" i="26"/>
  <c r="N86" i="26"/>
  <c r="M86" i="26"/>
  <c r="L86" i="26"/>
  <c r="K86" i="26"/>
  <c r="J86" i="26"/>
  <c r="O85" i="26"/>
  <c r="N85" i="26"/>
  <c r="M85" i="26"/>
  <c r="L85" i="26"/>
  <c r="K85" i="26"/>
  <c r="J85" i="26"/>
  <c r="O84" i="26"/>
  <c r="N84" i="26"/>
  <c r="M84" i="26"/>
  <c r="L84" i="26"/>
  <c r="K84" i="26"/>
  <c r="J84" i="26"/>
  <c r="O83" i="26"/>
  <c r="N83" i="26"/>
  <c r="M83" i="26"/>
  <c r="L83" i="26"/>
  <c r="K83" i="26"/>
  <c r="J83" i="26"/>
  <c r="AJ82" i="26"/>
  <c r="AJ83" i="26" s="1"/>
  <c r="AJ84" i="26" s="1"/>
  <c r="AJ85" i="26" s="1"/>
  <c r="AJ86" i="26" s="1"/>
  <c r="AJ87" i="26" s="1"/>
  <c r="AJ88" i="26" s="1"/>
  <c r="AJ89" i="26" s="1"/>
  <c r="O82" i="26"/>
  <c r="N82" i="26"/>
  <c r="M82" i="26"/>
  <c r="L82" i="26"/>
  <c r="K82" i="26"/>
  <c r="J82" i="26"/>
  <c r="O81" i="26"/>
  <c r="N81" i="26"/>
  <c r="M81" i="26"/>
  <c r="L81" i="26"/>
  <c r="K81" i="26"/>
  <c r="J81" i="26"/>
  <c r="O80" i="26"/>
  <c r="N80" i="26"/>
  <c r="M80" i="26"/>
  <c r="L80" i="26"/>
  <c r="K80" i="26"/>
  <c r="J80" i="26"/>
  <c r="O79" i="26"/>
  <c r="N79" i="26"/>
  <c r="M79" i="26"/>
  <c r="L79" i="26"/>
  <c r="K79" i="26"/>
  <c r="J79" i="26"/>
  <c r="O78" i="26"/>
  <c r="N78" i="26"/>
  <c r="M78" i="26"/>
  <c r="L78" i="26"/>
  <c r="K78" i="26"/>
  <c r="J78" i="26"/>
  <c r="O77" i="26"/>
  <c r="N77" i="26"/>
  <c r="M77" i="26"/>
  <c r="L77" i="26"/>
  <c r="K77" i="26"/>
  <c r="J77" i="26"/>
  <c r="O76" i="26"/>
  <c r="N76" i="26"/>
  <c r="M76" i="26"/>
  <c r="L76" i="26"/>
  <c r="K76" i="26"/>
  <c r="J76" i="26"/>
  <c r="O75" i="26"/>
  <c r="N75" i="26"/>
  <c r="M75" i="26"/>
  <c r="L75" i="26"/>
  <c r="K75" i="26"/>
  <c r="J75" i="26"/>
  <c r="AJ74" i="26"/>
  <c r="AJ75" i="26" s="1"/>
  <c r="AJ76" i="26" s="1"/>
  <c r="AJ77" i="26" s="1"/>
  <c r="AJ78" i="26" s="1"/>
  <c r="AJ79" i="26" s="1"/>
  <c r="AJ80" i="26" s="1"/>
  <c r="AJ81" i="26" s="1"/>
  <c r="O74" i="26"/>
  <c r="N74" i="26"/>
  <c r="M74" i="26"/>
  <c r="L74" i="26"/>
  <c r="K74" i="26"/>
  <c r="J74" i="26"/>
  <c r="O73" i="26"/>
  <c r="N73" i="26"/>
  <c r="M73" i="26"/>
  <c r="L73" i="26"/>
  <c r="K73" i="26"/>
  <c r="J73" i="26"/>
  <c r="O72" i="26"/>
  <c r="N72" i="26"/>
  <c r="M72" i="26"/>
  <c r="L72" i="26"/>
  <c r="K72" i="26"/>
  <c r="J72" i="26"/>
  <c r="O71" i="26"/>
  <c r="N71" i="26"/>
  <c r="M71" i="26"/>
  <c r="L71" i="26"/>
  <c r="K71" i="26"/>
  <c r="J71" i="26"/>
  <c r="O70" i="26"/>
  <c r="N70" i="26"/>
  <c r="M70" i="26"/>
  <c r="L70" i="26"/>
  <c r="K70" i="26"/>
  <c r="J70" i="26"/>
  <c r="O69" i="26"/>
  <c r="N69" i="26"/>
  <c r="M69" i="26"/>
  <c r="L69" i="26"/>
  <c r="K69" i="26"/>
  <c r="J69" i="26"/>
  <c r="O68" i="26"/>
  <c r="N68" i="26"/>
  <c r="M68" i="26"/>
  <c r="L68" i="26"/>
  <c r="K68" i="26"/>
  <c r="J68" i="26"/>
  <c r="O67" i="26"/>
  <c r="N67" i="26"/>
  <c r="M67" i="26"/>
  <c r="L67" i="26"/>
  <c r="K67" i="26"/>
  <c r="J67" i="26"/>
  <c r="AJ66" i="26"/>
  <c r="AJ67" i="26" s="1"/>
  <c r="AJ68" i="26" s="1"/>
  <c r="AJ69" i="26" s="1"/>
  <c r="AJ70" i="26" s="1"/>
  <c r="AJ71" i="26" s="1"/>
  <c r="AJ72" i="26" s="1"/>
  <c r="AJ73" i="26" s="1"/>
  <c r="O66" i="26"/>
  <c r="N66" i="26"/>
  <c r="M66" i="26"/>
  <c r="L66" i="26"/>
  <c r="K66" i="26"/>
  <c r="J66" i="26"/>
  <c r="O65" i="26"/>
  <c r="N65" i="26"/>
  <c r="M65" i="26"/>
  <c r="L65" i="26"/>
  <c r="K65" i="26"/>
  <c r="J65" i="26"/>
  <c r="O64" i="26"/>
  <c r="N64" i="26"/>
  <c r="M64" i="26"/>
  <c r="L64" i="26"/>
  <c r="K64" i="26"/>
  <c r="J64" i="26"/>
  <c r="O63" i="26"/>
  <c r="N63" i="26"/>
  <c r="M63" i="26"/>
  <c r="L63" i="26"/>
  <c r="K63" i="26"/>
  <c r="J63" i="26"/>
  <c r="O62" i="26"/>
  <c r="N62" i="26"/>
  <c r="M62" i="26"/>
  <c r="L62" i="26"/>
  <c r="K62" i="26"/>
  <c r="J62" i="26"/>
  <c r="O61" i="26"/>
  <c r="N61" i="26"/>
  <c r="M61" i="26"/>
  <c r="L61" i="26"/>
  <c r="K61" i="26"/>
  <c r="J61" i="26"/>
  <c r="O60" i="26"/>
  <c r="N60" i="26"/>
  <c r="M60" i="26"/>
  <c r="L60" i="26"/>
  <c r="K60" i="26"/>
  <c r="J60" i="26"/>
  <c r="O59" i="26"/>
  <c r="N59" i="26"/>
  <c r="M59" i="26"/>
  <c r="L59" i="26"/>
  <c r="K59" i="26"/>
  <c r="J59" i="26"/>
  <c r="AJ58" i="26"/>
  <c r="AJ59" i="26" s="1"/>
  <c r="AJ60" i="26" s="1"/>
  <c r="AJ61" i="26" s="1"/>
  <c r="AJ62" i="26" s="1"/>
  <c r="AJ63" i="26" s="1"/>
  <c r="AJ64" i="26" s="1"/>
  <c r="AJ65" i="26" s="1"/>
  <c r="O58" i="26"/>
  <c r="N58" i="26"/>
  <c r="M58" i="26"/>
  <c r="L58" i="26"/>
  <c r="K58" i="26"/>
  <c r="J58" i="26"/>
  <c r="O57" i="26"/>
  <c r="N57" i="26"/>
  <c r="M57" i="26"/>
  <c r="L57" i="26"/>
  <c r="K57" i="26"/>
  <c r="J57" i="26"/>
  <c r="O56" i="26"/>
  <c r="N56" i="26"/>
  <c r="M56" i="26"/>
  <c r="L56" i="26"/>
  <c r="K56" i="26"/>
  <c r="J56" i="26"/>
  <c r="O55" i="26"/>
  <c r="N55" i="26"/>
  <c r="M55" i="26"/>
  <c r="L55" i="26"/>
  <c r="K55" i="26"/>
  <c r="J55" i="26"/>
  <c r="O54" i="26"/>
  <c r="N54" i="26"/>
  <c r="M54" i="26"/>
  <c r="L54" i="26"/>
  <c r="K54" i="26"/>
  <c r="J54" i="26"/>
  <c r="O53" i="26"/>
  <c r="N53" i="26"/>
  <c r="M53" i="26"/>
  <c r="L53" i="26"/>
  <c r="K53" i="26"/>
  <c r="J53" i="26"/>
  <c r="O52" i="26"/>
  <c r="N52" i="26"/>
  <c r="M52" i="26"/>
  <c r="L52" i="26"/>
  <c r="K52" i="26"/>
  <c r="J52" i="26"/>
  <c r="AJ51" i="26"/>
  <c r="AJ52" i="26" s="1"/>
  <c r="AJ53" i="26" s="1"/>
  <c r="AJ54" i="26" s="1"/>
  <c r="AJ55" i="26" s="1"/>
  <c r="AJ56" i="26" s="1"/>
  <c r="AJ57" i="26" s="1"/>
  <c r="O51" i="26"/>
  <c r="N51" i="26"/>
  <c r="M51" i="26"/>
  <c r="L51" i="26"/>
  <c r="K51" i="26"/>
  <c r="J51" i="26"/>
  <c r="AJ50" i="26"/>
  <c r="O50" i="26"/>
  <c r="N50" i="26"/>
  <c r="M50" i="26"/>
  <c r="L50" i="26"/>
  <c r="K50" i="26"/>
  <c r="J50" i="26"/>
  <c r="O49" i="26"/>
  <c r="N49" i="26"/>
  <c r="M49" i="26"/>
  <c r="L49" i="26"/>
  <c r="K49" i="26"/>
  <c r="J49" i="26"/>
  <c r="AJ48" i="26"/>
  <c r="AJ49" i="26" s="1"/>
  <c r="O48" i="26"/>
  <c r="N48" i="26"/>
  <c r="M48" i="26"/>
  <c r="L48" i="26"/>
  <c r="K48" i="26"/>
  <c r="J48" i="26"/>
  <c r="O47" i="26"/>
  <c r="N47" i="26"/>
  <c r="M47" i="26"/>
  <c r="L47" i="26"/>
  <c r="K47" i="26"/>
  <c r="J47" i="26"/>
  <c r="O46" i="26"/>
  <c r="N46" i="26"/>
  <c r="M46" i="26"/>
  <c r="L46" i="26"/>
  <c r="K46" i="26"/>
  <c r="J46" i="26"/>
  <c r="O45" i="26"/>
  <c r="N45" i="26"/>
  <c r="M45" i="26"/>
  <c r="L45" i="26"/>
  <c r="K45" i="26"/>
  <c r="J45" i="26"/>
  <c r="O44" i="26"/>
  <c r="N44" i="26"/>
  <c r="M44" i="26"/>
  <c r="L44" i="26"/>
  <c r="K44" i="26"/>
  <c r="J44" i="26"/>
  <c r="O43" i="26"/>
  <c r="N43" i="26"/>
  <c r="M43" i="26"/>
  <c r="L43" i="26"/>
  <c r="K43" i="26"/>
  <c r="J43" i="26"/>
  <c r="AJ42" i="26"/>
  <c r="AJ43" i="26" s="1"/>
  <c r="AJ44" i="26" s="1"/>
  <c r="AJ45" i="26" s="1"/>
  <c r="AJ46" i="26" s="1"/>
  <c r="AJ47" i="26" s="1"/>
  <c r="O42" i="26"/>
  <c r="N42" i="26"/>
  <c r="M42" i="26"/>
  <c r="L42" i="26"/>
  <c r="K42" i="26"/>
  <c r="J42" i="26"/>
  <c r="O41" i="26"/>
  <c r="N41" i="26"/>
  <c r="M41" i="26"/>
  <c r="L41" i="26"/>
  <c r="K41" i="26"/>
  <c r="J41" i="26"/>
  <c r="O40" i="26"/>
  <c r="N40" i="26"/>
  <c r="M40" i="26"/>
  <c r="L40" i="26"/>
  <c r="K40" i="26"/>
  <c r="J40" i="26"/>
  <c r="O39" i="26"/>
  <c r="N39" i="26"/>
  <c r="M39" i="26"/>
  <c r="L39" i="26"/>
  <c r="K39" i="26"/>
  <c r="J39" i="26"/>
  <c r="O38" i="26"/>
  <c r="N38" i="26"/>
  <c r="M38" i="26"/>
  <c r="L38" i="26"/>
  <c r="K38" i="26"/>
  <c r="J38" i="26"/>
  <c r="O37" i="26"/>
  <c r="N37" i="26"/>
  <c r="M37" i="26"/>
  <c r="L37" i="26"/>
  <c r="K37" i="26"/>
  <c r="J37" i="26"/>
  <c r="O36" i="26"/>
  <c r="N36" i="26"/>
  <c r="M36" i="26"/>
  <c r="L36" i="26"/>
  <c r="K36" i="26"/>
  <c r="J36" i="26"/>
  <c r="AJ35" i="26"/>
  <c r="AJ36" i="26" s="1"/>
  <c r="AJ37" i="26" s="1"/>
  <c r="AJ38" i="26" s="1"/>
  <c r="AJ39" i="26" s="1"/>
  <c r="AJ40" i="26" s="1"/>
  <c r="AJ41" i="26" s="1"/>
  <c r="O35" i="26"/>
  <c r="N35" i="26"/>
  <c r="M35" i="26"/>
  <c r="L35" i="26"/>
  <c r="K35" i="26"/>
  <c r="J35" i="26"/>
  <c r="AR34" i="26"/>
  <c r="AJ34" i="26"/>
  <c r="O34" i="26"/>
  <c r="N34" i="26"/>
  <c r="M34" i="26"/>
  <c r="L34" i="26"/>
  <c r="K34" i="26"/>
  <c r="J34" i="26"/>
  <c r="O33" i="26"/>
  <c r="N33" i="26"/>
  <c r="M33" i="26"/>
  <c r="L33" i="26"/>
  <c r="K33" i="26"/>
  <c r="J33" i="26"/>
  <c r="O32" i="26"/>
  <c r="N32" i="26"/>
  <c r="M32" i="26"/>
  <c r="L32" i="26"/>
  <c r="K32" i="26"/>
  <c r="J32" i="26"/>
  <c r="O31" i="26"/>
  <c r="N31" i="26"/>
  <c r="M31" i="26"/>
  <c r="L31" i="26"/>
  <c r="K31" i="26"/>
  <c r="J31" i="26"/>
  <c r="O30" i="26"/>
  <c r="N30" i="26"/>
  <c r="M30" i="26"/>
  <c r="L30" i="26"/>
  <c r="K30" i="26"/>
  <c r="J30" i="26"/>
  <c r="O29" i="26"/>
  <c r="N29" i="26"/>
  <c r="M29" i="26"/>
  <c r="L29" i="26"/>
  <c r="K29" i="26"/>
  <c r="J29" i="26"/>
  <c r="O28" i="26"/>
  <c r="N28" i="26"/>
  <c r="M28" i="26"/>
  <c r="L28" i="26"/>
  <c r="K28" i="26"/>
  <c r="J28" i="26"/>
  <c r="O27" i="26"/>
  <c r="N27" i="26"/>
  <c r="M27" i="26"/>
  <c r="L27" i="26"/>
  <c r="K27" i="26"/>
  <c r="J27" i="26"/>
  <c r="AJ26" i="26"/>
  <c r="AJ27" i="26" s="1"/>
  <c r="AJ28" i="26" s="1"/>
  <c r="AJ29" i="26" s="1"/>
  <c r="AJ30" i="26" s="1"/>
  <c r="AJ31" i="26" s="1"/>
  <c r="AJ32" i="26" s="1"/>
  <c r="AJ33" i="26" s="1"/>
  <c r="O26" i="26"/>
  <c r="N26" i="26"/>
  <c r="M26" i="26"/>
  <c r="L26" i="26"/>
  <c r="K26" i="26"/>
  <c r="J26" i="26"/>
  <c r="O25" i="26"/>
  <c r="N25" i="26"/>
  <c r="M25" i="26"/>
  <c r="L25" i="26"/>
  <c r="K25" i="26"/>
  <c r="J25" i="26"/>
  <c r="O24" i="26"/>
  <c r="N24" i="26"/>
  <c r="M24" i="26"/>
  <c r="L24" i="26"/>
  <c r="K24" i="26"/>
  <c r="J24" i="26"/>
  <c r="AJ23" i="26"/>
  <c r="AJ24" i="26" s="1"/>
  <c r="AJ25" i="26" s="1"/>
  <c r="O23" i="26"/>
  <c r="N23" i="26"/>
  <c r="M23" i="26"/>
  <c r="L23" i="26"/>
  <c r="K23" i="26"/>
  <c r="J23" i="26"/>
  <c r="AR22" i="26"/>
  <c r="AR35" i="26" s="1"/>
  <c r="W22" i="26"/>
  <c r="V22" i="26"/>
  <c r="U22" i="26"/>
  <c r="T22" i="26"/>
  <c r="S22" i="26"/>
  <c r="R22" i="26"/>
  <c r="O22" i="26"/>
  <c r="N22" i="26"/>
  <c r="M22" i="26"/>
  <c r="L22" i="26"/>
  <c r="K22" i="26"/>
  <c r="J22" i="26"/>
  <c r="AR21" i="26"/>
  <c r="W21" i="26"/>
  <c r="V21" i="26"/>
  <c r="U21" i="26"/>
  <c r="T21" i="26"/>
  <c r="S21" i="26"/>
  <c r="R21" i="26"/>
  <c r="O21" i="26"/>
  <c r="N21" i="26"/>
  <c r="M21" i="26"/>
  <c r="L21" i="26"/>
  <c r="K21" i="26"/>
  <c r="J21" i="26"/>
  <c r="AR20" i="26"/>
  <c r="AR33" i="26" s="1"/>
  <c r="AJ20" i="26"/>
  <c r="AJ21" i="26" s="1"/>
  <c r="AJ22" i="26" s="1"/>
  <c r="V20" i="26"/>
  <c r="U20" i="26"/>
  <c r="T20" i="26"/>
  <c r="R20" i="26"/>
  <c r="Q20" i="26"/>
  <c r="W20" i="26" s="1"/>
  <c r="O20" i="26"/>
  <c r="N20" i="26"/>
  <c r="M20" i="26"/>
  <c r="L20" i="26"/>
  <c r="K20" i="26"/>
  <c r="J20" i="26"/>
  <c r="AR19" i="26"/>
  <c r="AR32" i="26" s="1"/>
  <c r="AJ19" i="26"/>
  <c r="Q19" i="26"/>
  <c r="O19" i="26"/>
  <c r="N19" i="26"/>
  <c r="M19" i="26"/>
  <c r="L19" i="26"/>
  <c r="K19" i="26"/>
  <c r="J19" i="26"/>
  <c r="AR18" i="26"/>
  <c r="AR31" i="26" s="1"/>
  <c r="AJ18" i="26"/>
  <c r="T18" i="26"/>
  <c r="S18" i="26"/>
  <c r="Q18" i="26"/>
  <c r="O18" i="26"/>
  <c r="N18" i="26"/>
  <c r="M18" i="26"/>
  <c r="L18" i="26"/>
  <c r="K18" i="26"/>
  <c r="J18" i="26"/>
  <c r="AR17" i="26"/>
  <c r="AR30" i="26" s="1"/>
  <c r="Q17" i="26"/>
  <c r="O17" i="26"/>
  <c r="N17" i="26"/>
  <c r="M17" i="26"/>
  <c r="L17" i="26"/>
  <c r="K17" i="26"/>
  <c r="J17" i="26"/>
  <c r="AR16" i="26"/>
  <c r="AR29" i="26" s="1"/>
  <c r="Q16" i="26"/>
  <c r="O16" i="26"/>
  <c r="N16" i="26"/>
  <c r="M16" i="26"/>
  <c r="L16" i="26"/>
  <c r="K16" i="26"/>
  <c r="J16" i="26"/>
  <c r="AR15" i="26"/>
  <c r="AR28" i="26" s="1"/>
  <c r="W15" i="26"/>
  <c r="V15" i="26"/>
  <c r="U15" i="26"/>
  <c r="Q15" i="26"/>
  <c r="O15" i="26"/>
  <c r="N15" i="26"/>
  <c r="M15" i="26"/>
  <c r="L15" i="26"/>
  <c r="K15" i="26"/>
  <c r="J15" i="26"/>
  <c r="AR14" i="26"/>
  <c r="AR27" i="26" s="1"/>
  <c r="W14" i="26"/>
  <c r="V14" i="26"/>
  <c r="U14" i="26"/>
  <c r="T14" i="26"/>
  <c r="R14" i="26"/>
  <c r="Q14" i="26"/>
  <c r="S14" i="26" s="1"/>
  <c r="O14" i="26"/>
  <c r="N14" i="26"/>
  <c r="M14" i="26"/>
  <c r="L14" i="26"/>
  <c r="K14" i="26"/>
  <c r="J14" i="26"/>
  <c r="AR13" i="26"/>
  <c r="AR26" i="26" s="1"/>
  <c r="W13" i="26"/>
  <c r="V13" i="26"/>
  <c r="S13" i="26"/>
  <c r="Q13" i="26"/>
  <c r="R13" i="26" s="1"/>
  <c r="O13" i="26"/>
  <c r="N13" i="26"/>
  <c r="M13" i="26"/>
  <c r="L13" i="26"/>
  <c r="K13" i="26"/>
  <c r="J13" i="26"/>
  <c r="AR12" i="26"/>
  <c r="AR25" i="26" s="1"/>
  <c r="W12" i="26"/>
  <c r="V12" i="26"/>
  <c r="U12" i="26"/>
  <c r="T12" i="26"/>
  <c r="S12" i="26"/>
  <c r="R12" i="26"/>
  <c r="Q12" i="26"/>
  <c r="O12" i="26"/>
  <c r="N12" i="26"/>
  <c r="M12" i="26"/>
  <c r="L12" i="26"/>
  <c r="K12" i="26"/>
  <c r="J12" i="26"/>
  <c r="AR11" i="26"/>
  <c r="AR24" i="26" s="1"/>
  <c r="AJ11" i="26"/>
  <c r="AJ12" i="26" s="1"/>
  <c r="AJ13" i="26" s="1"/>
  <c r="AJ14" i="26" s="1"/>
  <c r="AJ15" i="26" s="1"/>
  <c r="AJ16" i="26" s="1"/>
  <c r="AJ17" i="26" s="1"/>
  <c r="Y11" i="26"/>
  <c r="Y12" i="26" s="1"/>
  <c r="Y13" i="26" s="1"/>
  <c r="Y14" i="26" s="1"/>
  <c r="Y15" i="26" s="1"/>
  <c r="Y16" i="26" s="1"/>
  <c r="Y17" i="26" s="1"/>
  <c r="Y18" i="26" s="1"/>
  <c r="Y19" i="26" s="1"/>
  <c r="W11" i="26"/>
  <c r="V11" i="26"/>
  <c r="U11" i="26"/>
  <c r="T11" i="26"/>
  <c r="M4" i="25" s="1"/>
  <c r="S11" i="26"/>
  <c r="L4" i="25" s="1"/>
  <c r="R11" i="26"/>
  <c r="Q11" i="26"/>
  <c r="O11" i="26"/>
  <c r="N11" i="26"/>
  <c r="M11" i="26"/>
  <c r="L11" i="26"/>
  <c r="K11" i="26"/>
  <c r="J11" i="26"/>
  <c r="B11" i="26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109" i="26" s="1"/>
  <c r="B110" i="26" s="1"/>
  <c r="B111" i="26" s="1"/>
  <c r="B112" i="26" s="1"/>
  <c r="B113" i="26" s="1"/>
  <c r="B114" i="26" s="1"/>
  <c r="B115" i="26" s="1"/>
  <c r="B116" i="26" s="1"/>
  <c r="B117" i="26" s="1"/>
  <c r="B118" i="26" s="1"/>
  <c r="B119" i="26" s="1"/>
  <c r="B120" i="26" s="1"/>
  <c r="B121" i="26" s="1"/>
  <c r="B122" i="26" s="1"/>
  <c r="B123" i="26" s="1"/>
  <c r="B124" i="26" s="1"/>
  <c r="B125" i="26" s="1"/>
  <c r="B126" i="26" s="1"/>
  <c r="B127" i="26" s="1"/>
  <c r="B128" i="26" s="1"/>
  <c r="B129" i="26" s="1"/>
  <c r="B130" i="26" s="1"/>
  <c r="B131" i="26" s="1"/>
  <c r="B132" i="26" s="1"/>
  <c r="B133" i="26" s="1"/>
  <c r="B134" i="26" s="1"/>
  <c r="B135" i="26" s="1"/>
  <c r="AR10" i="26"/>
  <c r="AR23" i="26" s="1"/>
  <c r="AJ10" i="26"/>
  <c r="Y10" i="26"/>
  <c r="W10" i="26"/>
  <c r="V10" i="26"/>
  <c r="U10" i="26"/>
  <c r="R10" i="26"/>
  <c r="Q10" i="26"/>
  <c r="T10" i="26" s="1"/>
  <c r="O10" i="26"/>
  <c r="N10" i="26"/>
  <c r="M10" i="26"/>
  <c r="L10" i="26"/>
  <c r="K10" i="26"/>
  <c r="J10" i="26"/>
  <c r="K9" i="26"/>
  <c r="H9" i="26"/>
  <c r="O9" i="26" s="1"/>
  <c r="G9" i="26"/>
  <c r="N9" i="26" s="1"/>
  <c r="F9" i="26"/>
  <c r="M9" i="26" s="1"/>
  <c r="E9" i="26"/>
  <c r="L9" i="26" s="1"/>
  <c r="B9" i="26"/>
  <c r="D9" i="26" s="1"/>
  <c r="E8" i="26"/>
  <c r="L8" i="26" s="1"/>
  <c r="B8" i="26"/>
  <c r="H8" i="26" s="1"/>
  <c r="O8" i="26" s="1"/>
  <c r="B7" i="26"/>
  <c r="B132" i="25"/>
  <c r="F130" i="25"/>
  <c r="E130" i="25"/>
  <c r="D130" i="25"/>
  <c r="D129" i="25"/>
  <c r="C129" i="25"/>
  <c r="F128" i="25"/>
  <c r="D127" i="25"/>
  <c r="B127" i="25"/>
  <c r="F125" i="25"/>
  <c r="E125" i="25"/>
  <c r="C124" i="25"/>
  <c r="F123" i="25"/>
  <c r="D123" i="25"/>
  <c r="B121" i="25"/>
  <c r="G119" i="25"/>
  <c r="G118" i="25"/>
  <c r="E118" i="25"/>
  <c r="C118" i="25"/>
  <c r="F116" i="25"/>
  <c r="B116" i="25"/>
  <c r="F115" i="25"/>
  <c r="C115" i="25"/>
  <c r="G114" i="25"/>
  <c r="F114" i="25"/>
  <c r="D114" i="25"/>
  <c r="F113" i="25"/>
  <c r="E113" i="25"/>
  <c r="G111" i="25"/>
  <c r="F111" i="25"/>
  <c r="C111" i="25"/>
  <c r="D110" i="25"/>
  <c r="B110" i="25"/>
  <c r="G108" i="25"/>
  <c r="F108" i="25"/>
  <c r="E108" i="25"/>
  <c r="C107" i="25"/>
  <c r="E106" i="25"/>
  <c r="D106" i="25"/>
  <c r="C106" i="25"/>
  <c r="B106" i="25"/>
  <c r="B105" i="25"/>
  <c r="G103" i="25"/>
  <c r="F103" i="25"/>
  <c r="E102" i="25"/>
  <c r="G101" i="25"/>
  <c r="E101" i="25"/>
  <c r="D101" i="25"/>
  <c r="C100" i="25"/>
  <c r="G98" i="25"/>
  <c r="F97" i="25"/>
  <c r="G95" i="25"/>
  <c r="F95" i="25"/>
  <c r="B95" i="25"/>
  <c r="C94" i="25"/>
  <c r="D93" i="25"/>
  <c r="F91" i="25"/>
  <c r="G90" i="25"/>
  <c r="G85" i="25"/>
  <c r="F85" i="25"/>
  <c r="G84" i="25"/>
  <c r="B82" i="25"/>
  <c r="F82" i="25" s="1"/>
  <c r="G80" i="25"/>
  <c r="F80" i="25"/>
  <c r="G79" i="25"/>
  <c r="D79" i="25"/>
  <c r="C79" i="25"/>
  <c r="G75" i="25"/>
  <c r="F75" i="25"/>
  <c r="G74" i="25"/>
  <c r="D73" i="25"/>
  <c r="G70" i="25"/>
  <c r="F70" i="25"/>
  <c r="G69" i="25"/>
  <c r="B67" i="25"/>
  <c r="G65" i="25"/>
  <c r="F65" i="25"/>
  <c r="G64" i="25"/>
  <c r="G60" i="25"/>
  <c r="F60" i="25"/>
  <c r="C60" i="25"/>
  <c r="G59" i="25"/>
  <c r="G55" i="25"/>
  <c r="F55" i="25"/>
  <c r="G54" i="25"/>
  <c r="F53" i="25"/>
  <c r="G53" i="25" s="1"/>
  <c r="C52" i="25"/>
  <c r="G50" i="25"/>
  <c r="F50" i="25"/>
  <c r="G49" i="25"/>
  <c r="G45" i="25"/>
  <c r="F45" i="25"/>
  <c r="G44" i="25"/>
  <c r="G43" i="25"/>
  <c r="F43" i="25"/>
  <c r="D42" i="25"/>
  <c r="C42" i="25"/>
  <c r="G40" i="25"/>
  <c r="F40" i="25"/>
  <c r="G39" i="25"/>
  <c r="G35" i="25"/>
  <c r="F35" i="25"/>
  <c r="G34" i="25"/>
  <c r="B28" i="25"/>
  <c r="E124" i="25" s="1"/>
  <c r="B27" i="25"/>
  <c r="P26" i="25"/>
  <c r="W3" i="26" s="1"/>
  <c r="O26" i="25"/>
  <c r="V3" i="26" s="1"/>
  <c r="N26" i="25"/>
  <c r="U3" i="26" s="1"/>
  <c r="M26" i="25"/>
  <c r="T3" i="26" s="1"/>
  <c r="L26" i="25"/>
  <c r="S3" i="26" s="1"/>
  <c r="AC13" i="26" s="1"/>
  <c r="K26" i="25"/>
  <c r="R3" i="26" s="1"/>
  <c r="B26" i="25"/>
  <c r="B25" i="25"/>
  <c r="B24" i="25"/>
  <c r="B23" i="25"/>
  <c r="B22" i="25"/>
  <c r="B21" i="25"/>
  <c r="B20" i="25"/>
  <c r="B19" i="25"/>
  <c r="B18" i="25"/>
  <c r="B17" i="25"/>
  <c r="B16" i="25"/>
  <c r="V15" i="25"/>
  <c r="U15" i="25"/>
  <c r="T15" i="25"/>
  <c r="S15" i="25"/>
  <c r="R15" i="25"/>
  <c r="P15" i="25"/>
  <c r="O15" i="25"/>
  <c r="N15" i="25"/>
  <c r="M15" i="25"/>
  <c r="L15" i="25"/>
  <c r="K15" i="25"/>
  <c r="J15" i="25"/>
  <c r="B15" i="25"/>
  <c r="F131" i="25" s="1"/>
  <c r="V14" i="25"/>
  <c r="U14" i="25"/>
  <c r="T14" i="25"/>
  <c r="S14" i="25"/>
  <c r="R14" i="25"/>
  <c r="P14" i="25"/>
  <c r="O14" i="25"/>
  <c r="N14" i="25"/>
  <c r="M14" i="25"/>
  <c r="L14" i="25"/>
  <c r="K14" i="25"/>
  <c r="J14" i="25"/>
  <c r="B14" i="25"/>
  <c r="V13" i="25"/>
  <c r="U13" i="25"/>
  <c r="T13" i="25"/>
  <c r="S13" i="25"/>
  <c r="R13" i="25"/>
  <c r="P13" i="25"/>
  <c r="O13" i="25"/>
  <c r="N13" i="25"/>
  <c r="M13" i="25"/>
  <c r="K13" i="25"/>
  <c r="J13" i="25"/>
  <c r="B13" i="25"/>
  <c r="B77" i="25" s="1"/>
  <c r="D80" i="25" s="1"/>
  <c r="V12" i="25"/>
  <c r="U12" i="25"/>
  <c r="T12" i="25"/>
  <c r="S12" i="25"/>
  <c r="R12" i="25"/>
  <c r="J12" i="25"/>
  <c r="B12" i="25"/>
  <c r="B72" i="25" s="1"/>
  <c r="V11" i="25"/>
  <c r="U11" i="25"/>
  <c r="T11" i="25"/>
  <c r="S11" i="25"/>
  <c r="R11" i="25"/>
  <c r="M11" i="25"/>
  <c r="L11" i="25"/>
  <c r="J11" i="25"/>
  <c r="B11" i="25"/>
  <c r="V10" i="25"/>
  <c r="U10" i="25"/>
  <c r="T10" i="25"/>
  <c r="S10" i="25"/>
  <c r="R10" i="25"/>
  <c r="J10" i="25"/>
  <c r="B10" i="25"/>
  <c r="B62" i="25" s="1"/>
  <c r="V9" i="25"/>
  <c r="U9" i="25"/>
  <c r="T9" i="25"/>
  <c r="S9" i="25"/>
  <c r="R9" i="25"/>
  <c r="J9" i="25"/>
  <c r="B9" i="25"/>
  <c r="B57" i="25" s="1"/>
  <c r="V8" i="25"/>
  <c r="U8" i="25"/>
  <c r="T8" i="25"/>
  <c r="S8" i="25"/>
  <c r="R8" i="25"/>
  <c r="P8" i="25"/>
  <c r="O8" i="25"/>
  <c r="N8" i="25"/>
  <c r="J8" i="25"/>
  <c r="B8" i="25"/>
  <c r="B52" i="25" s="1"/>
  <c r="V7" i="25"/>
  <c r="U7" i="25"/>
  <c r="T7" i="25"/>
  <c r="S7" i="25"/>
  <c r="R7" i="25"/>
  <c r="P7" i="25"/>
  <c r="O7" i="25"/>
  <c r="N7" i="25"/>
  <c r="M7" i="25"/>
  <c r="L7" i="25"/>
  <c r="K7" i="25"/>
  <c r="J7" i="25"/>
  <c r="B7" i="25"/>
  <c r="B47" i="25" s="1"/>
  <c r="V6" i="25"/>
  <c r="U6" i="25"/>
  <c r="T6" i="25"/>
  <c r="S6" i="25"/>
  <c r="R6" i="25"/>
  <c r="P6" i="25"/>
  <c r="O6" i="25"/>
  <c r="L6" i="25"/>
  <c r="K6" i="25"/>
  <c r="J6" i="25"/>
  <c r="B6" i="25"/>
  <c r="B42" i="25" s="1"/>
  <c r="V5" i="25"/>
  <c r="U5" i="25"/>
  <c r="T5" i="25"/>
  <c r="S5" i="25"/>
  <c r="R5" i="25"/>
  <c r="P5" i="25"/>
  <c r="O5" i="25"/>
  <c r="N5" i="25"/>
  <c r="M5" i="25"/>
  <c r="L5" i="25"/>
  <c r="K5" i="25"/>
  <c r="J5" i="25"/>
  <c r="B5" i="25"/>
  <c r="B37" i="25" s="1"/>
  <c r="V4" i="25"/>
  <c r="U4" i="25"/>
  <c r="T4" i="25"/>
  <c r="S4" i="25"/>
  <c r="R4" i="25"/>
  <c r="P4" i="25"/>
  <c r="O4" i="25"/>
  <c r="N4" i="25"/>
  <c r="K4" i="25"/>
  <c r="J4" i="25"/>
  <c r="B4" i="25"/>
  <c r="V3" i="25"/>
  <c r="U3" i="25"/>
  <c r="T3" i="25"/>
  <c r="S3" i="25"/>
  <c r="R3" i="25"/>
  <c r="N3" i="25"/>
  <c r="M3" i="25"/>
  <c r="K3" i="25"/>
  <c r="J3" i="25"/>
  <c r="B3" i="25"/>
  <c r="P2" i="25"/>
  <c r="O2" i="25"/>
  <c r="N2" i="25"/>
  <c r="M2" i="25"/>
  <c r="L2" i="25"/>
  <c r="K2" i="25"/>
  <c r="H2" i="25"/>
  <c r="G2" i="25"/>
  <c r="F2" i="25"/>
  <c r="E2" i="25"/>
  <c r="D2" i="25"/>
  <c r="C2" i="25"/>
  <c r="F68" i="27" l="1"/>
  <c r="F67" i="27"/>
  <c r="E69" i="27"/>
  <c r="E68" i="27"/>
  <c r="E67" i="27"/>
  <c r="D70" i="27"/>
  <c r="D69" i="27"/>
  <c r="D68" i="27"/>
  <c r="D67" i="27"/>
  <c r="C70" i="27"/>
  <c r="C69" i="27"/>
  <c r="C68" i="27"/>
  <c r="C67" i="27"/>
  <c r="B68" i="27"/>
  <c r="P67" i="27"/>
  <c r="Q67" i="27" s="1"/>
  <c r="G67" i="27"/>
  <c r="B69" i="27"/>
  <c r="B32" i="27"/>
  <c r="AF124" i="28"/>
  <c r="AF111" i="28"/>
  <c r="AF103" i="28"/>
  <c r="AF95" i="28"/>
  <c r="AF87" i="28"/>
  <c r="AF79" i="28"/>
  <c r="AF135" i="28"/>
  <c r="AF119" i="28"/>
  <c r="AF130" i="28"/>
  <c r="AF114" i="28"/>
  <c r="AF106" i="28"/>
  <c r="AF98" i="28"/>
  <c r="AF90" i="28"/>
  <c r="AF82" i="28"/>
  <c r="AF74" i="28"/>
  <c r="AF66" i="28"/>
  <c r="AF58" i="28"/>
  <c r="AF125" i="28"/>
  <c r="AF120" i="28"/>
  <c r="AF109" i="28"/>
  <c r="AF101" i="28"/>
  <c r="AF93" i="28"/>
  <c r="AF85" i="28"/>
  <c r="AF77" i="28"/>
  <c r="AF69" i="28"/>
  <c r="AF61" i="28"/>
  <c r="AF131" i="28"/>
  <c r="AF115" i="28"/>
  <c r="AF126" i="28"/>
  <c r="AF112" i="28"/>
  <c r="AF104" i="28"/>
  <c r="AF96" i="28"/>
  <c r="AF88" i="28"/>
  <c r="AF80" i="28"/>
  <c r="AF72" i="28"/>
  <c r="AF64" i="28"/>
  <c r="AF56" i="28"/>
  <c r="AF121" i="28"/>
  <c r="AF132" i="28"/>
  <c r="AF116" i="28"/>
  <c r="AF107" i="28"/>
  <c r="AF99" i="28"/>
  <c r="AF91" i="28"/>
  <c r="AF83" i="28"/>
  <c r="AF75" i="28"/>
  <c r="AF67" i="28"/>
  <c r="AF59" i="28"/>
  <c r="AF127" i="28"/>
  <c r="AF122" i="28"/>
  <c r="AF110" i="28"/>
  <c r="AF102" i="28"/>
  <c r="AF94" i="28"/>
  <c r="AF86" i="28"/>
  <c r="AF78" i="28"/>
  <c r="AF70" i="28"/>
  <c r="AF62" i="28"/>
  <c r="AF133" i="28"/>
  <c r="AF117" i="28"/>
  <c r="AF129" i="28"/>
  <c r="AF97" i="28"/>
  <c r="AF73" i="28"/>
  <c r="AF113" i="28"/>
  <c r="AF60" i="28"/>
  <c r="AF47" i="28"/>
  <c r="AF39" i="28"/>
  <c r="AF34" i="28"/>
  <c r="AF128" i="28"/>
  <c r="AF84" i="28"/>
  <c r="AF108" i="28"/>
  <c r="AF68" i="28"/>
  <c r="AF50" i="28"/>
  <c r="AF42" i="28"/>
  <c r="AF32" i="28"/>
  <c r="AF89" i="28"/>
  <c r="AF63" i="28"/>
  <c r="AF134" i="28"/>
  <c r="AF123" i="28"/>
  <c r="AF76" i="28"/>
  <c r="AF48" i="28"/>
  <c r="AF40" i="28"/>
  <c r="AF28" i="28"/>
  <c r="AF100" i="28"/>
  <c r="AF71" i="28"/>
  <c r="AF81" i="28"/>
  <c r="AF118" i="28"/>
  <c r="AF37" i="28"/>
  <c r="AF92" i="28"/>
  <c r="AF54" i="28"/>
  <c r="AF27" i="28"/>
  <c r="AF49" i="28"/>
  <c r="AF44" i="28"/>
  <c r="AF35" i="28"/>
  <c r="AF26" i="28"/>
  <c r="AF22" i="28"/>
  <c r="AF105" i="28"/>
  <c r="AF25" i="28"/>
  <c r="AF51" i="28"/>
  <c r="AF24" i="28"/>
  <c r="AF13" i="28"/>
  <c r="AF46" i="28"/>
  <c r="AF29" i="28"/>
  <c r="AF23" i="28"/>
  <c r="AF41" i="28"/>
  <c r="AF36" i="28"/>
  <c r="AF53" i="28"/>
  <c r="AF43" i="28"/>
  <c r="AF38" i="28"/>
  <c r="AF33" i="28"/>
  <c r="AF30" i="28"/>
  <c r="AF19" i="28"/>
  <c r="AF65" i="28"/>
  <c r="AF57" i="28"/>
  <c r="AF45" i="28"/>
  <c r="AF20" i="28"/>
  <c r="AF21" i="28"/>
  <c r="AF16" i="28"/>
  <c r="AF31" i="28"/>
  <c r="AF17" i="28"/>
  <c r="AF15" i="28"/>
  <c r="AF11" i="28"/>
  <c r="AF52" i="28"/>
  <c r="AF14" i="28"/>
  <c r="AF18" i="28"/>
  <c r="AF12" i="28"/>
  <c r="G47" i="27"/>
  <c r="F48" i="27"/>
  <c r="F47" i="27"/>
  <c r="E49" i="27"/>
  <c r="E48" i="27"/>
  <c r="E47" i="27"/>
  <c r="D50" i="27"/>
  <c r="D49" i="27"/>
  <c r="D48" i="27"/>
  <c r="D47" i="27"/>
  <c r="C50" i="27"/>
  <c r="C49" i="27"/>
  <c r="C48" i="27"/>
  <c r="C47" i="27"/>
  <c r="B49" i="27"/>
  <c r="B48" i="27"/>
  <c r="P47" i="27"/>
  <c r="Q47" i="27" s="1"/>
  <c r="F63" i="27"/>
  <c r="E64" i="27"/>
  <c r="E63" i="27"/>
  <c r="E62" i="27"/>
  <c r="D65" i="27"/>
  <c r="D64" i="27"/>
  <c r="D63" i="27"/>
  <c r="D62" i="27"/>
  <c r="C65" i="27"/>
  <c r="C64" i="27"/>
  <c r="C63" i="27"/>
  <c r="C62" i="27"/>
  <c r="P62" i="27"/>
  <c r="Q62" i="27" s="1"/>
  <c r="G62" i="27"/>
  <c r="B64" i="27"/>
  <c r="F62" i="27"/>
  <c r="B63" i="27"/>
  <c r="P82" i="27"/>
  <c r="Q82" i="27" s="1"/>
  <c r="F83" i="27"/>
  <c r="F82" i="27"/>
  <c r="E84" i="27"/>
  <c r="E83" i="27"/>
  <c r="E82" i="27"/>
  <c r="D85" i="27"/>
  <c r="D84" i="27"/>
  <c r="D83" i="27"/>
  <c r="D82" i="27"/>
  <c r="C85" i="27"/>
  <c r="C84" i="27"/>
  <c r="C83" i="27"/>
  <c r="C82" i="27"/>
  <c r="B84" i="27"/>
  <c r="G82" i="27"/>
  <c r="B83" i="27"/>
  <c r="G42" i="27"/>
  <c r="F43" i="27"/>
  <c r="F42" i="27"/>
  <c r="E44" i="27"/>
  <c r="E43" i="27"/>
  <c r="E42" i="27"/>
  <c r="D45" i="27"/>
  <c r="D44" i="27"/>
  <c r="D43" i="27"/>
  <c r="D42" i="27"/>
  <c r="C45" i="27"/>
  <c r="C44" i="27"/>
  <c r="C43" i="27"/>
  <c r="C42" i="27"/>
  <c r="B44" i="27"/>
  <c r="B43" i="27"/>
  <c r="P42" i="27"/>
  <c r="Q42" i="27" s="1"/>
  <c r="P77" i="27"/>
  <c r="Q77" i="27" s="1"/>
  <c r="F78" i="27"/>
  <c r="F77" i="27"/>
  <c r="E79" i="27"/>
  <c r="E78" i="27"/>
  <c r="E77" i="27"/>
  <c r="D80" i="27"/>
  <c r="D79" i="27"/>
  <c r="D78" i="27"/>
  <c r="D77" i="27"/>
  <c r="C80" i="27"/>
  <c r="C79" i="27"/>
  <c r="C78" i="27"/>
  <c r="C77" i="27"/>
  <c r="B78" i="27"/>
  <c r="B79" i="27"/>
  <c r="AE129" i="28"/>
  <c r="AE124" i="28"/>
  <c r="AE111" i="28"/>
  <c r="AE135" i="28"/>
  <c r="AE119" i="28"/>
  <c r="AE130" i="28"/>
  <c r="AE114" i="28"/>
  <c r="AE125" i="28"/>
  <c r="AE120" i="28"/>
  <c r="AE109" i="28"/>
  <c r="AE131" i="28"/>
  <c r="AE115" i="28"/>
  <c r="AE126" i="28"/>
  <c r="AE112" i="28"/>
  <c r="AE121" i="28"/>
  <c r="AE132" i="28"/>
  <c r="AE116" i="28"/>
  <c r="AE127" i="28"/>
  <c r="AE122" i="28"/>
  <c r="AE134" i="28"/>
  <c r="AE118" i="28"/>
  <c r="AE104" i="28"/>
  <c r="AE98" i="28"/>
  <c r="AE91" i="28"/>
  <c r="AE79" i="28"/>
  <c r="AE103" i="28"/>
  <c r="AE97" i="28"/>
  <c r="AE85" i="28"/>
  <c r="AE73" i="28"/>
  <c r="AE69" i="28"/>
  <c r="AE35" i="28"/>
  <c r="AE113" i="28"/>
  <c r="AE78" i="28"/>
  <c r="AE128" i="28"/>
  <c r="AE117" i="28"/>
  <c r="AE110" i="28"/>
  <c r="AE102" i="28"/>
  <c r="AE84" i="28"/>
  <c r="AE33" i="28"/>
  <c r="AE108" i="28"/>
  <c r="AE96" i="28"/>
  <c r="AE90" i="28"/>
  <c r="AE68" i="28"/>
  <c r="AE64" i="28"/>
  <c r="AE83" i="28"/>
  <c r="AE107" i="28"/>
  <c r="AE95" i="28"/>
  <c r="AE89" i="28"/>
  <c r="AE77" i="28"/>
  <c r="AE72" i="28"/>
  <c r="AE101" i="28"/>
  <c r="AE63" i="28"/>
  <c r="AE29" i="28"/>
  <c r="AE123" i="28"/>
  <c r="AE94" i="28"/>
  <c r="AE76" i="28"/>
  <c r="AE100" i="28"/>
  <c r="AE88" i="28"/>
  <c r="AE82" i="28"/>
  <c r="AE71" i="28"/>
  <c r="AE106" i="28"/>
  <c r="AE75" i="28"/>
  <c r="AE105" i="28"/>
  <c r="AE93" i="28"/>
  <c r="AE55" i="28"/>
  <c r="AE47" i="28"/>
  <c r="AE31" i="28"/>
  <c r="AE21" i="28"/>
  <c r="AE67" i="28"/>
  <c r="AE42" i="28"/>
  <c r="AE37" i="28"/>
  <c r="AE28" i="28"/>
  <c r="AE92" i="28"/>
  <c r="AE86" i="28"/>
  <c r="AE54" i="28"/>
  <c r="AE27" i="28"/>
  <c r="AE49" i="28"/>
  <c r="AE44" i="28"/>
  <c r="AE26" i="28"/>
  <c r="AE22" i="28"/>
  <c r="AE39" i="28"/>
  <c r="AE25" i="28"/>
  <c r="AE12" i="28"/>
  <c r="AE99" i="28"/>
  <c r="AE51" i="28"/>
  <c r="AE32" i="28"/>
  <c r="AE24" i="28"/>
  <c r="AE46" i="28"/>
  <c r="AE23" i="28"/>
  <c r="AE41" i="28"/>
  <c r="AE36" i="28"/>
  <c r="AE80" i="28"/>
  <c r="AE62" i="28"/>
  <c r="AE53" i="28"/>
  <c r="AE48" i="28"/>
  <c r="AE43" i="28"/>
  <c r="AE87" i="28"/>
  <c r="AE74" i="28"/>
  <c r="AE38" i="28"/>
  <c r="AE18" i="28"/>
  <c r="AE61" i="28"/>
  <c r="AE59" i="28"/>
  <c r="AE58" i="28"/>
  <c r="AE30" i="28"/>
  <c r="AE19" i="28"/>
  <c r="AE133" i="28"/>
  <c r="AE65" i="28"/>
  <c r="AE60" i="28"/>
  <c r="AE57" i="28"/>
  <c r="AE13" i="28"/>
  <c r="AE20" i="28"/>
  <c r="AE56" i="28"/>
  <c r="AE16" i="28"/>
  <c r="AE17" i="28"/>
  <c r="AE81" i="28"/>
  <c r="AE34" i="28"/>
  <c r="AE15" i="28"/>
  <c r="AE11" i="28"/>
  <c r="AE52" i="28"/>
  <c r="AE40" i="28"/>
  <c r="AE14" i="28"/>
  <c r="AE45" i="28"/>
  <c r="AE66" i="28"/>
  <c r="AE50" i="28"/>
  <c r="AF55" i="28"/>
  <c r="AE70" i="28"/>
  <c r="Y13" i="28"/>
  <c r="Y14" i="28" s="1"/>
  <c r="Y15" i="28" s="1"/>
  <c r="G57" i="27"/>
  <c r="F58" i="27"/>
  <c r="F57" i="27"/>
  <c r="E59" i="27"/>
  <c r="E58" i="27"/>
  <c r="E57" i="27"/>
  <c r="D60" i="27"/>
  <c r="D59" i="27"/>
  <c r="D58" i="27"/>
  <c r="D57" i="27"/>
  <c r="C60" i="27"/>
  <c r="C59" i="27"/>
  <c r="C58" i="27"/>
  <c r="C57" i="27"/>
  <c r="B59" i="27"/>
  <c r="B58" i="27"/>
  <c r="P57" i="27"/>
  <c r="Q57" i="27" s="1"/>
  <c r="P72" i="27"/>
  <c r="Q72" i="27" s="1"/>
  <c r="F73" i="27"/>
  <c r="F72" i="27"/>
  <c r="E74" i="27"/>
  <c r="E73" i="27"/>
  <c r="E72" i="27"/>
  <c r="D75" i="27"/>
  <c r="D74" i="27"/>
  <c r="D73" i="27"/>
  <c r="D72" i="27"/>
  <c r="C75" i="27"/>
  <c r="C74" i="27"/>
  <c r="C73" i="27"/>
  <c r="C72" i="27"/>
  <c r="G72" i="27"/>
  <c r="B74" i="27"/>
  <c r="B73" i="27"/>
  <c r="G37" i="27"/>
  <c r="F38" i="27"/>
  <c r="F37" i="27"/>
  <c r="E39" i="27"/>
  <c r="E38" i="27"/>
  <c r="E37" i="27"/>
  <c r="D40" i="27"/>
  <c r="D39" i="27"/>
  <c r="D38" i="27"/>
  <c r="D37" i="27"/>
  <c r="C40" i="27"/>
  <c r="C39" i="27"/>
  <c r="C38" i="27"/>
  <c r="C37" i="27"/>
  <c r="B39" i="27"/>
  <c r="B38" i="27"/>
  <c r="P37" i="27"/>
  <c r="Q37" i="27" s="1"/>
  <c r="AG135" i="28"/>
  <c r="AG119" i="28"/>
  <c r="AG130" i="28"/>
  <c r="AG114" i="28"/>
  <c r="AG125" i="28"/>
  <c r="AG120" i="28"/>
  <c r="AG131" i="28"/>
  <c r="AG115" i="28"/>
  <c r="AG126" i="28"/>
  <c r="AG112" i="28"/>
  <c r="AG121" i="28"/>
  <c r="AG132" i="28"/>
  <c r="AG116" i="28"/>
  <c r="AG127" i="28"/>
  <c r="AG122" i="28"/>
  <c r="AG110" i="28"/>
  <c r="AG133" i="28"/>
  <c r="AG117" i="28"/>
  <c r="AG128" i="28"/>
  <c r="AG113" i="28"/>
  <c r="AG124" i="28"/>
  <c r="AG111" i="28"/>
  <c r="AG97" i="28"/>
  <c r="AG91" i="28"/>
  <c r="AG79" i="28"/>
  <c r="AG73" i="28"/>
  <c r="AG103" i="28"/>
  <c r="AG85" i="28"/>
  <c r="AG69" i="28"/>
  <c r="AG84" i="28"/>
  <c r="AG78" i="28"/>
  <c r="AG56" i="28"/>
  <c r="AG33" i="28"/>
  <c r="AG108" i="28"/>
  <c r="AG102" i="28"/>
  <c r="AG68" i="28"/>
  <c r="AG109" i="28"/>
  <c r="AG96" i="28"/>
  <c r="AG90" i="28"/>
  <c r="AG64" i="28"/>
  <c r="AG31" i="28"/>
  <c r="AG89" i="28"/>
  <c r="AG83" i="28"/>
  <c r="AG107" i="28"/>
  <c r="AG95" i="28"/>
  <c r="AG77" i="28"/>
  <c r="AG134" i="28"/>
  <c r="AG123" i="28"/>
  <c r="AG101" i="28"/>
  <c r="AG76" i="28"/>
  <c r="AG100" i="28"/>
  <c r="AG94" i="28"/>
  <c r="AG71" i="28"/>
  <c r="AG67" i="28"/>
  <c r="AG88" i="28"/>
  <c r="AG82" i="28"/>
  <c r="AG106" i="28"/>
  <c r="AG81" i="28"/>
  <c r="AG75" i="28"/>
  <c r="AG105" i="28"/>
  <c r="AG99" i="28"/>
  <c r="AG87" i="28"/>
  <c r="AG92" i="28"/>
  <c r="AG86" i="28"/>
  <c r="AG54" i="28"/>
  <c r="AG42" i="28"/>
  <c r="AG28" i="28"/>
  <c r="AG27" i="28"/>
  <c r="AG49" i="28"/>
  <c r="AG44" i="28"/>
  <c r="AG35" i="28"/>
  <c r="AG26" i="28"/>
  <c r="AG22" i="28"/>
  <c r="AG11" i="28"/>
  <c r="AG25" i="28"/>
  <c r="AG51" i="28"/>
  <c r="AG39" i="28"/>
  <c r="AG24" i="28"/>
  <c r="AG13" i="28"/>
  <c r="AG46" i="28"/>
  <c r="AG32" i="28"/>
  <c r="AG29" i="28"/>
  <c r="AG23" i="28"/>
  <c r="AG14" i="28"/>
  <c r="AG129" i="28"/>
  <c r="AG41" i="28"/>
  <c r="AG36" i="28"/>
  <c r="AG16" i="28"/>
  <c r="AG80" i="28"/>
  <c r="AG53" i="28"/>
  <c r="AG43" i="28"/>
  <c r="AG93" i="28"/>
  <c r="AG62" i="28"/>
  <c r="AG48" i="28"/>
  <c r="AG38" i="28"/>
  <c r="AG118" i="28"/>
  <c r="AG74" i="28"/>
  <c r="AG30" i="28"/>
  <c r="AG65" i="28"/>
  <c r="AG61" i="28"/>
  <c r="AG59" i="28"/>
  <c r="AG58" i="28"/>
  <c r="AG57" i="28"/>
  <c r="AG63" i="28"/>
  <c r="AG60" i="28"/>
  <c r="AG45" i="28"/>
  <c r="AG20" i="28"/>
  <c r="AG66" i="28"/>
  <c r="AG50" i="28"/>
  <c r="AG40" i="28"/>
  <c r="AG72" i="28"/>
  <c r="AG10" i="28"/>
  <c r="AP33" i="28" s="1" a="1"/>
  <c r="AP33" i="28" s="1"/>
  <c r="AX26" i="28" s="1"/>
  <c r="H19" i="27" s="1"/>
  <c r="AG17" i="28"/>
  <c r="AG15" i="28"/>
  <c r="AG34" i="28"/>
  <c r="AG19" i="28"/>
  <c r="AG98" i="28"/>
  <c r="AG52" i="28"/>
  <c r="AG37" i="28"/>
  <c r="AG47" i="28"/>
  <c r="AG18" i="28"/>
  <c r="AG12" i="28"/>
  <c r="AG55" i="28"/>
  <c r="F88" i="27"/>
  <c r="E94" i="27"/>
  <c r="C102" i="27"/>
  <c r="F108" i="27"/>
  <c r="E132" i="27"/>
  <c r="F131" i="27"/>
  <c r="C130" i="27"/>
  <c r="G126" i="27"/>
  <c r="D125" i="27"/>
  <c r="E120" i="27"/>
  <c r="C114" i="27"/>
  <c r="G109" i="27"/>
  <c r="D108" i="27"/>
  <c r="E103" i="27"/>
  <c r="B102" i="27"/>
  <c r="F98" i="27"/>
  <c r="C97" i="27"/>
  <c r="G92" i="27"/>
  <c r="D91" i="27"/>
  <c r="C125" i="27"/>
  <c r="E115" i="27"/>
  <c r="B114" i="27"/>
  <c r="F109" i="27"/>
  <c r="C108" i="27"/>
  <c r="G104" i="27"/>
  <c r="B97" i="27"/>
  <c r="F92" i="27"/>
  <c r="C91" i="27"/>
  <c r="D131" i="27"/>
  <c r="E126" i="27"/>
  <c r="F121" i="27"/>
  <c r="D115" i="27"/>
  <c r="E109" i="27"/>
  <c r="C103" i="27"/>
  <c r="D98" i="27"/>
  <c r="B91" i="27"/>
  <c r="G127" i="27"/>
  <c r="E121" i="27"/>
  <c r="B120" i="27"/>
  <c r="G110" i="27"/>
  <c r="E104" i="27"/>
  <c r="B103" i="27"/>
  <c r="F99" i="27"/>
  <c r="C98" i="27"/>
  <c r="G93" i="27"/>
  <c r="D92" i="27"/>
  <c r="G132" i="27"/>
  <c r="E116" i="27"/>
  <c r="B115" i="27"/>
  <c r="F110" i="27"/>
  <c r="G105" i="27"/>
  <c r="D104" i="27"/>
  <c r="E99" i="27"/>
  <c r="B98" i="27"/>
  <c r="F93" i="27"/>
  <c r="C92" i="27"/>
  <c r="F132" i="27"/>
  <c r="E127" i="27"/>
  <c r="B126" i="27"/>
  <c r="F122" i="27"/>
  <c r="C121" i="27"/>
  <c r="D116" i="27"/>
  <c r="E110" i="27"/>
  <c r="B109" i="27"/>
  <c r="E93" i="27"/>
  <c r="B92" i="27"/>
  <c r="G128" i="27"/>
  <c r="E122" i="27"/>
  <c r="F117" i="27"/>
  <c r="C116" i="27"/>
  <c r="G111" i="27"/>
  <c r="E105" i="27"/>
  <c r="B104" i="27"/>
  <c r="F100" i="27"/>
  <c r="C99" i="27"/>
  <c r="G94" i="27"/>
  <c r="C127" i="27"/>
  <c r="G123" i="27"/>
  <c r="D122" i="27"/>
  <c r="F111" i="27"/>
  <c r="C110" i="27"/>
  <c r="G106" i="27"/>
  <c r="D105" i="27"/>
  <c r="E100" i="27"/>
  <c r="B99" i="27"/>
  <c r="F94" i="27"/>
  <c r="C93" i="27"/>
  <c r="G88" i="27"/>
  <c r="E128" i="27"/>
  <c r="E111" i="27"/>
  <c r="F106" i="27"/>
  <c r="C105" i="27"/>
  <c r="D100" i="27"/>
  <c r="G129" i="27"/>
  <c r="D128" i="27"/>
  <c r="F118" i="27"/>
  <c r="C117" i="27"/>
  <c r="D111" i="27"/>
  <c r="F101" i="27"/>
  <c r="G95" i="27"/>
  <c r="D94" i="27"/>
  <c r="E88" i="27"/>
  <c r="F129" i="27"/>
  <c r="G124" i="27"/>
  <c r="B117" i="27"/>
  <c r="G107" i="27"/>
  <c r="E101" i="27"/>
  <c r="B100" i="27"/>
  <c r="F95" i="27"/>
  <c r="D88" i="27"/>
  <c r="C123" i="27"/>
  <c r="D118" i="27"/>
  <c r="F107" i="27"/>
  <c r="C106" i="27"/>
  <c r="G102" i="27"/>
  <c r="D101" i="27"/>
  <c r="E95" i="27"/>
  <c r="B94" i="27"/>
  <c r="F90" i="27"/>
  <c r="C88" i="27"/>
  <c r="G130" i="27"/>
  <c r="B123" i="27"/>
  <c r="F119" i="27"/>
  <c r="D113" i="27"/>
  <c r="B106" i="27"/>
  <c r="C101" i="27"/>
  <c r="D95" i="27"/>
  <c r="E90" i="27"/>
  <c r="B88" i="27"/>
  <c r="P52" i="27"/>
  <c r="Q52" i="27" s="1"/>
  <c r="C90" i="27"/>
  <c r="B95" i="27"/>
  <c r="E102" i="27"/>
  <c r="D130" i="27"/>
  <c r="AG104" i="28"/>
  <c r="D90" i="27"/>
  <c r="C95" i="27"/>
  <c r="F103" i="27"/>
  <c r="B124" i="27"/>
  <c r="E130" i="27"/>
  <c r="AG21" i="28"/>
  <c r="AC66" i="28"/>
  <c r="D97" i="27"/>
  <c r="G103" i="27"/>
  <c r="C124" i="27"/>
  <c r="F130" i="27"/>
  <c r="H9" i="28"/>
  <c r="O9" i="28" s="1"/>
  <c r="G9" i="28"/>
  <c r="N9" i="28" s="1"/>
  <c r="B8" i="28"/>
  <c r="F9" i="28"/>
  <c r="M9" i="28" s="1"/>
  <c r="E9" i="28"/>
  <c r="L9" i="28" s="1"/>
  <c r="AB12" i="28"/>
  <c r="B53" i="27"/>
  <c r="B54" i="27"/>
  <c r="E91" i="27"/>
  <c r="E97" i="27"/>
  <c r="D124" i="27"/>
  <c r="G131" i="27"/>
  <c r="C9" i="28"/>
  <c r="J9" i="28" s="1"/>
  <c r="AC12" i="28"/>
  <c r="F91" i="27"/>
  <c r="F97" i="27"/>
  <c r="E125" i="27"/>
  <c r="AD12" i="28"/>
  <c r="AC64" i="28"/>
  <c r="D52" i="27"/>
  <c r="D53" i="27"/>
  <c r="D54" i="27"/>
  <c r="D55" i="27"/>
  <c r="G91" i="27"/>
  <c r="G98" i="27"/>
  <c r="C119" i="27"/>
  <c r="B132" i="27"/>
  <c r="B119" i="27"/>
  <c r="F115" i="27"/>
  <c r="E131" i="27"/>
  <c r="B130" i="27"/>
  <c r="F126" i="27"/>
  <c r="G121" i="27"/>
  <c r="D120" i="27"/>
  <c r="D103" i="27"/>
  <c r="E98" i="27"/>
  <c r="B125" i="27"/>
  <c r="C120" i="27"/>
  <c r="G116" i="27"/>
  <c r="B108" i="27"/>
  <c r="F104" i="27"/>
  <c r="G99" i="27"/>
  <c r="E92" i="27"/>
  <c r="C131" i="27"/>
  <c r="D126" i="27"/>
  <c r="F116" i="27"/>
  <c r="C115" i="27"/>
  <c r="D109" i="27"/>
  <c r="B131" i="27"/>
  <c r="F127" i="27"/>
  <c r="C126" i="27"/>
  <c r="G122" i="27"/>
  <c r="D121" i="27"/>
  <c r="C109" i="27"/>
  <c r="G117" i="27"/>
  <c r="F105" i="27"/>
  <c r="C104" i="27"/>
  <c r="G100" i="27"/>
  <c r="D99" i="27"/>
  <c r="D132" i="27"/>
  <c r="D127" i="27"/>
  <c r="B121" i="27"/>
  <c r="D110" i="27"/>
  <c r="D93" i="27"/>
  <c r="C132" i="27"/>
  <c r="F128" i="27"/>
  <c r="E117" i="27"/>
  <c r="B116" i="27"/>
  <c r="B127" i="27"/>
  <c r="F123" i="27"/>
  <c r="C122" i="27"/>
  <c r="G118" i="27"/>
  <c r="D117" i="27"/>
  <c r="B110" i="27"/>
  <c r="G101" i="27"/>
  <c r="E123" i="27"/>
  <c r="B122" i="27"/>
  <c r="G113" i="27"/>
  <c r="E106" i="27"/>
  <c r="B105" i="27"/>
  <c r="C100" i="27"/>
  <c r="C128" i="27"/>
  <c r="D123" i="27"/>
  <c r="E118" i="27"/>
  <c r="F113" i="27"/>
  <c r="C111" i="27"/>
  <c r="D106" i="27"/>
  <c r="C94" i="27"/>
  <c r="G90" i="27"/>
  <c r="E129" i="27"/>
  <c r="B128" i="27"/>
  <c r="F124" i="27"/>
  <c r="G119" i="27"/>
  <c r="E113" i="27"/>
  <c r="B111" i="27"/>
  <c r="D129" i="27"/>
  <c r="E124" i="27"/>
  <c r="C118" i="27"/>
  <c r="G114" i="27"/>
  <c r="E107" i="27"/>
  <c r="F102" i="27"/>
  <c r="G97" i="27"/>
  <c r="D119" i="27"/>
  <c r="G125" i="27"/>
  <c r="F52" i="27"/>
  <c r="F53" i="27"/>
  <c r="B113" i="27"/>
  <c r="E119" i="27"/>
  <c r="G52" i="27"/>
  <c r="C113" i="27"/>
  <c r="F120" i="27"/>
  <c r="AB128" i="28"/>
  <c r="AB113" i="28"/>
  <c r="AB105" i="28"/>
  <c r="AB97" i="28"/>
  <c r="AB89" i="28"/>
  <c r="AB81" i="28"/>
  <c r="AB123" i="28"/>
  <c r="AB134" i="28"/>
  <c r="AB118" i="28"/>
  <c r="AB108" i="28"/>
  <c r="AB100" i="28"/>
  <c r="AB92" i="28"/>
  <c r="AB84" i="28"/>
  <c r="AB76" i="28"/>
  <c r="AB68" i="28"/>
  <c r="AB60" i="28"/>
  <c r="AB129" i="28"/>
  <c r="AB124" i="28"/>
  <c r="AB111" i="28"/>
  <c r="AB103" i="28"/>
  <c r="AB95" i="28"/>
  <c r="AB87" i="28"/>
  <c r="AB79" i="28"/>
  <c r="AB71" i="28"/>
  <c r="AB63" i="28"/>
  <c r="AB55" i="28"/>
  <c r="AB135" i="28"/>
  <c r="AB119" i="28"/>
  <c r="AB130" i="28"/>
  <c r="AB114" i="28"/>
  <c r="AB106" i="28"/>
  <c r="AB98" i="28"/>
  <c r="AB90" i="28"/>
  <c r="AB82" i="28"/>
  <c r="AB74" i="28"/>
  <c r="AB66" i="28"/>
  <c r="AB58" i="28"/>
  <c r="AB125" i="28"/>
  <c r="AB120" i="28"/>
  <c r="AB109" i="28"/>
  <c r="AB101" i="28"/>
  <c r="AB93" i="28"/>
  <c r="AB85" i="28"/>
  <c r="AB77" i="28"/>
  <c r="AB69" i="28"/>
  <c r="AB61" i="28"/>
  <c r="AB131" i="28"/>
  <c r="AB115" i="28"/>
  <c r="AB126" i="28"/>
  <c r="AB112" i="28"/>
  <c r="AB104" i="28"/>
  <c r="AB96" i="28"/>
  <c r="AB88" i="28"/>
  <c r="AB80" i="28"/>
  <c r="AB72" i="28"/>
  <c r="AB64" i="28"/>
  <c r="AB56" i="28"/>
  <c r="AB121" i="28"/>
  <c r="AB133" i="28"/>
  <c r="AB117" i="28"/>
  <c r="AB70" i="28"/>
  <c r="AB86" i="28"/>
  <c r="AB122" i="28"/>
  <c r="AB49" i="28"/>
  <c r="AB41" i="28"/>
  <c r="AB91" i="28"/>
  <c r="AB52" i="28"/>
  <c r="AB44" i="28"/>
  <c r="AB36" i="28"/>
  <c r="AB73" i="28"/>
  <c r="AB78" i="28"/>
  <c r="AB110" i="28"/>
  <c r="AB102" i="28"/>
  <c r="AB132" i="28"/>
  <c r="AB83" i="28"/>
  <c r="AB50" i="28"/>
  <c r="AB42" i="28"/>
  <c r="AB32" i="28"/>
  <c r="AB107" i="28"/>
  <c r="AB67" i="28"/>
  <c r="AB127" i="28"/>
  <c r="AB116" i="28"/>
  <c r="AB75" i="28"/>
  <c r="AB40" i="28"/>
  <c r="AB34" i="28"/>
  <c r="AB20" i="28"/>
  <c r="AB94" i="28"/>
  <c r="AB47" i="28"/>
  <c r="AB31" i="28"/>
  <c r="AB37" i="28"/>
  <c r="AB21" i="28"/>
  <c r="AB35" i="28"/>
  <c r="AB28" i="28"/>
  <c r="AB54" i="28"/>
  <c r="AB27" i="28"/>
  <c r="AB99" i="28"/>
  <c r="AB39" i="28"/>
  <c r="AB26" i="28"/>
  <c r="AB22" i="28"/>
  <c r="AB25" i="28"/>
  <c r="AB51" i="28"/>
  <c r="AB29" i="28"/>
  <c r="AB24" i="28"/>
  <c r="AB46" i="28"/>
  <c r="AB23" i="28"/>
  <c r="AB53" i="28"/>
  <c r="AB62" i="28"/>
  <c r="AB59" i="28"/>
  <c r="AB48" i="28"/>
  <c r="AB43" i="28"/>
  <c r="AB33" i="28"/>
  <c r="AB13" i="28"/>
  <c r="AB65" i="28"/>
  <c r="AB19" i="28"/>
  <c r="AB17" i="28"/>
  <c r="AB16" i="28"/>
  <c r="AB15" i="28"/>
  <c r="AB11" i="28"/>
  <c r="AB57" i="28"/>
  <c r="AB45" i="28"/>
  <c r="AB14" i="28"/>
  <c r="D114" i="27"/>
  <c r="G120" i="27"/>
  <c r="AC123" i="28"/>
  <c r="AC134" i="28"/>
  <c r="AC118" i="28"/>
  <c r="AC129" i="28"/>
  <c r="AC124" i="28"/>
  <c r="AC135" i="28"/>
  <c r="AC119" i="28"/>
  <c r="AC130" i="28"/>
  <c r="AC114" i="28"/>
  <c r="AC125" i="28"/>
  <c r="AC120" i="28"/>
  <c r="AC131" i="28"/>
  <c r="AC115" i="28"/>
  <c r="AC126" i="28"/>
  <c r="AC112" i="28"/>
  <c r="AC121" i="28"/>
  <c r="AC132" i="28"/>
  <c r="AC116" i="28"/>
  <c r="AC128" i="28"/>
  <c r="AC113" i="28"/>
  <c r="AC92" i="28"/>
  <c r="AC86" i="28"/>
  <c r="AC80" i="28"/>
  <c r="AC74" i="28"/>
  <c r="AC133" i="28"/>
  <c r="AC122" i="28"/>
  <c r="AC104" i="28"/>
  <c r="AC98" i="28"/>
  <c r="AC91" i="28"/>
  <c r="AC79" i="28"/>
  <c r="AC65" i="28"/>
  <c r="AC103" i="28"/>
  <c r="AC85" i="28"/>
  <c r="AC69" i="28"/>
  <c r="AC97" i="28"/>
  <c r="AC73" i="28"/>
  <c r="AC56" i="28"/>
  <c r="AC35" i="28"/>
  <c r="AC109" i="28"/>
  <c r="AC84" i="28"/>
  <c r="AC78" i="28"/>
  <c r="AC60" i="28"/>
  <c r="AC117" i="28"/>
  <c r="AC110" i="28"/>
  <c r="AC108" i="28"/>
  <c r="AC102" i="28"/>
  <c r="AC96" i="28"/>
  <c r="AC90" i="28"/>
  <c r="AC83" i="28"/>
  <c r="AC68" i="28"/>
  <c r="AC111" i="28"/>
  <c r="AC107" i="28"/>
  <c r="AC95" i="28"/>
  <c r="AC77" i="28"/>
  <c r="AC72" i="28"/>
  <c r="AC59" i="28"/>
  <c r="AC55" i="28"/>
  <c r="AC31" i="28"/>
  <c r="AC101" i="28"/>
  <c r="AC89" i="28"/>
  <c r="AC76" i="28"/>
  <c r="AC67" i="28"/>
  <c r="AC100" i="28"/>
  <c r="AC94" i="28"/>
  <c r="AC88" i="28"/>
  <c r="AC82" i="28"/>
  <c r="AC71" i="28"/>
  <c r="AC99" i="28"/>
  <c r="AC87" i="28"/>
  <c r="AC75" i="28"/>
  <c r="AC70" i="28"/>
  <c r="AC52" i="28"/>
  <c r="AC47" i="28"/>
  <c r="AC127" i="28"/>
  <c r="AC37" i="28"/>
  <c r="AC21" i="28"/>
  <c r="AC42" i="28"/>
  <c r="AC28" i="28"/>
  <c r="AC54" i="28"/>
  <c r="AC44" i="28"/>
  <c r="AC27" i="28"/>
  <c r="AC10" i="28"/>
  <c r="AC105" i="28"/>
  <c r="AC49" i="28"/>
  <c r="AC39" i="28"/>
  <c r="AC26" i="28"/>
  <c r="AC22" i="28"/>
  <c r="AC25" i="28"/>
  <c r="AC51" i="28"/>
  <c r="AC32" i="28"/>
  <c r="AC29" i="28"/>
  <c r="AC24" i="28"/>
  <c r="AC46" i="28"/>
  <c r="AC36" i="28"/>
  <c r="AC23" i="28"/>
  <c r="AC93" i="28"/>
  <c r="AC41" i="28"/>
  <c r="AC53" i="28"/>
  <c r="AC62" i="28"/>
  <c r="AC48" i="28"/>
  <c r="AC43" i="28"/>
  <c r="AC33" i="28"/>
  <c r="AC106" i="28"/>
  <c r="AC63" i="28"/>
  <c r="AC61" i="28"/>
  <c r="AC58" i="28"/>
  <c r="AC38" i="28"/>
  <c r="AC30" i="28"/>
  <c r="AC13" i="28"/>
  <c r="AC20" i="28"/>
  <c r="AC19" i="28"/>
  <c r="AC17" i="28"/>
  <c r="AC16" i="28"/>
  <c r="AC81" i="28"/>
  <c r="AC34" i="28"/>
  <c r="AC15" i="28"/>
  <c r="AC11" i="28"/>
  <c r="AC57" i="28"/>
  <c r="AC45" i="28"/>
  <c r="AC40" i="28"/>
  <c r="AC14" i="28"/>
  <c r="AC18" i="28"/>
  <c r="B93" i="27"/>
  <c r="B107" i="27"/>
  <c r="E114" i="27"/>
  <c r="AD134" i="28"/>
  <c r="AD118" i="28"/>
  <c r="AD108" i="28"/>
  <c r="AD100" i="28"/>
  <c r="AD92" i="28"/>
  <c r="AD84" i="28"/>
  <c r="AD76" i="28"/>
  <c r="AD129" i="28"/>
  <c r="AD124" i="28"/>
  <c r="AD111" i="28"/>
  <c r="AD103" i="28"/>
  <c r="AD95" i="28"/>
  <c r="AD87" i="28"/>
  <c r="AD79" i="28"/>
  <c r="AD71" i="28"/>
  <c r="AD63" i="28"/>
  <c r="AD55" i="28"/>
  <c r="AD135" i="28"/>
  <c r="AD119" i="28"/>
  <c r="AD130" i="28"/>
  <c r="AD114" i="28"/>
  <c r="AD106" i="28"/>
  <c r="AD98" i="28"/>
  <c r="AD90" i="28"/>
  <c r="AD82" i="28"/>
  <c r="AD74" i="28"/>
  <c r="AD66" i="28"/>
  <c r="AD58" i="28"/>
  <c r="AD125" i="28"/>
  <c r="AD120" i="28"/>
  <c r="AD109" i="28"/>
  <c r="AD101" i="28"/>
  <c r="AD93" i="28"/>
  <c r="AD85" i="28"/>
  <c r="AD77" i="28"/>
  <c r="AD69" i="28"/>
  <c r="AD61" i="28"/>
  <c r="AD131" i="28"/>
  <c r="AD115" i="28"/>
  <c r="AD126" i="28"/>
  <c r="AD112" i="28"/>
  <c r="AD104" i="28"/>
  <c r="AD96" i="28"/>
  <c r="AD88" i="28"/>
  <c r="AD80" i="28"/>
  <c r="AD72" i="28"/>
  <c r="AD64" i="28"/>
  <c r="AD56" i="28"/>
  <c r="AD121" i="28"/>
  <c r="AD132" i="28"/>
  <c r="AD116" i="28"/>
  <c r="AD107" i="28"/>
  <c r="AD99" i="28"/>
  <c r="AD91" i="28"/>
  <c r="AD83" i="28"/>
  <c r="AD75" i="28"/>
  <c r="AD67" i="28"/>
  <c r="AD59" i="28"/>
  <c r="AD127" i="28"/>
  <c r="AD123" i="28"/>
  <c r="AD133" i="28"/>
  <c r="AD122" i="28"/>
  <c r="AD52" i="28"/>
  <c r="AD44" i="28"/>
  <c r="AD36" i="28"/>
  <c r="AD97" i="28"/>
  <c r="AD73" i="28"/>
  <c r="AD113" i="28"/>
  <c r="AD78" i="28"/>
  <c r="AD60" i="28"/>
  <c r="AD47" i="28"/>
  <c r="AD39" i="28"/>
  <c r="AD34" i="28"/>
  <c r="AD128" i="28"/>
  <c r="AD117" i="28"/>
  <c r="AD110" i="28"/>
  <c r="AD102" i="28"/>
  <c r="AD89" i="28"/>
  <c r="AD53" i="28"/>
  <c r="AD45" i="28"/>
  <c r="AD37" i="28"/>
  <c r="AD30" i="28"/>
  <c r="AD94" i="28"/>
  <c r="AD81" i="28"/>
  <c r="AD31" i="28"/>
  <c r="AD21" i="28"/>
  <c r="AD42" i="28"/>
  <c r="AD28" i="28"/>
  <c r="AD86" i="28"/>
  <c r="AD54" i="28"/>
  <c r="AD35" i="28"/>
  <c r="AD27" i="28"/>
  <c r="AD105" i="28"/>
  <c r="AD49" i="28"/>
  <c r="AD26" i="28"/>
  <c r="AD22" i="28"/>
  <c r="AD11" i="28"/>
  <c r="AD25" i="28"/>
  <c r="AD68" i="28"/>
  <c r="AD51" i="28"/>
  <c r="AD32" i="28"/>
  <c r="AD29" i="28"/>
  <c r="AD24" i="28"/>
  <c r="AD46" i="28"/>
  <c r="AD23" i="28"/>
  <c r="AD41" i="28"/>
  <c r="AD62" i="28"/>
  <c r="AD48" i="28"/>
  <c r="AD43" i="28"/>
  <c r="AD33" i="28"/>
  <c r="AD17" i="28"/>
  <c r="AD38" i="28"/>
  <c r="AD18" i="28"/>
  <c r="AD19" i="28"/>
  <c r="AD13" i="28"/>
  <c r="AD20" i="28"/>
  <c r="AD65" i="28"/>
  <c r="AD10" i="28"/>
  <c r="AD16" i="28"/>
  <c r="AD15" i="28"/>
  <c r="AD57" i="28"/>
  <c r="AD40" i="28"/>
  <c r="AD14" i="28"/>
  <c r="C107" i="27"/>
  <c r="F114" i="27"/>
  <c r="W10" i="28"/>
  <c r="V10" i="28"/>
  <c r="U10" i="28"/>
  <c r="T10" i="28"/>
  <c r="S10" i="28"/>
  <c r="R10" i="28"/>
  <c r="AB30" i="28"/>
  <c r="AD70" i="28"/>
  <c r="R13" i="28"/>
  <c r="K6" i="27" s="1"/>
  <c r="S13" i="28"/>
  <c r="L6" i="27" s="1"/>
  <c r="T13" i="28"/>
  <c r="M6" i="27" s="1"/>
  <c r="U13" i="28"/>
  <c r="N6" i="27" s="1"/>
  <c r="V13" i="28"/>
  <c r="O6" i="27" s="1"/>
  <c r="T12" i="28"/>
  <c r="M5" i="27" s="1"/>
  <c r="R11" i="28"/>
  <c r="K4" i="27" s="1"/>
  <c r="R20" i="28"/>
  <c r="K13" i="27" s="1"/>
  <c r="R19" i="28"/>
  <c r="K12" i="27" s="1"/>
  <c r="S20" i="28"/>
  <c r="L13" i="27" s="1"/>
  <c r="R18" i="28"/>
  <c r="K11" i="27" s="1"/>
  <c r="S19" i="28"/>
  <c r="L12" i="27" s="1"/>
  <c r="T20" i="28"/>
  <c r="M13" i="27" s="1"/>
  <c r="S18" i="28"/>
  <c r="L11" i="27" s="1"/>
  <c r="T19" i="28"/>
  <c r="M12" i="27" s="1"/>
  <c r="U20" i="28"/>
  <c r="N13" i="27" s="1"/>
  <c r="T18" i="28"/>
  <c r="M11" i="27" s="1"/>
  <c r="U19" i="28"/>
  <c r="N12" i="27" s="1"/>
  <c r="V20" i="28"/>
  <c r="O13" i="27" s="1"/>
  <c r="R15" i="28"/>
  <c r="K8" i="27" s="1"/>
  <c r="S16" i="28"/>
  <c r="L9" i="27" s="1"/>
  <c r="U18" i="28"/>
  <c r="N11" i="27" s="1"/>
  <c r="V19" i="28"/>
  <c r="O12" i="27" s="1"/>
  <c r="E39" i="25"/>
  <c r="E38" i="25"/>
  <c r="E37" i="25"/>
  <c r="B38" i="25"/>
  <c r="D39" i="25"/>
  <c r="G37" i="25"/>
  <c r="F37" i="25"/>
  <c r="D37" i="25"/>
  <c r="F38" i="25"/>
  <c r="C37" i="25"/>
  <c r="D38" i="25"/>
  <c r="C38" i="25"/>
  <c r="C40" i="25"/>
  <c r="C39" i="25"/>
  <c r="D40" i="25"/>
  <c r="B39" i="25"/>
  <c r="P37" i="25"/>
  <c r="Q37" i="25" s="1"/>
  <c r="E59" i="25"/>
  <c r="E58" i="25"/>
  <c r="E57" i="25"/>
  <c r="D60" i="25"/>
  <c r="D59" i="25"/>
  <c r="D58" i="25"/>
  <c r="G57" i="25"/>
  <c r="B59" i="25"/>
  <c r="F57" i="25"/>
  <c r="D57" i="25"/>
  <c r="C57" i="25"/>
  <c r="B58" i="25"/>
  <c r="F58" i="25"/>
  <c r="C58" i="25"/>
  <c r="C59" i="25"/>
  <c r="P57" i="25"/>
  <c r="Q57" i="25" s="1"/>
  <c r="E80" i="25"/>
  <c r="AD134" i="26"/>
  <c r="AD118" i="26"/>
  <c r="AD108" i="26"/>
  <c r="AD100" i="26"/>
  <c r="AD92" i="26"/>
  <c r="AD129" i="26"/>
  <c r="AD124" i="26"/>
  <c r="AD111" i="26"/>
  <c r="AD103" i="26"/>
  <c r="AD135" i="26"/>
  <c r="AD119" i="26"/>
  <c r="AD130" i="26"/>
  <c r="AD114" i="26"/>
  <c r="AD106" i="26"/>
  <c r="AD98" i="26"/>
  <c r="AD90" i="26"/>
  <c r="AD82" i="26"/>
  <c r="AD74" i="26"/>
  <c r="AD66" i="26"/>
  <c r="AD58" i="26"/>
  <c r="AD125" i="26"/>
  <c r="AD120" i="26"/>
  <c r="AD109" i="26"/>
  <c r="AD101" i="26"/>
  <c r="AD93" i="26"/>
  <c r="AD85" i="26"/>
  <c r="AD77" i="26"/>
  <c r="AD131" i="26"/>
  <c r="AD115" i="26"/>
  <c r="AD126" i="26"/>
  <c r="AD112" i="26"/>
  <c r="AD104" i="26"/>
  <c r="AD96" i="26"/>
  <c r="AD88" i="26"/>
  <c r="AD80" i="26"/>
  <c r="AD121" i="26"/>
  <c r="AD132" i="26"/>
  <c r="AD116" i="26"/>
  <c r="AD107" i="26"/>
  <c r="AD99" i="26"/>
  <c r="AD91" i="26"/>
  <c r="AD83" i="26"/>
  <c r="AD75" i="26"/>
  <c r="AD127" i="26"/>
  <c r="AD122" i="26"/>
  <c r="AD110" i="26"/>
  <c r="AD102" i="26"/>
  <c r="AD94" i="26"/>
  <c r="AD86" i="26"/>
  <c r="AD78" i="26"/>
  <c r="AD133" i="26"/>
  <c r="AD117" i="26"/>
  <c r="AD128" i="26"/>
  <c r="AD113" i="26"/>
  <c r="AD105" i="26"/>
  <c r="AD97" i="26"/>
  <c r="AD89" i="26"/>
  <c r="AD81" i="26"/>
  <c r="AD123" i="26"/>
  <c r="AD73" i="26"/>
  <c r="AD76" i="26"/>
  <c r="AD51" i="26"/>
  <c r="AD43" i="26"/>
  <c r="AD67" i="26"/>
  <c r="AD56" i="26"/>
  <c r="AD65" i="26"/>
  <c r="AD54" i="26"/>
  <c r="AD87" i="26"/>
  <c r="AD63" i="26"/>
  <c r="AD49" i="26"/>
  <c r="AD41" i="26"/>
  <c r="AD95" i="26"/>
  <c r="AD61" i="26"/>
  <c r="AD72" i="26"/>
  <c r="AD59" i="26"/>
  <c r="AD79" i="26"/>
  <c r="AD68" i="26"/>
  <c r="AD57" i="26"/>
  <c r="AD47" i="26"/>
  <c r="AD39" i="26"/>
  <c r="AD34" i="26"/>
  <c r="AD84" i="26"/>
  <c r="AD48" i="26"/>
  <c r="AD35" i="26"/>
  <c r="AD23" i="26"/>
  <c r="AD62" i="26"/>
  <c r="AD60" i="26"/>
  <c r="AD55" i="26"/>
  <c r="AD64" i="26"/>
  <c r="AD44" i="26"/>
  <c r="AD50" i="26"/>
  <c r="AD36" i="26"/>
  <c r="AD53" i="26"/>
  <c r="AD38" i="26"/>
  <c r="AD32" i="26"/>
  <c r="AD31" i="26"/>
  <c r="AD69" i="26"/>
  <c r="AD46" i="26"/>
  <c r="AD30" i="26"/>
  <c r="AD70" i="26"/>
  <c r="AD33" i="26"/>
  <c r="AD29" i="26"/>
  <c r="AD21" i="26"/>
  <c r="AD28" i="26"/>
  <c r="AD24" i="26"/>
  <c r="AD17" i="26"/>
  <c r="AD14" i="26"/>
  <c r="AD22" i="26"/>
  <c r="AD19" i="26"/>
  <c r="AD52" i="26"/>
  <c r="AD16" i="26"/>
  <c r="AD10" i="26"/>
  <c r="AD11" i="26"/>
  <c r="AD42" i="26"/>
  <c r="AD45" i="26"/>
  <c r="AD37" i="26"/>
  <c r="AD18" i="26"/>
  <c r="AD71" i="26"/>
  <c r="AD25" i="26"/>
  <c r="AD20" i="26"/>
  <c r="AD26" i="26"/>
  <c r="AD15" i="26"/>
  <c r="AD40" i="26"/>
  <c r="AD27" i="26"/>
  <c r="AD12" i="26"/>
  <c r="AD13" i="26"/>
  <c r="E54" i="25"/>
  <c r="E53" i="25"/>
  <c r="E52" i="25"/>
  <c r="D53" i="25"/>
  <c r="C53" i="25"/>
  <c r="F52" i="25"/>
  <c r="D54" i="25"/>
  <c r="B53" i="25"/>
  <c r="C54" i="25"/>
  <c r="D52" i="25"/>
  <c r="D55" i="25"/>
  <c r="B54" i="25"/>
  <c r="P52" i="25"/>
  <c r="Q52" i="25" s="1"/>
  <c r="C55" i="25"/>
  <c r="G52" i="25"/>
  <c r="O3" i="25"/>
  <c r="E69" i="25"/>
  <c r="E68" i="25"/>
  <c r="E67" i="25"/>
  <c r="D70" i="25"/>
  <c r="D69" i="25"/>
  <c r="D68" i="25"/>
  <c r="D67" i="25"/>
  <c r="F68" i="25"/>
  <c r="C67" i="25"/>
  <c r="C68" i="25"/>
  <c r="B68" i="25"/>
  <c r="C69" i="25"/>
  <c r="P67" i="25"/>
  <c r="Q67" i="25" s="1"/>
  <c r="F67" i="25"/>
  <c r="B69" i="25"/>
  <c r="C70" i="25"/>
  <c r="G67" i="25"/>
  <c r="B32" i="25"/>
  <c r="E64" i="25"/>
  <c r="E63" i="25"/>
  <c r="E62" i="25"/>
  <c r="D65" i="25"/>
  <c r="D64" i="25"/>
  <c r="D63" i="25"/>
  <c r="D62" i="25"/>
  <c r="G62" i="25"/>
  <c r="F62" i="25"/>
  <c r="C62" i="25"/>
  <c r="F63" i="25"/>
  <c r="C63" i="25"/>
  <c r="B63" i="25"/>
  <c r="C64" i="25"/>
  <c r="P62" i="25"/>
  <c r="Q62" i="25" s="1"/>
  <c r="B64" i="25"/>
  <c r="C65" i="25"/>
  <c r="E49" i="25"/>
  <c r="E48" i="25"/>
  <c r="E47" i="25"/>
  <c r="B48" i="25"/>
  <c r="G47" i="25"/>
  <c r="C50" i="25"/>
  <c r="F47" i="25"/>
  <c r="D49" i="25"/>
  <c r="D47" i="25"/>
  <c r="F48" i="25"/>
  <c r="C47" i="25"/>
  <c r="D48" i="25"/>
  <c r="C48" i="25"/>
  <c r="C49" i="25"/>
  <c r="D50" i="25"/>
  <c r="B49" i="25"/>
  <c r="P47" i="25"/>
  <c r="Q47" i="25" s="1"/>
  <c r="E44" i="25"/>
  <c r="E43" i="25"/>
  <c r="E42" i="25"/>
  <c r="D43" i="25"/>
  <c r="C43" i="25"/>
  <c r="D44" i="25"/>
  <c r="B43" i="25"/>
  <c r="C44" i="25"/>
  <c r="D45" i="25"/>
  <c r="B44" i="25"/>
  <c r="P42" i="25"/>
  <c r="Q42" i="25" s="1"/>
  <c r="C45" i="25"/>
  <c r="F42" i="25"/>
  <c r="G42" i="25"/>
  <c r="G72" i="25"/>
  <c r="E72" i="25"/>
  <c r="F73" i="25"/>
  <c r="D72" i="25"/>
  <c r="C73" i="25"/>
  <c r="B73" i="25"/>
  <c r="E73" i="25"/>
  <c r="P72" i="25"/>
  <c r="Q72" i="25" s="1"/>
  <c r="E74" i="25"/>
  <c r="C75" i="25"/>
  <c r="D74" i="25"/>
  <c r="C74" i="25"/>
  <c r="B74" i="25"/>
  <c r="F72" i="25"/>
  <c r="C72" i="25"/>
  <c r="D75" i="25"/>
  <c r="D82" i="25"/>
  <c r="B84" i="25"/>
  <c r="D91" i="25"/>
  <c r="E82" i="25"/>
  <c r="B88" i="25"/>
  <c r="F106" i="25"/>
  <c r="D118" i="25"/>
  <c r="C88" i="25"/>
  <c r="G91" i="25"/>
  <c r="G106" i="25"/>
  <c r="E128" i="25"/>
  <c r="B83" i="25"/>
  <c r="E84" i="25"/>
  <c r="D84" i="25"/>
  <c r="C84" i="25"/>
  <c r="P82" i="25"/>
  <c r="Q82" i="25" s="1"/>
  <c r="D85" i="25"/>
  <c r="B113" i="25"/>
  <c r="D78" i="25"/>
  <c r="G82" i="25"/>
  <c r="D88" i="25"/>
  <c r="C97" i="25"/>
  <c r="C113" i="25"/>
  <c r="D125" i="25"/>
  <c r="C125" i="25"/>
  <c r="E115" i="25"/>
  <c r="B114" i="25"/>
  <c r="F109" i="25"/>
  <c r="C108" i="25"/>
  <c r="G104" i="25"/>
  <c r="B97" i="25"/>
  <c r="F92" i="25"/>
  <c r="C91" i="25"/>
  <c r="G132" i="25"/>
  <c r="D131" i="25"/>
  <c r="E126" i="25"/>
  <c r="F121" i="25"/>
  <c r="D115" i="25"/>
  <c r="E109" i="25"/>
  <c r="C103" i="25"/>
  <c r="D98" i="25"/>
  <c r="B91" i="25"/>
  <c r="F132" i="25"/>
  <c r="E132" i="25"/>
  <c r="E116" i="25"/>
  <c r="B115" i="25"/>
  <c r="F110" i="25"/>
  <c r="G105" i="25"/>
  <c r="D104" i="25"/>
  <c r="E99" i="25"/>
  <c r="B98" i="25"/>
  <c r="F93" i="25"/>
  <c r="C92" i="25"/>
  <c r="E127" i="25"/>
  <c r="B126" i="25"/>
  <c r="F122" i="25"/>
  <c r="C121" i="25"/>
  <c r="D116" i="25"/>
  <c r="E110" i="25"/>
  <c r="B109" i="25"/>
  <c r="E93" i="25"/>
  <c r="B92" i="25"/>
  <c r="G129" i="25"/>
  <c r="D128" i="25"/>
  <c r="F118" i="25"/>
  <c r="C117" i="25"/>
  <c r="D111" i="25"/>
  <c r="C130" i="25"/>
  <c r="F117" i="25"/>
  <c r="G109" i="25"/>
  <c r="E104" i="25"/>
  <c r="F99" i="25"/>
  <c r="C95" i="25"/>
  <c r="G93" i="25"/>
  <c r="D90" i="25"/>
  <c r="G126" i="25"/>
  <c r="G124" i="25"/>
  <c r="D119" i="25"/>
  <c r="G107" i="25"/>
  <c r="B104" i="25"/>
  <c r="C99" i="25"/>
  <c r="C90" i="25"/>
  <c r="C119" i="25"/>
  <c r="F107" i="25"/>
  <c r="G102" i="25"/>
  <c r="B99" i="25"/>
  <c r="C93" i="25"/>
  <c r="B90" i="25"/>
  <c r="B117" i="25"/>
  <c r="B93" i="25"/>
  <c r="G131" i="25"/>
  <c r="D124" i="25"/>
  <c r="E122" i="25"/>
  <c r="D107" i="25"/>
  <c r="B124" i="25"/>
  <c r="D113" i="25"/>
  <c r="G110" i="25"/>
  <c r="B107" i="25"/>
  <c r="D105" i="25"/>
  <c r="C102" i="25"/>
  <c r="E100" i="25"/>
  <c r="D97" i="25"/>
  <c r="F94" i="25"/>
  <c r="E91" i="25"/>
  <c r="G88" i="25"/>
  <c r="G127" i="25"/>
  <c r="F120" i="25"/>
  <c r="B118" i="25"/>
  <c r="C127" i="25"/>
  <c r="AB128" i="26"/>
  <c r="AB113" i="26"/>
  <c r="AB105" i="26"/>
  <c r="AB97" i="26"/>
  <c r="AB123" i="26"/>
  <c r="AB134" i="26"/>
  <c r="AB118" i="26"/>
  <c r="AB108" i="26"/>
  <c r="AB129" i="26"/>
  <c r="AB124" i="26"/>
  <c r="AB111" i="26"/>
  <c r="AB103" i="26"/>
  <c r="AB95" i="26"/>
  <c r="AB87" i="26"/>
  <c r="AB79" i="26"/>
  <c r="AB71" i="26"/>
  <c r="AB63" i="26"/>
  <c r="AB55" i="26"/>
  <c r="AB135" i="26"/>
  <c r="AB119" i="26"/>
  <c r="AB130" i="26"/>
  <c r="AB114" i="26"/>
  <c r="AB106" i="26"/>
  <c r="AB98" i="26"/>
  <c r="AB90" i="26"/>
  <c r="AB82" i="26"/>
  <c r="AB74" i="26"/>
  <c r="AB125" i="26"/>
  <c r="AB120" i="26"/>
  <c r="AB109" i="26"/>
  <c r="AB101" i="26"/>
  <c r="AB93" i="26"/>
  <c r="AB85" i="26"/>
  <c r="AB77" i="26"/>
  <c r="AB131" i="26"/>
  <c r="AB115" i="26"/>
  <c r="AB126" i="26"/>
  <c r="AB112" i="26"/>
  <c r="AB104" i="26"/>
  <c r="AB96" i="26"/>
  <c r="AB88" i="26"/>
  <c r="AB80" i="26"/>
  <c r="AB72" i="26"/>
  <c r="AB121" i="26"/>
  <c r="AB132" i="26"/>
  <c r="AB116" i="26"/>
  <c r="AB107" i="26"/>
  <c r="AB99" i="26"/>
  <c r="AB91" i="26"/>
  <c r="AB83" i="26"/>
  <c r="AB75" i="26"/>
  <c r="AB127" i="26"/>
  <c r="AB122" i="26"/>
  <c r="AB110" i="26"/>
  <c r="AB102" i="26"/>
  <c r="AB94" i="26"/>
  <c r="AB86" i="26"/>
  <c r="AB78" i="26"/>
  <c r="AB133" i="26"/>
  <c r="AB117" i="26"/>
  <c r="AB100" i="26"/>
  <c r="AB89" i="26"/>
  <c r="AB60" i="26"/>
  <c r="AB48" i="26"/>
  <c r="AB40" i="26"/>
  <c r="AB73" i="26"/>
  <c r="AB69" i="26"/>
  <c r="AB58" i="26"/>
  <c r="AB76" i="26"/>
  <c r="AB81" i="26"/>
  <c r="AB65" i="26"/>
  <c r="AB54" i="26"/>
  <c r="AB46" i="26"/>
  <c r="AB38" i="26"/>
  <c r="AB61" i="26"/>
  <c r="AB70" i="26"/>
  <c r="AB52" i="26"/>
  <c r="AB44" i="26"/>
  <c r="AB36" i="26"/>
  <c r="AB92" i="26"/>
  <c r="AB68" i="26"/>
  <c r="AB57" i="26"/>
  <c r="AB45" i="26"/>
  <c r="AB37" i="26"/>
  <c r="AB25" i="26"/>
  <c r="AB51" i="26"/>
  <c r="AB42" i="26"/>
  <c r="AB35" i="26"/>
  <c r="AB56" i="26"/>
  <c r="AB23" i="26"/>
  <c r="AB59" i="26"/>
  <c r="AB39" i="26"/>
  <c r="AB62" i="26"/>
  <c r="AB66" i="26"/>
  <c r="AB64" i="26"/>
  <c r="AB47" i="26"/>
  <c r="AB67" i="26"/>
  <c r="AB50" i="26"/>
  <c r="AB41" i="26"/>
  <c r="AB84" i="26"/>
  <c r="AB53" i="26"/>
  <c r="AB20" i="26"/>
  <c r="AB43" i="26"/>
  <c r="AB32" i="26"/>
  <c r="AB31" i="26"/>
  <c r="AB30" i="26"/>
  <c r="AB27" i="26"/>
  <c r="AB26" i="26"/>
  <c r="AB34" i="26"/>
  <c r="AB24" i="26"/>
  <c r="AB28" i="26"/>
  <c r="AB17" i="26"/>
  <c r="AB49" i="26"/>
  <c r="AB14" i="26"/>
  <c r="AB29" i="26"/>
  <c r="AB22" i="26"/>
  <c r="AB19" i="26"/>
  <c r="AB16" i="26"/>
  <c r="AB21" i="26"/>
  <c r="AB11" i="26"/>
  <c r="AB18" i="26"/>
  <c r="AB15" i="26"/>
  <c r="AB12" i="26"/>
  <c r="AB33" i="26"/>
  <c r="AB13" i="26"/>
  <c r="F78" i="25"/>
  <c r="E88" i="25"/>
  <c r="B94" i="25"/>
  <c r="E97" i="25"/>
  <c r="B102" i="25"/>
  <c r="G128" i="25"/>
  <c r="AC123" i="26"/>
  <c r="AC134" i="26"/>
  <c r="AC118" i="26"/>
  <c r="AC129" i="26"/>
  <c r="AC124" i="26"/>
  <c r="AC135" i="26"/>
  <c r="AC119" i="26"/>
  <c r="AC130" i="26"/>
  <c r="AC114" i="26"/>
  <c r="AC125" i="26"/>
  <c r="AC120" i="26"/>
  <c r="AC131" i="26"/>
  <c r="AC115" i="26"/>
  <c r="AC126" i="26"/>
  <c r="AC121" i="26"/>
  <c r="AC132" i="26"/>
  <c r="AC116" i="26"/>
  <c r="AC127" i="26"/>
  <c r="AC122" i="26"/>
  <c r="AC133" i="26"/>
  <c r="AC117" i="26"/>
  <c r="AC128" i="26"/>
  <c r="AC89" i="26"/>
  <c r="AC83" i="26"/>
  <c r="AC71" i="26"/>
  <c r="AC99" i="26"/>
  <c r="AC73" i="26"/>
  <c r="AC69" i="26"/>
  <c r="AC58" i="26"/>
  <c r="AC82" i="26"/>
  <c r="AC76" i="26"/>
  <c r="AC51" i="26"/>
  <c r="AC98" i="26"/>
  <c r="AC88" i="26"/>
  <c r="AC67" i="26"/>
  <c r="AC56" i="26"/>
  <c r="AC113" i="26"/>
  <c r="AC97" i="26"/>
  <c r="AC96" i="26"/>
  <c r="AC87" i="26"/>
  <c r="AC63" i="26"/>
  <c r="AC95" i="26"/>
  <c r="AC80" i="26"/>
  <c r="AC94" i="26"/>
  <c r="AC86" i="26"/>
  <c r="AC70" i="26"/>
  <c r="AC93" i="26"/>
  <c r="AC72" i="26"/>
  <c r="AC59" i="26"/>
  <c r="AC35" i="26"/>
  <c r="AC74" i="26"/>
  <c r="AC66" i="26"/>
  <c r="AC110" i="26"/>
  <c r="AC109" i="26"/>
  <c r="AC108" i="26"/>
  <c r="AC107" i="26"/>
  <c r="AC91" i="26"/>
  <c r="AC112" i="26"/>
  <c r="AC100" i="26"/>
  <c r="AC42" i="26"/>
  <c r="AC24" i="26"/>
  <c r="AC57" i="26"/>
  <c r="AC48" i="26"/>
  <c r="AC111" i="26"/>
  <c r="AC106" i="26"/>
  <c r="AC104" i="26"/>
  <c r="AC102" i="26"/>
  <c r="AC77" i="26"/>
  <c r="AC39" i="26"/>
  <c r="AC62" i="26"/>
  <c r="AC61" i="26"/>
  <c r="AC60" i="26"/>
  <c r="AC55" i="26"/>
  <c r="AC65" i="26"/>
  <c r="AC64" i="26"/>
  <c r="AC54" i="26"/>
  <c r="AC47" i="26"/>
  <c r="AC44" i="26"/>
  <c r="AC50" i="26"/>
  <c r="AC41" i="26"/>
  <c r="AC36" i="26"/>
  <c r="AC84" i="26"/>
  <c r="AC78" i="26"/>
  <c r="AC68" i="26"/>
  <c r="AC53" i="26"/>
  <c r="AC20" i="26"/>
  <c r="AC81" i="26"/>
  <c r="AC43" i="26"/>
  <c r="AC38" i="26"/>
  <c r="AC32" i="26"/>
  <c r="AC31" i="26"/>
  <c r="AC105" i="26"/>
  <c r="AC103" i="26"/>
  <c r="AC92" i="26"/>
  <c r="AC75" i="26"/>
  <c r="AC46" i="26"/>
  <c r="AC30" i="26"/>
  <c r="AC101" i="26"/>
  <c r="AC49" i="26"/>
  <c r="AC33" i="26"/>
  <c r="AC29" i="26"/>
  <c r="AC21" i="26"/>
  <c r="AC85" i="26"/>
  <c r="AC79" i="26"/>
  <c r="AC34" i="26"/>
  <c r="AC25" i="26"/>
  <c r="AC28" i="26"/>
  <c r="AC17" i="26"/>
  <c r="AC90" i="26"/>
  <c r="AC23" i="26"/>
  <c r="AC14" i="26"/>
  <c r="AC22" i="26"/>
  <c r="AC19" i="26"/>
  <c r="AC52" i="26"/>
  <c r="AC16" i="26"/>
  <c r="AC12" i="26"/>
  <c r="AC45" i="26"/>
  <c r="AC37" i="26"/>
  <c r="AC18" i="26"/>
  <c r="AC27" i="26"/>
  <c r="AC26" i="26"/>
  <c r="AC15" i="26"/>
  <c r="AC40" i="26"/>
  <c r="AC11" i="26"/>
  <c r="AC10" i="26"/>
  <c r="F88" i="25"/>
  <c r="D102" i="25"/>
  <c r="C116" i="25"/>
  <c r="F119" i="25"/>
  <c r="F7" i="26"/>
  <c r="M7" i="26" s="1"/>
  <c r="B6" i="26"/>
  <c r="C83" i="25"/>
  <c r="D92" i="25"/>
  <c r="D94" i="25"/>
  <c r="C114" i="25"/>
  <c r="D122" i="25"/>
  <c r="G125" i="25"/>
  <c r="C7" i="26"/>
  <c r="J7" i="26" s="1"/>
  <c r="C82" i="25"/>
  <c r="AE129" i="26"/>
  <c r="AE124" i="26"/>
  <c r="AE135" i="26"/>
  <c r="AE119" i="26"/>
  <c r="AE130" i="26"/>
  <c r="AE114" i="26"/>
  <c r="AE125" i="26"/>
  <c r="AE120" i="26"/>
  <c r="AE131" i="26"/>
  <c r="AE115" i="26"/>
  <c r="AE126" i="26"/>
  <c r="AE121" i="26"/>
  <c r="AE132" i="26"/>
  <c r="AE116" i="26"/>
  <c r="AE127" i="26"/>
  <c r="AE122" i="26"/>
  <c r="AE133" i="26"/>
  <c r="AE117" i="26"/>
  <c r="AE128" i="26"/>
  <c r="AE113" i="26"/>
  <c r="AE123" i="26"/>
  <c r="AE134" i="26"/>
  <c r="AE118" i="26"/>
  <c r="AE99" i="26"/>
  <c r="AE76" i="26"/>
  <c r="AE82" i="26"/>
  <c r="AE67" i="26"/>
  <c r="AE56" i="26"/>
  <c r="AE98" i="26"/>
  <c r="AE88" i="26"/>
  <c r="AE65" i="26"/>
  <c r="AE54" i="26"/>
  <c r="AE46" i="26"/>
  <c r="AE97" i="26"/>
  <c r="AE81" i="26"/>
  <c r="AE96" i="26"/>
  <c r="AE95" i="26"/>
  <c r="AE61" i="26"/>
  <c r="AE80" i="26"/>
  <c r="AE75" i="26"/>
  <c r="AE70" i="26"/>
  <c r="AE94" i="26"/>
  <c r="AE86" i="26"/>
  <c r="AE93" i="26"/>
  <c r="AE79" i="26"/>
  <c r="AE68" i="26"/>
  <c r="AE92" i="26"/>
  <c r="AE85" i="26"/>
  <c r="AE33" i="26"/>
  <c r="AE110" i="26"/>
  <c r="AE109" i="26"/>
  <c r="AE108" i="26"/>
  <c r="AE107" i="26"/>
  <c r="AE91" i="26"/>
  <c r="AE84" i="26"/>
  <c r="AE78" i="26"/>
  <c r="AE64" i="26"/>
  <c r="AE111" i="26"/>
  <c r="AE106" i="26"/>
  <c r="AE105" i="26"/>
  <c r="AE104" i="26"/>
  <c r="AE103" i="26"/>
  <c r="AE102" i="26"/>
  <c r="AE57" i="26"/>
  <c r="AE51" i="26"/>
  <c r="AE77" i="26"/>
  <c r="AE58" i="26"/>
  <c r="AE39" i="26"/>
  <c r="AE83" i="26"/>
  <c r="AE73" i="26"/>
  <c r="AE62" i="26"/>
  <c r="AE60" i="26"/>
  <c r="AE59" i="26"/>
  <c r="AE55" i="26"/>
  <c r="AE44" i="26"/>
  <c r="AE100" i="26"/>
  <c r="AE63" i="26"/>
  <c r="AE50" i="26"/>
  <c r="AE47" i="26"/>
  <c r="AE36" i="26"/>
  <c r="AE74" i="26"/>
  <c r="AE66" i="26"/>
  <c r="AE41" i="26"/>
  <c r="AE89" i="26"/>
  <c r="AE53" i="26"/>
  <c r="AE38" i="26"/>
  <c r="AE32" i="26"/>
  <c r="AE31" i="26"/>
  <c r="AE69" i="26"/>
  <c r="AE43" i="26"/>
  <c r="AE30" i="26"/>
  <c r="AE29" i="26"/>
  <c r="AE21" i="26"/>
  <c r="AE101" i="26"/>
  <c r="AE49" i="26"/>
  <c r="AE28" i="26"/>
  <c r="AE112" i="26"/>
  <c r="AE90" i="26"/>
  <c r="AE87" i="26"/>
  <c r="AE71" i="26"/>
  <c r="AE52" i="26"/>
  <c r="AE40" i="26"/>
  <c r="AE27" i="26"/>
  <c r="AE23" i="26"/>
  <c r="AE35" i="26"/>
  <c r="AE22" i="26"/>
  <c r="AE19" i="26"/>
  <c r="AE16" i="26"/>
  <c r="AE10" i="26"/>
  <c r="AE11" i="26"/>
  <c r="AE72" i="26"/>
  <c r="AE42" i="26"/>
  <c r="AE12" i="26"/>
  <c r="AE45" i="26"/>
  <c r="AE37" i="26"/>
  <c r="AE18" i="26"/>
  <c r="AE34" i="26"/>
  <c r="AE24" i="26"/>
  <c r="AE17" i="26"/>
  <c r="AE48" i="26"/>
  <c r="AE15" i="26"/>
  <c r="AE20" i="26"/>
  <c r="AE25" i="26"/>
  <c r="AE14" i="26"/>
  <c r="AE13" i="26"/>
  <c r="AE26" i="26"/>
  <c r="C80" i="25"/>
  <c r="D83" i="25"/>
  <c r="G92" i="25"/>
  <c r="E94" i="25"/>
  <c r="B100" i="25"/>
  <c r="D7" i="26"/>
  <c r="K7" i="26" s="1"/>
  <c r="G130" i="25"/>
  <c r="P3" i="25"/>
  <c r="AF124" i="26"/>
  <c r="AF111" i="26"/>
  <c r="AF103" i="26"/>
  <c r="AF95" i="26"/>
  <c r="AF135" i="26"/>
  <c r="AF119" i="26"/>
  <c r="AF130" i="26"/>
  <c r="AF114" i="26"/>
  <c r="AF106" i="26"/>
  <c r="AF125" i="26"/>
  <c r="AF120" i="26"/>
  <c r="AF109" i="26"/>
  <c r="AF101" i="26"/>
  <c r="AF93" i="26"/>
  <c r="AF85" i="26"/>
  <c r="AF77" i="26"/>
  <c r="AF69" i="26"/>
  <c r="AF61" i="26"/>
  <c r="AF131" i="26"/>
  <c r="AF115" i="26"/>
  <c r="AF126" i="26"/>
  <c r="AF112" i="26"/>
  <c r="AF104" i="26"/>
  <c r="AF96" i="26"/>
  <c r="AF88" i="26"/>
  <c r="AF80" i="26"/>
  <c r="AF121" i="26"/>
  <c r="AF132" i="26"/>
  <c r="AF116" i="26"/>
  <c r="AF107" i="26"/>
  <c r="AF99" i="26"/>
  <c r="AF91" i="26"/>
  <c r="AF83" i="26"/>
  <c r="AF127" i="26"/>
  <c r="AF122" i="26"/>
  <c r="AF110" i="26"/>
  <c r="AF102" i="26"/>
  <c r="AF94" i="26"/>
  <c r="AF86" i="26"/>
  <c r="AF78" i="26"/>
  <c r="AF133" i="26"/>
  <c r="AF117" i="26"/>
  <c r="AF128" i="26"/>
  <c r="AF113" i="26"/>
  <c r="AF105" i="26"/>
  <c r="AF97" i="26"/>
  <c r="AF89" i="26"/>
  <c r="AF81" i="26"/>
  <c r="AF123" i="26"/>
  <c r="AF134" i="26"/>
  <c r="AF118" i="26"/>
  <c r="AF108" i="26"/>
  <c r="AF100" i="26"/>
  <c r="AF92" i="26"/>
  <c r="AF84" i="26"/>
  <c r="AF129" i="26"/>
  <c r="AF82" i="26"/>
  <c r="AF98" i="26"/>
  <c r="AF65" i="26"/>
  <c r="AF54" i="26"/>
  <c r="AF46" i="26"/>
  <c r="AF38" i="26"/>
  <c r="AF87" i="26"/>
  <c r="AF63" i="26"/>
  <c r="AF75" i="26"/>
  <c r="AF70" i="26"/>
  <c r="AF52" i="26"/>
  <c r="AF44" i="26"/>
  <c r="AF36" i="26"/>
  <c r="AF72" i="26"/>
  <c r="AF59" i="26"/>
  <c r="AF79" i="26"/>
  <c r="AF74" i="26"/>
  <c r="AF66" i="26"/>
  <c r="AF55" i="26"/>
  <c r="AF50" i="26"/>
  <c r="AF42" i="26"/>
  <c r="AF62" i="26"/>
  <c r="AF90" i="26"/>
  <c r="AF58" i="26"/>
  <c r="AF39" i="26"/>
  <c r="AF73" i="26"/>
  <c r="AF60" i="26"/>
  <c r="AF56" i="26"/>
  <c r="AF64" i="26"/>
  <c r="AF47" i="26"/>
  <c r="AF41" i="26"/>
  <c r="AF53" i="26"/>
  <c r="AF67" i="26"/>
  <c r="AF32" i="26"/>
  <c r="AF31" i="26"/>
  <c r="AF68" i="26"/>
  <c r="AF43" i="26"/>
  <c r="AF30" i="26"/>
  <c r="AF29" i="26"/>
  <c r="AF21" i="26"/>
  <c r="AF49" i="26"/>
  <c r="AF33" i="26"/>
  <c r="AF28" i="26"/>
  <c r="AF71" i="26"/>
  <c r="AF40" i="26"/>
  <c r="AF27" i="26"/>
  <c r="AF26" i="26"/>
  <c r="AF22" i="26"/>
  <c r="AF76" i="26"/>
  <c r="AF51" i="26"/>
  <c r="AF23" i="26"/>
  <c r="AF14" i="26"/>
  <c r="AF35" i="26"/>
  <c r="AF19" i="26"/>
  <c r="AF16" i="26"/>
  <c r="AF10" i="26"/>
  <c r="AF57" i="26"/>
  <c r="AF11" i="26"/>
  <c r="AF12" i="26"/>
  <c r="AF45" i="26"/>
  <c r="AF37" i="26"/>
  <c r="AF18" i="26"/>
  <c r="AF15" i="26"/>
  <c r="AF13" i="26"/>
  <c r="AF48" i="26"/>
  <c r="AF24" i="26"/>
  <c r="AF34" i="26"/>
  <c r="AF20" i="26"/>
  <c r="AF25" i="26"/>
  <c r="AF17" i="26"/>
  <c r="C77" i="25"/>
  <c r="E83" i="25"/>
  <c r="E90" i="25"/>
  <c r="G94" i="25"/>
  <c r="C110" i="25"/>
  <c r="E114" i="25"/>
  <c r="B123" i="25"/>
  <c r="B129" i="25"/>
  <c r="E7" i="26"/>
  <c r="L7" i="26" s="1"/>
  <c r="E78" i="25"/>
  <c r="C78" i="25"/>
  <c r="E79" i="25"/>
  <c r="B78" i="25"/>
  <c r="B79" i="25"/>
  <c r="P77" i="25"/>
  <c r="Q77" i="25" s="1"/>
  <c r="AG135" i="26"/>
  <c r="AG119" i="26"/>
  <c r="AG130" i="26"/>
  <c r="AG114" i="26"/>
  <c r="AG125" i="26"/>
  <c r="AG120" i="26"/>
  <c r="AG131" i="26"/>
  <c r="AG115" i="26"/>
  <c r="AG126" i="26"/>
  <c r="AG112" i="26"/>
  <c r="AG121" i="26"/>
  <c r="AG132" i="26"/>
  <c r="AG116" i="26"/>
  <c r="AG127" i="26"/>
  <c r="AG122" i="26"/>
  <c r="AG133" i="26"/>
  <c r="AG117" i="26"/>
  <c r="AG128" i="26"/>
  <c r="AG113" i="26"/>
  <c r="AG123" i="26"/>
  <c r="AG134" i="26"/>
  <c r="AG118" i="26"/>
  <c r="AG129" i="26"/>
  <c r="AG124" i="26"/>
  <c r="AG98" i="26"/>
  <c r="AG88" i="26"/>
  <c r="AG97" i="26"/>
  <c r="AG87" i="26"/>
  <c r="AG81" i="26"/>
  <c r="AG63" i="26"/>
  <c r="AG49" i="26"/>
  <c r="AG96" i="26"/>
  <c r="AG95" i="26"/>
  <c r="AG80" i="26"/>
  <c r="AG72" i="26"/>
  <c r="AG59" i="26"/>
  <c r="AG35" i="26"/>
  <c r="AG94" i="26"/>
  <c r="AG86" i="26"/>
  <c r="AG79" i="26"/>
  <c r="AG68" i="26"/>
  <c r="AG57" i="26"/>
  <c r="AG93" i="26"/>
  <c r="AG92" i="26"/>
  <c r="AG85" i="26"/>
  <c r="AG74" i="26"/>
  <c r="AG66" i="26"/>
  <c r="AG64" i="26"/>
  <c r="AG110" i="26"/>
  <c r="AG109" i="26"/>
  <c r="AG108" i="26"/>
  <c r="AG107" i="26"/>
  <c r="AG111" i="26"/>
  <c r="AG106" i="26"/>
  <c r="AG105" i="26"/>
  <c r="AG104" i="26"/>
  <c r="AG103" i="26"/>
  <c r="AG102" i="26"/>
  <c r="AG90" i="26"/>
  <c r="AG101" i="26"/>
  <c r="AG99" i="26"/>
  <c r="AG77" i="26"/>
  <c r="AG73" i="26"/>
  <c r="AG60" i="26"/>
  <c r="AG56" i="26"/>
  <c r="AG83" i="26"/>
  <c r="AG62" i="26"/>
  <c r="AG55" i="26"/>
  <c r="AG91" i="26"/>
  <c r="AG47" i="26"/>
  <c r="AG44" i="26"/>
  <c r="AG100" i="26"/>
  <c r="AG61" i="26"/>
  <c r="AG50" i="26"/>
  <c r="AG41" i="26"/>
  <c r="AG36" i="26"/>
  <c r="AG65" i="26"/>
  <c r="AG54" i="26"/>
  <c r="AG53" i="26"/>
  <c r="AG89" i="26"/>
  <c r="AG67" i="26"/>
  <c r="AG32" i="26"/>
  <c r="AG31" i="26"/>
  <c r="AG84" i="26"/>
  <c r="AG78" i="26"/>
  <c r="AG43" i="26"/>
  <c r="AG38" i="26"/>
  <c r="AG30" i="26"/>
  <c r="AG69" i="26"/>
  <c r="AG29" i="26"/>
  <c r="AG46" i="26"/>
  <c r="AG33" i="26"/>
  <c r="AG28" i="26"/>
  <c r="AG75" i="26"/>
  <c r="AG71" i="26"/>
  <c r="AG70" i="26"/>
  <c r="AG40" i="26"/>
  <c r="AG27" i="26"/>
  <c r="AG52" i="26"/>
  <c r="AG26" i="26"/>
  <c r="AG22" i="26"/>
  <c r="AG45" i="26"/>
  <c r="AG37" i="26"/>
  <c r="AG34" i="26"/>
  <c r="AG25" i="26"/>
  <c r="AG82" i="26"/>
  <c r="AG19" i="26"/>
  <c r="AG16" i="26"/>
  <c r="AG10" i="26"/>
  <c r="AG11" i="26"/>
  <c r="AG12" i="26"/>
  <c r="AG42" i="26"/>
  <c r="AG39" i="26"/>
  <c r="AG18" i="26"/>
  <c r="AG21" i="26"/>
  <c r="AG15" i="26"/>
  <c r="AG13" i="26"/>
  <c r="AG76" i="26"/>
  <c r="AG51" i="26"/>
  <c r="AG23" i="26"/>
  <c r="AG14" i="26"/>
  <c r="AG24" i="26"/>
  <c r="AG20" i="26"/>
  <c r="AG17" i="26"/>
  <c r="AG58" i="26"/>
  <c r="AG48" i="26"/>
  <c r="D77" i="25"/>
  <c r="F83" i="25"/>
  <c r="C85" i="25"/>
  <c r="F90" i="25"/>
  <c r="C98" i="25"/>
  <c r="D100" i="25"/>
  <c r="C123" i="25"/>
  <c r="G7" i="26"/>
  <c r="N7" i="26" s="1"/>
  <c r="E77" i="25"/>
  <c r="F98" i="25"/>
  <c r="F100" i="25"/>
  <c r="B103" i="25"/>
  <c r="C105" i="25"/>
  <c r="H7" i="26"/>
  <c r="O7" i="26" s="1"/>
  <c r="F101" i="25"/>
  <c r="E121" i="25"/>
  <c r="F77" i="25"/>
  <c r="D95" i="25"/>
  <c r="E103" i="25"/>
  <c r="E105" i="25"/>
  <c r="D108" i="25"/>
  <c r="B120" i="25"/>
  <c r="F129" i="25"/>
  <c r="G77" i="25"/>
  <c r="E95" i="25"/>
  <c r="C101" i="25"/>
  <c r="E111" i="25"/>
  <c r="E120" i="25"/>
  <c r="G123" i="25"/>
  <c r="C8" i="26"/>
  <c r="J8" i="26" s="1"/>
  <c r="G120" i="25"/>
  <c r="C122" i="25"/>
  <c r="E129" i="25"/>
  <c r="C131" i="25"/>
  <c r="D8" i="26"/>
  <c r="K8" i="26" s="1"/>
  <c r="F8" i="26"/>
  <c r="M8" i="26" s="1"/>
  <c r="U16" i="26"/>
  <c r="N9" i="25" s="1"/>
  <c r="T16" i="26"/>
  <c r="M9" i="25" s="1"/>
  <c r="S16" i="26"/>
  <c r="L9" i="25" s="1"/>
  <c r="W16" i="26"/>
  <c r="P9" i="25" s="1"/>
  <c r="G97" i="25"/>
  <c r="F102" i="25"/>
  <c r="E107" i="25"/>
  <c r="G115" i="25"/>
  <c r="B119" i="25"/>
  <c r="G8" i="26"/>
  <c r="N8" i="26" s="1"/>
  <c r="R16" i="26"/>
  <c r="K9" i="25" s="1"/>
  <c r="E131" i="25"/>
  <c r="B130" i="25"/>
  <c r="F126" i="25"/>
  <c r="G121" i="25"/>
  <c r="D120" i="25"/>
  <c r="D103" i="25"/>
  <c r="E98" i="25"/>
  <c r="B125" i="25"/>
  <c r="C120" i="25"/>
  <c r="G116" i="25"/>
  <c r="B108" i="25"/>
  <c r="F104" i="25"/>
  <c r="G99" i="25"/>
  <c r="E92" i="25"/>
  <c r="B131" i="25"/>
  <c r="F127" i="25"/>
  <c r="C126" i="25"/>
  <c r="G122" i="25"/>
  <c r="D121" i="25"/>
  <c r="C109" i="25"/>
  <c r="D132" i="25"/>
  <c r="G117" i="25"/>
  <c r="F105" i="25"/>
  <c r="C104" i="25"/>
  <c r="G100" i="25"/>
  <c r="D99" i="25"/>
  <c r="C132" i="25"/>
  <c r="E123" i="25"/>
  <c r="B122" i="25"/>
  <c r="G113" i="25"/>
  <c r="D117" i="25"/>
  <c r="F124" i="25"/>
  <c r="D126" i="25"/>
  <c r="V16" i="26"/>
  <c r="O9" i="25" s="1"/>
  <c r="D109" i="25"/>
  <c r="E117" i="25"/>
  <c r="B128" i="25"/>
  <c r="B101" i="25"/>
  <c r="B111" i="25"/>
  <c r="E119" i="25"/>
  <c r="C128" i="25"/>
  <c r="S10" i="26"/>
  <c r="W19" i="26"/>
  <c r="P12" i="25" s="1"/>
  <c r="V19" i="26"/>
  <c r="O12" i="25" s="1"/>
  <c r="R19" i="26"/>
  <c r="K12" i="25" s="1"/>
  <c r="S19" i="26"/>
  <c r="L12" i="25" s="1"/>
  <c r="T19" i="26"/>
  <c r="M12" i="25" s="1"/>
  <c r="V17" i="26"/>
  <c r="O10" i="25" s="1"/>
  <c r="U17" i="26"/>
  <c r="N10" i="25" s="1"/>
  <c r="T17" i="26"/>
  <c r="M10" i="25" s="1"/>
  <c r="U19" i="26"/>
  <c r="N12" i="25" s="1"/>
  <c r="R17" i="26"/>
  <c r="K10" i="25" s="1"/>
  <c r="S17" i="26"/>
  <c r="L10" i="25" s="1"/>
  <c r="W17" i="26"/>
  <c r="P10" i="25" s="1"/>
  <c r="C9" i="26"/>
  <c r="J9" i="26" s="1"/>
  <c r="T13" i="26"/>
  <c r="M6" i="25" s="1"/>
  <c r="M16" i="25" s="1"/>
  <c r="E29" i="25" s="1"/>
  <c r="T15" i="26"/>
  <c r="M8" i="25" s="1"/>
  <c r="S15" i="26"/>
  <c r="L8" i="25" s="1"/>
  <c r="R15" i="26"/>
  <c r="K8" i="25" s="1"/>
  <c r="K16" i="25" s="1"/>
  <c r="S20" i="26"/>
  <c r="L13" i="25" s="1"/>
  <c r="U13" i="26"/>
  <c r="N6" i="25" s="1"/>
  <c r="N16" i="25" s="1"/>
  <c r="F29" i="25" s="1"/>
  <c r="W18" i="26"/>
  <c r="P11" i="25" s="1"/>
  <c r="V18" i="26"/>
  <c r="O11" i="25" s="1"/>
  <c r="U18" i="26"/>
  <c r="N11" i="25" s="1"/>
  <c r="R18" i="26"/>
  <c r="K11" i="25" s="1"/>
  <c r="AJ11" i="19"/>
  <c r="P68" i="27" l="1"/>
  <c r="Q68" i="27" s="1"/>
  <c r="B70" i="27"/>
  <c r="B40" i="27"/>
  <c r="P38" i="27"/>
  <c r="Q38" i="27" s="1"/>
  <c r="G73" i="27"/>
  <c r="G53" i="27"/>
  <c r="P39" i="27"/>
  <c r="Q39" i="27" s="1"/>
  <c r="P73" i="27"/>
  <c r="Q73" i="27" s="1"/>
  <c r="B75" i="27"/>
  <c r="F59" i="27"/>
  <c r="P84" i="27"/>
  <c r="Q84" i="27" s="1"/>
  <c r="B65" i="27"/>
  <c r="P63" i="27"/>
  <c r="Q63" i="27" s="1"/>
  <c r="F64" i="27"/>
  <c r="J109" i="27"/>
  <c r="G58" i="27"/>
  <c r="E80" i="27"/>
  <c r="G63" i="27"/>
  <c r="P83" i="27"/>
  <c r="Q83" i="27" s="1"/>
  <c r="B85" i="27"/>
  <c r="I115" i="27"/>
  <c r="P64" i="27"/>
  <c r="Q64" i="27" s="1"/>
  <c r="G48" i="27"/>
  <c r="G32" i="27"/>
  <c r="F33" i="27"/>
  <c r="F32" i="27"/>
  <c r="E34" i="27"/>
  <c r="E33" i="27"/>
  <c r="E32" i="27"/>
  <c r="D35" i="27"/>
  <c r="D34" i="27"/>
  <c r="D33" i="27"/>
  <c r="D32" i="27"/>
  <c r="C35" i="27"/>
  <c r="C34" i="27"/>
  <c r="C33" i="27"/>
  <c r="C32" i="27"/>
  <c r="B34" i="27"/>
  <c r="B33" i="27"/>
  <c r="P32" i="27"/>
  <c r="Q32" i="27" s="1"/>
  <c r="AL112" i="28" a="1"/>
  <c r="AL112" i="28" s="1"/>
  <c r="AL110" i="28" a="1"/>
  <c r="AL110" i="28" s="1"/>
  <c r="AL113" i="28" a="1"/>
  <c r="AL113" i="28" s="1"/>
  <c r="AT23" i="28" s="1"/>
  <c r="D16" i="27" s="1"/>
  <c r="AL108" i="28" a="1"/>
  <c r="AL108" i="28" s="1"/>
  <c r="AL90" i="28" a="1"/>
  <c r="AL90" i="28" s="1"/>
  <c r="AL78" i="28" a="1"/>
  <c r="AL78" i="28" s="1"/>
  <c r="AL102" i="28" a="1"/>
  <c r="AL102" i="28" s="1"/>
  <c r="AL109" i="28" a="1"/>
  <c r="AL109" i="28" s="1"/>
  <c r="AL96" i="28" a="1"/>
  <c r="AL96" i="28" s="1"/>
  <c r="AL95" i="28" a="1"/>
  <c r="AL95" i="28" s="1"/>
  <c r="AL29" i="28" a="1"/>
  <c r="AL29" i="28" s="1"/>
  <c r="AL111" i="28" a="1"/>
  <c r="AL111" i="28" s="1"/>
  <c r="AL107" i="28" a="1"/>
  <c r="AL107" i="28" s="1"/>
  <c r="AL72" i="28" a="1"/>
  <c r="AL72" i="28" s="1"/>
  <c r="AL71" i="28" a="1"/>
  <c r="AL71" i="28" s="1"/>
  <c r="AL101" i="28" a="1"/>
  <c r="AL101" i="28" s="1"/>
  <c r="AL100" i="28" a="1"/>
  <c r="AL100" i="28" s="1"/>
  <c r="AL106" i="28" a="1"/>
  <c r="AL106" i="28" s="1"/>
  <c r="AL94" i="28" a="1"/>
  <c r="AL94" i="28" s="1"/>
  <c r="AL54" i="28" a="1"/>
  <c r="AL54" i="28" s="1"/>
  <c r="AL105" i="28" a="1"/>
  <c r="AL105" i="28" s="1"/>
  <c r="AT35" i="28" s="1"/>
  <c r="D28" i="27" s="1"/>
  <c r="I129" i="27" s="1"/>
  <c r="AL99" i="28" a="1"/>
  <c r="AL99" i="28" s="1"/>
  <c r="AL93" i="28" a="1"/>
  <c r="AL93" i="28" s="1"/>
  <c r="AL92" i="28" a="1"/>
  <c r="AL92" i="28" s="1"/>
  <c r="AL98" i="28" a="1"/>
  <c r="AL98" i="28" s="1"/>
  <c r="AL104" i="28" a="1"/>
  <c r="AL104" i="28" s="1"/>
  <c r="AL103" i="28" a="1"/>
  <c r="AL103" i="28" s="1"/>
  <c r="AL23" i="28" a="1"/>
  <c r="AL23" i="28" s="1"/>
  <c r="AL14" i="28" a="1"/>
  <c r="AL14" i="28" s="1"/>
  <c r="AL46" i="28" a="1"/>
  <c r="AL46" i="28" s="1"/>
  <c r="AL41" i="28" a="1"/>
  <c r="AL41" i="28" s="1"/>
  <c r="AT27" i="28" s="1"/>
  <c r="D20" i="27" s="1"/>
  <c r="AL36" i="28" a="1"/>
  <c r="AL36" i="28" s="1"/>
  <c r="AL32" i="28" a="1"/>
  <c r="AL32" i="28" s="1"/>
  <c r="AL15" i="28" a="1"/>
  <c r="AL15" i="28" s="1"/>
  <c r="AL73" i="28" a="1"/>
  <c r="AL73" i="28" s="1"/>
  <c r="AT31" i="28" s="1"/>
  <c r="D24" i="27" s="1"/>
  <c r="AL16" i="28" a="1"/>
  <c r="AL16" i="28" s="1"/>
  <c r="AL43" i="28" a="1"/>
  <c r="AL43" i="28" s="1"/>
  <c r="AL17" i="28" a="1"/>
  <c r="AL17" i="28" s="1"/>
  <c r="AT24" i="28" s="1"/>
  <c r="D17" i="27" s="1"/>
  <c r="AL18" i="28" a="1"/>
  <c r="AL18" i="28" s="1"/>
  <c r="AL53" i="28" a="1"/>
  <c r="AL53" i="28" s="1"/>
  <c r="AL48" i="28" a="1"/>
  <c r="AL48" i="28" s="1"/>
  <c r="AL38" i="28" a="1"/>
  <c r="AL38" i="28" s="1"/>
  <c r="AL33" i="28" a="1"/>
  <c r="AL33" i="28" s="1"/>
  <c r="AT26" i="28" s="1"/>
  <c r="D19" i="27" s="1"/>
  <c r="AL19" i="28" a="1"/>
  <c r="AL19" i="28" s="1"/>
  <c r="AL97" i="28" a="1"/>
  <c r="AL97" i="28" s="1"/>
  <c r="AT34" i="28" s="1"/>
  <c r="D27" i="27" s="1"/>
  <c r="AL30" i="28" a="1"/>
  <c r="AL30" i="28" s="1"/>
  <c r="AL20" i="28" a="1"/>
  <c r="AL20" i="28" s="1"/>
  <c r="AL57" i="28" a="1"/>
  <c r="AL57" i="28" s="1"/>
  <c r="AT29" i="28" s="1"/>
  <c r="D22" i="27" s="1"/>
  <c r="AL50" i="28" a="1"/>
  <c r="AL50" i="28" s="1"/>
  <c r="AL52" i="28" a="1"/>
  <c r="AL52" i="28" s="1"/>
  <c r="AL45" i="28" a="1"/>
  <c r="AL45" i="28" s="1"/>
  <c r="AL40" i="28" a="1"/>
  <c r="AL40" i="28" s="1"/>
  <c r="AL34" i="28" a="1"/>
  <c r="AL34" i="28" s="1"/>
  <c r="AL91" i="28" a="1"/>
  <c r="AL91" i="28" s="1"/>
  <c r="AL21" i="28" a="1"/>
  <c r="AL21" i="28" s="1"/>
  <c r="AL47" i="28" a="1"/>
  <c r="AL47" i="28" s="1"/>
  <c r="AL55" i="28" a="1"/>
  <c r="AL55" i="28" s="1"/>
  <c r="AL42" i="28" a="1"/>
  <c r="AL42" i="28" s="1"/>
  <c r="AL31" i="28" a="1"/>
  <c r="AL31" i="28" s="1"/>
  <c r="AL27" i="28" a="1"/>
  <c r="AL27" i="28" s="1"/>
  <c r="AL24" i="28" a="1"/>
  <c r="AL24" i="28" s="1"/>
  <c r="AL56" i="28" a="1"/>
  <c r="AL56" i="28" s="1"/>
  <c r="AL51" i="28" a="1"/>
  <c r="AL51" i="28" s="1"/>
  <c r="AL44" i="28" a="1"/>
  <c r="AL44" i="28" s="1"/>
  <c r="AL11" i="28" a="1"/>
  <c r="AL11" i="28" s="1"/>
  <c r="AL39" i="28" a="1"/>
  <c r="AL39" i="28" s="1"/>
  <c r="AL49" i="28" a="1"/>
  <c r="AL49" i="28" s="1"/>
  <c r="AT28" i="28" s="1"/>
  <c r="D21" i="27" s="1"/>
  <c r="AL37" i="28" a="1"/>
  <c r="AL37" i="28" s="1"/>
  <c r="AL25" i="28" a="1"/>
  <c r="AL25" i="28" s="1"/>
  <c r="AT25" i="28" s="1"/>
  <c r="D18" i="27" s="1"/>
  <c r="AL26" i="28" a="1"/>
  <c r="AL26" i="28" s="1"/>
  <c r="AL35" i="28" a="1"/>
  <c r="AL35" i="28" s="1"/>
  <c r="AL12" i="28" a="1"/>
  <c r="AL12" i="28" s="1"/>
  <c r="AL22" i="28" a="1"/>
  <c r="AL22" i="28" s="1"/>
  <c r="AL10" i="28" a="1"/>
  <c r="AL10" i="28" s="1"/>
  <c r="AL13" i="28" a="1"/>
  <c r="AL13" i="28" s="1"/>
  <c r="AL28" i="28" a="1"/>
  <c r="AL28" i="28" s="1"/>
  <c r="AB10" i="28"/>
  <c r="E55" i="27"/>
  <c r="P54" i="27"/>
  <c r="Q54" i="27" s="1"/>
  <c r="B60" i="27"/>
  <c r="P58" i="27"/>
  <c r="Q58" i="27" s="1"/>
  <c r="E45" i="27"/>
  <c r="F49" i="27"/>
  <c r="AM113" i="28" a="1"/>
  <c r="AM113" i="28" s="1"/>
  <c r="AU23" i="28" s="1"/>
  <c r="E16" i="27" s="1"/>
  <c r="AM111" i="28" a="1"/>
  <c r="AM111" i="28" s="1"/>
  <c r="AM112" i="28" a="1"/>
  <c r="AM112" i="28" s="1"/>
  <c r="AM109" i="28" a="1"/>
  <c r="AM109" i="28" s="1"/>
  <c r="AM102" i="28" a="1"/>
  <c r="AM102" i="28" s="1"/>
  <c r="AM96" i="28" a="1"/>
  <c r="AM96" i="28" s="1"/>
  <c r="AM95" i="28" a="1"/>
  <c r="AM95" i="28" s="1"/>
  <c r="AM89" i="28" a="1"/>
  <c r="AM89" i="28" s="1"/>
  <c r="AU33" i="28" s="1"/>
  <c r="E26" i="27" s="1"/>
  <c r="AM110" i="28" a="1"/>
  <c r="AM110" i="28" s="1"/>
  <c r="AM107" i="28" a="1"/>
  <c r="AM107" i="28" s="1"/>
  <c r="AM101" i="28" a="1"/>
  <c r="AM101" i="28" s="1"/>
  <c r="AM106" i="28" a="1"/>
  <c r="AM106" i="28" s="1"/>
  <c r="AM100" i="28" a="1"/>
  <c r="AM100" i="28" s="1"/>
  <c r="AM94" i="28" a="1"/>
  <c r="AM94" i="28" s="1"/>
  <c r="AM88" i="28" a="1"/>
  <c r="AM88" i="28" s="1"/>
  <c r="AM87" i="28" a="1"/>
  <c r="AM87" i="28" s="1"/>
  <c r="AM105" i="28" a="1"/>
  <c r="AM105" i="28" s="1"/>
  <c r="AU35" i="28" s="1"/>
  <c r="E28" i="27" s="1"/>
  <c r="J99" i="27" s="1"/>
  <c r="AM99" i="28" a="1"/>
  <c r="AM99" i="28" s="1"/>
  <c r="AM93" i="28" a="1"/>
  <c r="AM93" i="28" s="1"/>
  <c r="AM98" i="28" a="1"/>
  <c r="AM98" i="28" s="1"/>
  <c r="AM92" i="28" a="1"/>
  <c r="AM92" i="28" s="1"/>
  <c r="AM97" i="28" a="1"/>
  <c r="AM97" i="28" s="1"/>
  <c r="AU34" i="28" s="1"/>
  <c r="E27" i="27" s="1"/>
  <c r="AM91" i="28" a="1"/>
  <c r="AM91" i="28" s="1"/>
  <c r="AM41" i="28" a="1"/>
  <c r="AM41" i="28" s="1"/>
  <c r="AU27" i="28" s="1"/>
  <c r="E20" i="27" s="1"/>
  <c r="AM29" i="28" a="1"/>
  <c r="AM29" i="28" s="1"/>
  <c r="AM16" i="28" a="1"/>
  <c r="AM16" i="28" s="1"/>
  <c r="AM17" i="28" a="1"/>
  <c r="AM17" i="28" s="1"/>
  <c r="AU24" i="28" s="1"/>
  <c r="E17" i="27" s="1"/>
  <c r="AM43" i="28" a="1"/>
  <c r="AM43" i="28" s="1"/>
  <c r="AM18" i="28" a="1"/>
  <c r="AM18" i="28" s="1"/>
  <c r="AM90" i="28" a="1"/>
  <c r="AM90" i="28" s="1"/>
  <c r="AM53" i="28" a="1"/>
  <c r="AM53" i="28" s="1"/>
  <c r="AM38" i="28" a="1"/>
  <c r="AM38" i="28" s="1"/>
  <c r="AM33" i="28" a="1"/>
  <c r="AM33" i="28" s="1"/>
  <c r="AU26" i="28" s="1"/>
  <c r="E19" i="27" s="1"/>
  <c r="AM19" i="28" a="1"/>
  <c r="AM19" i="28" s="1"/>
  <c r="AM48" i="28" a="1"/>
  <c r="AM48" i="28" s="1"/>
  <c r="AM103" i="28" a="1"/>
  <c r="AM103" i="28" s="1"/>
  <c r="AM30" i="28" a="1"/>
  <c r="AM30" i="28" s="1"/>
  <c r="AM20" i="28" a="1"/>
  <c r="AM20" i="28" s="1"/>
  <c r="AM50" i="28" a="1"/>
  <c r="AM50" i="28" s="1"/>
  <c r="AM57" i="28" a="1"/>
  <c r="AM57" i="28" s="1"/>
  <c r="AU29" i="28" s="1"/>
  <c r="E22" i="27" s="1"/>
  <c r="AM52" i="28" a="1"/>
  <c r="AM52" i="28" s="1"/>
  <c r="AM45" i="28" a="1"/>
  <c r="AM45" i="28" s="1"/>
  <c r="AM34" i="28" a="1"/>
  <c r="AM34" i="28" s="1"/>
  <c r="AM40" i="28" a="1"/>
  <c r="AM40" i="28" s="1"/>
  <c r="AM21" i="28" a="1"/>
  <c r="AM21" i="28" s="1"/>
  <c r="AM63" i="28" a="1"/>
  <c r="AM63" i="28" s="1"/>
  <c r="AM59" i="28" a="1"/>
  <c r="AM59" i="28" s="1"/>
  <c r="AM47" i="28" a="1"/>
  <c r="AM47" i="28" s="1"/>
  <c r="AM42" i="28" a="1"/>
  <c r="AM42" i="28" s="1"/>
  <c r="AM31" i="28" a="1"/>
  <c r="AM31" i="28" s="1"/>
  <c r="AM27" i="28" a="1"/>
  <c r="AM27" i="28" s="1"/>
  <c r="AM56" i="28" a="1"/>
  <c r="AM56" i="28" s="1"/>
  <c r="AM55" i="28" a="1"/>
  <c r="AM55" i="28" s="1"/>
  <c r="AM44" i="28" a="1"/>
  <c r="AM44" i="28" s="1"/>
  <c r="AM37" i="28" a="1"/>
  <c r="AM37" i="28" s="1"/>
  <c r="AM35" i="28" a="1"/>
  <c r="AM35" i="28" s="1"/>
  <c r="AM28" i="28" a="1"/>
  <c r="AM28" i="28" s="1"/>
  <c r="AM26" i="28" a="1"/>
  <c r="AM26" i="28" s="1"/>
  <c r="AM22" i="28" a="1"/>
  <c r="AM22" i="28" s="1"/>
  <c r="AM108" i="28" a="1"/>
  <c r="AM108" i="28" s="1"/>
  <c r="AM104" i="28" a="1"/>
  <c r="AM104" i="28" s="1"/>
  <c r="AM49" i="28" a="1"/>
  <c r="AM49" i="28" s="1"/>
  <c r="AU28" i="28" s="1"/>
  <c r="E21" i="27" s="1"/>
  <c r="AM25" i="28" a="1"/>
  <c r="AM25" i="28" s="1"/>
  <c r="AU25" i="28" s="1"/>
  <c r="E18" i="27" s="1"/>
  <c r="AM36" i="28" a="1"/>
  <c r="AM36" i="28" s="1"/>
  <c r="AM51" i="28" a="1"/>
  <c r="AM51" i="28" s="1"/>
  <c r="AM11" i="28" a="1"/>
  <c r="AM11" i="28" s="1"/>
  <c r="AM46" i="28" a="1"/>
  <c r="AM46" i="28" s="1"/>
  <c r="AM39" i="28" a="1"/>
  <c r="AM39" i="28" s="1"/>
  <c r="AM15" i="28" a="1"/>
  <c r="AM15" i="28" s="1"/>
  <c r="AM54" i="28" a="1"/>
  <c r="AM54" i="28" s="1"/>
  <c r="AM14" i="28" a="1"/>
  <c r="AM14" i="28" s="1"/>
  <c r="AM12" i="28" a="1"/>
  <c r="AM12" i="28" s="1"/>
  <c r="AM32" i="28" a="1"/>
  <c r="AM32" i="28" s="1"/>
  <c r="AM23" i="28" a="1"/>
  <c r="AM23" i="28" s="1"/>
  <c r="AM13" i="28" a="1"/>
  <c r="AM13" i="28" s="1"/>
  <c r="AM10" i="28" a="1"/>
  <c r="AM10" i="28" s="1"/>
  <c r="AM24" i="28" a="1"/>
  <c r="AM24" i="28" s="1"/>
  <c r="R23" i="28"/>
  <c r="K3" i="27"/>
  <c r="K16" i="27" s="1"/>
  <c r="J127" i="27"/>
  <c r="J126" i="27"/>
  <c r="B55" i="27"/>
  <c r="P53" i="27"/>
  <c r="Q53" i="27" s="1"/>
  <c r="P59" i="27"/>
  <c r="Q59" i="27" s="1"/>
  <c r="F79" i="27"/>
  <c r="B50" i="27"/>
  <c r="P48" i="27"/>
  <c r="Q48" i="27" s="1"/>
  <c r="E65" i="27"/>
  <c r="S23" i="28"/>
  <c r="L3" i="27"/>
  <c r="L16" i="27" s="1"/>
  <c r="D29" i="27" s="1"/>
  <c r="J132" i="27"/>
  <c r="I131" i="27"/>
  <c r="Y16" i="28"/>
  <c r="Y17" i="28" s="1"/>
  <c r="Y18" i="28" s="1"/>
  <c r="Y19" i="28" s="1"/>
  <c r="AM83" i="28" s="1" a="1"/>
  <c r="AM83" i="28" s="1"/>
  <c r="AP53" i="28" a="1"/>
  <c r="AP53" i="28" s="1"/>
  <c r="P49" i="27"/>
  <c r="Q49" i="27" s="1"/>
  <c r="E70" i="27"/>
  <c r="T23" i="28"/>
  <c r="M3" i="27"/>
  <c r="M16" i="27" s="1"/>
  <c r="E29" i="27" s="1"/>
  <c r="M101" i="27"/>
  <c r="AE10" i="28"/>
  <c r="G78" i="27"/>
  <c r="F44" i="27"/>
  <c r="M120" i="27"/>
  <c r="M100" i="27"/>
  <c r="M99" i="27"/>
  <c r="E40" i="27"/>
  <c r="E85" i="27"/>
  <c r="P74" i="27"/>
  <c r="Q74" i="27" s="1"/>
  <c r="U23" i="28"/>
  <c r="N3" i="27"/>
  <c r="N16" i="27" s="1"/>
  <c r="F29" i="27" s="1"/>
  <c r="J114" i="27"/>
  <c r="J117" i="27"/>
  <c r="I104" i="27"/>
  <c r="P79" i="27"/>
  <c r="Q79" i="27" s="1"/>
  <c r="G43" i="27"/>
  <c r="M43" i="27" s="1"/>
  <c r="F69" i="27"/>
  <c r="I132" i="27"/>
  <c r="V23" i="28"/>
  <c r="O3" i="27"/>
  <c r="O16" i="27" s="1"/>
  <c r="G29" i="27" s="1"/>
  <c r="W23" i="28"/>
  <c r="P3" i="27"/>
  <c r="P16" i="27" s="1"/>
  <c r="H29" i="27" s="1"/>
  <c r="I94" i="27"/>
  <c r="E75" i="27"/>
  <c r="P78" i="27"/>
  <c r="Q78" i="27" s="1"/>
  <c r="B80" i="27"/>
  <c r="AF10" i="28"/>
  <c r="P69" i="27"/>
  <c r="Q69" i="27" s="1"/>
  <c r="AP111" i="28" a="1"/>
  <c r="AP111" i="28" s="1"/>
  <c r="AP109" i="28" a="1"/>
  <c r="AP109" i="28" s="1"/>
  <c r="AP112" i="28" a="1"/>
  <c r="AP112" i="28" s="1"/>
  <c r="AP113" i="28" a="1"/>
  <c r="AP113" i="28" s="1"/>
  <c r="AX23" i="28" s="1"/>
  <c r="H16" i="27" s="1"/>
  <c r="AP110" i="28" a="1"/>
  <c r="AP110" i="28" s="1"/>
  <c r="AP106" i="28" a="1"/>
  <c r="AP106" i="28" s="1"/>
  <c r="AP100" i="28" a="1"/>
  <c r="AP100" i="28" s="1"/>
  <c r="AP94" i="28" a="1"/>
  <c r="AP94" i="28" s="1"/>
  <c r="AP88" i="28" a="1"/>
  <c r="AP88" i="28" s="1"/>
  <c r="AP62" i="28" a="1"/>
  <c r="AP62" i="28" s="1"/>
  <c r="AP99" i="28" a="1"/>
  <c r="AP99" i="28" s="1"/>
  <c r="AP93" i="28" a="1"/>
  <c r="AP93" i="28" s="1"/>
  <c r="AP35" i="28" a="1"/>
  <c r="AP35" i="28" s="1"/>
  <c r="AP105" i="28" a="1"/>
  <c r="AP105" i="28" s="1"/>
  <c r="AX35" i="28" s="1"/>
  <c r="H28" i="27" s="1"/>
  <c r="M115" i="27" s="1"/>
  <c r="AP98" i="28" a="1"/>
  <c r="AP98" i="28" s="1"/>
  <c r="AP92" i="28" a="1"/>
  <c r="AP92" i="28" s="1"/>
  <c r="AP104" i="28" a="1"/>
  <c r="AP104" i="28" s="1"/>
  <c r="AP65" i="28" a="1"/>
  <c r="AP65" i="28" s="1"/>
  <c r="AX30" i="28" s="1"/>
  <c r="H23" i="27" s="1"/>
  <c r="AP91" i="28" a="1"/>
  <c r="AP91" i="28" s="1"/>
  <c r="AP79" i="28" a="1"/>
  <c r="AP79" i="28" s="1"/>
  <c r="AP69" i="28" a="1"/>
  <c r="AP69" i="28" s="1"/>
  <c r="AP31" i="28" a="1"/>
  <c r="AP31" i="28" s="1"/>
  <c r="AP103" i="28" a="1"/>
  <c r="AP103" i="28" s="1"/>
  <c r="AP97" i="28" a="1"/>
  <c r="AP97" i="28" s="1"/>
  <c r="AX34" i="28" s="1"/>
  <c r="H27" i="27" s="1"/>
  <c r="AP90" i="28" a="1"/>
  <c r="AP90" i="28" s="1"/>
  <c r="AP108" i="28" a="1"/>
  <c r="AP108" i="28" s="1"/>
  <c r="AP77" i="28" a="1"/>
  <c r="AP77" i="28" s="1"/>
  <c r="AP50" i="28" a="1"/>
  <c r="AP50" i="28" s="1"/>
  <c r="AP45" i="28" a="1"/>
  <c r="AP45" i="28" s="1"/>
  <c r="AP68" i="28" a="1"/>
  <c r="AP68" i="28" s="1"/>
  <c r="AP40" i="28" a="1"/>
  <c r="AP40" i="28" s="1"/>
  <c r="AP34" i="28" a="1"/>
  <c r="AP34" i="28" s="1"/>
  <c r="AP21" i="28" a="1"/>
  <c r="AP21" i="28" s="1"/>
  <c r="AP107" i="28" a="1"/>
  <c r="AP107" i="28" s="1"/>
  <c r="AP52" i="28" a="1"/>
  <c r="AP52" i="28" s="1"/>
  <c r="AP57" i="28" a="1"/>
  <c r="AP57" i="28" s="1"/>
  <c r="AX29" i="28" s="1"/>
  <c r="H22" i="27" s="1"/>
  <c r="AP47" i="28" a="1"/>
  <c r="AP47" i="28" s="1"/>
  <c r="AP27" i="28" a="1"/>
  <c r="AP27" i="28" s="1"/>
  <c r="AP10" i="28" a="1"/>
  <c r="AP10" i="28" s="1"/>
  <c r="AP42" i="28" a="1"/>
  <c r="AP42" i="28" s="1"/>
  <c r="AP37" i="28" a="1"/>
  <c r="AP37" i="28" s="1"/>
  <c r="AP28" i="28" a="1"/>
  <c r="AP28" i="28" s="1"/>
  <c r="AP26" i="28" a="1"/>
  <c r="AP26" i="28" s="1"/>
  <c r="AP22" i="28" a="1"/>
  <c r="AP22" i="28" s="1"/>
  <c r="AP56" i="28" a="1"/>
  <c r="AP56" i="28" s="1"/>
  <c r="AP25" i="28" a="1"/>
  <c r="AP25" i="28" s="1"/>
  <c r="AX25" i="28" s="1"/>
  <c r="H18" i="27" s="1"/>
  <c r="AP55" i="28" a="1"/>
  <c r="AP55" i="28" s="1"/>
  <c r="AP44" i="28" a="1"/>
  <c r="AP44" i="28" s="1"/>
  <c r="AP24" i="28" a="1"/>
  <c r="AP24" i="28" s="1"/>
  <c r="AP101" i="28" a="1"/>
  <c r="AP101" i="28" s="1"/>
  <c r="AP95" i="28" a="1"/>
  <c r="AP95" i="28" s="1"/>
  <c r="AP49" i="28" a="1"/>
  <c r="AP49" i="28" s="1"/>
  <c r="AX28" i="28" s="1"/>
  <c r="H21" i="27" s="1"/>
  <c r="AP39" i="28" a="1"/>
  <c r="AP39" i="28" s="1"/>
  <c r="AP23" i="28" a="1"/>
  <c r="AP23" i="28" s="1"/>
  <c r="AP54" i="28" a="1"/>
  <c r="AP54" i="28" s="1"/>
  <c r="AP51" i="28" a="1"/>
  <c r="AP51" i="28" s="1"/>
  <c r="AP32" i="28" a="1"/>
  <c r="AP32" i="28" s="1"/>
  <c r="AP29" i="28" a="1"/>
  <c r="AP29" i="28" s="1"/>
  <c r="AP16" i="28" a="1"/>
  <c r="AP16" i="28" s="1"/>
  <c r="AP46" i="28" a="1"/>
  <c r="AP46" i="28" s="1"/>
  <c r="AP36" i="28" a="1"/>
  <c r="AP36" i="28" s="1"/>
  <c r="AP41" i="28" a="1"/>
  <c r="AP41" i="28" s="1"/>
  <c r="AX27" i="28" s="1"/>
  <c r="H20" i="27" s="1"/>
  <c r="AP18" i="28" a="1"/>
  <c r="AP18" i="28" s="1"/>
  <c r="AP20" i="28" a="1"/>
  <c r="AP20" i="28" s="1"/>
  <c r="AP14" i="28" a="1"/>
  <c r="AP14" i="28" s="1"/>
  <c r="AP12" i="28" a="1"/>
  <c r="AP12" i="28" s="1"/>
  <c r="AP19" i="28" a="1"/>
  <c r="AP19" i="28" s="1"/>
  <c r="AP96" i="28" a="1"/>
  <c r="AP96" i="28" s="1"/>
  <c r="AP67" i="28" a="1"/>
  <c r="AP67" i="28" s="1"/>
  <c r="AP13" i="28" a="1"/>
  <c r="AP13" i="28" s="1"/>
  <c r="AP102" i="28" a="1"/>
  <c r="AP102" i="28" s="1"/>
  <c r="AP11" i="28" a="1"/>
  <c r="AP11" i="28" s="1"/>
  <c r="AP48" i="28" a="1"/>
  <c r="AP48" i="28" s="1"/>
  <c r="AP43" i="28" a="1"/>
  <c r="AP43" i="28" s="1"/>
  <c r="AP15" i="28" a="1"/>
  <c r="AP15" i="28" s="1"/>
  <c r="AP38" i="28" a="1"/>
  <c r="AP38" i="28" s="1"/>
  <c r="AP17" i="28" a="1"/>
  <c r="AP17" i="28" s="1"/>
  <c r="AX24" i="28" s="1"/>
  <c r="H17" i="27" s="1"/>
  <c r="AP30" i="28" a="1"/>
  <c r="AP30" i="28" s="1"/>
  <c r="J106" i="27"/>
  <c r="I122" i="27"/>
  <c r="M117" i="27"/>
  <c r="M116" i="27"/>
  <c r="H8" i="28"/>
  <c r="O8" i="28" s="1"/>
  <c r="G8" i="28"/>
  <c r="N8" i="28" s="1"/>
  <c r="B7" i="28"/>
  <c r="F8" i="28"/>
  <c r="M8" i="28" s="1"/>
  <c r="E8" i="28"/>
  <c r="L8" i="28" s="1"/>
  <c r="D8" i="28"/>
  <c r="K8" i="28" s="1"/>
  <c r="C8" i="28"/>
  <c r="J8" i="28" s="1"/>
  <c r="J130" i="27"/>
  <c r="F39" i="27"/>
  <c r="B45" i="27"/>
  <c r="P43" i="27"/>
  <c r="Q43" i="27" s="1"/>
  <c r="F84" i="27"/>
  <c r="G68" i="27"/>
  <c r="E50" i="27"/>
  <c r="I100" i="27"/>
  <c r="M97" i="27"/>
  <c r="I111" i="27"/>
  <c r="I109" i="27"/>
  <c r="I120" i="27"/>
  <c r="P44" i="27"/>
  <c r="Q44" i="27" s="1"/>
  <c r="M121" i="27"/>
  <c r="I107" i="27"/>
  <c r="J121" i="27"/>
  <c r="G38" i="27"/>
  <c r="F74" i="27"/>
  <c r="E60" i="27"/>
  <c r="G83" i="27"/>
  <c r="M83" i="27" s="1"/>
  <c r="C29" i="25"/>
  <c r="E85" i="25"/>
  <c r="P49" i="25"/>
  <c r="Q49" i="25" s="1"/>
  <c r="F49" i="25"/>
  <c r="G63" i="25"/>
  <c r="F69" i="25"/>
  <c r="B40" i="25"/>
  <c r="P38" i="25"/>
  <c r="Q38" i="25" s="1"/>
  <c r="G78" i="25"/>
  <c r="E50" i="25"/>
  <c r="G58" i="25"/>
  <c r="F79" i="25"/>
  <c r="P74" i="25"/>
  <c r="Q74" i="25" s="1"/>
  <c r="P69" i="25"/>
  <c r="Q69" i="25" s="1"/>
  <c r="B60" i="25"/>
  <c r="P58" i="25"/>
  <c r="Q58" i="25" s="1"/>
  <c r="H6" i="26"/>
  <c r="O6" i="26" s="1"/>
  <c r="G6" i="26"/>
  <c r="N6" i="26" s="1"/>
  <c r="F6" i="26"/>
  <c r="M6" i="26" s="1"/>
  <c r="C6" i="26"/>
  <c r="J6" i="26" s="1"/>
  <c r="E6" i="26"/>
  <c r="L6" i="26" s="1"/>
  <c r="D6" i="26"/>
  <c r="K6" i="26" s="1"/>
  <c r="B5" i="26"/>
  <c r="AB10" i="26"/>
  <c r="O16" i="25"/>
  <c r="G29" i="25" s="1"/>
  <c r="P39" i="25"/>
  <c r="Q39" i="25" s="1"/>
  <c r="F39" i="25"/>
  <c r="B55" i="25"/>
  <c r="P53" i="25"/>
  <c r="Q53" i="25" s="1"/>
  <c r="F84" i="25"/>
  <c r="P44" i="25"/>
  <c r="Q44" i="25" s="1"/>
  <c r="V23" i="26"/>
  <c r="E40" i="25"/>
  <c r="B85" i="25"/>
  <c r="P83" i="25"/>
  <c r="Q83" i="25" s="1"/>
  <c r="E45" i="25"/>
  <c r="T23" i="26"/>
  <c r="R23" i="26"/>
  <c r="F74" i="25"/>
  <c r="G48" i="25"/>
  <c r="P68" i="25"/>
  <c r="Q68" i="25" s="1"/>
  <c r="B70" i="25"/>
  <c r="P59" i="25"/>
  <c r="Q59" i="25" s="1"/>
  <c r="B45" i="25"/>
  <c r="P43" i="25"/>
  <c r="Q43" i="25" s="1"/>
  <c r="E65" i="25"/>
  <c r="P84" i="25"/>
  <c r="Q84" i="25" s="1"/>
  <c r="S23" i="26"/>
  <c r="L3" i="25"/>
  <c r="L16" i="25" s="1"/>
  <c r="D29" i="25" s="1"/>
  <c r="AN113" i="26" a="1"/>
  <c r="AN113" i="26" s="1"/>
  <c r="AV23" i="26" s="1"/>
  <c r="F16" i="25" s="1"/>
  <c r="AN112" i="26" a="1"/>
  <c r="AN112" i="26" s="1"/>
  <c r="AN95" i="26" a="1"/>
  <c r="AN95" i="26" s="1"/>
  <c r="AN94" i="26" a="1"/>
  <c r="AN94" i="26" s="1"/>
  <c r="AN86" i="26" a="1"/>
  <c r="AN86" i="26" s="1"/>
  <c r="AN93" i="26" a="1"/>
  <c r="AN93" i="26" s="1"/>
  <c r="AN85" i="26" a="1"/>
  <c r="AN85" i="26" s="1"/>
  <c r="AN79" i="26" a="1"/>
  <c r="AN79" i="26" s="1"/>
  <c r="AN74" i="26" a="1"/>
  <c r="AN74" i="26" s="1"/>
  <c r="AN64" i="26" a="1"/>
  <c r="AN64" i="26" s="1"/>
  <c r="AN53" i="26" a="1"/>
  <c r="AN53" i="26" s="1"/>
  <c r="AN45" i="26" a="1"/>
  <c r="AN45" i="26" s="1"/>
  <c r="AN62" i="26" a="1"/>
  <c r="AN62" i="26" s="1"/>
  <c r="AN91" i="26" a="1"/>
  <c r="AN91" i="26" s="1"/>
  <c r="AN78" i="26" a="1"/>
  <c r="AN78" i="26" s="1"/>
  <c r="AN71" i="26" a="1"/>
  <c r="AN71" i="26" s="1"/>
  <c r="AN109" i="26" a="1"/>
  <c r="AN109" i="26" s="1"/>
  <c r="AN108" i="26" a="1"/>
  <c r="AN108" i="26" s="1"/>
  <c r="AN107" i="26" a="1"/>
  <c r="AN107" i="26" s="1"/>
  <c r="AN106" i="26" a="1"/>
  <c r="AN106" i="26" s="1"/>
  <c r="AN90" i="26" a="1"/>
  <c r="AN90" i="26" s="1"/>
  <c r="AN84" i="26" a="1"/>
  <c r="AN84" i="26" s="1"/>
  <c r="AN77" i="26" a="1"/>
  <c r="AN77" i="26" s="1"/>
  <c r="AN69" i="26" a="1"/>
  <c r="AN69" i="26" s="1"/>
  <c r="AN58" i="26" a="1"/>
  <c r="AN58" i="26" s="1"/>
  <c r="AN110" i="26" a="1"/>
  <c r="AN110" i="26" s="1"/>
  <c r="AN105" i="26" a="1"/>
  <c r="AN105" i="26" s="1"/>
  <c r="AV35" i="26" s="1"/>
  <c r="F28" i="25" s="1"/>
  <c r="AN104" i="26" a="1"/>
  <c r="AN104" i="26" s="1"/>
  <c r="AN103" i="26" a="1"/>
  <c r="AN103" i="26" s="1"/>
  <c r="AN102" i="26" a="1"/>
  <c r="AN102" i="26" s="1"/>
  <c r="AN101" i="26" a="1"/>
  <c r="AN101" i="26" s="1"/>
  <c r="AN111" i="26" a="1"/>
  <c r="AN111" i="26" s="1"/>
  <c r="AN83" i="26" a="1"/>
  <c r="AN83" i="26" s="1"/>
  <c r="AN73" i="26" a="1"/>
  <c r="AN73" i="26" s="1"/>
  <c r="AV31" i="26" s="1"/>
  <c r="F24" i="25" s="1"/>
  <c r="AN67" i="26" a="1"/>
  <c r="AN67" i="26" s="1"/>
  <c r="AN100" i="26" a="1"/>
  <c r="AN100" i="26" s="1"/>
  <c r="AN65" i="26" a="1"/>
  <c r="AN65" i="26" s="1"/>
  <c r="AV30" i="26" s="1"/>
  <c r="F23" i="25" s="1"/>
  <c r="AN54" i="26" a="1"/>
  <c r="AN54" i="26" s="1"/>
  <c r="AN98" i="26" a="1"/>
  <c r="AN98" i="26" s="1"/>
  <c r="AN88" i="26" a="1"/>
  <c r="AN88" i="26" s="1"/>
  <c r="AN97" i="26" a="1"/>
  <c r="AN97" i="26" s="1"/>
  <c r="AV34" i="26" s="1"/>
  <c r="F27" i="25" s="1"/>
  <c r="AN28" i="26" a="1"/>
  <c r="AN28" i="26" s="1"/>
  <c r="AN46" i="26" a="1"/>
  <c r="AN46" i="26" s="1"/>
  <c r="AN33" i="26" a="1"/>
  <c r="AN33" i="26" s="1"/>
  <c r="AV26" i="26" s="1"/>
  <c r="F19" i="25" s="1"/>
  <c r="AN66" i="26" a="1"/>
  <c r="AN66" i="26" s="1"/>
  <c r="AN49" i="26" a="1"/>
  <c r="AN49" i="26" s="1"/>
  <c r="AV28" i="26" s="1"/>
  <c r="F21" i="25" s="1"/>
  <c r="AN26" i="26" a="1"/>
  <c r="AN26" i="26" s="1"/>
  <c r="AN22" i="26" a="1"/>
  <c r="AN22" i="26" s="1"/>
  <c r="AN89" i="26" a="1"/>
  <c r="AN89" i="26" s="1"/>
  <c r="AV33" i="26" s="1"/>
  <c r="F26" i="25" s="1"/>
  <c r="AN80" i="26" a="1"/>
  <c r="AN80" i="26" s="1"/>
  <c r="AN68" i="26" a="1"/>
  <c r="AN68" i="26" s="1"/>
  <c r="AN40" i="26" a="1"/>
  <c r="AN40" i="26" s="1"/>
  <c r="AN34" i="26" a="1"/>
  <c r="AN34" i="26" s="1"/>
  <c r="AN24" i="26" a="1"/>
  <c r="AN24" i="26" s="1"/>
  <c r="AN52" i="26" a="1"/>
  <c r="AN52" i="26" s="1"/>
  <c r="AN37" i="26" a="1"/>
  <c r="AN37" i="26" s="1"/>
  <c r="AN23" i="26" a="1"/>
  <c r="AN23" i="26" s="1"/>
  <c r="AN70" i="26" a="1"/>
  <c r="AN70" i="26" s="1"/>
  <c r="AN81" i="26" a="1"/>
  <c r="AN81" i="26" s="1"/>
  <c r="AV32" i="26" s="1"/>
  <c r="F25" i="25" s="1"/>
  <c r="AN75" i="26" a="1"/>
  <c r="AN75" i="26" s="1"/>
  <c r="AN51" i="26" a="1"/>
  <c r="AN51" i="26" s="1"/>
  <c r="AN48" i="26" a="1"/>
  <c r="AN48" i="26" s="1"/>
  <c r="AN42" i="26" a="1"/>
  <c r="AN42" i="26" s="1"/>
  <c r="AN35" i="26" a="1"/>
  <c r="AN35" i="26" s="1"/>
  <c r="AN17" i="26" a="1"/>
  <c r="AN17" i="26" s="1"/>
  <c r="AV24" i="26" s="1"/>
  <c r="F17" i="25" s="1"/>
  <c r="AN96" i="26" a="1"/>
  <c r="AN96" i="26" s="1"/>
  <c r="AN92" i="26" a="1"/>
  <c r="AN92" i="26" s="1"/>
  <c r="AN87" i="26" a="1"/>
  <c r="AN87" i="26" s="1"/>
  <c r="AN82" i="26" a="1"/>
  <c r="AN82" i="26" s="1"/>
  <c r="AN76" i="26" a="1"/>
  <c r="AN76" i="26" s="1"/>
  <c r="AN39" i="26" a="1"/>
  <c r="AN39" i="26" s="1"/>
  <c r="AN18" i="26" a="1"/>
  <c r="AN18" i="26" s="1"/>
  <c r="AN56" i="26" a="1"/>
  <c r="AN56" i="26" s="1"/>
  <c r="AN19" i="26" a="1"/>
  <c r="AN19" i="26" s="1"/>
  <c r="AN99" i="26" a="1"/>
  <c r="AN99" i="26" s="1"/>
  <c r="AN41" i="26" a="1"/>
  <c r="AN41" i="26" s="1"/>
  <c r="AV27" i="26" s="1"/>
  <c r="F20" i="25" s="1"/>
  <c r="AN59" i="26" a="1"/>
  <c r="AN59" i="26" s="1"/>
  <c r="AN38" i="26" a="1"/>
  <c r="AN38" i="26" s="1"/>
  <c r="AN44" i="26" a="1"/>
  <c r="AN44" i="26" s="1"/>
  <c r="AN36" i="26" a="1"/>
  <c r="AN36" i="26" s="1"/>
  <c r="AN21" i="26" a="1"/>
  <c r="AN21" i="26" s="1"/>
  <c r="AN57" i="26" a="1"/>
  <c r="AN57" i="26" s="1"/>
  <c r="AV29" i="26" s="1"/>
  <c r="F22" i="25" s="1"/>
  <c r="AN13" i="26" a="1"/>
  <c r="AN13" i="26" s="1"/>
  <c r="AN29" i="26" a="1"/>
  <c r="AN29" i="26" s="1"/>
  <c r="AN20" i="26" a="1"/>
  <c r="AN20" i="26" s="1"/>
  <c r="AN15" i="26" a="1"/>
  <c r="AN15" i="26" s="1"/>
  <c r="AN32" i="26" a="1"/>
  <c r="AN32" i="26" s="1"/>
  <c r="AN72" i="26" a="1"/>
  <c r="AN72" i="26" s="1"/>
  <c r="AN60" i="26" a="1"/>
  <c r="AN60" i="26" s="1"/>
  <c r="AN47" i="26" a="1"/>
  <c r="AN47" i="26" s="1"/>
  <c r="AN63" i="26" a="1"/>
  <c r="AN63" i="26" s="1"/>
  <c r="AN55" i="26" a="1"/>
  <c r="AN55" i="26" s="1"/>
  <c r="AN50" i="26" a="1"/>
  <c r="AN50" i="26" s="1"/>
  <c r="AN30" i="26" a="1"/>
  <c r="AN30" i="26" s="1"/>
  <c r="AN14" i="26" a="1"/>
  <c r="AN14" i="26" s="1"/>
  <c r="AN43" i="26" a="1"/>
  <c r="AN43" i="26" s="1"/>
  <c r="AN11" i="26" a="1"/>
  <c r="AN11" i="26" s="1"/>
  <c r="AN10" i="26" a="1"/>
  <c r="AN10" i="26" s="1"/>
  <c r="AN61" i="26" a="1"/>
  <c r="AN61" i="26" s="1"/>
  <c r="AN16" i="26" a="1"/>
  <c r="AN16" i="26" s="1"/>
  <c r="AN12" i="26" a="1"/>
  <c r="AN12" i="26" s="1"/>
  <c r="AN27" i="26" a="1"/>
  <c r="AN27" i="26" s="1"/>
  <c r="AN25" i="26" a="1"/>
  <c r="AN25" i="26" s="1"/>
  <c r="AV25" i="26" s="1"/>
  <c r="F18" i="25" s="1"/>
  <c r="AN31" i="26" a="1"/>
  <c r="AN31" i="26" s="1"/>
  <c r="B75" i="25"/>
  <c r="P73" i="25"/>
  <c r="Q73" i="25" s="1"/>
  <c r="G68" i="25"/>
  <c r="F54" i="25"/>
  <c r="AM113" i="26" a="1"/>
  <c r="AM113" i="26" s="1"/>
  <c r="AU23" i="26" s="1"/>
  <c r="E16" i="25" s="1"/>
  <c r="AM80" i="26" a="1"/>
  <c r="AM80" i="26" s="1"/>
  <c r="AM75" i="26" a="1"/>
  <c r="AM75" i="26" s="1"/>
  <c r="AM72" i="26" a="1"/>
  <c r="AM72" i="26" s="1"/>
  <c r="AM95" i="26" a="1"/>
  <c r="AM95" i="26" s="1"/>
  <c r="AM66" i="26" a="1"/>
  <c r="AM66" i="26" s="1"/>
  <c r="AM55" i="26" a="1"/>
  <c r="AM55" i="26" s="1"/>
  <c r="AM50" i="26" a="1"/>
  <c r="AM50" i="26" s="1"/>
  <c r="AM94" i="26" a="1"/>
  <c r="AM94" i="26" s="1"/>
  <c r="AM93" i="26" a="1"/>
  <c r="AM93" i="26" s="1"/>
  <c r="AM86" i="26" a="1"/>
  <c r="AM86" i="26" s="1"/>
  <c r="AM85" i="26" a="1"/>
  <c r="AM85" i="26" s="1"/>
  <c r="AM79" i="26" a="1"/>
  <c r="AM79" i="26" s="1"/>
  <c r="AM74" i="26" a="1"/>
  <c r="AM74" i="26" s="1"/>
  <c r="AM92" i="26" a="1"/>
  <c r="AM92" i="26" s="1"/>
  <c r="AM62" i="26" a="1"/>
  <c r="AM62" i="26" s="1"/>
  <c r="AM91" i="26" a="1"/>
  <c r="AM91" i="26" s="1"/>
  <c r="AM60" i="26" a="1"/>
  <c r="AM60" i="26" s="1"/>
  <c r="AM109" i="26" a="1"/>
  <c r="AM109" i="26" s="1"/>
  <c r="AM108" i="26" a="1"/>
  <c r="AM108" i="26" s="1"/>
  <c r="AM107" i="26" a="1"/>
  <c r="AM107" i="26" s="1"/>
  <c r="AM106" i="26" a="1"/>
  <c r="AM106" i="26" s="1"/>
  <c r="AM90" i="26" a="1"/>
  <c r="AM90" i="26" s="1"/>
  <c r="AM84" i="26" a="1"/>
  <c r="AM84" i="26" s="1"/>
  <c r="AM78" i="26" a="1"/>
  <c r="AM78" i="26" s="1"/>
  <c r="AM77" i="26" a="1"/>
  <c r="AM77" i="26" s="1"/>
  <c r="AM110" i="26" a="1"/>
  <c r="AM110" i="26" s="1"/>
  <c r="AM105" i="26" a="1"/>
  <c r="AM105" i="26" s="1"/>
  <c r="AU35" i="26" s="1"/>
  <c r="E28" i="25" s="1"/>
  <c r="J109" i="25" s="1"/>
  <c r="AM104" i="26" a="1"/>
  <c r="AM104" i="26" s="1"/>
  <c r="AM103" i="26" a="1"/>
  <c r="AM103" i="26" s="1"/>
  <c r="AM102" i="26" a="1"/>
  <c r="AM102" i="26" s="1"/>
  <c r="AM101" i="26" a="1"/>
  <c r="AM101" i="26" s="1"/>
  <c r="AM69" i="26" a="1"/>
  <c r="AM69" i="26" s="1"/>
  <c r="AM58" i="26" a="1"/>
  <c r="AM58" i="26" s="1"/>
  <c r="AM111" i="26" a="1"/>
  <c r="AM111" i="26" s="1"/>
  <c r="AM73" i="26" a="1"/>
  <c r="AM73" i="26" s="1"/>
  <c r="AU31" i="26" s="1"/>
  <c r="E24" i="25" s="1"/>
  <c r="AM99" i="26" a="1"/>
  <c r="AM99" i="26" s="1"/>
  <c r="AM89" i="26" a="1"/>
  <c r="AM89" i="26" s="1"/>
  <c r="AU33" i="26" s="1"/>
  <c r="E26" i="25" s="1"/>
  <c r="AM82" i="26" a="1"/>
  <c r="AM82" i="26" s="1"/>
  <c r="AM76" i="26" a="1"/>
  <c r="AM76" i="26" s="1"/>
  <c r="AM112" i="26" a="1"/>
  <c r="AM112" i="26" s="1"/>
  <c r="AM98" i="26" a="1"/>
  <c r="AM98" i="26" s="1"/>
  <c r="AM88" i="26" a="1"/>
  <c r="AM88" i="26" s="1"/>
  <c r="AM61" i="26" a="1"/>
  <c r="AM61" i="26" s="1"/>
  <c r="AM59" i="26" a="1"/>
  <c r="AM59" i="26" s="1"/>
  <c r="AM38" i="26" a="1"/>
  <c r="AM38" i="26" s="1"/>
  <c r="AM32" i="26" a="1"/>
  <c r="AM32" i="26" s="1"/>
  <c r="AM30" i="26" a="1"/>
  <c r="AM30" i="26" s="1"/>
  <c r="AM97" i="26" a="1"/>
  <c r="AM97" i="26" s="1"/>
  <c r="AU34" i="26" s="1"/>
  <c r="E27" i="25" s="1"/>
  <c r="AM67" i="26" a="1"/>
  <c r="AM67" i="26" s="1"/>
  <c r="AM64" i="26" a="1"/>
  <c r="AM64" i="26" s="1"/>
  <c r="AM53" i="26" a="1"/>
  <c r="AM53" i="26" s="1"/>
  <c r="AM43" i="26" a="1"/>
  <c r="AM43" i="26" s="1"/>
  <c r="AM29" i="26" a="1"/>
  <c r="AM29" i="26" s="1"/>
  <c r="AM100" i="26" a="1"/>
  <c r="AM100" i="26" s="1"/>
  <c r="AM46" i="26" a="1"/>
  <c r="AM46" i="26" s="1"/>
  <c r="AM28" i="26" a="1"/>
  <c r="AM28" i="26" s="1"/>
  <c r="AM33" i="26" a="1"/>
  <c r="AM33" i="26" s="1"/>
  <c r="AU26" i="26" s="1"/>
  <c r="E19" i="25" s="1"/>
  <c r="AM27" i="26" a="1"/>
  <c r="AM27" i="26" s="1"/>
  <c r="AM49" i="26" a="1"/>
  <c r="AM49" i="26" s="1"/>
  <c r="AU28" i="26" s="1"/>
  <c r="E21" i="25" s="1"/>
  <c r="AM40" i="26" a="1"/>
  <c r="AM40" i="26" s="1"/>
  <c r="AM26" i="26" a="1"/>
  <c r="AM26" i="26" s="1"/>
  <c r="AM22" i="26" a="1"/>
  <c r="AM22" i="26" s="1"/>
  <c r="AM68" i="26" a="1"/>
  <c r="AM68" i="26" s="1"/>
  <c r="AM34" i="26" a="1"/>
  <c r="AM34" i="26" s="1"/>
  <c r="AM25" i="26" a="1"/>
  <c r="AM25" i="26" s="1"/>
  <c r="AU25" i="26" s="1"/>
  <c r="E18" i="25" s="1"/>
  <c r="AM24" i="26" a="1"/>
  <c r="AM24" i="26" s="1"/>
  <c r="AM71" i="26" a="1"/>
  <c r="AM71" i="26" s="1"/>
  <c r="AM52" i="26" a="1"/>
  <c r="AM52" i="26" s="1"/>
  <c r="AM45" i="26" a="1"/>
  <c r="AM45" i="26" s="1"/>
  <c r="AM37" i="26" a="1"/>
  <c r="AM37" i="26" s="1"/>
  <c r="AM23" i="26" a="1"/>
  <c r="AM23" i="26" s="1"/>
  <c r="AM81" i="26" a="1"/>
  <c r="AM81" i="26" s="1"/>
  <c r="AU32" i="26" s="1"/>
  <c r="E25" i="25" s="1"/>
  <c r="AM70" i="26" a="1"/>
  <c r="AM70" i="26" s="1"/>
  <c r="AM48" i="26" a="1"/>
  <c r="AM48" i="26" s="1"/>
  <c r="AM42" i="26" a="1"/>
  <c r="AM42" i="26" s="1"/>
  <c r="AM15" i="26" a="1"/>
  <c r="AM15" i="26" s="1"/>
  <c r="AM51" i="26" a="1"/>
  <c r="AM51" i="26" s="1"/>
  <c r="AM35" i="26" a="1"/>
  <c r="AM35" i="26" s="1"/>
  <c r="AM16" i="26" a="1"/>
  <c r="AM16" i="26" s="1"/>
  <c r="AM96" i="26" a="1"/>
  <c r="AM96" i="26" s="1"/>
  <c r="AM87" i="26" a="1"/>
  <c r="AM87" i="26" s="1"/>
  <c r="AM17" i="26" a="1"/>
  <c r="AM17" i="26" s="1"/>
  <c r="AU24" i="26" s="1"/>
  <c r="E17" i="25" s="1"/>
  <c r="AM56" i="26" a="1"/>
  <c r="AM56" i="26" s="1"/>
  <c r="AM39" i="26" a="1"/>
  <c r="AM39" i="26" s="1"/>
  <c r="AM83" i="26" a="1"/>
  <c r="AM83" i="26" s="1"/>
  <c r="AM31" i="26" a="1"/>
  <c r="AM31" i="26" s="1"/>
  <c r="AM12" i="26" a="1"/>
  <c r="AM12" i="26" s="1"/>
  <c r="AM18" i="26" a="1"/>
  <c r="AM18" i="26" s="1"/>
  <c r="AM41" i="26" a="1"/>
  <c r="AM41" i="26" s="1"/>
  <c r="AU27" i="26" s="1"/>
  <c r="E20" i="25" s="1"/>
  <c r="AM57" i="26" a="1"/>
  <c r="AM57" i="26" s="1"/>
  <c r="AU29" i="26" s="1"/>
  <c r="E22" i="25" s="1"/>
  <c r="AM54" i="26" a="1"/>
  <c r="AM54" i="26" s="1"/>
  <c r="AM44" i="26" a="1"/>
  <c r="AM44" i="26" s="1"/>
  <c r="AM36" i="26" a="1"/>
  <c r="AM36" i="26" s="1"/>
  <c r="AM21" i="26" a="1"/>
  <c r="AM21" i="26" s="1"/>
  <c r="AM13" i="26" a="1"/>
  <c r="AM13" i="26" s="1"/>
  <c r="AM20" i="26" a="1"/>
  <c r="AM20" i="26" s="1"/>
  <c r="AM47" i="26" a="1"/>
  <c r="AM47" i="26" s="1"/>
  <c r="AM65" i="26" a="1"/>
  <c r="AM65" i="26" s="1"/>
  <c r="AU30" i="26" s="1"/>
  <c r="E23" i="25" s="1"/>
  <c r="AM63" i="26" a="1"/>
  <c r="AM63" i="26" s="1"/>
  <c r="AM19" i="26" a="1"/>
  <c r="AM19" i="26" s="1"/>
  <c r="AM11" i="26" a="1"/>
  <c r="AM11" i="26" s="1"/>
  <c r="AM10" i="26" a="1"/>
  <c r="AM10" i="26" s="1"/>
  <c r="AM14" i="26" a="1"/>
  <c r="AM14" i="26" s="1"/>
  <c r="G83" i="25"/>
  <c r="AO113" i="26" a="1"/>
  <c r="AO113" i="26" s="1"/>
  <c r="AW23" i="26" s="1"/>
  <c r="G16" i="25" s="1"/>
  <c r="AO111" i="26" a="1"/>
  <c r="AO111" i="26" s="1"/>
  <c r="AO112" i="26" a="1"/>
  <c r="AO112" i="26" s="1"/>
  <c r="AO94" i="26" a="1"/>
  <c r="AO94" i="26" s="1"/>
  <c r="AO74" i="26" a="1"/>
  <c r="AO74" i="26" s="1"/>
  <c r="AO93" i="26" a="1"/>
  <c r="AO93" i="26" s="1"/>
  <c r="AO85" i="26" a="1"/>
  <c r="AO85" i="26" s="1"/>
  <c r="AO79" i="26" a="1"/>
  <c r="AO79" i="26" s="1"/>
  <c r="AO62" i="26" a="1"/>
  <c r="AO62" i="26" s="1"/>
  <c r="AO48" i="26" a="1"/>
  <c r="AO48" i="26" s="1"/>
  <c r="AO92" i="26" a="1"/>
  <c r="AO92" i="26" s="1"/>
  <c r="AO78" i="26" a="1"/>
  <c r="AO78" i="26" s="1"/>
  <c r="AO71" i="26" a="1"/>
  <c r="AO71" i="26" s="1"/>
  <c r="AO60" i="26" a="1"/>
  <c r="AO60" i="26" s="1"/>
  <c r="AO109" i="26" a="1"/>
  <c r="AO109" i="26" s="1"/>
  <c r="AO108" i="26" a="1"/>
  <c r="AO108" i="26" s="1"/>
  <c r="AO107" i="26" a="1"/>
  <c r="AO107" i="26" s="1"/>
  <c r="AO106" i="26" a="1"/>
  <c r="AO106" i="26" s="1"/>
  <c r="AO90" i="26" a="1"/>
  <c r="AO90" i="26" s="1"/>
  <c r="AO84" i="26" a="1"/>
  <c r="AO84" i="26" s="1"/>
  <c r="AO77" i="26" a="1"/>
  <c r="AO77" i="26" s="1"/>
  <c r="AO110" i="26" a="1"/>
  <c r="AO110" i="26" s="1"/>
  <c r="AO105" i="26" a="1"/>
  <c r="AO105" i="26" s="1"/>
  <c r="AW35" i="26" s="1"/>
  <c r="G28" i="25" s="1"/>
  <c r="L127" i="25" s="1"/>
  <c r="AO104" i="26" a="1"/>
  <c r="AO104" i="26" s="1"/>
  <c r="AO103" i="26" a="1"/>
  <c r="AO103" i="26" s="1"/>
  <c r="AO102" i="26" a="1"/>
  <c r="AO102" i="26" s="1"/>
  <c r="AO101" i="26" a="1"/>
  <c r="AO101" i="26" s="1"/>
  <c r="AO73" i="26" a="1"/>
  <c r="AO73" i="26" s="1"/>
  <c r="AW31" i="26" s="1"/>
  <c r="G24" i="25" s="1"/>
  <c r="AO67" i="26" a="1"/>
  <c r="AO67" i="26" s="1"/>
  <c r="AO56" i="26" a="1"/>
  <c r="AO56" i="26" s="1"/>
  <c r="AO83" i="26" a="1"/>
  <c r="AO83" i="26" s="1"/>
  <c r="AO100" i="26" a="1"/>
  <c r="AO100" i="26" s="1"/>
  <c r="AO89" i="26" a="1"/>
  <c r="AO89" i="26" s="1"/>
  <c r="AW33" i="26" s="1"/>
  <c r="G26" i="25" s="1"/>
  <c r="AO63" i="26" a="1"/>
  <c r="AO63" i="26" s="1"/>
  <c r="AO99" i="26" a="1"/>
  <c r="AO99" i="26" s="1"/>
  <c r="AO82" i="26" a="1"/>
  <c r="AO82" i="26" s="1"/>
  <c r="AO76" i="26" a="1"/>
  <c r="AO76" i="26" s="1"/>
  <c r="AO70" i="26" a="1"/>
  <c r="AO70" i="26" s="1"/>
  <c r="AO97" i="26" a="1"/>
  <c r="AO97" i="26" s="1"/>
  <c r="AW34" i="26" s="1"/>
  <c r="G27" i="25" s="1"/>
  <c r="AO66" i="26" a="1"/>
  <c r="AO66" i="26" s="1"/>
  <c r="AO64" i="26" a="1"/>
  <c r="AO64" i="26" s="1"/>
  <c r="AO53" i="26" a="1"/>
  <c r="AO53" i="26" s="1"/>
  <c r="AO26" i="26" a="1"/>
  <c r="AO26" i="26" s="1"/>
  <c r="AO22" i="26" a="1"/>
  <c r="AO22" i="26" s="1"/>
  <c r="AO91" i="26" a="1"/>
  <c r="AO91" i="26" s="1"/>
  <c r="AO49" i="26" a="1"/>
  <c r="AO49" i="26" s="1"/>
  <c r="AW28" i="26" s="1"/>
  <c r="G21" i="25" s="1"/>
  <c r="AO40" i="26" a="1"/>
  <c r="AO40" i="26" s="1"/>
  <c r="AO34" i="26" a="1"/>
  <c r="AO34" i="26" s="1"/>
  <c r="AO80" i="26" a="1"/>
  <c r="AO80" i="26" s="1"/>
  <c r="AO69" i="26" a="1"/>
  <c r="AO69" i="26" s="1"/>
  <c r="AO68" i="26" a="1"/>
  <c r="AO68" i="26" s="1"/>
  <c r="AO24" i="26" a="1"/>
  <c r="AO24" i="26" s="1"/>
  <c r="AO95" i="26" a="1"/>
  <c r="AO95" i="26" s="1"/>
  <c r="AO52" i="26" a="1"/>
  <c r="AO52" i="26" s="1"/>
  <c r="AO98" i="26" a="1"/>
  <c r="AO98" i="26" s="1"/>
  <c r="AO86" i="26" a="1"/>
  <c r="AO86" i="26" s="1"/>
  <c r="AO37" i="26" a="1"/>
  <c r="AO37" i="26" s="1"/>
  <c r="AO81" i="26" a="1"/>
  <c r="AO81" i="26" s="1"/>
  <c r="AW32" i="26" s="1"/>
  <c r="G25" i="25" s="1"/>
  <c r="AO75" i="26" a="1"/>
  <c r="AO75" i="26" s="1"/>
  <c r="AO45" i="26" a="1"/>
  <c r="AO45" i="26" s="1"/>
  <c r="AO42" i="26" a="1"/>
  <c r="AO42" i="26" s="1"/>
  <c r="AO35" i="26" a="1"/>
  <c r="AO35" i="26" s="1"/>
  <c r="AO51" i="26" a="1"/>
  <c r="AO51" i="26" s="1"/>
  <c r="AO39" i="26" a="1"/>
  <c r="AO39" i="26" s="1"/>
  <c r="AO96" i="26" a="1"/>
  <c r="AO96" i="26" s="1"/>
  <c r="AO87" i="26" a="1"/>
  <c r="AO87" i="26" s="1"/>
  <c r="AO19" i="26" a="1"/>
  <c r="AO19" i="26" s="1"/>
  <c r="AO72" i="26" a="1"/>
  <c r="AO72" i="26" s="1"/>
  <c r="AO58" i="26" a="1"/>
  <c r="AO58" i="26" s="1"/>
  <c r="AO57" i="26" a="1"/>
  <c r="AO57" i="26" s="1"/>
  <c r="AW29" i="26" s="1"/>
  <c r="G22" i="25" s="1"/>
  <c r="AO44" i="26" a="1"/>
  <c r="AO44" i="26" s="1"/>
  <c r="AO36" i="26" a="1"/>
  <c r="AO36" i="26" s="1"/>
  <c r="AO20" i="26" a="1"/>
  <c r="AO20" i="26" s="1"/>
  <c r="AO47" i="26" a="1"/>
  <c r="AO47" i="26" s="1"/>
  <c r="AO41" i="26" a="1"/>
  <c r="AO41" i="26" s="1"/>
  <c r="AW27" i="26" s="1"/>
  <c r="G20" i="25" s="1"/>
  <c r="AO31" i="26" a="1"/>
  <c r="AO31" i="26" s="1"/>
  <c r="AO88" i="26" a="1"/>
  <c r="AO88" i="26" s="1"/>
  <c r="AO21" i="26" a="1"/>
  <c r="AO21" i="26" s="1"/>
  <c r="AO18" i="26" a="1"/>
  <c r="AO18" i="26" s="1"/>
  <c r="AO54" i="26" a="1"/>
  <c r="AO54" i="26" s="1"/>
  <c r="AO46" i="26" a="1"/>
  <c r="AO46" i="26" s="1"/>
  <c r="AO29" i="26" a="1"/>
  <c r="AO29" i="26" s="1"/>
  <c r="AO15" i="26" a="1"/>
  <c r="AO15" i="26" s="1"/>
  <c r="AO32" i="26" a="1"/>
  <c r="AO32" i="26" s="1"/>
  <c r="AO17" i="26" a="1"/>
  <c r="AO17" i="26" s="1"/>
  <c r="AW24" i="26" s="1"/>
  <c r="G17" i="25" s="1"/>
  <c r="AO55" i="26" a="1"/>
  <c r="AO55" i="26" s="1"/>
  <c r="AO50" i="26" a="1"/>
  <c r="AO50" i="26" s="1"/>
  <c r="AO30" i="26" a="1"/>
  <c r="AO30" i="26" s="1"/>
  <c r="AO65" i="26" a="1"/>
  <c r="AO65" i="26" s="1"/>
  <c r="AW30" i="26" s="1"/>
  <c r="G23" i="25" s="1"/>
  <c r="AO14" i="26" a="1"/>
  <c r="AO14" i="26" s="1"/>
  <c r="AO10" i="26" a="1"/>
  <c r="AO10" i="26" s="1"/>
  <c r="AO33" i="26" a="1"/>
  <c r="AO33" i="26" s="1"/>
  <c r="AW26" i="26" s="1"/>
  <c r="G19" i="25" s="1"/>
  <c r="AO25" i="26" a="1"/>
  <c r="AO25" i="26" s="1"/>
  <c r="AW25" i="26" s="1"/>
  <c r="G18" i="25" s="1"/>
  <c r="AO59" i="26" a="1"/>
  <c r="AO59" i="26" s="1"/>
  <c r="AO38" i="26" a="1"/>
  <c r="AO38" i="26" s="1"/>
  <c r="AO11" i="26" a="1"/>
  <c r="AO11" i="26" s="1"/>
  <c r="AO43" i="26" a="1"/>
  <c r="AO43" i="26" s="1"/>
  <c r="AO61" i="26" a="1"/>
  <c r="AO61" i="26" s="1"/>
  <c r="AO16" i="26" a="1"/>
  <c r="AO16" i="26" s="1"/>
  <c r="AO12" i="26" a="1"/>
  <c r="AO12" i="26" s="1"/>
  <c r="AO27" i="26" a="1"/>
  <c r="AO27" i="26" s="1"/>
  <c r="AO23" i="26" a="1"/>
  <c r="AO23" i="26" s="1"/>
  <c r="AO13" i="26" a="1"/>
  <c r="AO13" i="26" s="1"/>
  <c r="AO28" i="26" a="1"/>
  <c r="AO28" i="26" s="1"/>
  <c r="P16" i="25"/>
  <c r="H29" i="25" s="1"/>
  <c r="AL112" i="26" a="1"/>
  <c r="AL112" i="26" s="1"/>
  <c r="AL110" i="26" a="1"/>
  <c r="AL110" i="26" s="1"/>
  <c r="AL113" i="26" a="1"/>
  <c r="AL113" i="26" s="1"/>
  <c r="AT23" i="26" s="1"/>
  <c r="D16" i="25" s="1"/>
  <c r="AL97" i="26" a="1"/>
  <c r="AL97" i="26" s="1"/>
  <c r="AT34" i="26" s="1"/>
  <c r="D27" i="25" s="1"/>
  <c r="AL96" i="26" a="1"/>
  <c r="AL96" i="26" s="1"/>
  <c r="AL87" i="26" a="1"/>
  <c r="AL87" i="26" s="1"/>
  <c r="AL81" i="26" a="1"/>
  <c r="AL81" i="26" s="1"/>
  <c r="AT32" i="26" s="1"/>
  <c r="D25" i="25" s="1"/>
  <c r="AL70" i="26" a="1"/>
  <c r="AL70" i="26" s="1"/>
  <c r="AL35" i="26" a="1"/>
  <c r="AL35" i="26" s="1"/>
  <c r="AL95" i="26" a="1"/>
  <c r="AL95" i="26" s="1"/>
  <c r="AL80" i="26" a="1"/>
  <c r="AL80" i="26" s="1"/>
  <c r="AL75" i="26" a="1"/>
  <c r="AL75" i="26" s="1"/>
  <c r="AL72" i="26" a="1"/>
  <c r="AL72" i="26" s="1"/>
  <c r="AL68" i="26" a="1"/>
  <c r="AL68" i="26" s="1"/>
  <c r="AL59" i="26" a="1"/>
  <c r="AL59" i="26" s="1"/>
  <c r="AL57" i="26" a="1"/>
  <c r="AL57" i="26" s="1"/>
  <c r="AT29" i="26" s="1"/>
  <c r="D22" i="25" s="1"/>
  <c r="AL47" i="26" a="1"/>
  <c r="AL47" i="26" s="1"/>
  <c r="AL94" i="26" a="1"/>
  <c r="AL94" i="26" s="1"/>
  <c r="AL93" i="26" a="1"/>
  <c r="AL93" i="26" s="1"/>
  <c r="AL92" i="26" a="1"/>
  <c r="AL92" i="26" s="1"/>
  <c r="AL64" i="26" a="1"/>
  <c r="AL64" i="26" s="1"/>
  <c r="AL62" i="26" a="1"/>
  <c r="AL62" i="26" s="1"/>
  <c r="AL53" i="26" a="1"/>
  <c r="AL53" i="26" s="1"/>
  <c r="AL109" i="26" a="1"/>
  <c r="AL109" i="26" s="1"/>
  <c r="AL108" i="26" a="1"/>
  <c r="AL108" i="26" s="1"/>
  <c r="AL107" i="26" a="1"/>
  <c r="AL107" i="26" s="1"/>
  <c r="AL106" i="26" a="1"/>
  <c r="AL106" i="26" s="1"/>
  <c r="AL91" i="26" a="1"/>
  <c r="AL91" i="26" s="1"/>
  <c r="AL90" i="26" a="1"/>
  <c r="AL90" i="26" s="1"/>
  <c r="AL84" i="26" a="1"/>
  <c r="AL84" i="26" s="1"/>
  <c r="AL78" i="26" a="1"/>
  <c r="AL78" i="26" s="1"/>
  <c r="AL77" i="26" a="1"/>
  <c r="AL77" i="26" s="1"/>
  <c r="AL71" i="26" a="1"/>
  <c r="AL71" i="26" s="1"/>
  <c r="AL60" i="26" a="1"/>
  <c r="AL60" i="26" s="1"/>
  <c r="AL105" i="26" a="1"/>
  <c r="AL105" i="26" s="1"/>
  <c r="AT35" i="26" s="1"/>
  <c r="D28" i="25" s="1"/>
  <c r="I131" i="25" s="1"/>
  <c r="AL104" i="26" a="1"/>
  <c r="AL104" i="26" s="1"/>
  <c r="AL103" i="26" a="1"/>
  <c r="AL103" i="26" s="1"/>
  <c r="AL102" i="26" a="1"/>
  <c r="AL102" i="26" s="1"/>
  <c r="AL101" i="26" a="1"/>
  <c r="AL101" i="26" s="1"/>
  <c r="AL111" i="26" a="1"/>
  <c r="AL111" i="26" s="1"/>
  <c r="AL100" i="26" a="1"/>
  <c r="AL100" i="26" s="1"/>
  <c r="AL89" i="26" a="1"/>
  <c r="AL89" i="26" s="1"/>
  <c r="AT33" i="26" s="1"/>
  <c r="D26" i="25" s="1"/>
  <c r="AL83" i="26" a="1"/>
  <c r="AL83" i="26" s="1"/>
  <c r="AL65" i="26" a="1"/>
  <c r="AL65" i="26" s="1"/>
  <c r="AT30" i="26" s="1"/>
  <c r="D23" i="25" s="1"/>
  <c r="AL54" i="26" a="1"/>
  <c r="AL54" i="26" s="1"/>
  <c r="AL50" i="26" a="1"/>
  <c r="AL50" i="26" s="1"/>
  <c r="AL44" i="26" a="1"/>
  <c r="AL44" i="26" s="1"/>
  <c r="AL41" i="26" a="1"/>
  <c r="AL41" i="26" s="1"/>
  <c r="AT27" i="26" s="1"/>
  <c r="D20" i="25" s="1"/>
  <c r="AL36" i="26" a="1"/>
  <c r="AL36" i="26" s="1"/>
  <c r="AL63" i="26" a="1"/>
  <c r="AL63" i="26" s="1"/>
  <c r="AL31" i="26" a="1"/>
  <c r="AL31" i="26" s="1"/>
  <c r="AL67" i="26" a="1"/>
  <c r="AL67" i="26" s="1"/>
  <c r="AL61" i="26" a="1"/>
  <c r="AL61" i="26" s="1"/>
  <c r="AL43" i="26" a="1"/>
  <c r="AL43" i="26" s="1"/>
  <c r="AL38" i="26" a="1"/>
  <c r="AL38" i="26" s="1"/>
  <c r="AL32" i="26" a="1"/>
  <c r="AL32" i="26" s="1"/>
  <c r="AL30" i="26" a="1"/>
  <c r="AL30" i="26" s="1"/>
  <c r="AL74" i="26" a="1"/>
  <c r="AL74" i="26" s="1"/>
  <c r="AL66" i="26" a="1"/>
  <c r="AL66" i="26" s="1"/>
  <c r="AL29" i="26" a="1"/>
  <c r="AL29" i="26" s="1"/>
  <c r="AL69" i="26" a="1"/>
  <c r="AL69" i="26" s="1"/>
  <c r="AL46" i="26" a="1"/>
  <c r="AL46" i="26" s="1"/>
  <c r="AL28" i="26" a="1"/>
  <c r="AL28" i="26" s="1"/>
  <c r="AL98" i="26" a="1"/>
  <c r="AL98" i="26" s="1"/>
  <c r="AL86" i="26" a="1"/>
  <c r="AL86" i="26" s="1"/>
  <c r="AL33" i="26" a="1"/>
  <c r="AL33" i="26" s="1"/>
  <c r="AT26" i="26" s="1"/>
  <c r="D19" i="25" s="1"/>
  <c r="AL27" i="26" a="1"/>
  <c r="AL27" i="26" s="1"/>
  <c r="AL49" i="26" a="1"/>
  <c r="AL49" i="26" s="1"/>
  <c r="AT28" i="26" s="1"/>
  <c r="D21" i="25" s="1"/>
  <c r="AL40" i="26" a="1"/>
  <c r="AL40" i="26" s="1"/>
  <c r="AL26" i="26" a="1"/>
  <c r="AL26" i="26" s="1"/>
  <c r="AL22" i="26" a="1"/>
  <c r="AL22" i="26" s="1"/>
  <c r="AL34" i="26" a="1"/>
  <c r="AL34" i="26" s="1"/>
  <c r="AL25" i="26" a="1"/>
  <c r="AL25" i="26" s="1"/>
  <c r="AT25" i="26" s="1"/>
  <c r="D18" i="25" s="1"/>
  <c r="AL45" i="26" a="1"/>
  <c r="AL45" i="26" s="1"/>
  <c r="AL37" i="26" a="1"/>
  <c r="AL37" i="26" s="1"/>
  <c r="AL24" i="26" a="1"/>
  <c r="AL24" i="26" s="1"/>
  <c r="AL13" i="26" a="1"/>
  <c r="AL13" i="26" s="1"/>
  <c r="AL52" i="26" a="1"/>
  <c r="AL52" i="26" s="1"/>
  <c r="AL23" i="26" a="1"/>
  <c r="AL23" i="26" s="1"/>
  <c r="AL14" i="26" a="1"/>
  <c r="AL14" i="26" s="1"/>
  <c r="AL82" i="26" a="1"/>
  <c r="AL82" i="26" s="1"/>
  <c r="AL76" i="26" a="1"/>
  <c r="AL76" i="26" s="1"/>
  <c r="AL51" i="26" a="1"/>
  <c r="AL51" i="26" s="1"/>
  <c r="AL48" i="26" a="1"/>
  <c r="AL48" i="26" s="1"/>
  <c r="AL42" i="26" a="1"/>
  <c r="AL42" i="26" s="1"/>
  <c r="AL15" i="26" a="1"/>
  <c r="AL15" i="26" s="1"/>
  <c r="AL85" i="26" a="1"/>
  <c r="AL85" i="26" s="1"/>
  <c r="AL79" i="26" a="1"/>
  <c r="AL79" i="26" s="1"/>
  <c r="AL73" i="26" a="1"/>
  <c r="AL73" i="26" s="1"/>
  <c r="AT31" i="26" s="1"/>
  <c r="D24" i="25" s="1"/>
  <c r="AL88" i="26" a="1"/>
  <c r="AL88" i="26" s="1"/>
  <c r="AL12" i="26" a="1"/>
  <c r="AL12" i="26" s="1"/>
  <c r="AL18" i="26" a="1"/>
  <c r="AL18" i="26" s="1"/>
  <c r="AL39" i="26" a="1"/>
  <c r="AL39" i="26" s="1"/>
  <c r="AL21" i="26" a="1"/>
  <c r="AL21" i="26" s="1"/>
  <c r="AL20" i="26" a="1"/>
  <c r="AL20" i="26" s="1"/>
  <c r="AL99" i="26" a="1"/>
  <c r="AL99" i="26" s="1"/>
  <c r="AL58" i="26" a="1"/>
  <c r="AL58" i="26" s="1"/>
  <c r="AL17" i="26" a="1"/>
  <c r="AL17" i="26" s="1"/>
  <c r="AT24" i="26" s="1"/>
  <c r="D17" i="25" s="1"/>
  <c r="AL55" i="26" a="1"/>
  <c r="AL55" i="26" s="1"/>
  <c r="AL16" i="26" a="1"/>
  <c r="AL16" i="26" s="1"/>
  <c r="AL56" i="26" a="1"/>
  <c r="AL56" i="26" s="1"/>
  <c r="AL11" i="26" a="1"/>
  <c r="AL11" i="26" s="1"/>
  <c r="AL10" i="26" a="1"/>
  <c r="AL10" i="26" s="1"/>
  <c r="AL19" i="26" a="1"/>
  <c r="AL19" i="26" s="1"/>
  <c r="W23" i="26"/>
  <c r="F64" i="25"/>
  <c r="L64" i="25" s="1"/>
  <c r="E34" i="25"/>
  <c r="E33" i="25"/>
  <c r="E32" i="25"/>
  <c r="D33" i="25"/>
  <c r="B33" i="25"/>
  <c r="C33" i="25"/>
  <c r="D34" i="25"/>
  <c r="C34" i="25"/>
  <c r="D35" i="25"/>
  <c r="B34" i="25"/>
  <c r="P32" i="25"/>
  <c r="Q32" i="25" s="1"/>
  <c r="C35" i="25"/>
  <c r="G32" i="25"/>
  <c r="F32" i="25"/>
  <c r="F33" i="25"/>
  <c r="C32" i="25"/>
  <c r="D32" i="25"/>
  <c r="G38" i="25"/>
  <c r="K98" i="25"/>
  <c r="L124" i="25"/>
  <c r="J117" i="25"/>
  <c r="K92" i="25"/>
  <c r="P64" i="25"/>
  <c r="Q64" i="25" s="1"/>
  <c r="E60" i="25"/>
  <c r="K60" i="25" s="1"/>
  <c r="U23" i="26"/>
  <c r="G73" i="25"/>
  <c r="M73" i="25" s="1"/>
  <c r="P48" i="25"/>
  <c r="Q48" i="25" s="1"/>
  <c r="B50" i="25"/>
  <c r="K80" i="25"/>
  <c r="AP112" i="26" a="1"/>
  <c r="AP112" i="26" s="1"/>
  <c r="AP113" i="26" a="1"/>
  <c r="AP113" i="26" s="1"/>
  <c r="AX23" i="26" s="1"/>
  <c r="H16" i="25" s="1"/>
  <c r="AP93" i="26" a="1"/>
  <c r="AP93" i="26" s="1"/>
  <c r="AP85" i="26" a="1"/>
  <c r="AP85" i="26" s="1"/>
  <c r="AP79" i="26" a="1"/>
  <c r="AP79" i="26" s="1"/>
  <c r="AP92" i="26" a="1"/>
  <c r="AP92" i="26" s="1"/>
  <c r="AP60" i="26" a="1"/>
  <c r="AP60" i="26" s="1"/>
  <c r="AP78" i="26" a="1"/>
  <c r="AP78" i="26" s="1"/>
  <c r="AP71" i="26" a="1"/>
  <c r="AP71" i="26" s="1"/>
  <c r="AP69" i="26" a="1"/>
  <c r="AP69" i="26" s="1"/>
  <c r="AP58" i="26" a="1"/>
  <c r="AP58" i="26" s="1"/>
  <c r="AP51" i="26" a="1"/>
  <c r="AP51" i="26" s="1"/>
  <c r="AP43" i="26" a="1"/>
  <c r="AP43" i="26" s="1"/>
  <c r="AP91" i="26" a="1"/>
  <c r="AP91" i="26" s="1"/>
  <c r="AP84" i="26" a="1"/>
  <c r="AP84" i="26" s="1"/>
  <c r="AP109" i="26" a="1"/>
  <c r="AP109" i="26" s="1"/>
  <c r="AP108" i="26" a="1"/>
  <c r="AP108" i="26" s="1"/>
  <c r="AP107" i="26" a="1"/>
  <c r="AP107" i="26" s="1"/>
  <c r="AP106" i="26" a="1"/>
  <c r="AP106" i="26" s="1"/>
  <c r="AP110" i="26" a="1"/>
  <c r="AP110" i="26" s="1"/>
  <c r="AP105" i="26" a="1"/>
  <c r="AP105" i="26" s="1"/>
  <c r="AX35" i="26" s="1"/>
  <c r="H28" i="25" s="1"/>
  <c r="M122" i="25" s="1"/>
  <c r="AP104" i="26" a="1"/>
  <c r="AP104" i="26" s="1"/>
  <c r="AP103" i="26" a="1"/>
  <c r="AP103" i="26" s="1"/>
  <c r="AP102" i="26" a="1"/>
  <c r="AP102" i="26" s="1"/>
  <c r="AP101" i="26" a="1"/>
  <c r="AP101" i="26" s="1"/>
  <c r="AP65" i="26" a="1"/>
  <c r="AP65" i="26" s="1"/>
  <c r="AX30" i="26" s="1"/>
  <c r="H23" i="25" s="1"/>
  <c r="AP54" i="26" a="1"/>
  <c r="AP54" i="26" s="1"/>
  <c r="AP100" i="26" a="1"/>
  <c r="AP100" i="26" s="1"/>
  <c r="AP89" i="26" a="1"/>
  <c r="AP89" i="26" s="1"/>
  <c r="AX33" i="26" s="1"/>
  <c r="H26" i="25" s="1"/>
  <c r="AP83" i="26" a="1"/>
  <c r="AP83" i="26" s="1"/>
  <c r="AP111" i="26" a="1"/>
  <c r="AP111" i="26" s="1"/>
  <c r="AP76" i="26" a="1"/>
  <c r="AP76" i="26" s="1"/>
  <c r="AP99" i="26" a="1"/>
  <c r="AP99" i="26" s="1"/>
  <c r="AP82" i="26" a="1"/>
  <c r="AP82" i="26" s="1"/>
  <c r="AP61" i="26" a="1"/>
  <c r="AP61" i="26" s="1"/>
  <c r="AP98" i="26" a="1"/>
  <c r="AP98" i="26" s="1"/>
  <c r="AP88" i="26" a="1"/>
  <c r="AP88" i="26" s="1"/>
  <c r="AP70" i="26" a="1"/>
  <c r="AP70" i="26" s="1"/>
  <c r="AP35" i="26" a="1"/>
  <c r="AP35" i="26" s="1"/>
  <c r="AP97" i="26" a="1"/>
  <c r="AP97" i="26" s="1"/>
  <c r="AX34" i="26" s="1"/>
  <c r="H27" i="25" s="1"/>
  <c r="AP75" i="26" a="1"/>
  <c r="AP75" i="26" s="1"/>
  <c r="AP72" i="26" a="1"/>
  <c r="AP72" i="26" s="1"/>
  <c r="AP68" i="26" a="1"/>
  <c r="AP68" i="26" s="1"/>
  <c r="AP57" i="26" a="1"/>
  <c r="AP57" i="26" s="1"/>
  <c r="AX29" i="26" s="1"/>
  <c r="H22" i="25" s="1"/>
  <c r="AP96" i="26" a="1"/>
  <c r="AP96" i="26" s="1"/>
  <c r="AP87" i="26" a="1"/>
  <c r="AP87" i="26" s="1"/>
  <c r="AP40" i="26" a="1"/>
  <c r="AP40" i="26" s="1"/>
  <c r="AP24" i="26" a="1"/>
  <c r="AP24" i="26" s="1"/>
  <c r="AP80" i="26" a="1"/>
  <c r="AP80" i="26" s="1"/>
  <c r="AP95" i="26" a="1"/>
  <c r="AP95" i="26" s="1"/>
  <c r="AP74" i="26" a="1"/>
  <c r="AP74" i="26" s="1"/>
  <c r="AP52" i="26" a="1"/>
  <c r="AP52" i="26" s="1"/>
  <c r="AP37" i="26" a="1"/>
  <c r="AP37" i="26" s="1"/>
  <c r="AP86" i="26" a="1"/>
  <c r="AP86" i="26" s="1"/>
  <c r="AP45" i="26" a="1"/>
  <c r="AP45" i="26" s="1"/>
  <c r="AP42" i="26" a="1"/>
  <c r="AP42" i="26" s="1"/>
  <c r="AP81" i="26" a="1"/>
  <c r="AP81" i="26" s="1"/>
  <c r="AX32" i="26" s="1"/>
  <c r="H25" i="25" s="1"/>
  <c r="AP48" i="26" a="1"/>
  <c r="AP48" i="26" s="1"/>
  <c r="AP39" i="26" a="1"/>
  <c r="AP39" i="26" s="1"/>
  <c r="AP56" i="26" a="1"/>
  <c r="AP56" i="26" s="1"/>
  <c r="AP20" i="26" a="1"/>
  <c r="AP20" i="26" s="1"/>
  <c r="AP90" i="26" a="1"/>
  <c r="AP90" i="26" s="1"/>
  <c r="AP47" i="26" a="1"/>
  <c r="AP47" i="26" s="1"/>
  <c r="AP44" i="26" a="1"/>
  <c r="AP44" i="26" s="1"/>
  <c r="AP41" i="26" a="1"/>
  <c r="AP41" i="26" s="1"/>
  <c r="AX27" i="26" s="1"/>
  <c r="H20" i="25" s="1"/>
  <c r="AP36" i="26" a="1"/>
  <c r="AP36" i="26" s="1"/>
  <c r="AP31" i="26" a="1"/>
  <c r="AP31" i="26" s="1"/>
  <c r="AP50" i="26" a="1"/>
  <c r="AP50" i="26" s="1"/>
  <c r="AP32" i="26" a="1"/>
  <c r="AP32" i="26" s="1"/>
  <c r="AP30" i="26" a="1"/>
  <c r="AP30" i="26" s="1"/>
  <c r="AP94" i="26" a="1"/>
  <c r="AP94" i="26" s="1"/>
  <c r="AP59" i="26" a="1"/>
  <c r="AP59" i="26" s="1"/>
  <c r="AP55" i="26" a="1"/>
  <c r="AP55" i="26" s="1"/>
  <c r="AP29" i="26" a="1"/>
  <c r="AP29" i="26" s="1"/>
  <c r="AP21" i="26" a="1"/>
  <c r="AP21" i="26" s="1"/>
  <c r="AP63" i="26" a="1"/>
  <c r="AP63" i="26" s="1"/>
  <c r="AP77" i="26" a="1"/>
  <c r="AP77" i="26" s="1"/>
  <c r="AP46" i="26" a="1"/>
  <c r="AP46" i="26" s="1"/>
  <c r="AP15" i="26" a="1"/>
  <c r="AP15" i="26" s="1"/>
  <c r="AP64" i="26" a="1"/>
  <c r="AP64" i="26" s="1"/>
  <c r="AP62" i="26" a="1"/>
  <c r="AP62" i="26" s="1"/>
  <c r="AP49" i="26" a="1"/>
  <c r="AP49" i="26" s="1"/>
  <c r="AX28" i="26" s="1"/>
  <c r="H21" i="25" s="1"/>
  <c r="M53" i="25" s="1"/>
  <c r="AP17" i="26" a="1"/>
  <c r="AP17" i="26" s="1"/>
  <c r="AX24" i="26" s="1"/>
  <c r="H17" i="25" s="1"/>
  <c r="AP14" i="26" a="1"/>
  <c r="AP14" i="26" s="1"/>
  <c r="AP67" i="26" a="1"/>
  <c r="AP67" i="26" s="1"/>
  <c r="AP19" i="26" a="1"/>
  <c r="AP19" i="26" s="1"/>
  <c r="AP10" i="26" a="1"/>
  <c r="AP10" i="26" s="1"/>
  <c r="AP33" i="26" a="1"/>
  <c r="AP33" i="26" s="1"/>
  <c r="AX26" i="26" s="1"/>
  <c r="H19" i="25" s="1"/>
  <c r="M43" i="25" s="1"/>
  <c r="AP26" i="26" a="1"/>
  <c r="AP26" i="26" s="1"/>
  <c r="AP27" i="26" a="1"/>
  <c r="AP27" i="26" s="1"/>
  <c r="AP25" i="26" a="1"/>
  <c r="AP25" i="26" s="1"/>
  <c r="AX25" i="26" s="1"/>
  <c r="H18" i="25" s="1"/>
  <c r="AP16" i="26" a="1"/>
  <c r="AP16" i="26" s="1"/>
  <c r="AP12" i="26" a="1"/>
  <c r="AP12" i="26" s="1"/>
  <c r="AP66" i="26" a="1"/>
  <c r="AP66" i="26" s="1"/>
  <c r="AP22" i="26" a="1"/>
  <c r="AP22" i="26" s="1"/>
  <c r="AP13" i="26" a="1"/>
  <c r="AP13" i="26" s="1"/>
  <c r="AP11" i="26" a="1"/>
  <c r="AP11" i="26" s="1"/>
  <c r="AP34" i="26" a="1"/>
  <c r="AP34" i="26" s="1"/>
  <c r="AP38" i="26" a="1"/>
  <c r="AP38" i="26" s="1"/>
  <c r="AP18" i="26" a="1"/>
  <c r="AP18" i="26" s="1"/>
  <c r="AP73" i="26" a="1"/>
  <c r="AP73" i="26" s="1"/>
  <c r="AX31" i="26" s="1"/>
  <c r="H24" i="25" s="1"/>
  <c r="AP23" i="26" a="1"/>
  <c r="AP23" i="26" s="1"/>
  <c r="AP53" i="26" a="1"/>
  <c r="AP53" i="26" s="1"/>
  <c r="AP28" i="26" a="1"/>
  <c r="AP28" i="26" s="1"/>
  <c r="K123" i="25"/>
  <c r="L104" i="25"/>
  <c r="K107" i="25"/>
  <c r="P79" i="25"/>
  <c r="Q79" i="25" s="1"/>
  <c r="F44" i="25"/>
  <c r="L44" i="25" s="1"/>
  <c r="E70" i="25"/>
  <c r="K70" i="25" s="1"/>
  <c r="P78" i="25"/>
  <c r="Q78" i="25" s="1"/>
  <c r="B80" i="25"/>
  <c r="E75" i="25"/>
  <c r="K75" i="25" s="1"/>
  <c r="P63" i="25"/>
  <c r="Q63" i="25" s="1"/>
  <c r="B65" i="25"/>
  <c r="P54" i="25"/>
  <c r="Q54" i="25" s="1"/>
  <c r="F59" i="25"/>
  <c r="E55" i="25"/>
  <c r="K55" i="25" s="1"/>
  <c r="W24" i="11"/>
  <c r="V24" i="11"/>
  <c r="AO21" i="17"/>
  <c r="AO19" i="17"/>
  <c r="AA7" i="19"/>
  <c r="AU12" i="28" l="1" a="1"/>
  <c r="AU12" i="28" s="1"/>
  <c r="E5" i="27" s="1"/>
  <c r="AP75" i="28" a="1"/>
  <c r="AP75" i="28" s="1"/>
  <c r="AO113" i="28" a="1"/>
  <c r="AO113" i="28" s="1"/>
  <c r="AW23" i="28" s="1"/>
  <c r="G16" i="27" s="1"/>
  <c r="AO111" i="28" a="1"/>
  <c r="AO111" i="28" s="1"/>
  <c r="AO109" i="28" a="1"/>
  <c r="AO109" i="28" s="1"/>
  <c r="AO112" i="28" a="1"/>
  <c r="AO112" i="28" s="1"/>
  <c r="AO110" i="28" a="1"/>
  <c r="AO110" i="28" s="1"/>
  <c r="AO107" i="28" a="1"/>
  <c r="AO107" i="28" s="1"/>
  <c r="AO101" i="28" a="1"/>
  <c r="AO101" i="28" s="1"/>
  <c r="AO89" i="28" a="1"/>
  <c r="AO89" i="28" s="1"/>
  <c r="AW33" i="28" s="1"/>
  <c r="G26" i="27" s="1"/>
  <c r="AO82" i="28" a="1"/>
  <c r="AO82" i="28" s="1"/>
  <c r="AO76" i="28" a="1"/>
  <c r="AO76" i="28" s="1"/>
  <c r="AO71" i="28" a="1"/>
  <c r="AO71" i="28" s="1"/>
  <c r="AO67" i="28" a="1"/>
  <c r="AO67" i="28" s="1"/>
  <c r="AO106" i="28" a="1"/>
  <c r="AO106" i="28" s="1"/>
  <c r="AO100" i="28" a="1"/>
  <c r="AO100" i="28" s="1"/>
  <c r="AO88" i="28" a="1"/>
  <c r="AO88" i="28" s="1"/>
  <c r="AO58" i="28" a="1"/>
  <c r="AO58" i="28" s="1"/>
  <c r="AO94" i="28" a="1"/>
  <c r="AO94" i="28" s="1"/>
  <c r="AO87" i="28" a="1"/>
  <c r="AO87" i="28" s="1"/>
  <c r="AO75" i="28" a="1"/>
  <c r="AO75" i="28" s="1"/>
  <c r="AO66" i="28" a="1"/>
  <c r="AO66" i="28" s="1"/>
  <c r="AO62" i="28" a="1"/>
  <c r="AO62" i="28" s="1"/>
  <c r="AO99" i="28" a="1"/>
  <c r="AO99" i="28" s="1"/>
  <c r="AO93" i="28" a="1"/>
  <c r="AO93" i="28" s="1"/>
  <c r="AO81" i="28" a="1"/>
  <c r="AO81" i="28" s="1"/>
  <c r="AW32" i="28" s="1"/>
  <c r="G25" i="27" s="1"/>
  <c r="AO105" i="28" a="1"/>
  <c r="AO105" i="28" s="1"/>
  <c r="AW35" i="28" s="1"/>
  <c r="G28" i="27" s="1"/>
  <c r="AO74" i="28" a="1"/>
  <c r="AO74" i="28" s="1"/>
  <c r="AO98" i="28" a="1"/>
  <c r="AO98" i="28" s="1"/>
  <c r="AO92" i="28" a="1"/>
  <c r="AO92" i="28" s="1"/>
  <c r="AO80" i="28" a="1"/>
  <c r="AO80" i="28" s="1"/>
  <c r="AO61" i="28" a="1"/>
  <c r="AO61" i="28" s="1"/>
  <c r="AO104" i="28" a="1"/>
  <c r="AO104" i="28" s="1"/>
  <c r="AO86" i="28" a="1"/>
  <c r="AO86" i="28" s="1"/>
  <c r="AO33" i="28" a="1"/>
  <c r="AO33" i="28" s="1"/>
  <c r="AW26" i="28" s="1"/>
  <c r="G19" i="27" s="1"/>
  <c r="AO79" i="28" a="1"/>
  <c r="AO79" i="28" s="1"/>
  <c r="AO103" i="28" a="1"/>
  <c r="AO103" i="28" s="1"/>
  <c r="AO91" i="28" a="1"/>
  <c r="AO91" i="28" s="1"/>
  <c r="AO85" i="28" a="1"/>
  <c r="AO85" i="28" s="1"/>
  <c r="AO97" i="28" a="1"/>
  <c r="AO97" i="28" s="1"/>
  <c r="AW34" i="28" s="1"/>
  <c r="G27" i="27" s="1"/>
  <c r="AO73" i="28" a="1"/>
  <c r="AO73" i="28" s="1"/>
  <c r="AW31" i="28" s="1"/>
  <c r="G24" i="27" s="1"/>
  <c r="AO96" i="28" a="1"/>
  <c r="AO96" i="28" s="1"/>
  <c r="AO78" i="28" a="1"/>
  <c r="AO78" i="28" s="1"/>
  <c r="AO48" i="28" a="1"/>
  <c r="AO48" i="28" s="1"/>
  <c r="AO38" i="28" a="1"/>
  <c r="AO38" i="28" s="1"/>
  <c r="AO30" i="28" a="1"/>
  <c r="AO30" i="28" s="1"/>
  <c r="AO20" i="28" a="1"/>
  <c r="AO20" i="28" s="1"/>
  <c r="AO90" i="28" a="1"/>
  <c r="AO90" i="28" s="1"/>
  <c r="AO77" i="28" a="1"/>
  <c r="AO77" i="28" s="1"/>
  <c r="AO50" i="28" a="1"/>
  <c r="AO50" i="28" s="1"/>
  <c r="AO84" i="28" a="1"/>
  <c r="AO84" i="28" s="1"/>
  <c r="AO68" i="28" a="1"/>
  <c r="AO68" i="28" s="1"/>
  <c r="AO45" i="28" a="1"/>
  <c r="AO45" i="28" s="1"/>
  <c r="AO52" i="28" a="1"/>
  <c r="AO52" i="28" s="1"/>
  <c r="AO40" i="28" a="1"/>
  <c r="AO40" i="28" s="1"/>
  <c r="AO34" i="28" a="1"/>
  <c r="AO34" i="28" s="1"/>
  <c r="AO21" i="28" a="1"/>
  <c r="AO21" i="28" s="1"/>
  <c r="AO60" i="28" a="1"/>
  <c r="AO60" i="28" s="1"/>
  <c r="AO65" i="28" a="1"/>
  <c r="AO65" i="28" s="1"/>
  <c r="AW30" i="28" s="1"/>
  <c r="G23" i="27" s="1"/>
  <c r="AO59" i="28" a="1"/>
  <c r="AO59" i="28" s="1"/>
  <c r="AO57" i="28" a="1"/>
  <c r="AO57" i="28" s="1"/>
  <c r="AW29" i="28" s="1"/>
  <c r="G22" i="27" s="1"/>
  <c r="AO47" i="28" a="1"/>
  <c r="AO47" i="28" s="1"/>
  <c r="AO42" i="28" a="1"/>
  <c r="AO42" i="28" s="1"/>
  <c r="AO31" i="28" a="1"/>
  <c r="AO31" i="28" s="1"/>
  <c r="AO27" i="28" a="1"/>
  <c r="AO27" i="28" s="1"/>
  <c r="AO69" i="28" a="1"/>
  <c r="AO69" i="28" s="1"/>
  <c r="AO64" i="28" a="1"/>
  <c r="AO64" i="28" s="1"/>
  <c r="AO63" i="28" a="1"/>
  <c r="AO63" i="28" s="1"/>
  <c r="AO56" i="28" a="1"/>
  <c r="AO56" i="28" s="1"/>
  <c r="AO37" i="28" a="1"/>
  <c r="AO37" i="28" s="1"/>
  <c r="AO28" i="28" a="1"/>
  <c r="AO28" i="28" s="1"/>
  <c r="AO26" i="28" a="1"/>
  <c r="AO26" i="28" s="1"/>
  <c r="AO22" i="28" a="1"/>
  <c r="AO22" i="28" s="1"/>
  <c r="AO55" i="28" a="1"/>
  <c r="AO55" i="28" s="1"/>
  <c r="AO44" i="28" a="1"/>
  <c r="AO44" i="28" s="1"/>
  <c r="AO35" i="28" a="1"/>
  <c r="AO35" i="28" s="1"/>
  <c r="AO25" i="28" a="1"/>
  <c r="AO25" i="28" s="1"/>
  <c r="AW25" i="28" s="1"/>
  <c r="G18" i="27" s="1"/>
  <c r="AO95" i="28" a="1"/>
  <c r="AO95" i="28" s="1"/>
  <c r="AO49" i="28" a="1"/>
  <c r="AO49" i="28" s="1"/>
  <c r="AW28" i="28" s="1"/>
  <c r="G21" i="27" s="1"/>
  <c r="L54" i="27" s="1"/>
  <c r="AO24" i="28" a="1"/>
  <c r="AO24" i="28" s="1"/>
  <c r="AO54" i="28" a="1"/>
  <c r="AO54" i="28" s="1"/>
  <c r="AO39" i="28" a="1"/>
  <c r="AO39" i="28" s="1"/>
  <c r="AO23" i="28" a="1"/>
  <c r="AO23" i="28" s="1"/>
  <c r="AO108" i="28" a="1"/>
  <c r="AO108" i="28" s="1"/>
  <c r="AO72" i="28" a="1"/>
  <c r="AO72" i="28" s="1"/>
  <c r="AO51" i="28" a="1"/>
  <c r="AO51" i="28" s="1"/>
  <c r="AO32" i="28" a="1"/>
  <c r="AO32" i="28" s="1"/>
  <c r="AO70" i="28" a="1"/>
  <c r="AO70" i="28" s="1"/>
  <c r="AO36" i="28" a="1"/>
  <c r="AO36" i="28" s="1"/>
  <c r="AO29" i="28" a="1"/>
  <c r="AO29" i="28" s="1"/>
  <c r="AO46" i="28" a="1"/>
  <c r="AO46" i="28" s="1"/>
  <c r="AO41" i="28" a="1"/>
  <c r="AO41" i="28" s="1"/>
  <c r="AW27" i="28" s="1"/>
  <c r="G20" i="27" s="1"/>
  <c r="AO17" i="28" a="1"/>
  <c r="AO17" i="28" s="1"/>
  <c r="AW24" i="28" s="1"/>
  <c r="G17" i="27" s="1"/>
  <c r="AO14" i="28" a="1"/>
  <c r="AO14" i="28" s="1"/>
  <c r="AO12" i="28" a="1"/>
  <c r="AO12" i="28" s="1"/>
  <c r="AO19" i="28" a="1"/>
  <c r="AO19" i="28" s="1"/>
  <c r="AO18" i="28" a="1"/>
  <c r="AO18" i="28" s="1"/>
  <c r="AO83" i="28" a="1"/>
  <c r="AO83" i="28" s="1"/>
  <c r="AO13" i="28" a="1"/>
  <c r="AO13" i="28" s="1"/>
  <c r="AO10" i="28" a="1"/>
  <c r="AO10" i="28" s="1"/>
  <c r="AO102" i="28" a="1"/>
  <c r="AO102" i="28" s="1"/>
  <c r="AO43" i="28" a="1"/>
  <c r="AO43" i="28" s="1"/>
  <c r="AO11" i="28" a="1"/>
  <c r="AO11" i="28" s="1"/>
  <c r="AO16" i="28" a="1"/>
  <c r="AO16" i="28" s="1"/>
  <c r="AO15" i="28" a="1"/>
  <c r="AO15" i="28" s="1"/>
  <c r="AO53" i="28" a="1"/>
  <c r="AO53" i="28" s="1"/>
  <c r="P50" i="27"/>
  <c r="Q50" i="27" s="1"/>
  <c r="AM66" i="28" a="1"/>
  <c r="AM66" i="28" s="1"/>
  <c r="AM84" i="28" a="1"/>
  <c r="AM84" i="28" s="1"/>
  <c r="AM65" i="28" a="1"/>
  <c r="AM65" i="28" s="1"/>
  <c r="AU30" i="28" s="1"/>
  <c r="E23" i="27" s="1"/>
  <c r="AM67" i="28" a="1"/>
  <c r="AM67" i="28" s="1"/>
  <c r="AL58" i="28" a="1"/>
  <c r="AL58" i="28" s="1"/>
  <c r="AT17" i="28" s="1" a="1"/>
  <c r="AT17" i="28" s="1"/>
  <c r="D10" i="27" s="1"/>
  <c r="AL76" i="28" a="1"/>
  <c r="AL76" i="28" s="1"/>
  <c r="J110" i="27"/>
  <c r="J93" i="27"/>
  <c r="P65" i="27"/>
  <c r="Q65" i="27" s="1"/>
  <c r="AM79" i="28" a="1"/>
  <c r="AM79" i="28" s="1"/>
  <c r="AL85" i="28" a="1"/>
  <c r="AL85" i="28" s="1"/>
  <c r="AL61" i="28" a="1"/>
  <c r="AL61" i="28" s="1"/>
  <c r="AL77" i="28" a="1"/>
  <c r="AL77" i="28" s="1"/>
  <c r="AM80" i="28" a="1"/>
  <c r="AM80" i="28" s="1"/>
  <c r="AM58" i="28" a="1"/>
  <c r="AM58" i="28" s="1"/>
  <c r="AU13" i="28" s="1" a="1"/>
  <c r="AU13" i="28" s="1"/>
  <c r="E6" i="27" s="1"/>
  <c r="AL62" i="28" a="1"/>
  <c r="AL62" i="28" s="1"/>
  <c r="M58" i="27"/>
  <c r="J129" i="27"/>
  <c r="AP66" i="28" a="1"/>
  <c r="AP66" i="28" s="1"/>
  <c r="AP72" i="28" a="1"/>
  <c r="AP72" i="28" s="1"/>
  <c r="AP80" i="28" a="1"/>
  <c r="AP80" i="28" s="1"/>
  <c r="L69" i="27"/>
  <c r="AM69" i="28" a="1"/>
  <c r="AM69" i="28" s="1"/>
  <c r="AM86" i="28" a="1"/>
  <c r="AM86" i="28" s="1"/>
  <c r="AL80" i="28" a="1"/>
  <c r="AL80" i="28" s="1"/>
  <c r="AL66" i="28" a="1"/>
  <c r="AL66" i="28" s="1"/>
  <c r="E35" i="27"/>
  <c r="K35" i="27" s="1"/>
  <c r="L64" i="27"/>
  <c r="I124" i="27"/>
  <c r="AP83" i="28" a="1"/>
  <c r="AP83" i="28" s="1"/>
  <c r="AP86" i="28" a="1"/>
  <c r="AP86" i="28" s="1"/>
  <c r="L79" i="27"/>
  <c r="P55" i="27"/>
  <c r="Q55" i="27" s="1"/>
  <c r="AM70" i="28" a="1"/>
  <c r="AM70" i="28" s="1"/>
  <c r="AL69" i="28" a="1"/>
  <c r="AL69" i="28" s="1"/>
  <c r="AL75" i="28" a="1"/>
  <c r="AL75" i="28" s="1"/>
  <c r="AL83" i="28" a="1"/>
  <c r="AL83" i="28" s="1"/>
  <c r="P85" i="27"/>
  <c r="Q85" i="27" s="1"/>
  <c r="L59" i="27"/>
  <c r="L39" i="27"/>
  <c r="L85" i="27"/>
  <c r="L40" i="27"/>
  <c r="L80" i="27"/>
  <c r="L55" i="27"/>
  <c r="L45" i="27"/>
  <c r="L65" i="27"/>
  <c r="L50" i="27"/>
  <c r="L35" i="27"/>
  <c r="L60" i="27"/>
  <c r="L70" i="27"/>
  <c r="L75" i="27"/>
  <c r="AM71" i="28" a="1"/>
  <c r="AM71" i="28" s="1"/>
  <c r="AL81" i="28" a="1"/>
  <c r="AL81" i="28" s="1"/>
  <c r="AT32" i="28" s="1"/>
  <c r="D25" i="27" s="1"/>
  <c r="AL89" i="28" a="1"/>
  <c r="AL89" i="28" s="1"/>
  <c r="AT33" i="28" s="1"/>
  <c r="D26" i="27" s="1"/>
  <c r="P75" i="27"/>
  <c r="Q75" i="27" s="1"/>
  <c r="M98" i="27"/>
  <c r="M73" i="27"/>
  <c r="L84" i="27"/>
  <c r="AP89" i="28" a="1"/>
  <c r="AP89" i="28" s="1"/>
  <c r="AX33" i="28" s="1"/>
  <c r="H26" i="27" s="1"/>
  <c r="M78" i="27" s="1"/>
  <c r="AP58" i="28" a="1"/>
  <c r="AP58" i="28" s="1"/>
  <c r="AX13" i="28" s="1" a="1"/>
  <c r="AX13" i="28" s="1"/>
  <c r="H6" i="27" s="1"/>
  <c r="M42" i="27" s="1"/>
  <c r="AP78" i="28" a="1"/>
  <c r="AP78" i="28" s="1"/>
  <c r="AP71" i="28" a="1"/>
  <c r="AP71" i="28" s="1"/>
  <c r="P80" i="27"/>
  <c r="Q80" i="27" s="1"/>
  <c r="AM76" i="28" a="1"/>
  <c r="AM76" i="28" s="1"/>
  <c r="P60" i="27"/>
  <c r="Q60" i="27" s="1"/>
  <c r="AL67" i="28" a="1"/>
  <c r="AL67" i="28" s="1"/>
  <c r="AL87" i="28" a="1"/>
  <c r="AL87" i="28" s="1"/>
  <c r="F34" i="27"/>
  <c r="L34" i="27" s="1"/>
  <c r="J120" i="27"/>
  <c r="J103" i="27"/>
  <c r="AP59" i="28" a="1"/>
  <c r="AP59" i="28" s="1"/>
  <c r="AX21" i="28" s="1" a="1"/>
  <c r="AX21" i="28" s="1"/>
  <c r="H14" i="27" s="1"/>
  <c r="M82" i="27" s="1"/>
  <c r="AP84" i="28" a="1"/>
  <c r="AP84" i="28" s="1"/>
  <c r="AP74" i="28" a="1"/>
  <c r="AP74" i="28" s="1"/>
  <c r="AP76" i="28" a="1"/>
  <c r="AP76" i="28" s="1"/>
  <c r="AM74" i="28" a="1"/>
  <c r="AM74" i="28" s="1"/>
  <c r="AM82" i="28" a="1"/>
  <c r="AM82" i="28" s="1"/>
  <c r="L49" i="27"/>
  <c r="AL79" i="28" a="1"/>
  <c r="AL79" i="28" s="1"/>
  <c r="AL88" i="28" a="1"/>
  <c r="AL88" i="28" s="1"/>
  <c r="AL63" i="28" a="1"/>
  <c r="AL63" i="28" s="1"/>
  <c r="I126" i="27"/>
  <c r="AP60" i="28" a="1"/>
  <c r="AP60" i="28" s="1"/>
  <c r="AX18" i="28" s="1" a="1"/>
  <c r="AX18" i="28" s="1"/>
  <c r="H11" i="27" s="1"/>
  <c r="M67" i="27" s="1"/>
  <c r="AP82" i="28" a="1"/>
  <c r="AP82" i="28" s="1"/>
  <c r="M118" i="27"/>
  <c r="AM64" i="28" a="1"/>
  <c r="AM64" i="28" s="1"/>
  <c r="AM60" i="28" a="1"/>
  <c r="AM60" i="28" s="1"/>
  <c r="AL64" i="28" a="1"/>
  <c r="AL64" i="28" s="1"/>
  <c r="G33" i="27"/>
  <c r="M33" i="27" s="1"/>
  <c r="M122" i="27"/>
  <c r="P40" i="27"/>
  <c r="Q40" i="27" s="1"/>
  <c r="M113" i="27"/>
  <c r="AL84" i="28" a="1"/>
  <c r="AL84" i="28" s="1"/>
  <c r="AL86" i="28" a="1"/>
  <c r="AL86" i="28" s="1"/>
  <c r="I128" i="27"/>
  <c r="J123" i="27"/>
  <c r="P45" i="27"/>
  <c r="Q45" i="27" s="1"/>
  <c r="AP61" i="28" a="1"/>
  <c r="AP61" i="28" s="1"/>
  <c r="AP73" i="28" a="1"/>
  <c r="AP73" i="28" s="1"/>
  <c r="AX31" i="28" s="1"/>
  <c r="H24" i="27" s="1"/>
  <c r="M68" i="27" s="1"/>
  <c r="AP70" i="28" a="1"/>
  <c r="AP70" i="28" s="1"/>
  <c r="L44" i="27"/>
  <c r="AL82" i="28" a="1"/>
  <c r="AL82" i="28" s="1"/>
  <c r="B35" i="27"/>
  <c r="P33" i="27"/>
  <c r="Q33" i="27" s="1"/>
  <c r="M63" i="27"/>
  <c r="I118" i="27"/>
  <c r="M114" i="27"/>
  <c r="AP63" i="28" a="1"/>
  <c r="AP63" i="28" s="1"/>
  <c r="AX17" i="28" s="1" a="1"/>
  <c r="AX17" i="28" s="1"/>
  <c r="H10" i="27" s="1"/>
  <c r="M62" i="27" s="1"/>
  <c r="AP85" i="28" a="1"/>
  <c r="AP85" i="28" s="1"/>
  <c r="AP81" i="28" a="1"/>
  <c r="AP81" i="28" s="1"/>
  <c r="AX32" i="28" s="1"/>
  <c r="H25" i="27" s="1"/>
  <c r="M119" i="27"/>
  <c r="AM62" i="28" a="1"/>
  <c r="AM62" i="28" s="1"/>
  <c r="AM72" i="28" a="1"/>
  <c r="AM72" i="28" s="1"/>
  <c r="AK112" i="28" a="1"/>
  <c r="AK112" i="28" s="1"/>
  <c r="AK110" i="28" a="1"/>
  <c r="AK110" i="28" s="1"/>
  <c r="AK113" i="28" a="1"/>
  <c r="AK113" i="28" s="1"/>
  <c r="AS23" i="28" s="1"/>
  <c r="C16" i="27" s="1"/>
  <c r="AK85" i="28" a="1"/>
  <c r="AK85" i="28" s="1"/>
  <c r="AK84" i="28" a="1"/>
  <c r="AK84" i="28" s="1"/>
  <c r="AK69" i="28" a="1"/>
  <c r="AK69" i="28" s="1"/>
  <c r="AK108" i="28" a="1"/>
  <c r="AK108" i="28" s="1"/>
  <c r="AK78" i="28" a="1"/>
  <c r="AK78" i="28" s="1"/>
  <c r="AK68" i="28" a="1"/>
  <c r="AK68" i="28" s="1"/>
  <c r="AK102" i="28" a="1"/>
  <c r="AK102" i="28" s="1"/>
  <c r="AK90" i="28" a="1"/>
  <c r="AK90" i="28" s="1"/>
  <c r="AK31" i="28" a="1"/>
  <c r="AK31" i="28" s="1"/>
  <c r="AK109" i="28" a="1"/>
  <c r="AK109" i="28" s="1"/>
  <c r="AK96" i="28" a="1"/>
  <c r="AK96" i="28" s="1"/>
  <c r="AK95" i="28" a="1"/>
  <c r="AK95" i="28" s="1"/>
  <c r="AK89" i="28" a="1"/>
  <c r="AK89" i="28" s="1"/>
  <c r="AS33" i="28" s="1"/>
  <c r="C26" i="27" s="1"/>
  <c r="AK83" i="28" a="1"/>
  <c r="AK83" i="28" s="1"/>
  <c r="AK63" i="28" a="1"/>
  <c r="AK63" i="28" s="1"/>
  <c r="AK29" i="28" a="1"/>
  <c r="AK29" i="28" s="1"/>
  <c r="AK107" i="28" a="1"/>
  <c r="AK107" i="28" s="1"/>
  <c r="AK77" i="28" a="1"/>
  <c r="AK77" i="28" s="1"/>
  <c r="AK76" i="28" a="1"/>
  <c r="AK76" i="28" s="1"/>
  <c r="AK72" i="28" a="1"/>
  <c r="AK72" i="28" s="1"/>
  <c r="AK59" i="28" a="1"/>
  <c r="AK59" i="28" s="1"/>
  <c r="AK111" i="28" a="1"/>
  <c r="AK111" i="28" s="1"/>
  <c r="AK101" i="28" a="1"/>
  <c r="AK101" i="28" s="1"/>
  <c r="AK100" i="28" a="1"/>
  <c r="AK100" i="28" s="1"/>
  <c r="AK94" i="28" a="1"/>
  <c r="AK94" i="28" s="1"/>
  <c r="AK82" i="28" a="1"/>
  <c r="AK82" i="28" s="1"/>
  <c r="AK67" i="28" a="1"/>
  <c r="AK67" i="28" s="1"/>
  <c r="AK106" i="28" a="1"/>
  <c r="AK106" i="28" s="1"/>
  <c r="AK88" i="28" a="1"/>
  <c r="AK88" i="28" s="1"/>
  <c r="AK58" i="28" a="1"/>
  <c r="AK58" i="28" s="1"/>
  <c r="AK87" i="28" a="1"/>
  <c r="AK87" i="28" s="1"/>
  <c r="AK81" i="28" a="1"/>
  <c r="AK81" i="28" s="1"/>
  <c r="AS32" i="28" s="1"/>
  <c r="C25" i="27" s="1"/>
  <c r="AK75" i="28" a="1"/>
  <c r="AK75" i="28" s="1"/>
  <c r="AK105" i="28" a="1"/>
  <c r="AK105" i="28" s="1"/>
  <c r="AS35" i="28" s="1"/>
  <c r="C28" i="27" s="1"/>
  <c r="AK99" i="28" a="1"/>
  <c r="AK99" i="28" s="1"/>
  <c r="AK66" i="28" a="1"/>
  <c r="AK66" i="28" s="1"/>
  <c r="AK93" i="28" a="1"/>
  <c r="AK93" i="28" s="1"/>
  <c r="AK92" i="28" a="1"/>
  <c r="AK92" i="28" s="1"/>
  <c r="AK70" i="28" a="1"/>
  <c r="AK70" i="28" s="1"/>
  <c r="AK98" i="28" a="1"/>
  <c r="AK98" i="28" s="1"/>
  <c r="AK80" i="28" a="1"/>
  <c r="AK80" i="28" s="1"/>
  <c r="AK79" i="28" a="1"/>
  <c r="AK79" i="28" s="1"/>
  <c r="AK25" i="28" a="1"/>
  <c r="AK25" i="28" s="1"/>
  <c r="AS25" i="28" s="1"/>
  <c r="C18" i="27" s="1"/>
  <c r="AK86" i="28" a="1"/>
  <c r="AK86" i="28" s="1"/>
  <c r="AK51" i="28" a="1"/>
  <c r="AK51" i="28" s="1"/>
  <c r="AK39" i="28" a="1"/>
  <c r="AK39" i="28" s="1"/>
  <c r="AK24" i="28" a="1"/>
  <c r="AK24" i="28" s="1"/>
  <c r="AK13" i="28" a="1"/>
  <c r="AK13" i="28" s="1"/>
  <c r="AK46" i="28" a="1"/>
  <c r="AK46" i="28" s="1"/>
  <c r="AK23" i="28" a="1"/>
  <c r="AK23" i="28" s="1"/>
  <c r="AK14" i="28" a="1"/>
  <c r="AK14" i="28" s="1"/>
  <c r="AK73" i="28" a="1"/>
  <c r="AK73" i="28" s="1"/>
  <c r="AS31" i="28" s="1"/>
  <c r="C24" i="27" s="1"/>
  <c r="AK41" i="28" a="1"/>
  <c r="AK41" i="28" s="1"/>
  <c r="AS27" i="28" s="1"/>
  <c r="C20" i="27" s="1"/>
  <c r="AK36" i="28" a="1"/>
  <c r="AK36" i="28" s="1"/>
  <c r="AK32" i="28" a="1"/>
  <c r="AK32" i="28" s="1"/>
  <c r="AK15" i="28" a="1"/>
  <c r="AK15" i="28" s="1"/>
  <c r="AK16" i="28" a="1"/>
  <c r="AK16" i="28" s="1"/>
  <c r="AK71" i="28" a="1"/>
  <c r="AK71" i="28" s="1"/>
  <c r="AK43" i="28" a="1"/>
  <c r="AK43" i="28" s="1"/>
  <c r="AK17" i="28" a="1"/>
  <c r="AK17" i="28" s="1"/>
  <c r="AS24" i="28" s="1"/>
  <c r="C17" i="27" s="1"/>
  <c r="AK53" i="28" a="1"/>
  <c r="AK53" i="28" s="1"/>
  <c r="AK48" i="28" a="1"/>
  <c r="AK48" i="28" s="1"/>
  <c r="AK38" i="28" a="1"/>
  <c r="AK38" i="28" s="1"/>
  <c r="AK18" i="28" a="1"/>
  <c r="AK18" i="28" s="1"/>
  <c r="AK103" i="28" a="1"/>
  <c r="AK103" i="28" s="1"/>
  <c r="AK74" i="28" a="1"/>
  <c r="AK74" i="28" s="1"/>
  <c r="AK62" i="28" a="1"/>
  <c r="AK62" i="28" s="1"/>
  <c r="AK33" i="28" a="1"/>
  <c r="AK33" i="28" s="1"/>
  <c r="AS26" i="28" s="1"/>
  <c r="C19" i="27" s="1"/>
  <c r="AK19" i="28" a="1"/>
  <c r="AK19" i="28" s="1"/>
  <c r="AK97" i="28" a="1"/>
  <c r="AK97" i="28" s="1"/>
  <c r="AS34" i="28" s="1"/>
  <c r="C27" i="27" s="1"/>
  <c r="AK30" i="28" a="1"/>
  <c r="AK30" i="28" s="1"/>
  <c r="AK65" i="28" a="1"/>
  <c r="AK65" i="28" s="1"/>
  <c r="AS30" i="28" s="1"/>
  <c r="C23" i="27" s="1"/>
  <c r="AK61" i="28" a="1"/>
  <c r="AK61" i="28" s="1"/>
  <c r="AK60" i="28" a="1"/>
  <c r="AK60" i="28" s="1"/>
  <c r="AK57" i="28" a="1"/>
  <c r="AK57" i="28" s="1"/>
  <c r="AS29" i="28" s="1"/>
  <c r="C22" i="27" s="1"/>
  <c r="AK50" i="28" a="1"/>
  <c r="AK50" i="28" s="1"/>
  <c r="AK45" i="28" a="1"/>
  <c r="AK45" i="28" s="1"/>
  <c r="AK40" i="28" a="1"/>
  <c r="AK40" i="28" s="1"/>
  <c r="AK91" i="28" a="1"/>
  <c r="AK91" i="28" s="1"/>
  <c r="AK52" i="28" a="1"/>
  <c r="AK52" i="28" s="1"/>
  <c r="AK34" i="28" a="1"/>
  <c r="AK34" i="28" s="1"/>
  <c r="AK21" i="28" a="1"/>
  <c r="AK21" i="28" s="1"/>
  <c r="AK28" i="28" a="1"/>
  <c r="AK28" i="28" s="1"/>
  <c r="AK10" i="28" a="1"/>
  <c r="AK10" i="28" s="1"/>
  <c r="AK20" i="28" a="1"/>
  <c r="AK20" i="28" s="1"/>
  <c r="AK56" i="28" a="1"/>
  <c r="AK56" i="28" s="1"/>
  <c r="AK44" i="28" a="1"/>
  <c r="AK44" i="28" s="1"/>
  <c r="AK11" i="28" a="1"/>
  <c r="AK11" i="28" s="1"/>
  <c r="AK54" i="28" a="1"/>
  <c r="AK54" i="28" s="1"/>
  <c r="AK37" i="28" a="1"/>
  <c r="AK37" i="28" s="1"/>
  <c r="AK49" i="28" a="1"/>
  <c r="AK49" i="28" s="1"/>
  <c r="AS28" i="28" s="1"/>
  <c r="C21" i="27" s="1"/>
  <c r="AK47" i="28" a="1"/>
  <c r="AK47" i="28" s="1"/>
  <c r="AK42" i="28" a="1"/>
  <c r="AK42" i="28" s="1"/>
  <c r="AK26" i="28" a="1"/>
  <c r="AK26" i="28" s="1"/>
  <c r="AK35" i="28" a="1"/>
  <c r="AK35" i="28" s="1"/>
  <c r="AK12" i="28" a="1"/>
  <c r="AK12" i="28" s="1"/>
  <c r="AK55" i="28" a="1"/>
  <c r="AK55" i="28" s="1"/>
  <c r="AK22" i="28" a="1"/>
  <c r="AK22" i="28" s="1"/>
  <c r="AK104" i="28" a="1"/>
  <c r="AK104" i="28" s="1"/>
  <c r="AK64" i="28" a="1"/>
  <c r="AK64" i="28" s="1"/>
  <c r="AK27" i="28" a="1"/>
  <c r="AK27" i="28" s="1"/>
  <c r="AL70" i="28" a="1"/>
  <c r="AL70" i="28" s="1"/>
  <c r="P34" i="27"/>
  <c r="Q34" i="27" s="1"/>
  <c r="M48" i="27"/>
  <c r="P70" i="27"/>
  <c r="Q70" i="27" s="1"/>
  <c r="H7" i="28"/>
  <c r="O7" i="28" s="1"/>
  <c r="G7" i="28"/>
  <c r="N7" i="28" s="1"/>
  <c r="B6" i="28"/>
  <c r="F7" i="28"/>
  <c r="M7" i="28" s="1"/>
  <c r="E7" i="28"/>
  <c r="L7" i="28" s="1"/>
  <c r="D7" i="28"/>
  <c r="K7" i="28" s="1"/>
  <c r="C7" i="28"/>
  <c r="J7" i="28" s="1"/>
  <c r="AP64" i="28" a="1"/>
  <c r="AP64" i="28" s="1"/>
  <c r="M50" i="27"/>
  <c r="M49" i="27"/>
  <c r="M45" i="27"/>
  <c r="M80" i="27"/>
  <c r="M85" i="27"/>
  <c r="M44" i="27"/>
  <c r="M60" i="27"/>
  <c r="M40" i="27"/>
  <c r="M75" i="27"/>
  <c r="M39" i="27"/>
  <c r="M35" i="27"/>
  <c r="M65" i="27"/>
  <c r="M34" i="27"/>
  <c r="M79" i="27"/>
  <c r="M74" i="27"/>
  <c r="M70" i="27"/>
  <c r="M69" i="27"/>
  <c r="M84" i="27"/>
  <c r="M59" i="27"/>
  <c r="M64" i="27"/>
  <c r="M55" i="27"/>
  <c r="M54" i="27"/>
  <c r="M90" i="27"/>
  <c r="K17" i="27"/>
  <c r="C29" i="27"/>
  <c r="AM78" i="28" a="1"/>
  <c r="AM78" i="28" s="1"/>
  <c r="AM61" i="28" a="1"/>
  <c r="AM61" i="28" s="1"/>
  <c r="AM73" i="28" a="1"/>
  <c r="AM73" i="28" s="1"/>
  <c r="AU31" i="28" s="1"/>
  <c r="E24" i="27" s="1"/>
  <c r="AM75" i="28" a="1"/>
  <c r="AM75" i="28" s="1"/>
  <c r="AM77" i="28" a="1"/>
  <c r="AM77" i="28" s="1"/>
  <c r="AL60" i="28" a="1"/>
  <c r="AL60" i="28" s="1"/>
  <c r="AL74" i="28" a="1"/>
  <c r="AL74" i="28" s="1"/>
  <c r="M53" i="27"/>
  <c r="L74" i="27"/>
  <c r="M38" i="27"/>
  <c r="AP87" i="28" a="1"/>
  <c r="AP87" i="28" s="1"/>
  <c r="AN110" i="28" a="1"/>
  <c r="AN110" i="28" s="1"/>
  <c r="AN113" i="28" a="1"/>
  <c r="AN113" i="28" s="1"/>
  <c r="AV23" i="28" s="1"/>
  <c r="F16" i="27" s="1"/>
  <c r="AN108" i="28" a="1"/>
  <c r="AN108" i="28" s="1"/>
  <c r="AN111" i="28" a="1"/>
  <c r="AN111" i="28" s="1"/>
  <c r="AN95" i="28" a="1"/>
  <c r="AN95" i="28" s="1"/>
  <c r="AN77" i="28" a="1"/>
  <c r="AN77" i="28" s="1"/>
  <c r="AN72" i="28" a="1"/>
  <c r="AN72" i="28" s="1"/>
  <c r="AN101" i="28" a="1"/>
  <c r="AN101" i="28" s="1"/>
  <c r="AN89" i="28" a="1"/>
  <c r="AN89" i="28" s="1"/>
  <c r="AV33" i="28" s="1"/>
  <c r="F26" i="27" s="1"/>
  <c r="K80" i="27" s="1"/>
  <c r="AN83" i="28" a="1"/>
  <c r="AN83" i="28" s="1"/>
  <c r="AN107" i="28" a="1"/>
  <c r="AN107" i="28" s="1"/>
  <c r="AN82" i="28" a="1"/>
  <c r="AN82" i="28" s="1"/>
  <c r="AN76" i="28" a="1"/>
  <c r="AN76" i="28" s="1"/>
  <c r="AN71" i="28" a="1"/>
  <c r="AN71" i="28" s="1"/>
  <c r="AN106" i="28" a="1"/>
  <c r="AN106" i="28" s="1"/>
  <c r="AN100" i="28" a="1"/>
  <c r="AN100" i="28" s="1"/>
  <c r="AN67" i="28" a="1"/>
  <c r="AN67" i="28" s="1"/>
  <c r="AN94" i="28" a="1"/>
  <c r="AN94" i="28" s="1"/>
  <c r="AN88" i="28" a="1"/>
  <c r="AN88" i="28" s="1"/>
  <c r="AN87" i="28" a="1"/>
  <c r="AN87" i="28" s="1"/>
  <c r="AN66" i="28" a="1"/>
  <c r="AN66" i="28" s="1"/>
  <c r="AN93" i="28" a="1"/>
  <c r="AN93" i="28" s="1"/>
  <c r="AN81" i="28" a="1"/>
  <c r="AN81" i="28" s="1"/>
  <c r="AV32" i="28" s="1"/>
  <c r="F25" i="27" s="1"/>
  <c r="K75" i="27" s="1"/>
  <c r="AN75" i="28" a="1"/>
  <c r="AN75" i="28" s="1"/>
  <c r="AN105" i="28" a="1"/>
  <c r="AN105" i="28" s="1"/>
  <c r="AV35" i="28" s="1"/>
  <c r="F28" i="27" s="1"/>
  <c r="AN99" i="28" a="1"/>
  <c r="AN99" i="28" s="1"/>
  <c r="AN74" i="28" a="1"/>
  <c r="AN74" i="28" s="1"/>
  <c r="AN98" i="28" a="1"/>
  <c r="AN98" i="28" s="1"/>
  <c r="AN92" i="28" a="1"/>
  <c r="AN92" i="28" s="1"/>
  <c r="AN70" i="28" a="1"/>
  <c r="AN70" i="28" s="1"/>
  <c r="AN61" i="28" a="1"/>
  <c r="AN61" i="28" s="1"/>
  <c r="AN57" i="28" a="1"/>
  <c r="AN57" i="28" s="1"/>
  <c r="AV29" i="28" s="1"/>
  <c r="F22" i="27" s="1"/>
  <c r="K60" i="27" s="1"/>
  <c r="AN35" i="28" a="1"/>
  <c r="AN35" i="28" s="1"/>
  <c r="AN86" i="28" a="1"/>
  <c r="AN86" i="28" s="1"/>
  <c r="AN80" i="28" a="1"/>
  <c r="AN80" i="28" s="1"/>
  <c r="AN104" i="28" a="1"/>
  <c r="AN104" i="28" s="1"/>
  <c r="AN79" i="28" a="1"/>
  <c r="AN79" i="28" s="1"/>
  <c r="AN69" i="28" a="1"/>
  <c r="AN69" i="28" s="1"/>
  <c r="AN103" i="28" a="1"/>
  <c r="AN103" i="28" s="1"/>
  <c r="AN85" i="28" a="1"/>
  <c r="AN85" i="28" s="1"/>
  <c r="AN90" i="28" a="1"/>
  <c r="AN90" i="28" s="1"/>
  <c r="AN84" i="28" a="1"/>
  <c r="AN84" i="28" s="1"/>
  <c r="AN102" i="28" a="1"/>
  <c r="AN102" i="28" s="1"/>
  <c r="AN18" i="28" a="1"/>
  <c r="AN18" i="28" s="1"/>
  <c r="AN96" i="28" a="1"/>
  <c r="AN96" i="28" s="1"/>
  <c r="AN73" i="28" a="1"/>
  <c r="AN73" i="28" s="1"/>
  <c r="AV31" i="28" s="1"/>
  <c r="F24" i="27" s="1"/>
  <c r="K70" i="27" s="1"/>
  <c r="AN53" i="28" a="1"/>
  <c r="AN53" i="28" s="1"/>
  <c r="AN43" i="28" a="1"/>
  <c r="AN43" i="28" s="1"/>
  <c r="AN33" i="28" a="1"/>
  <c r="AN33" i="28" s="1"/>
  <c r="AV26" i="28" s="1"/>
  <c r="F19" i="27" s="1"/>
  <c r="K45" i="27" s="1"/>
  <c r="AN19" i="28" a="1"/>
  <c r="AN19" i="28" s="1"/>
  <c r="AN109" i="28" a="1"/>
  <c r="AN109" i="28" s="1"/>
  <c r="AN48" i="28" a="1"/>
  <c r="AN48" i="28" s="1"/>
  <c r="AN38" i="28" a="1"/>
  <c r="AN38" i="28" s="1"/>
  <c r="AN30" i="28" a="1"/>
  <c r="AN30" i="28" s="1"/>
  <c r="AN20" i="28" a="1"/>
  <c r="AN20" i="28" s="1"/>
  <c r="AN68" i="28" a="1"/>
  <c r="AN68" i="28" s="1"/>
  <c r="AN50" i="28" a="1"/>
  <c r="AN50" i="28" s="1"/>
  <c r="AN58" i="28" a="1"/>
  <c r="AN58" i="28" s="1"/>
  <c r="AN45" i="28" a="1"/>
  <c r="AN45" i="28" s="1"/>
  <c r="AN34" i="28" a="1"/>
  <c r="AN34" i="28" s="1"/>
  <c r="AN97" i="28" a="1"/>
  <c r="AN97" i="28" s="1"/>
  <c r="AV34" i="28" s="1"/>
  <c r="F27" i="27" s="1"/>
  <c r="K85" i="27" s="1"/>
  <c r="AN62" i="28" a="1"/>
  <c r="AN62" i="28" s="1"/>
  <c r="AN60" i="28" a="1"/>
  <c r="AN60" i="28" s="1"/>
  <c r="AN52" i="28" a="1"/>
  <c r="AN52" i="28" s="1"/>
  <c r="AN40" i="28" a="1"/>
  <c r="AN40" i="28" s="1"/>
  <c r="AN21" i="28" a="1"/>
  <c r="AN21" i="28" s="1"/>
  <c r="AN65" i="28" a="1"/>
  <c r="AN65" i="28" s="1"/>
  <c r="AV30" i="28" s="1"/>
  <c r="F23" i="27" s="1"/>
  <c r="K65" i="27" s="1"/>
  <c r="AN47" i="28" a="1"/>
  <c r="AN47" i="28" s="1"/>
  <c r="AN63" i="28" a="1"/>
  <c r="AN63" i="28" s="1"/>
  <c r="AN59" i="28" a="1"/>
  <c r="AN59" i="28" s="1"/>
  <c r="AN42" i="28" a="1"/>
  <c r="AN42" i="28" s="1"/>
  <c r="AN31" i="28" a="1"/>
  <c r="AN31" i="28" s="1"/>
  <c r="AN27" i="28" a="1"/>
  <c r="AN27" i="28" s="1"/>
  <c r="AN91" i="28" a="1"/>
  <c r="AN91" i="28" s="1"/>
  <c r="AN78" i="28" a="1"/>
  <c r="AN78" i="28" s="1"/>
  <c r="AN64" i="28" a="1"/>
  <c r="AN64" i="28" s="1"/>
  <c r="AN56" i="28" a="1"/>
  <c r="AN56" i="28" s="1"/>
  <c r="AN37" i="28" a="1"/>
  <c r="AN37" i="28" s="1"/>
  <c r="AN28" i="28" a="1"/>
  <c r="AN28" i="28" s="1"/>
  <c r="AN26" i="28" a="1"/>
  <c r="AN26" i="28" s="1"/>
  <c r="AN22" i="28" a="1"/>
  <c r="AN22" i="28" s="1"/>
  <c r="AN55" i="28" a="1"/>
  <c r="AN55" i="28" s="1"/>
  <c r="AN49" i="28" a="1"/>
  <c r="AN49" i="28" s="1"/>
  <c r="AV28" i="28" s="1"/>
  <c r="F21" i="27" s="1"/>
  <c r="K55" i="27" s="1"/>
  <c r="AN44" i="28" a="1"/>
  <c r="AN44" i="28" s="1"/>
  <c r="AN25" i="28" a="1"/>
  <c r="AN25" i="28" s="1"/>
  <c r="AV25" i="28" s="1"/>
  <c r="F18" i="27" s="1"/>
  <c r="K40" i="27" s="1"/>
  <c r="AN54" i="28" a="1"/>
  <c r="AN54" i="28" s="1"/>
  <c r="AN39" i="28" a="1"/>
  <c r="AN39" i="28" s="1"/>
  <c r="AN24" i="28" a="1"/>
  <c r="AN24" i="28" s="1"/>
  <c r="AN23" i="28" a="1"/>
  <c r="AN23" i="28" s="1"/>
  <c r="AN51" i="28" a="1"/>
  <c r="AN51" i="28" s="1"/>
  <c r="AN16" i="28" a="1"/>
  <c r="AN16" i="28" s="1"/>
  <c r="AN46" i="28" a="1"/>
  <c r="AN46" i="28" s="1"/>
  <c r="AN41" i="28" a="1"/>
  <c r="AN41" i="28" s="1"/>
  <c r="AV27" i="28" s="1"/>
  <c r="F20" i="27" s="1"/>
  <c r="K50" i="27" s="1"/>
  <c r="AN15" i="28" a="1"/>
  <c r="AN15" i="28" s="1"/>
  <c r="AN17" i="28" a="1"/>
  <c r="AN17" i="28" s="1"/>
  <c r="AV24" i="28" s="1"/>
  <c r="F17" i="27" s="1"/>
  <c r="AN14" i="28" a="1"/>
  <c r="AN14" i="28" s="1"/>
  <c r="AN12" i="28" a="1"/>
  <c r="AN12" i="28" s="1"/>
  <c r="AN29" i="28" a="1"/>
  <c r="AN29" i="28" s="1"/>
  <c r="AN32" i="28" a="1"/>
  <c r="AN32" i="28" s="1"/>
  <c r="AN112" i="28" a="1"/>
  <c r="AN112" i="28" s="1"/>
  <c r="AN13" i="28" a="1"/>
  <c r="AN13" i="28" s="1"/>
  <c r="AN10" i="28" a="1"/>
  <c r="AN10" i="28" s="1"/>
  <c r="AN36" i="28" a="1"/>
  <c r="AN36" i="28" s="1"/>
  <c r="AN11" i="28" a="1"/>
  <c r="AN11" i="28" s="1"/>
  <c r="AM68" i="28" a="1"/>
  <c r="AM68" i="28" s="1"/>
  <c r="AM85" i="28" a="1"/>
  <c r="AM85" i="28" s="1"/>
  <c r="AM81" i="28" a="1"/>
  <c r="AM81" i="28" s="1"/>
  <c r="AU32" i="28" s="1"/>
  <c r="E25" i="27" s="1"/>
  <c r="AL65" i="28" a="1"/>
  <c r="AL65" i="28" s="1"/>
  <c r="AT30" i="28" s="1"/>
  <c r="D23" i="27" s="1"/>
  <c r="AL59" i="28" a="1"/>
  <c r="AL59" i="28" s="1"/>
  <c r="AT15" i="28" s="1" a="1"/>
  <c r="AT15" i="28" s="1"/>
  <c r="D8" i="27" s="1"/>
  <c r="AL68" i="28" a="1"/>
  <c r="AL68" i="28" s="1"/>
  <c r="P65" i="25"/>
  <c r="Q65" i="25" s="1"/>
  <c r="P80" i="25"/>
  <c r="Q80" i="25" s="1"/>
  <c r="P50" i="25"/>
  <c r="Q50" i="25" s="1"/>
  <c r="M115" i="25"/>
  <c r="L105" i="25"/>
  <c r="J121" i="25"/>
  <c r="K45" i="25"/>
  <c r="J99" i="25"/>
  <c r="M58" i="25"/>
  <c r="M99" i="25"/>
  <c r="M83" i="25"/>
  <c r="L39" i="25"/>
  <c r="P60" i="25"/>
  <c r="Q60" i="25" s="1"/>
  <c r="I124" i="25"/>
  <c r="I100" i="25"/>
  <c r="I111" i="25"/>
  <c r="I118" i="25"/>
  <c r="I115" i="25"/>
  <c r="I94" i="25"/>
  <c r="I129" i="25"/>
  <c r="I107" i="25"/>
  <c r="K106" i="25"/>
  <c r="K113" i="25"/>
  <c r="K108" i="25"/>
  <c r="K124" i="25"/>
  <c r="K102" i="25"/>
  <c r="K125" i="25"/>
  <c r="K118" i="25"/>
  <c r="K130" i="25"/>
  <c r="P45" i="25"/>
  <c r="Q45" i="25" s="1"/>
  <c r="K40" i="25"/>
  <c r="I120" i="25"/>
  <c r="L59" i="25"/>
  <c r="AX18" i="26" a="1"/>
  <c r="AX18" i="26" s="1"/>
  <c r="H11" i="25" s="1"/>
  <c r="M67" i="25" s="1"/>
  <c r="AX19" i="26" a="1"/>
  <c r="AX19" i="26" s="1"/>
  <c r="H12" i="25" s="1"/>
  <c r="M72" i="25" s="1"/>
  <c r="AX20" i="26" a="1"/>
  <c r="AX20" i="26" s="1"/>
  <c r="H13" i="25" s="1"/>
  <c r="M77" i="25" s="1"/>
  <c r="AX16" i="26" a="1"/>
  <c r="AX16" i="26" s="1"/>
  <c r="H9" i="25" s="1"/>
  <c r="M57" i="25" s="1"/>
  <c r="AX13" i="26" a="1"/>
  <c r="AX13" i="26" s="1"/>
  <c r="H6" i="25" s="1"/>
  <c r="M42" i="25" s="1"/>
  <c r="AX21" i="26" a="1"/>
  <c r="AX21" i="26" s="1"/>
  <c r="H14" i="25" s="1"/>
  <c r="M82" i="25" s="1"/>
  <c r="AX15" i="26" a="1"/>
  <c r="AX15" i="26" s="1"/>
  <c r="H8" i="25" s="1"/>
  <c r="M52" i="25" s="1"/>
  <c r="AX17" i="26" a="1"/>
  <c r="AX17" i="26" s="1"/>
  <c r="H10" i="25" s="1"/>
  <c r="M62" i="25" s="1"/>
  <c r="AX22" i="26" a="1"/>
  <c r="AX22" i="26" s="1"/>
  <c r="H15" i="25" s="1"/>
  <c r="AX14" i="26" a="1"/>
  <c r="AX14" i="26" s="1"/>
  <c r="H7" i="25" s="1"/>
  <c r="M47" i="25" s="1"/>
  <c r="AX11" i="26" a="1"/>
  <c r="AX11" i="26" s="1"/>
  <c r="H4" i="25" s="1"/>
  <c r="M32" i="25" s="1"/>
  <c r="AX10" i="26" a="1"/>
  <c r="AX10" i="26" s="1"/>
  <c r="H3" i="25" s="1"/>
  <c r="AX12" i="26" a="1"/>
  <c r="AX12" i="26" s="1"/>
  <c r="H5" i="25" s="1"/>
  <c r="M37" i="25" s="1"/>
  <c r="M121" i="25"/>
  <c r="I109" i="25"/>
  <c r="P85" i="25"/>
  <c r="Q85" i="25" s="1"/>
  <c r="I132" i="25"/>
  <c r="K85" i="25"/>
  <c r="M100" i="25"/>
  <c r="AW16" i="26" a="1"/>
  <c r="AW16" i="26" s="1"/>
  <c r="G9" i="25" s="1"/>
  <c r="AW17" i="26" a="1"/>
  <c r="AW17" i="26" s="1"/>
  <c r="G10" i="25" s="1"/>
  <c r="AW18" i="26" a="1"/>
  <c r="AW18" i="26" s="1"/>
  <c r="G11" i="25" s="1"/>
  <c r="AW12" i="26" a="1"/>
  <c r="AW12" i="26" s="1"/>
  <c r="G5" i="25" s="1"/>
  <c r="AW13" i="26" a="1"/>
  <c r="AW13" i="26" s="1"/>
  <c r="G6" i="25" s="1"/>
  <c r="AW21" i="26" a="1"/>
  <c r="AW21" i="26" s="1"/>
  <c r="G14" i="25" s="1"/>
  <c r="AW20" i="26" a="1"/>
  <c r="AW20" i="26" s="1"/>
  <c r="G13" i="25" s="1"/>
  <c r="AW15" i="26" a="1"/>
  <c r="AW15" i="26" s="1"/>
  <c r="G8" i="25" s="1"/>
  <c r="AW22" i="26" a="1"/>
  <c r="AW22" i="26" s="1"/>
  <c r="G15" i="25" s="1"/>
  <c r="AW19" i="26" a="1"/>
  <c r="AW19" i="26" s="1"/>
  <c r="G12" i="25" s="1"/>
  <c r="AW14" i="26" a="1"/>
  <c r="AW14" i="26" s="1"/>
  <c r="G7" i="25" s="1"/>
  <c r="AW11" i="26" a="1"/>
  <c r="AW11" i="26" s="1"/>
  <c r="G4" i="25" s="1"/>
  <c r="L32" i="25" s="1"/>
  <c r="AW10" i="26" a="1"/>
  <c r="AW10" i="26" s="1"/>
  <c r="G3" i="25" s="1"/>
  <c r="L54" i="25"/>
  <c r="AK113" i="26" a="1"/>
  <c r="AK113" i="26" s="1"/>
  <c r="AS23" i="26" s="1"/>
  <c r="C16" i="25" s="1"/>
  <c r="AK111" i="26" a="1"/>
  <c r="AK111" i="26" s="1"/>
  <c r="AK88" i="26" a="1"/>
  <c r="AK88" i="26" s="1"/>
  <c r="AK97" i="26" a="1"/>
  <c r="AK97" i="26" s="1"/>
  <c r="AS34" i="26" s="1"/>
  <c r="C27" i="25" s="1"/>
  <c r="AK87" i="26" a="1"/>
  <c r="AK87" i="26" s="1"/>
  <c r="AK81" i="26" a="1"/>
  <c r="AK81" i="26" s="1"/>
  <c r="AS32" i="26" s="1"/>
  <c r="C25" i="25" s="1"/>
  <c r="AK96" i="26" a="1"/>
  <c r="AK96" i="26" s="1"/>
  <c r="AK70" i="26" a="1"/>
  <c r="AK70" i="26" s="1"/>
  <c r="AK61" i="26" a="1"/>
  <c r="AK61" i="26" s="1"/>
  <c r="AK52" i="26" a="1"/>
  <c r="AK52" i="26" s="1"/>
  <c r="AK44" i="26" a="1"/>
  <c r="AK44" i="26" s="1"/>
  <c r="AK95" i="26" a="1"/>
  <c r="AK95" i="26" s="1"/>
  <c r="AK75" i="26" a="1"/>
  <c r="AK75" i="26" s="1"/>
  <c r="AK59" i="26" a="1"/>
  <c r="AK59" i="26" s="1"/>
  <c r="AK94" i="26" a="1"/>
  <c r="AK94" i="26" s="1"/>
  <c r="AK93" i="26" a="1"/>
  <c r="AK93" i="26" s="1"/>
  <c r="AK86" i="26" a="1"/>
  <c r="AK86" i="26" s="1"/>
  <c r="AK79" i="26" a="1"/>
  <c r="AK79" i="26" s="1"/>
  <c r="AK33" i="26" a="1"/>
  <c r="AK33" i="26" s="1"/>
  <c r="AS26" i="26" s="1"/>
  <c r="C19" i="25" s="1"/>
  <c r="AK85" i="26" a="1"/>
  <c r="AK85" i="26" s="1"/>
  <c r="AK74" i="26" a="1"/>
  <c r="AK74" i="26" s="1"/>
  <c r="AK66" i="26" a="1"/>
  <c r="AK66" i="26" s="1"/>
  <c r="AK55" i="26" a="1"/>
  <c r="AK55" i="26" s="1"/>
  <c r="AK92" i="26" a="1"/>
  <c r="AK92" i="26" s="1"/>
  <c r="AK64" i="26" a="1"/>
  <c r="AK64" i="26" s="1"/>
  <c r="AK62" i="26" a="1"/>
  <c r="AK62" i="26" s="1"/>
  <c r="AK110" i="26" a="1"/>
  <c r="AK110" i="26" s="1"/>
  <c r="AK109" i="26" a="1"/>
  <c r="AK109" i="26" s="1"/>
  <c r="AK108" i="26" a="1"/>
  <c r="AK108" i="26" s="1"/>
  <c r="AK107" i="26" a="1"/>
  <c r="AK107" i="26" s="1"/>
  <c r="AK106" i="26" a="1"/>
  <c r="AK106" i="26" s="1"/>
  <c r="AK91" i="26" a="1"/>
  <c r="AK91" i="26" s="1"/>
  <c r="AK90" i="26" a="1"/>
  <c r="AK90" i="26" s="1"/>
  <c r="AK84" i="26" a="1"/>
  <c r="AK84" i="26" s="1"/>
  <c r="AK78" i="26" a="1"/>
  <c r="AK78" i="26" s="1"/>
  <c r="AK100" i="26" a="1"/>
  <c r="AK100" i="26" s="1"/>
  <c r="AK83" i="26" a="1"/>
  <c r="AK83" i="26" s="1"/>
  <c r="AK104" i="26" a="1"/>
  <c r="AK104" i="26" s="1"/>
  <c r="AK102" i="26" a="1"/>
  <c r="AK102" i="26" s="1"/>
  <c r="AK50" i="26" a="1"/>
  <c r="AK50" i="26" s="1"/>
  <c r="AK47" i="26" a="1"/>
  <c r="AK47" i="26" s="1"/>
  <c r="AK36" i="26" a="1"/>
  <c r="AK36" i="26" s="1"/>
  <c r="AK65" i="26" a="1"/>
  <c r="AK65" i="26" s="1"/>
  <c r="AS30" i="26" s="1"/>
  <c r="C23" i="25" s="1"/>
  <c r="AK54" i="26" a="1"/>
  <c r="AK54" i="26" s="1"/>
  <c r="AK41" i="26" a="1"/>
  <c r="AK41" i="26" s="1"/>
  <c r="AS27" i="26" s="1"/>
  <c r="C20" i="25" s="1"/>
  <c r="AK67" i="26" a="1"/>
  <c r="AK67" i="26" s="1"/>
  <c r="AK63" i="26" a="1"/>
  <c r="AK63" i="26" s="1"/>
  <c r="AK53" i="26" a="1"/>
  <c r="AK53" i="26" s="1"/>
  <c r="AK32" i="26" a="1"/>
  <c r="AK32" i="26" s="1"/>
  <c r="AK31" i="26" a="1"/>
  <c r="AK31" i="26" s="1"/>
  <c r="AK89" i="26" a="1"/>
  <c r="AK89" i="26" s="1"/>
  <c r="AS33" i="26" s="1"/>
  <c r="C26" i="25" s="1"/>
  <c r="AK80" i="26" a="1"/>
  <c r="AK80" i="26" s="1"/>
  <c r="AK43" i="26" a="1"/>
  <c r="AK43" i="26" s="1"/>
  <c r="AK38" i="26" a="1"/>
  <c r="AK38" i="26" s="1"/>
  <c r="AK30" i="26" a="1"/>
  <c r="AK30" i="26" s="1"/>
  <c r="AK69" i="26" a="1"/>
  <c r="AK69" i="26" s="1"/>
  <c r="AK29" i="26" a="1"/>
  <c r="AK29" i="26" s="1"/>
  <c r="AK98" i="26" a="1"/>
  <c r="AK98" i="26" s="1"/>
  <c r="AK68" i="26" a="1"/>
  <c r="AK68" i="26" s="1"/>
  <c r="AK46" i="26" a="1"/>
  <c r="AK46" i="26" s="1"/>
  <c r="AK28" i="26" a="1"/>
  <c r="AK28" i="26" s="1"/>
  <c r="AK40" i="26" a="1"/>
  <c r="AK40" i="26" s="1"/>
  <c r="AK27" i="26" a="1"/>
  <c r="AK27" i="26" s="1"/>
  <c r="AK71" i="26" a="1"/>
  <c r="AK71" i="26" s="1"/>
  <c r="AK49" i="26" a="1"/>
  <c r="AK49" i="26" s="1"/>
  <c r="AS28" i="26" s="1"/>
  <c r="C21" i="25" s="1"/>
  <c r="AK26" i="26" a="1"/>
  <c r="AK26" i="26" s="1"/>
  <c r="AK22" i="26" a="1"/>
  <c r="AK22" i="26" s="1"/>
  <c r="AK105" i="26" a="1"/>
  <c r="AK105" i="26" s="1"/>
  <c r="AS35" i="26" s="1"/>
  <c r="C28" i="25" s="1"/>
  <c r="AK103" i="26" a="1"/>
  <c r="AK103" i="26" s="1"/>
  <c r="AK101" i="26" a="1"/>
  <c r="AK101" i="26" s="1"/>
  <c r="AK34" i="26" a="1"/>
  <c r="AK34" i="26" s="1"/>
  <c r="AK25" i="26" a="1"/>
  <c r="AK25" i="26" s="1"/>
  <c r="AS25" i="26" s="1"/>
  <c r="C18" i="25" s="1"/>
  <c r="AK112" i="26" a="1"/>
  <c r="AK112" i="26" s="1"/>
  <c r="AK45" i="26" a="1"/>
  <c r="AK45" i="26" s="1"/>
  <c r="AK37" i="26" a="1"/>
  <c r="AK37" i="26" s="1"/>
  <c r="AK24" i="26" a="1"/>
  <c r="AK24" i="26" s="1"/>
  <c r="AK13" i="26" a="1"/>
  <c r="AK13" i="26" s="1"/>
  <c r="AK82" i="26" a="1"/>
  <c r="AK82" i="26" s="1"/>
  <c r="AK76" i="26" a="1"/>
  <c r="AK76" i="26" s="1"/>
  <c r="AK48" i="26" a="1"/>
  <c r="AK48" i="26" s="1"/>
  <c r="AK42" i="26" a="1"/>
  <c r="AK42" i="26" s="1"/>
  <c r="AK23" i="26" a="1"/>
  <c r="AK23" i="26" s="1"/>
  <c r="AK99" i="26" a="1"/>
  <c r="AK99" i="26" s="1"/>
  <c r="AK77" i="26" a="1"/>
  <c r="AK77" i="26" s="1"/>
  <c r="AK56" i="26" a="1"/>
  <c r="AK56" i="26" s="1"/>
  <c r="AK16" i="26" a="1"/>
  <c r="AK16" i="26" s="1"/>
  <c r="AK10" i="26" a="1"/>
  <c r="AK10" i="26" s="1"/>
  <c r="AK11" i="26" a="1"/>
  <c r="AK11" i="26" s="1"/>
  <c r="AK12" i="26" a="1"/>
  <c r="AK12" i="26" s="1"/>
  <c r="AK57" i="26" a="1"/>
  <c r="AK57" i="26" s="1"/>
  <c r="AS29" i="26" s="1"/>
  <c r="C22" i="25" s="1"/>
  <c r="AK18" i="26" a="1"/>
  <c r="AK18" i="26" s="1"/>
  <c r="AK39" i="26" a="1"/>
  <c r="AK39" i="26" s="1"/>
  <c r="AK72" i="26" a="1"/>
  <c r="AK72" i="26" s="1"/>
  <c r="AK15" i="26" a="1"/>
  <c r="AK15" i="26" s="1"/>
  <c r="AK60" i="26" a="1"/>
  <c r="AK60" i="26" s="1"/>
  <c r="AK21" i="26" a="1"/>
  <c r="AK21" i="26" s="1"/>
  <c r="AK58" i="26" a="1"/>
  <c r="AK58" i="26" s="1"/>
  <c r="AK20" i="26" a="1"/>
  <c r="AK20" i="26" s="1"/>
  <c r="AK73" i="26" a="1"/>
  <c r="AK73" i="26" s="1"/>
  <c r="AS31" i="26" s="1"/>
  <c r="C24" i="25" s="1"/>
  <c r="AK35" i="26" a="1"/>
  <c r="AK35" i="26" s="1"/>
  <c r="AK19" i="26" a="1"/>
  <c r="AK19" i="26" s="1"/>
  <c r="AK17" i="26" a="1"/>
  <c r="AK17" i="26" s="1"/>
  <c r="AS24" i="26" s="1"/>
  <c r="C17" i="25" s="1"/>
  <c r="AK14" i="26" a="1"/>
  <c r="AK14" i="26" s="1"/>
  <c r="AK51" i="26" a="1"/>
  <c r="AK51" i="26" s="1"/>
  <c r="K119" i="25"/>
  <c r="L33" i="25"/>
  <c r="G33" i="25"/>
  <c r="M33" i="25" s="1"/>
  <c r="P34" i="25"/>
  <c r="Q34" i="25" s="1"/>
  <c r="M68" i="25"/>
  <c r="K131" i="25"/>
  <c r="H5" i="26"/>
  <c r="O5" i="26" s="1"/>
  <c r="G5" i="26"/>
  <c r="N5" i="26" s="1"/>
  <c r="F5" i="26"/>
  <c r="M5" i="26" s="1"/>
  <c r="E5" i="26"/>
  <c r="L5" i="26" s="1"/>
  <c r="B4" i="26"/>
  <c r="D5" i="26"/>
  <c r="K5" i="26" s="1"/>
  <c r="C5" i="26"/>
  <c r="J5" i="26" s="1"/>
  <c r="P40" i="25"/>
  <c r="Q40" i="25" s="1"/>
  <c r="M119" i="25"/>
  <c r="M118" i="25"/>
  <c r="M114" i="25"/>
  <c r="M98" i="25"/>
  <c r="M101" i="25"/>
  <c r="M90" i="25"/>
  <c r="E35" i="25"/>
  <c r="K35" i="25" s="1"/>
  <c r="J35" i="25"/>
  <c r="M70" i="25"/>
  <c r="M55" i="25"/>
  <c r="M65" i="25"/>
  <c r="M75" i="25"/>
  <c r="M74" i="25"/>
  <c r="M35" i="25"/>
  <c r="M60" i="25"/>
  <c r="M59" i="25"/>
  <c r="M50" i="25"/>
  <c r="M64" i="25"/>
  <c r="M69" i="25"/>
  <c r="M39" i="25"/>
  <c r="M40" i="25"/>
  <c r="M79" i="25"/>
  <c r="M80" i="25"/>
  <c r="M34" i="25"/>
  <c r="M49" i="25"/>
  <c r="M44" i="25"/>
  <c r="M45" i="25"/>
  <c r="M54" i="25"/>
  <c r="M85" i="25"/>
  <c r="M84" i="25"/>
  <c r="I126" i="25"/>
  <c r="K129" i="25"/>
  <c r="K117" i="25"/>
  <c r="K50" i="25"/>
  <c r="M97" i="25"/>
  <c r="J93" i="25"/>
  <c r="J130" i="25"/>
  <c r="J110" i="25"/>
  <c r="J114" i="25"/>
  <c r="J123" i="25"/>
  <c r="J129" i="25"/>
  <c r="J106" i="25"/>
  <c r="J127" i="25"/>
  <c r="J126" i="25"/>
  <c r="M117" i="25"/>
  <c r="I104" i="25"/>
  <c r="L40" i="25"/>
  <c r="L80" i="25"/>
  <c r="L70" i="25"/>
  <c r="L85" i="25"/>
  <c r="L55" i="25"/>
  <c r="L75" i="25"/>
  <c r="L65" i="25"/>
  <c r="L45" i="25"/>
  <c r="L50" i="25"/>
  <c r="L35" i="25"/>
  <c r="L60" i="25"/>
  <c r="M38" i="25"/>
  <c r="L125" i="25"/>
  <c r="L103" i="25"/>
  <c r="L116" i="25"/>
  <c r="L91" i="25"/>
  <c r="L114" i="25"/>
  <c r="L123" i="25"/>
  <c r="L113" i="25"/>
  <c r="L128" i="25"/>
  <c r="L97" i="25"/>
  <c r="L115" i="25"/>
  <c r="P70" i="25"/>
  <c r="Q70" i="25" s="1"/>
  <c r="P55" i="25"/>
  <c r="Q55" i="25" s="1"/>
  <c r="B35" i="25"/>
  <c r="P33" i="25"/>
  <c r="Q33" i="25" s="1"/>
  <c r="L79" i="25"/>
  <c r="L69" i="25"/>
  <c r="M113" i="25"/>
  <c r="AV22" i="26" a="1"/>
  <c r="AV22" i="26" s="1"/>
  <c r="F15" i="25" s="1"/>
  <c r="AV14" i="26" a="1"/>
  <c r="AV14" i="26" s="1"/>
  <c r="F7" i="25" s="1"/>
  <c r="AV15" i="26" a="1"/>
  <c r="AV15" i="26" s="1"/>
  <c r="F8" i="25" s="1"/>
  <c r="AV16" i="26" a="1"/>
  <c r="AV16" i="26" s="1"/>
  <c r="F9" i="25" s="1"/>
  <c r="AV12" i="26" a="1"/>
  <c r="AV12" i="26" s="1"/>
  <c r="F5" i="25" s="1"/>
  <c r="AV18" i="26" a="1"/>
  <c r="AV18" i="26" s="1"/>
  <c r="F11" i="25" s="1"/>
  <c r="AV13" i="26" a="1"/>
  <c r="AV13" i="26" s="1"/>
  <c r="F6" i="25" s="1"/>
  <c r="AV21" i="26" a="1"/>
  <c r="AV21" i="26" s="1"/>
  <c r="F14" i="25" s="1"/>
  <c r="AV20" i="26" a="1"/>
  <c r="AV20" i="26" s="1"/>
  <c r="F13" i="25" s="1"/>
  <c r="AV17" i="26" a="1"/>
  <c r="AV17" i="26" s="1"/>
  <c r="F10" i="25" s="1"/>
  <c r="AV19" i="26" a="1"/>
  <c r="AV19" i="26" s="1"/>
  <c r="F12" i="25" s="1"/>
  <c r="AV11" i="26" a="1"/>
  <c r="AV11" i="26" s="1"/>
  <c r="F4" i="25" s="1"/>
  <c r="K34" i="25" s="1"/>
  <c r="AV10" i="26" a="1"/>
  <c r="AV10" i="26" s="1"/>
  <c r="F3" i="25" s="1"/>
  <c r="I128" i="25"/>
  <c r="M63" i="25"/>
  <c r="AU22" i="26" a="1"/>
  <c r="AU22" i="26" s="1"/>
  <c r="E15" i="25" s="1"/>
  <c r="AU12" i="26" a="1"/>
  <c r="AU12" i="26" s="1"/>
  <c r="E5" i="25" s="1"/>
  <c r="AU14" i="26" a="1"/>
  <c r="AU14" i="26" s="1"/>
  <c r="E7" i="25" s="1"/>
  <c r="AU19" i="26" a="1"/>
  <c r="AU19" i="26" s="1"/>
  <c r="E12" i="25" s="1"/>
  <c r="AU11" i="26" a="1"/>
  <c r="AU11" i="26" s="1"/>
  <c r="E4" i="25" s="1"/>
  <c r="J33" i="25" s="1"/>
  <c r="AU16" i="26" a="1"/>
  <c r="AU16" i="26" s="1"/>
  <c r="E9" i="25" s="1"/>
  <c r="AU18" i="26" a="1"/>
  <c r="AU18" i="26" s="1"/>
  <c r="E11" i="25" s="1"/>
  <c r="AU15" i="26" a="1"/>
  <c r="AU15" i="26" s="1"/>
  <c r="E8" i="25" s="1"/>
  <c r="AU13" i="26" a="1"/>
  <c r="AU13" i="26" s="1"/>
  <c r="E6" i="25" s="1"/>
  <c r="AU21" i="26" a="1"/>
  <c r="AU21" i="26" s="1"/>
  <c r="E14" i="25" s="1"/>
  <c r="AU20" i="26" a="1"/>
  <c r="AU20" i="26" s="1"/>
  <c r="E13" i="25" s="1"/>
  <c r="AU17" i="26" a="1"/>
  <c r="AU17" i="26" s="1"/>
  <c r="E10" i="25" s="1"/>
  <c r="AU10" i="26" a="1"/>
  <c r="AU10" i="26" s="1"/>
  <c r="E3" i="25" s="1"/>
  <c r="M48" i="25"/>
  <c r="J120" i="25"/>
  <c r="L84" i="25"/>
  <c r="L102" i="25"/>
  <c r="M120" i="25"/>
  <c r="L49" i="25"/>
  <c r="P75" i="25"/>
  <c r="Q75" i="25" s="1"/>
  <c r="F34" i="25"/>
  <c r="L34" i="25" s="1"/>
  <c r="AT21" i="26" a="1"/>
  <c r="AT21" i="26" s="1"/>
  <c r="D14" i="25" s="1"/>
  <c r="AT22" i="26" a="1"/>
  <c r="AT22" i="26" s="1"/>
  <c r="D15" i="25" s="1"/>
  <c r="AT14" i="26" a="1"/>
  <c r="AT14" i="26" s="1"/>
  <c r="D7" i="25" s="1"/>
  <c r="AT19" i="26" a="1"/>
  <c r="AT19" i="26" s="1"/>
  <c r="D12" i="25" s="1"/>
  <c r="AT10" i="26" a="1"/>
  <c r="AT10" i="26" s="1"/>
  <c r="D3" i="25" s="1"/>
  <c r="AT11" i="26" a="1"/>
  <c r="AT11" i="26" s="1"/>
  <c r="D4" i="25" s="1"/>
  <c r="I32" i="25" s="1"/>
  <c r="AT16" i="26" a="1"/>
  <c r="AT16" i="26" s="1"/>
  <c r="D9" i="25" s="1"/>
  <c r="AT12" i="26" a="1"/>
  <c r="AT12" i="26" s="1"/>
  <c r="D5" i="25" s="1"/>
  <c r="AT18" i="26" a="1"/>
  <c r="AT18" i="26" s="1"/>
  <c r="D11" i="25" s="1"/>
  <c r="AT13" i="26" a="1"/>
  <c r="AT13" i="26" s="1"/>
  <c r="D6" i="25" s="1"/>
  <c r="AT17" i="26" a="1"/>
  <c r="AT17" i="26" s="1"/>
  <c r="D10" i="25" s="1"/>
  <c r="AT20" i="26" a="1"/>
  <c r="AT20" i="26" s="1"/>
  <c r="D13" i="25" s="1"/>
  <c r="AT15" i="26" a="1"/>
  <c r="AT15" i="26" s="1"/>
  <c r="D8" i="25" s="1"/>
  <c r="J132" i="25"/>
  <c r="K65" i="25"/>
  <c r="I122" i="25"/>
  <c r="K17" i="25"/>
  <c r="J103" i="25"/>
  <c r="L74" i="25"/>
  <c r="L126" i="25"/>
  <c r="M116" i="25"/>
  <c r="M78" i="25"/>
  <c r="S33" i="24"/>
  <c r="E5" i="23"/>
  <c r="AG13" i="5" s="1"/>
  <c r="AG14" i="5" s="1"/>
  <c r="I63" i="27" l="1"/>
  <c r="I62" i="27"/>
  <c r="I64" i="27"/>
  <c r="I65" i="27"/>
  <c r="J42" i="27"/>
  <c r="J45" i="27"/>
  <c r="J43" i="27"/>
  <c r="J44" i="27"/>
  <c r="I54" i="27"/>
  <c r="I52" i="27"/>
  <c r="I53" i="27"/>
  <c r="I55" i="27"/>
  <c r="AX10" i="28" a="1"/>
  <c r="AX10" i="28" s="1"/>
  <c r="H3" i="27" s="1"/>
  <c r="AT16" i="28" a="1"/>
  <c r="AT16" i="28" s="1"/>
  <c r="D9" i="27" s="1"/>
  <c r="AX16" i="28" a="1"/>
  <c r="AX16" i="28" s="1"/>
  <c r="H9" i="27" s="1"/>
  <c r="M57" i="27" s="1"/>
  <c r="AT12" i="28" a="1"/>
  <c r="AT12" i="28" s="1"/>
  <c r="D5" i="27" s="1"/>
  <c r="AU11" i="28" a="1"/>
  <c r="AU11" i="28" s="1"/>
  <c r="E4" i="27" s="1"/>
  <c r="AS10" i="28" a="1"/>
  <c r="AS10" i="28" s="1"/>
  <c r="C3" i="27" s="1"/>
  <c r="AS22" i="28" a="1"/>
  <c r="AS22" i="28" s="1"/>
  <c r="C15" i="27" s="1"/>
  <c r="AS12" i="28" a="1"/>
  <c r="AS12" i="28" s="1"/>
  <c r="C5" i="27" s="1"/>
  <c r="AS13" i="28" a="1"/>
  <c r="AS13" i="28" s="1"/>
  <c r="C6" i="27" s="1"/>
  <c r="AS15" i="28" a="1"/>
  <c r="AS15" i="28" s="1"/>
  <c r="C8" i="27" s="1"/>
  <c r="AS19" i="28" a="1"/>
  <c r="AS19" i="28" s="1"/>
  <c r="C12" i="27" s="1"/>
  <c r="AS20" i="28" a="1"/>
  <c r="AS20" i="28" s="1"/>
  <c r="C13" i="27" s="1"/>
  <c r="AS18" i="28" a="1"/>
  <c r="AS18" i="28" s="1"/>
  <c r="C11" i="27" s="1"/>
  <c r="AS11" i="28" a="1"/>
  <c r="AS11" i="28" s="1"/>
  <c r="C4" i="27" s="1"/>
  <c r="AS16" i="28" a="1"/>
  <c r="AS16" i="28" s="1"/>
  <c r="C9" i="27" s="1"/>
  <c r="AS21" i="28" a="1"/>
  <c r="AS21" i="28" s="1"/>
  <c r="C14" i="27" s="1"/>
  <c r="AS17" i="28" a="1"/>
  <c r="AS17" i="28" s="1"/>
  <c r="C10" i="27" s="1"/>
  <c r="AS14" i="28" a="1"/>
  <c r="AS14" i="28" s="1"/>
  <c r="C7" i="27" s="1"/>
  <c r="AX15" i="28" a="1"/>
  <c r="AX15" i="28" s="1"/>
  <c r="H8" i="27" s="1"/>
  <c r="M52" i="27" s="1"/>
  <c r="AT22" i="28" a="1"/>
  <c r="AT22" i="28" s="1"/>
  <c r="D15" i="27" s="1"/>
  <c r="AU22" i="28" a="1"/>
  <c r="AU22" i="28" s="1"/>
  <c r="E15" i="27" s="1"/>
  <c r="AX12" i="28" a="1"/>
  <c r="AX12" i="28" s="1"/>
  <c r="H5" i="27" s="1"/>
  <c r="M37" i="27" s="1"/>
  <c r="AU10" i="28" a="1"/>
  <c r="AU10" i="28" s="1"/>
  <c r="E3" i="27" s="1"/>
  <c r="K108" i="27"/>
  <c r="K119" i="27"/>
  <c r="K92" i="27"/>
  <c r="K98" i="27"/>
  <c r="K113" i="27"/>
  <c r="K118" i="27"/>
  <c r="K117" i="27"/>
  <c r="K124" i="27"/>
  <c r="K107" i="27"/>
  <c r="K131" i="27"/>
  <c r="K125" i="27"/>
  <c r="K102" i="27"/>
  <c r="K130" i="27"/>
  <c r="K123" i="27"/>
  <c r="K106" i="27"/>
  <c r="K129" i="27"/>
  <c r="H101" i="27"/>
  <c r="H127" i="27"/>
  <c r="H128" i="27"/>
  <c r="H132" i="27"/>
  <c r="H130" i="27"/>
  <c r="H122" i="27"/>
  <c r="H121" i="27"/>
  <c r="H131" i="27"/>
  <c r="H116" i="27"/>
  <c r="H108" i="27"/>
  <c r="H125" i="27"/>
  <c r="H95" i="27"/>
  <c r="H119" i="27"/>
  <c r="H111" i="27"/>
  <c r="H105" i="27"/>
  <c r="H110" i="27"/>
  <c r="AU21" i="28" a="1"/>
  <c r="AU21" i="28" s="1"/>
  <c r="E14" i="27" s="1"/>
  <c r="P35" i="27"/>
  <c r="Q35" i="27" s="1"/>
  <c r="AX11" i="28" a="1"/>
  <c r="AX11" i="28" s="1"/>
  <c r="H4" i="27" s="1"/>
  <c r="M32" i="27" s="1"/>
  <c r="AU20" i="28" a="1"/>
  <c r="AU20" i="28" s="1"/>
  <c r="E13" i="27" s="1"/>
  <c r="AX14" i="28" a="1"/>
  <c r="AX14" i="28" s="1"/>
  <c r="H7" i="27" s="1"/>
  <c r="M47" i="27" s="1"/>
  <c r="AX22" i="28" a="1"/>
  <c r="AX22" i="28" s="1"/>
  <c r="H15" i="27" s="1"/>
  <c r="AT19" i="28" a="1"/>
  <c r="AT19" i="28" s="1"/>
  <c r="D12" i="27" s="1"/>
  <c r="L125" i="27"/>
  <c r="L113" i="27"/>
  <c r="L126" i="27"/>
  <c r="L102" i="27"/>
  <c r="L103" i="27"/>
  <c r="L104" i="27"/>
  <c r="L128" i="27"/>
  <c r="L127" i="27"/>
  <c r="L116" i="27"/>
  <c r="L115" i="27"/>
  <c r="L105" i="27"/>
  <c r="L123" i="27"/>
  <c r="L97" i="27"/>
  <c r="L114" i="27"/>
  <c r="L91" i="27"/>
  <c r="L124" i="27"/>
  <c r="AU19" i="28" a="1"/>
  <c r="AU19" i="28" s="1"/>
  <c r="E12" i="27" s="1"/>
  <c r="AT21" i="28" a="1"/>
  <c r="AT21" i="28" s="1"/>
  <c r="D14" i="27" s="1"/>
  <c r="AU18" i="28" a="1"/>
  <c r="AU18" i="28" s="1"/>
  <c r="E11" i="27" s="1"/>
  <c r="J37" i="27"/>
  <c r="J38" i="27"/>
  <c r="J40" i="27"/>
  <c r="J39" i="27"/>
  <c r="H6" i="28"/>
  <c r="O6" i="28" s="1"/>
  <c r="E6" i="28"/>
  <c r="L6" i="28" s="1"/>
  <c r="B5" i="28"/>
  <c r="G6" i="28"/>
  <c r="N6" i="28" s="1"/>
  <c r="D6" i="28"/>
  <c r="K6" i="28" s="1"/>
  <c r="F6" i="28"/>
  <c r="M6" i="28" s="1"/>
  <c r="C6" i="28"/>
  <c r="J6" i="28" s="1"/>
  <c r="AX20" i="28" a="1"/>
  <c r="AX20" i="28" s="1"/>
  <c r="H13" i="27" s="1"/>
  <c r="M77" i="27" s="1"/>
  <c r="AT11" i="28" a="1"/>
  <c r="AT11" i="28" s="1"/>
  <c r="D4" i="27" s="1"/>
  <c r="AU17" i="28" a="1"/>
  <c r="AU17" i="28" s="1"/>
  <c r="E10" i="27" s="1"/>
  <c r="AV15" i="28" a="1"/>
  <c r="AV15" i="28" s="1"/>
  <c r="F8" i="27" s="1"/>
  <c r="AV16" i="28" a="1"/>
  <c r="AV16" i="28" s="1"/>
  <c r="F9" i="27" s="1"/>
  <c r="AV17" i="28" a="1"/>
  <c r="AV17" i="28" s="1"/>
  <c r="F10" i="27" s="1"/>
  <c r="AV18" i="28" a="1"/>
  <c r="AV18" i="28" s="1"/>
  <c r="F11" i="27" s="1"/>
  <c r="AV19" i="28" a="1"/>
  <c r="AV19" i="28" s="1"/>
  <c r="F12" i="27" s="1"/>
  <c r="AV20" i="28" a="1"/>
  <c r="AV20" i="28" s="1"/>
  <c r="F13" i="27" s="1"/>
  <c r="AV22" i="28" a="1"/>
  <c r="AV22" i="28" s="1"/>
  <c r="F15" i="27" s="1"/>
  <c r="AV13" i="28" a="1"/>
  <c r="AV13" i="28" s="1"/>
  <c r="F6" i="27" s="1"/>
  <c r="AV11" i="28" a="1"/>
  <c r="AV11" i="28" s="1"/>
  <c r="F4" i="27" s="1"/>
  <c r="AV21" i="28" a="1"/>
  <c r="AV21" i="28" s="1"/>
  <c r="F14" i="27" s="1"/>
  <c r="AV12" i="28" a="1"/>
  <c r="AV12" i="28" s="1"/>
  <c r="F5" i="27" s="1"/>
  <c r="AV14" i="28" a="1"/>
  <c r="AV14" i="28" s="1"/>
  <c r="F7" i="27" s="1"/>
  <c r="AV10" i="28" a="1"/>
  <c r="AV10" i="28" s="1"/>
  <c r="F3" i="27" s="1"/>
  <c r="AX19" i="28" a="1"/>
  <c r="AX19" i="28" s="1"/>
  <c r="H12" i="27" s="1"/>
  <c r="M72" i="27" s="1"/>
  <c r="AT10" i="28" a="1"/>
  <c r="AT10" i="28" s="1"/>
  <c r="D3" i="27" s="1"/>
  <c r="AU16" i="28" a="1"/>
  <c r="AU16" i="28" s="1"/>
  <c r="E9" i="27" s="1"/>
  <c r="AT14" i="28" a="1"/>
  <c r="AT14" i="28" s="1"/>
  <c r="D7" i="27" s="1"/>
  <c r="AT13" i="28" a="1"/>
  <c r="AT13" i="28" s="1"/>
  <c r="D6" i="27" s="1"/>
  <c r="AU15" i="28" a="1"/>
  <c r="AU15" i="28" s="1"/>
  <c r="E8" i="27" s="1"/>
  <c r="AT20" i="28" a="1"/>
  <c r="AT20" i="28" s="1"/>
  <c r="D13" i="27" s="1"/>
  <c r="AU14" i="28" a="1"/>
  <c r="AU14" i="28" s="1"/>
  <c r="E7" i="27" s="1"/>
  <c r="AT18" i="28" a="1"/>
  <c r="AT18" i="28" s="1"/>
  <c r="D11" i="27" s="1"/>
  <c r="AW17" i="28" a="1"/>
  <c r="AW17" i="28" s="1"/>
  <c r="G10" i="27" s="1"/>
  <c r="AW18" i="28" a="1"/>
  <c r="AW18" i="28" s="1"/>
  <c r="G11" i="27" s="1"/>
  <c r="AW19" i="28" a="1"/>
  <c r="AW19" i="28" s="1"/>
  <c r="G12" i="27" s="1"/>
  <c r="AW20" i="28" a="1"/>
  <c r="AW20" i="28" s="1"/>
  <c r="G13" i="27" s="1"/>
  <c r="AW21" i="28" a="1"/>
  <c r="AW21" i="28" s="1"/>
  <c r="G14" i="27" s="1"/>
  <c r="AW22" i="28" a="1"/>
  <c r="AW22" i="28" s="1"/>
  <c r="G15" i="27" s="1"/>
  <c r="AW11" i="28" a="1"/>
  <c r="AW11" i="28" s="1"/>
  <c r="G4" i="27" s="1"/>
  <c r="AW12" i="28" a="1"/>
  <c r="AW12" i="28" s="1"/>
  <c r="G5" i="27" s="1"/>
  <c r="AW15" i="28" a="1"/>
  <c r="AW15" i="28" s="1"/>
  <c r="G8" i="27" s="1"/>
  <c r="AW16" i="28" a="1"/>
  <c r="AW16" i="28" s="1"/>
  <c r="G9" i="27" s="1"/>
  <c r="AW14" i="28" a="1"/>
  <c r="AW14" i="28" s="1"/>
  <c r="G7" i="27" s="1"/>
  <c r="AW10" i="28" a="1"/>
  <c r="AW10" i="28" s="1"/>
  <c r="G3" i="27" s="1"/>
  <c r="AW13" i="28" a="1"/>
  <c r="AW13" i="28" s="1"/>
  <c r="G6" i="27" s="1"/>
  <c r="J63" i="25"/>
  <c r="J65" i="25"/>
  <c r="J64" i="25"/>
  <c r="J62" i="25"/>
  <c r="I52" i="25"/>
  <c r="I55" i="25"/>
  <c r="I53" i="25"/>
  <c r="I54" i="25"/>
  <c r="J55" i="25"/>
  <c r="J52" i="25"/>
  <c r="J53" i="25"/>
  <c r="J54" i="25"/>
  <c r="K42" i="25"/>
  <c r="K43" i="25"/>
  <c r="K44" i="25"/>
  <c r="K73" i="25"/>
  <c r="K72" i="25"/>
  <c r="K74" i="25"/>
  <c r="I79" i="25"/>
  <c r="I78" i="25"/>
  <c r="I77" i="25"/>
  <c r="I80" i="25"/>
  <c r="K68" i="25"/>
  <c r="K69" i="25"/>
  <c r="K67" i="25"/>
  <c r="L48" i="25"/>
  <c r="L47" i="25"/>
  <c r="I34" i="25"/>
  <c r="J69" i="25"/>
  <c r="J70" i="25"/>
  <c r="J68" i="25"/>
  <c r="J67" i="25"/>
  <c r="I62" i="25"/>
  <c r="I65" i="25"/>
  <c r="I64" i="25"/>
  <c r="I63" i="25"/>
  <c r="J58" i="25"/>
  <c r="J59" i="25"/>
  <c r="J60" i="25"/>
  <c r="J57" i="25"/>
  <c r="K37" i="25"/>
  <c r="K38" i="25"/>
  <c r="K39" i="25"/>
  <c r="L73" i="25"/>
  <c r="L72" i="25"/>
  <c r="I42" i="25"/>
  <c r="I44" i="25"/>
  <c r="I43" i="25"/>
  <c r="I45" i="25"/>
  <c r="K57" i="25"/>
  <c r="K58" i="25"/>
  <c r="K59" i="25"/>
  <c r="J34" i="25"/>
  <c r="L95" i="25"/>
  <c r="L131" i="25"/>
  <c r="L130" i="25"/>
  <c r="L108" i="25"/>
  <c r="L111" i="25"/>
  <c r="L121" i="25"/>
  <c r="L100" i="25"/>
  <c r="L98" i="25"/>
  <c r="L132" i="25"/>
  <c r="L119" i="25"/>
  <c r="L109" i="25"/>
  <c r="L120" i="25"/>
  <c r="L94" i="25"/>
  <c r="L118" i="25"/>
  <c r="L99" i="25"/>
  <c r="L92" i="25"/>
  <c r="L122" i="25"/>
  <c r="L106" i="25"/>
  <c r="L88" i="25"/>
  <c r="L101" i="25"/>
  <c r="L110" i="25"/>
  <c r="L129" i="25"/>
  <c r="L90" i="25"/>
  <c r="L107" i="25"/>
  <c r="L117" i="25"/>
  <c r="L93" i="25"/>
  <c r="I35" i="25"/>
  <c r="L57" i="25"/>
  <c r="L58" i="25"/>
  <c r="J84" i="25"/>
  <c r="J83" i="25"/>
  <c r="J82" i="25"/>
  <c r="J85" i="25"/>
  <c r="I69" i="25"/>
  <c r="I68" i="25"/>
  <c r="I67" i="25"/>
  <c r="I70" i="25"/>
  <c r="K33" i="25"/>
  <c r="J73" i="25"/>
  <c r="J74" i="25"/>
  <c r="J72" i="25"/>
  <c r="J75" i="25"/>
  <c r="K52" i="25"/>
  <c r="K53" i="25"/>
  <c r="K54" i="25"/>
  <c r="L53" i="25"/>
  <c r="L52" i="25"/>
  <c r="K77" i="25"/>
  <c r="K79" i="25"/>
  <c r="K78" i="25"/>
  <c r="J47" i="25"/>
  <c r="J48" i="25"/>
  <c r="J49" i="25"/>
  <c r="J50" i="25"/>
  <c r="K49" i="25"/>
  <c r="K47" i="25"/>
  <c r="K48" i="25"/>
  <c r="L77" i="25"/>
  <c r="L78" i="25"/>
  <c r="I106" i="25"/>
  <c r="I92" i="25"/>
  <c r="I125" i="25"/>
  <c r="I98" i="25"/>
  <c r="I97" i="25"/>
  <c r="I105" i="25"/>
  <c r="I119" i="25"/>
  <c r="I127" i="25"/>
  <c r="I113" i="25"/>
  <c r="I99" i="25"/>
  <c r="I116" i="25"/>
  <c r="I93" i="25"/>
  <c r="I91" i="25"/>
  <c r="I114" i="25"/>
  <c r="I88" i="25"/>
  <c r="I108" i="25"/>
  <c r="I103" i="25"/>
  <c r="I101" i="25"/>
  <c r="I123" i="25"/>
  <c r="I102" i="25"/>
  <c r="I110" i="25"/>
  <c r="I95" i="25"/>
  <c r="I130" i="25"/>
  <c r="I90" i="25"/>
  <c r="I121" i="25"/>
  <c r="I117" i="25"/>
  <c r="I82" i="25"/>
  <c r="I84" i="25"/>
  <c r="I85" i="25"/>
  <c r="I83" i="25"/>
  <c r="I37" i="25"/>
  <c r="I39" i="25"/>
  <c r="I38" i="25"/>
  <c r="I40" i="25"/>
  <c r="J32" i="25"/>
  <c r="I60" i="25"/>
  <c r="I59" i="25"/>
  <c r="I58" i="25"/>
  <c r="I57" i="25"/>
  <c r="I33" i="25"/>
  <c r="J38" i="25"/>
  <c r="J39" i="25"/>
  <c r="J37" i="25"/>
  <c r="J40" i="25"/>
  <c r="K101" i="25"/>
  <c r="K115" i="25"/>
  <c r="K105" i="25"/>
  <c r="K103" i="25"/>
  <c r="K95" i="25"/>
  <c r="K114" i="25"/>
  <c r="K127" i="25"/>
  <c r="K88" i="25"/>
  <c r="K132" i="25"/>
  <c r="K122" i="25"/>
  <c r="K91" i="25"/>
  <c r="K93" i="25"/>
  <c r="K110" i="25"/>
  <c r="K126" i="25"/>
  <c r="K116" i="25"/>
  <c r="K104" i="25"/>
  <c r="K97" i="25"/>
  <c r="K121" i="25"/>
  <c r="K90" i="25"/>
  <c r="K99" i="25"/>
  <c r="K94" i="25"/>
  <c r="K109" i="25"/>
  <c r="K128" i="25"/>
  <c r="K100" i="25"/>
  <c r="K120" i="25"/>
  <c r="K111" i="25"/>
  <c r="AS21" i="26" a="1"/>
  <c r="AS21" i="26" s="1"/>
  <c r="C14" i="25" s="1"/>
  <c r="AS22" i="26" a="1"/>
  <c r="AS22" i="26" s="1"/>
  <c r="C15" i="25" s="1"/>
  <c r="AS20" i="26" a="1"/>
  <c r="AS20" i="26" s="1"/>
  <c r="C13" i="25" s="1"/>
  <c r="AS17" i="26" a="1"/>
  <c r="AS17" i="26" s="1"/>
  <c r="C10" i="25" s="1"/>
  <c r="AS14" i="26" a="1"/>
  <c r="AS14" i="26" s="1"/>
  <c r="C7" i="25" s="1"/>
  <c r="AS19" i="26" a="1"/>
  <c r="AS19" i="26" s="1"/>
  <c r="C12" i="25" s="1"/>
  <c r="AS10" i="26" a="1"/>
  <c r="AS10" i="26" s="1"/>
  <c r="C3" i="25" s="1"/>
  <c r="AS11" i="26" a="1"/>
  <c r="AS11" i="26" s="1"/>
  <c r="C4" i="25" s="1"/>
  <c r="H35" i="25" s="1"/>
  <c r="N35" i="25" s="1"/>
  <c r="AS16" i="26" a="1"/>
  <c r="AS16" i="26" s="1"/>
  <c r="C9" i="25" s="1"/>
  <c r="AS12" i="26" a="1"/>
  <c r="AS12" i="26" s="1"/>
  <c r="C5" i="25" s="1"/>
  <c r="AS18" i="26" a="1"/>
  <c r="AS18" i="26" s="1"/>
  <c r="C11" i="25" s="1"/>
  <c r="AS15" i="26" a="1"/>
  <c r="AS15" i="26" s="1"/>
  <c r="C8" i="25" s="1"/>
  <c r="AS13" i="26" a="1"/>
  <c r="AS13" i="26" s="1"/>
  <c r="C6" i="25" s="1"/>
  <c r="L82" i="25"/>
  <c r="L83" i="25"/>
  <c r="L43" i="25"/>
  <c r="L42" i="25"/>
  <c r="J101" i="25"/>
  <c r="J98" i="25"/>
  <c r="J97" i="25"/>
  <c r="J88" i="25"/>
  <c r="J94" i="25"/>
  <c r="J124" i="25"/>
  <c r="J92" i="25"/>
  <c r="J105" i="25"/>
  <c r="J118" i="25"/>
  <c r="J107" i="25"/>
  <c r="J115" i="25"/>
  <c r="J119" i="25"/>
  <c r="J111" i="25"/>
  <c r="J95" i="25"/>
  <c r="J90" i="25"/>
  <c r="J131" i="25"/>
  <c r="J108" i="25"/>
  <c r="J104" i="25"/>
  <c r="J128" i="25"/>
  <c r="J125" i="25"/>
  <c r="J122" i="25"/>
  <c r="J113" i="25"/>
  <c r="J100" i="25"/>
  <c r="J91" i="25"/>
  <c r="J102" i="25"/>
  <c r="J116" i="25"/>
  <c r="E4" i="26"/>
  <c r="L4" i="26" s="1"/>
  <c r="D4" i="26"/>
  <c r="K4" i="26" s="1"/>
  <c r="C4" i="26"/>
  <c r="J4" i="26" s="1"/>
  <c r="H4" i="26"/>
  <c r="O4" i="26" s="1"/>
  <c r="G4" i="26"/>
  <c r="N4" i="26" s="1"/>
  <c r="F4" i="26"/>
  <c r="M4" i="26" s="1"/>
  <c r="L37" i="25"/>
  <c r="L38" i="25"/>
  <c r="I74" i="25"/>
  <c r="I72" i="25"/>
  <c r="I73" i="25"/>
  <c r="I75" i="25"/>
  <c r="H116" i="25"/>
  <c r="N116" i="25" s="1"/>
  <c r="H105" i="25"/>
  <c r="H132" i="25"/>
  <c r="N132" i="25" s="1"/>
  <c r="H95" i="25"/>
  <c r="H121" i="25"/>
  <c r="H127" i="25"/>
  <c r="H110" i="25"/>
  <c r="H111" i="25"/>
  <c r="N111" i="25" s="1"/>
  <c r="H128" i="25"/>
  <c r="H125" i="25"/>
  <c r="N125" i="25" s="1"/>
  <c r="H101" i="25"/>
  <c r="N101" i="25" s="1"/>
  <c r="H130" i="25"/>
  <c r="N130" i="25" s="1"/>
  <c r="H131" i="25"/>
  <c r="H122" i="25"/>
  <c r="N122" i="25" s="1"/>
  <c r="H119" i="25"/>
  <c r="N119" i="25" s="1"/>
  <c r="H108" i="25"/>
  <c r="N108" i="25" s="1"/>
  <c r="L67" i="25"/>
  <c r="L68" i="25"/>
  <c r="M95" i="25"/>
  <c r="M108" i="25"/>
  <c r="M111" i="25"/>
  <c r="M103" i="25"/>
  <c r="M132" i="25"/>
  <c r="M109" i="25"/>
  <c r="M91" i="25"/>
  <c r="M126" i="25"/>
  <c r="M131" i="25"/>
  <c r="M106" i="25"/>
  <c r="M92" i="25"/>
  <c r="M110" i="25"/>
  <c r="M124" i="25"/>
  <c r="M123" i="25"/>
  <c r="M104" i="25"/>
  <c r="M105" i="25"/>
  <c r="M125" i="25"/>
  <c r="M130" i="25"/>
  <c r="M107" i="25"/>
  <c r="M129" i="25"/>
  <c r="M127" i="25"/>
  <c r="M88" i="25"/>
  <c r="M94" i="25"/>
  <c r="M93" i="25"/>
  <c r="M102" i="25"/>
  <c r="M128" i="25"/>
  <c r="I47" i="25"/>
  <c r="I48" i="25"/>
  <c r="I49" i="25"/>
  <c r="I50" i="25"/>
  <c r="L63" i="25"/>
  <c r="L62" i="25"/>
  <c r="K32" i="25"/>
  <c r="J80" i="25"/>
  <c r="J79" i="25"/>
  <c r="J78" i="25"/>
  <c r="J77" i="25"/>
  <c r="K62" i="25"/>
  <c r="K63" i="25"/>
  <c r="K64" i="25"/>
  <c r="J42" i="25"/>
  <c r="J45" i="25"/>
  <c r="J44" i="25"/>
  <c r="J43" i="25"/>
  <c r="K84" i="25"/>
  <c r="K83" i="25"/>
  <c r="K82" i="25"/>
  <c r="P35" i="25"/>
  <c r="Q35" i="25" s="1"/>
  <c r="C6" i="23"/>
  <c r="H82" i="27" l="1"/>
  <c r="H84" i="27"/>
  <c r="H83" i="27"/>
  <c r="H85" i="27"/>
  <c r="J79" i="27"/>
  <c r="J77" i="27"/>
  <c r="J78" i="27"/>
  <c r="J80" i="27"/>
  <c r="H32" i="27"/>
  <c r="H33" i="27"/>
  <c r="H34" i="27"/>
  <c r="K34" i="27"/>
  <c r="K32" i="27"/>
  <c r="K33" i="27"/>
  <c r="H67" i="27"/>
  <c r="H68" i="27"/>
  <c r="H69" i="27"/>
  <c r="H70" i="27"/>
  <c r="K48" i="27"/>
  <c r="K49" i="27"/>
  <c r="K47" i="27"/>
  <c r="L43" i="27"/>
  <c r="L42" i="27"/>
  <c r="J49" i="27"/>
  <c r="J48" i="27"/>
  <c r="J47" i="27"/>
  <c r="J50" i="27"/>
  <c r="K44" i="27"/>
  <c r="K42" i="27"/>
  <c r="K43" i="27"/>
  <c r="E5" i="28"/>
  <c r="L5" i="28" s="1"/>
  <c r="B4" i="28"/>
  <c r="H5" i="28"/>
  <c r="O5" i="28" s="1"/>
  <c r="G5" i="28"/>
  <c r="N5" i="28" s="1"/>
  <c r="F5" i="28"/>
  <c r="M5" i="28" s="1"/>
  <c r="D5" i="28"/>
  <c r="K5" i="28" s="1"/>
  <c r="C5" i="28"/>
  <c r="J5" i="28" s="1"/>
  <c r="H77" i="27"/>
  <c r="H79" i="27"/>
  <c r="H78" i="27"/>
  <c r="H80" i="27"/>
  <c r="N80" i="27" s="1"/>
  <c r="R80" i="27" s="1"/>
  <c r="I67" i="27"/>
  <c r="I68" i="27"/>
  <c r="I70" i="27"/>
  <c r="I69" i="27"/>
  <c r="I77" i="27"/>
  <c r="I78" i="27"/>
  <c r="I79" i="27"/>
  <c r="I80" i="27"/>
  <c r="K91" i="27"/>
  <c r="K90" i="27"/>
  <c r="K132" i="27"/>
  <c r="K109" i="27"/>
  <c r="K115" i="27"/>
  <c r="K101" i="27"/>
  <c r="K94" i="27"/>
  <c r="K128" i="27"/>
  <c r="K121" i="27"/>
  <c r="K93" i="27"/>
  <c r="K110" i="27"/>
  <c r="K126" i="27"/>
  <c r="K104" i="27"/>
  <c r="K97" i="27"/>
  <c r="K99" i="27"/>
  <c r="K103" i="27"/>
  <c r="K111" i="27"/>
  <c r="K88" i="27"/>
  <c r="K100" i="27"/>
  <c r="K116" i="27"/>
  <c r="K127" i="27"/>
  <c r="K105" i="27"/>
  <c r="K114" i="27"/>
  <c r="K122" i="27"/>
  <c r="K95" i="27"/>
  <c r="K120" i="27"/>
  <c r="N132" i="27"/>
  <c r="H72" i="27"/>
  <c r="H73" i="27"/>
  <c r="H74" i="27"/>
  <c r="H75" i="27"/>
  <c r="H57" i="27"/>
  <c r="H58" i="27"/>
  <c r="H59" i="27"/>
  <c r="H60" i="27"/>
  <c r="J52" i="27"/>
  <c r="J54" i="27"/>
  <c r="J55" i="27"/>
  <c r="J53" i="27"/>
  <c r="K79" i="27"/>
  <c r="K78" i="27"/>
  <c r="K77" i="27"/>
  <c r="H35" i="27"/>
  <c r="N35" i="27" s="1"/>
  <c r="R35" i="27" s="1"/>
  <c r="H52" i="27"/>
  <c r="H53" i="27"/>
  <c r="H54" i="27"/>
  <c r="H55" i="27"/>
  <c r="N55" i="27" s="1"/>
  <c r="R55" i="27" s="1"/>
  <c r="L58" i="27"/>
  <c r="L57" i="27"/>
  <c r="K73" i="27"/>
  <c r="K72" i="27"/>
  <c r="K74" i="27"/>
  <c r="J83" i="27"/>
  <c r="J84" i="27"/>
  <c r="J85" i="27"/>
  <c r="J82" i="27"/>
  <c r="H42" i="27"/>
  <c r="N42" i="27" s="1"/>
  <c r="R42" i="27" s="1"/>
  <c r="H43" i="27"/>
  <c r="H44" i="27"/>
  <c r="H45" i="27"/>
  <c r="K82" i="27"/>
  <c r="K84" i="27"/>
  <c r="K83" i="27"/>
  <c r="I42" i="27"/>
  <c r="I44" i="27"/>
  <c r="I43" i="27"/>
  <c r="I45" i="27"/>
  <c r="L53" i="27"/>
  <c r="L52" i="27"/>
  <c r="K68" i="27"/>
  <c r="K67" i="27"/>
  <c r="K69" i="27"/>
  <c r="N101" i="27"/>
  <c r="H37" i="27"/>
  <c r="H38" i="27"/>
  <c r="H39" i="27"/>
  <c r="H40" i="27"/>
  <c r="L62" i="27"/>
  <c r="L63" i="27"/>
  <c r="L48" i="27"/>
  <c r="L47" i="27"/>
  <c r="L38" i="27"/>
  <c r="L37" i="27"/>
  <c r="K63" i="27"/>
  <c r="K62" i="27"/>
  <c r="K64" i="27"/>
  <c r="H118" i="27"/>
  <c r="N118" i="27" s="1"/>
  <c r="H90" i="27"/>
  <c r="N90" i="27" s="1"/>
  <c r="H129" i="27"/>
  <c r="H115" i="27"/>
  <c r="H124" i="27"/>
  <c r="H113" i="27"/>
  <c r="H117" i="27"/>
  <c r="H93" i="27"/>
  <c r="H99" i="27"/>
  <c r="H104" i="27"/>
  <c r="H114" i="27"/>
  <c r="H126" i="27"/>
  <c r="H123" i="27"/>
  <c r="H92" i="27"/>
  <c r="H94" i="27"/>
  <c r="H102" i="27"/>
  <c r="H109" i="27"/>
  <c r="N109" i="27" s="1"/>
  <c r="H91" i="27"/>
  <c r="N91" i="27" s="1"/>
  <c r="H120" i="27"/>
  <c r="H103" i="27"/>
  <c r="H88" i="27"/>
  <c r="H97" i="27"/>
  <c r="H98" i="27"/>
  <c r="H107" i="27"/>
  <c r="H106" i="27"/>
  <c r="H100" i="27"/>
  <c r="L32" i="27"/>
  <c r="L33" i="27"/>
  <c r="I48" i="27"/>
  <c r="I47" i="27"/>
  <c r="I49" i="27"/>
  <c r="I50" i="27"/>
  <c r="K57" i="27"/>
  <c r="K58" i="27"/>
  <c r="K59" i="27"/>
  <c r="L110" i="27"/>
  <c r="L122" i="27"/>
  <c r="L101" i="27"/>
  <c r="L108" i="27"/>
  <c r="L119" i="27"/>
  <c r="L98" i="27"/>
  <c r="L106" i="27"/>
  <c r="L117" i="27"/>
  <c r="L132" i="27"/>
  <c r="L131" i="27"/>
  <c r="L111" i="27"/>
  <c r="L99" i="27"/>
  <c r="L94" i="27"/>
  <c r="L121" i="27"/>
  <c r="L92" i="27"/>
  <c r="L130" i="27"/>
  <c r="L100" i="27"/>
  <c r="L120" i="27"/>
  <c r="L88" i="27"/>
  <c r="L90" i="27"/>
  <c r="L129" i="27"/>
  <c r="L109" i="27"/>
  <c r="L107" i="27"/>
  <c r="L95" i="27"/>
  <c r="L118" i="27"/>
  <c r="L93" i="27"/>
  <c r="J58" i="27"/>
  <c r="J60" i="27"/>
  <c r="J57" i="27"/>
  <c r="J59" i="27"/>
  <c r="K52" i="27"/>
  <c r="K53" i="27"/>
  <c r="K54" i="27"/>
  <c r="J68" i="27"/>
  <c r="J70" i="27"/>
  <c r="J67" i="27"/>
  <c r="J69" i="27"/>
  <c r="J107" i="27"/>
  <c r="J102" i="27"/>
  <c r="J95" i="27"/>
  <c r="J88" i="27"/>
  <c r="J131" i="27"/>
  <c r="J128" i="27"/>
  <c r="N128" i="27" s="1"/>
  <c r="J108" i="27"/>
  <c r="N108" i="27" s="1"/>
  <c r="J122" i="27"/>
  <c r="N122" i="27" s="1"/>
  <c r="J116" i="27"/>
  <c r="J104" i="27"/>
  <c r="J92" i="27"/>
  <c r="J90" i="27"/>
  <c r="J91" i="27"/>
  <c r="J105" i="27"/>
  <c r="J118" i="27"/>
  <c r="J97" i="27"/>
  <c r="J98" i="27"/>
  <c r="J125" i="27"/>
  <c r="J115" i="27"/>
  <c r="J124" i="27"/>
  <c r="J119" i="27"/>
  <c r="J101" i="27"/>
  <c r="J94" i="27"/>
  <c r="J100" i="27"/>
  <c r="J113" i="27"/>
  <c r="J111" i="27"/>
  <c r="N111" i="27" s="1"/>
  <c r="J34" i="27"/>
  <c r="J33" i="27"/>
  <c r="J35" i="27"/>
  <c r="J32" i="27"/>
  <c r="I60" i="27"/>
  <c r="I58" i="27"/>
  <c r="I57" i="27"/>
  <c r="I59" i="27"/>
  <c r="L83" i="27"/>
  <c r="L82" i="27"/>
  <c r="J65" i="27"/>
  <c r="J62" i="27"/>
  <c r="J63" i="27"/>
  <c r="J64" i="27"/>
  <c r="I83" i="27"/>
  <c r="I82" i="27"/>
  <c r="I84" i="27"/>
  <c r="I85" i="27"/>
  <c r="I101" i="27"/>
  <c r="I121" i="27"/>
  <c r="N121" i="27" s="1"/>
  <c r="I95" i="27"/>
  <c r="I130" i="27"/>
  <c r="N130" i="27" s="1"/>
  <c r="I125" i="27"/>
  <c r="I103" i="27"/>
  <c r="I98" i="27"/>
  <c r="I97" i="27"/>
  <c r="I123" i="27"/>
  <c r="I91" i="27"/>
  <c r="I127" i="27"/>
  <c r="N127" i="27" s="1"/>
  <c r="I102" i="27"/>
  <c r="I99" i="27"/>
  <c r="I105" i="27"/>
  <c r="N105" i="27" s="1"/>
  <c r="I110" i="27"/>
  <c r="N110" i="27" s="1"/>
  <c r="I90" i="27"/>
  <c r="I88" i="27"/>
  <c r="I119" i="27"/>
  <c r="N119" i="27" s="1"/>
  <c r="I114" i="27"/>
  <c r="I92" i="27"/>
  <c r="I116" i="27"/>
  <c r="I93" i="27"/>
  <c r="I106" i="27"/>
  <c r="I108" i="27"/>
  <c r="I117" i="27"/>
  <c r="I113" i="27"/>
  <c r="I37" i="27"/>
  <c r="I40" i="27"/>
  <c r="I39" i="27"/>
  <c r="I38" i="27"/>
  <c r="K39" i="27"/>
  <c r="K38" i="27"/>
  <c r="K37" i="27"/>
  <c r="L78" i="27"/>
  <c r="L77" i="27"/>
  <c r="I34" i="27"/>
  <c r="I35" i="27"/>
  <c r="I32" i="27"/>
  <c r="I33" i="27"/>
  <c r="J75" i="27"/>
  <c r="J72" i="27"/>
  <c r="J73" i="27"/>
  <c r="J74" i="27"/>
  <c r="N95" i="27"/>
  <c r="L72" i="27"/>
  <c r="L73" i="27"/>
  <c r="I73" i="27"/>
  <c r="I74" i="27"/>
  <c r="I72" i="27"/>
  <c r="I75" i="27"/>
  <c r="H47" i="27"/>
  <c r="N47" i="27" s="1"/>
  <c r="R47" i="27" s="1"/>
  <c r="H49" i="27"/>
  <c r="N49" i="27" s="1"/>
  <c r="R49" i="27" s="1"/>
  <c r="H48" i="27"/>
  <c r="N48" i="27" s="1"/>
  <c r="R48" i="27" s="1"/>
  <c r="H50" i="27"/>
  <c r="N50" i="27" s="1"/>
  <c r="R50" i="27" s="1"/>
  <c r="N116" i="27"/>
  <c r="L67" i="27"/>
  <c r="L68" i="27"/>
  <c r="M108" i="27"/>
  <c r="M127" i="27"/>
  <c r="M91" i="27"/>
  <c r="M93" i="27"/>
  <c r="M130" i="27"/>
  <c r="M92" i="27"/>
  <c r="M129" i="27"/>
  <c r="M123" i="27"/>
  <c r="M102" i="27"/>
  <c r="M109" i="27"/>
  <c r="M125" i="27"/>
  <c r="N125" i="27" s="1"/>
  <c r="M105" i="27"/>
  <c r="M94" i="27"/>
  <c r="M132" i="27"/>
  <c r="M107" i="27"/>
  <c r="M106" i="27"/>
  <c r="M104" i="27"/>
  <c r="M124" i="27"/>
  <c r="M88" i="27"/>
  <c r="M131" i="27"/>
  <c r="N131" i="27" s="1"/>
  <c r="M128" i="27"/>
  <c r="M103" i="27"/>
  <c r="M110" i="27"/>
  <c r="M95" i="27"/>
  <c r="M111" i="27"/>
  <c r="M126" i="27"/>
  <c r="H62" i="27"/>
  <c r="N62" i="27" s="1"/>
  <c r="R62" i="27" s="1"/>
  <c r="H64" i="27"/>
  <c r="H63" i="27"/>
  <c r="H65" i="27"/>
  <c r="N65" i="27" s="1"/>
  <c r="R65" i="27" s="1"/>
  <c r="H47" i="25"/>
  <c r="N47" i="25" s="1"/>
  <c r="R47" i="25" s="1"/>
  <c r="H49" i="25"/>
  <c r="N49" i="25" s="1"/>
  <c r="R49" i="25" s="1"/>
  <c r="H48" i="25"/>
  <c r="N48" i="25" s="1"/>
  <c r="R48" i="25" s="1"/>
  <c r="H50" i="25"/>
  <c r="N50" i="25" s="1"/>
  <c r="R50" i="25" s="1"/>
  <c r="H82" i="25"/>
  <c r="N82" i="25" s="1"/>
  <c r="R82" i="25" s="1"/>
  <c r="H84" i="25"/>
  <c r="N84" i="25" s="1"/>
  <c r="R84" i="25" s="1"/>
  <c r="H83" i="25"/>
  <c r="N83" i="25" s="1"/>
  <c r="R83" i="25" s="1"/>
  <c r="H85" i="25"/>
  <c r="N85" i="25" s="1"/>
  <c r="R85" i="25" s="1"/>
  <c r="H62" i="25"/>
  <c r="N62" i="25" s="1"/>
  <c r="R62" i="25" s="1"/>
  <c r="H63" i="25"/>
  <c r="N63" i="25" s="1"/>
  <c r="R63" i="25" s="1"/>
  <c r="H64" i="25"/>
  <c r="N64" i="25" s="1"/>
  <c r="R64" i="25" s="1"/>
  <c r="H65" i="25"/>
  <c r="N65" i="25" s="1"/>
  <c r="R65" i="25" s="1"/>
  <c r="N127" i="25"/>
  <c r="H106" i="25"/>
  <c r="N106" i="25" s="1"/>
  <c r="H91" i="25"/>
  <c r="N91" i="25" s="1"/>
  <c r="H118" i="25"/>
  <c r="N118" i="25" s="1"/>
  <c r="H99" i="25"/>
  <c r="N99" i="25" s="1"/>
  <c r="H100" i="25"/>
  <c r="N100" i="25" s="1"/>
  <c r="H94" i="25"/>
  <c r="N94" i="25" s="1"/>
  <c r="H109" i="25"/>
  <c r="N109" i="25" s="1"/>
  <c r="H102" i="25"/>
  <c r="N102" i="25" s="1"/>
  <c r="H92" i="25"/>
  <c r="N92" i="25" s="1"/>
  <c r="H115" i="25"/>
  <c r="N115" i="25" s="1"/>
  <c r="H90" i="25"/>
  <c r="N90" i="25" s="1"/>
  <c r="H104" i="25"/>
  <c r="N104" i="25" s="1"/>
  <c r="H114" i="25"/>
  <c r="N114" i="25" s="1"/>
  <c r="H103" i="25"/>
  <c r="N103" i="25" s="1"/>
  <c r="H124" i="25"/>
  <c r="N124" i="25" s="1"/>
  <c r="H129" i="25"/>
  <c r="N129" i="25" s="1"/>
  <c r="H126" i="25"/>
  <c r="N126" i="25" s="1"/>
  <c r="H113" i="25"/>
  <c r="N113" i="25" s="1"/>
  <c r="H93" i="25"/>
  <c r="N93" i="25" s="1"/>
  <c r="H117" i="25"/>
  <c r="N117" i="25" s="1"/>
  <c r="H120" i="25"/>
  <c r="N120" i="25" s="1"/>
  <c r="H107" i="25"/>
  <c r="N107" i="25" s="1"/>
  <c r="H123" i="25"/>
  <c r="N123" i="25" s="1"/>
  <c r="H97" i="25"/>
  <c r="N97" i="25" s="1"/>
  <c r="H98" i="25"/>
  <c r="N98" i="25" s="1"/>
  <c r="H88" i="25"/>
  <c r="N88" i="25" s="1"/>
  <c r="N121" i="25"/>
  <c r="R35" i="25"/>
  <c r="N110" i="25"/>
  <c r="N95" i="25"/>
  <c r="H42" i="25"/>
  <c r="N42" i="25" s="1"/>
  <c r="R42" i="25" s="1"/>
  <c r="H44" i="25"/>
  <c r="N44" i="25" s="1"/>
  <c r="R44" i="25" s="1"/>
  <c r="H43" i="25"/>
  <c r="N43" i="25" s="1"/>
  <c r="R43" i="25" s="1"/>
  <c r="H45" i="25"/>
  <c r="N45" i="25" s="1"/>
  <c r="R45" i="25" s="1"/>
  <c r="N128" i="25"/>
  <c r="N105" i="25"/>
  <c r="H52" i="25"/>
  <c r="N52" i="25" s="1"/>
  <c r="R52" i="25" s="1"/>
  <c r="H53" i="25"/>
  <c r="N53" i="25" s="1"/>
  <c r="R53" i="25" s="1"/>
  <c r="H54" i="25"/>
  <c r="N54" i="25" s="1"/>
  <c r="R54" i="25" s="1"/>
  <c r="H55" i="25"/>
  <c r="N55" i="25" s="1"/>
  <c r="R55" i="25" s="1"/>
  <c r="H67" i="25"/>
  <c r="N67" i="25" s="1"/>
  <c r="R67" i="25" s="1"/>
  <c r="H68" i="25"/>
  <c r="N68" i="25" s="1"/>
  <c r="R68" i="25" s="1"/>
  <c r="H69" i="25"/>
  <c r="N69" i="25" s="1"/>
  <c r="R69" i="25" s="1"/>
  <c r="H70" i="25"/>
  <c r="N70" i="25" s="1"/>
  <c r="R70" i="25" s="1"/>
  <c r="H77" i="25"/>
  <c r="N77" i="25" s="1"/>
  <c r="R77" i="25" s="1"/>
  <c r="H78" i="25"/>
  <c r="N78" i="25" s="1"/>
  <c r="R78" i="25" s="1"/>
  <c r="H79" i="25"/>
  <c r="N79" i="25" s="1"/>
  <c r="R79" i="25" s="1"/>
  <c r="H80" i="25"/>
  <c r="N80" i="25" s="1"/>
  <c r="R80" i="25" s="1"/>
  <c r="H37" i="25"/>
  <c r="N37" i="25" s="1"/>
  <c r="R37" i="25" s="1"/>
  <c r="H38" i="25"/>
  <c r="N38" i="25" s="1"/>
  <c r="R38" i="25" s="1"/>
  <c r="H39" i="25"/>
  <c r="N39" i="25" s="1"/>
  <c r="R39" i="25" s="1"/>
  <c r="H40" i="25"/>
  <c r="N40" i="25" s="1"/>
  <c r="R40" i="25" s="1"/>
  <c r="H57" i="25"/>
  <c r="N57" i="25" s="1"/>
  <c r="R57" i="25" s="1"/>
  <c r="H59" i="25"/>
  <c r="N59" i="25" s="1"/>
  <c r="R59" i="25" s="1"/>
  <c r="H58" i="25"/>
  <c r="N58" i="25" s="1"/>
  <c r="R58" i="25" s="1"/>
  <c r="H60" i="25"/>
  <c r="N60" i="25" s="1"/>
  <c r="R60" i="25" s="1"/>
  <c r="H32" i="25"/>
  <c r="N32" i="25" s="1"/>
  <c r="R32" i="25" s="1"/>
  <c r="H34" i="25"/>
  <c r="N34" i="25" s="1"/>
  <c r="R34" i="25" s="1"/>
  <c r="H33" i="25"/>
  <c r="N33" i="25" s="1"/>
  <c r="R33" i="25" s="1"/>
  <c r="N131" i="25"/>
  <c r="H72" i="25"/>
  <c r="N72" i="25" s="1"/>
  <c r="R72" i="25" s="1"/>
  <c r="H73" i="25"/>
  <c r="N73" i="25" s="1"/>
  <c r="R73" i="25" s="1"/>
  <c r="H74" i="25"/>
  <c r="N74" i="25" s="1"/>
  <c r="R74" i="25" s="1"/>
  <c r="H75" i="25"/>
  <c r="N75" i="25" s="1"/>
  <c r="R75" i="25" s="1"/>
  <c r="U3" i="24"/>
  <c r="V3" i="24"/>
  <c r="W3" i="24"/>
  <c r="X3" i="24"/>
  <c r="Y3" i="24"/>
  <c r="Z3" i="24"/>
  <c r="AA3" i="24"/>
  <c r="AB3" i="24"/>
  <c r="AC3" i="24"/>
  <c r="AD3" i="24"/>
  <c r="U4" i="24"/>
  <c r="V4" i="24"/>
  <c r="W4" i="24"/>
  <c r="X4" i="24"/>
  <c r="Y4" i="24"/>
  <c r="Z4" i="24"/>
  <c r="AA4" i="24"/>
  <c r="AB4" i="24"/>
  <c r="AC4" i="24"/>
  <c r="AD4" i="24"/>
  <c r="U5" i="24"/>
  <c r="V5" i="24"/>
  <c r="W5" i="24"/>
  <c r="X5" i="24"/>
  <c r="Y5" i="24"/>
  <c r="Z5" i="24"/>
  <c r="AA5" i="24"/>
  <c r="AB5" i="24"/>
  <c r="AC5" i="24"/>
  <c r="AD5" i="24"/>
  <c r="U6" i="24"/>
  <c r="V6" i="24"/>
  <c r="W6" i="24"/>
  <c r="X6" i="24"/>
  <c r="Y6" i="24"/>
  <c r="Z6" i="24"/>
  <c r="AA6" i="24"/>
  <c r="AB6" i="24"/>
  <c r="AC6" i="24"/>
  <c r="AD6" i="24"/>
  <c r="U7" i="24"/>
  <c r="V7" i="24"/>
  <c r="W7" i="24"/>
  <c r="X7" i="24"/>
  <c r="Y7" i="24"/>
  <c r="Z7" i="24"/>
  <c r="AA7" i="24"/>
  <c r="AB7" i="24"/>
  <c r="AC7" i="24"/>
  <c r="AD7" i="24"/>
  <c r="U8" i="24"/>
  <c r="V8" i="24"/>
  <c r="W8" i="24"/>
  <c r="X8" i="24"/>
  <c r="Y8" i="24"/>
  <c r="Z8" i="24"/>
  <c r="AA8" i="24"/>
  <c r="AB8" i="24"/>
  <c r="AC8" i="24"/>
  <c r="AD8" i="24"/>
  <c r="U9" i="24"/>
  <c r="V9" i="24"/>
  <c r="W9" i="24"/>
  <c r="X9" i="24"/>
  <c r="Y9" i="24"/>
  <c r="Z9" i="24"/>
  <c r="AA9" i="24"/>
  <c r="AB9" i="24"/>
  <c r="AC9" i="24"/>
  <c r="AD9" i="24"/>
  <c r="U10" i="24"/>
  <c r="V10" i="24"/>
  <c r="W10" i="24"/>
  <c r="X10" i="24"/>
  <c r="Y10" i="24"/>
  <c r="Z10" i="24"/>
  <c r="AA10" i="24"/>
  <c r="AB10" i="24"/>
  <c r="AC10" i="24"/>
  <c r="AD10" i="24"/>
  <c r="U11" i="24"/>
  <c r="V11" i="24"/>
  <c r="W11" i="24"/>
  <c r="X11" i="24"/>
  <c r="Y11" i="24"/>
  <c r="Z11" i="24"/>
  <c r="AA11" i="24"/>
  <c r="AB11" i="24"/>
  <c r="AC11" i="24"/>
  <c r="AD11" i="24"/>
  <c r="U12" i="24"/>
  <c r="V12" i="24"/>
  <c r="W12" i="24"/>
  <c r="X12" i="24"/>
  <c r="Y12" i="24"/>
  <c r="Z12" i="24"/>
  <c r="AA12" i="24"/>
  <c r="AB12" i="24"/>
  <c r="AC12" i="24"/>
  <c r="AD12" i="24"/>
  <c r="U13" i="24"/>
  <c r="V13" i="24"/>
  <c r="W13" i="24"/>
  <c r="X13" i="24"/>
  <c r="Y13" i="24"/>
  <c r="Z13" i="24"/>
  <c r="AA13" i="24"/>
  <c r="AB13" i="24"/>
  <c r="AC13" i="24"/>
  <c r="AD13" i="24"/>
  <c r="U14" i="24"/>
  <c r="V14" i="24"/>
  <c r="W14" i="24"/>
  <c r="X14" i="24"/>
  <c r="Y14" i="24"/>
  <c r="Z14" i="24"/>
  <c r="AA14" i="24"/>
  <c r="AB14" i="24"/>
  <c r="AC14" i="24"/>
  <c r="AD14" i="24"/>
  <c r="U15" i="24"/>
  <c r="V15" i="24"/>
  <c r="W15" i="24"/>
  <c r="X15" i="24"/>
  <c r="Y15" i="24"/>
  <c r="Z15" i="24"/>
  <c r="AA15" i="24"/>
  <c r="AB15" i="24"/>
  <c r="AC15" i="24"/>
  <c r="AD15" i="24"/>
  <c r="U16" i="24"/>
  <c r="V16" i="24"/>
  <c r="W16" i="24"/>
  <c r="X16" i="24"/>
  <c r="Y16" i="24"/>
  <c r="Z16" i="24"/>
  <c r="AA16" i="24"/>
  <c r="AB16" i="24"/>
  <c r="AC16" i="24"/>
  <c r="AD16" i="24"/>
  <c r="U17" i="24"/>
  <c r="V17" i="24"/>
  <c r="W17" i="24"/>
  <c r="X17" i="24"/>
  <c r="Y17" i="24"/>
  <c r="Z17" i="24"/>
  <c r="AA17" i="24"/>
  <c r="AB17" i="24"/>
  <c r="AC17" i="24"/>
  <c r="AD17" i="24"/>
  <c r="U18" i="24"/>
  <c r="V18" i="24"/>
  <c r="W18" i="24"/>
  <c r="X18" i="24"/>
  <c r="Y18" i="24"/>
  <c r="Z18" i="24"/>
  <c r="AA18" i="24"/>
  <c r="AB18" i="24"/>
  <c r="AC18" i="24"/>
  <c r="AD18" i="24"/>
  <c r="U19" i="24"/>
  <c r="V19" i="24"/>
  <c r="W19" i="24"/>
  <c r="X19" i="24"/>
  <c r="Y19" i="24"/>
  <c r="Z19" i="24"/>
  <c r="AA19" i="24"/>
  <c r="AB19" i="24"/>
  <c r="AC19" i="24"/>
  <c r="AD19" i="24"/>
  <c r="U20" i="24"/>
  <c r="V20" i="24"/>
  <c r="W20" i="24"/>
  <c r="X20" i="24"/>
  <c r="Y20" i="24"/>
  <c r="Z20" i="24"/>
  <c r="AA20" i="24"/>
  <c r="AB20" i="24"/>
  <c r="AC20" i="24"/>
  <c r="AD20" i="24"/>
  <c r="U21" i="24"/>
  <c r="V21" i="24"/>
  <c r="W21" i="24"/>
  <c r="X21" i="24"/>
  <c r="Y21" i="24"/>
  <c r="Z21" i="24"/>
  <c r="AA21" i="24"/>
  <c r="AB21" i="24"/>
  <c r="AC21" i="24"/>
  <c r="AD21" i="24"/>
  <c r="U22" i="24"/>
  <c r="V22" i="24"/>
  <c r="W22" i="24"/>
  <c r="X22" i="24"/>
  <c r="Y22" i="24"/>
  <c r="Z22" i="24"/>
  <c r="AA22" i="24"/>
  <c r="AB22" i="24"/>
  <c r="AC22" i="24"/>
  <c r="AD22" i="24"/>
  <c r="U23" i="24"/>
  <c r="V23" i="24"/>
  <c r="W23" i="24"/>
  <c r="X23" i="24"/>
  <c r="Y23" i="24"/>
  <c r="Z23" i="24"/>
  <c r="AA23" i="24"/>
  <c r="AB23" i="24"/>
  <c r="AC23" i="24"/>
  <c r="AD23" i="24"/>
  <c r="U24" i="24"/>
  <c r="V24" i="24"/>
  <c r="W24" i="24"/>
  <c r="X24" i="24"/>
  <c r="Y24" i="24"/>
  <c r="Z24" i="24"/>
  <c r="AA24" i="24"/>
  <c r="AB24" i="24"/>
  <c r="AC24" i="24"/>
  <c r="AD24" i="24"/>
  <c r="U25" i="24"/>
  <c r="V25" i="24"/>
  <c r="W25" i="24"/>
  <c r="X25" i="24"/>
  <c r="Y25" i="24"/>
  <c r="Z25" i="24"/>
  <c r="AA25" i="24"/>
  <c r="AB25" i="24"/>
  <c r="AC25" i="24"/>
  <c r="AD25" i="24"/>
  <c r="U26" i="24"/>
  <c r="V26" i="24"/>
  <c r="W26" i="24"/>
  <c r="X26" i="24"/>
  <c r="Y26" i="24"/>
  <c r="Z26" i="24"/>
  <c r="AA26" i="24"/>
  <c r="AB26" i="24"/>
  <c r="AC26" i="24"/>
  <c r="AD26" i="24"/>
  <c r="U27" i="24"/>
  <c r="V27" i="24"/>
  <c r="W27" i="24"/>
  <c r="X27" i="24"/>
  <c r="Y27" i="24"/>
  <c r="Z27" i="24"/>
  <c r="AA27" i="24"/>
  <c r="AB27" i="24"/>
  <c r="AC27" i="24"/>
  <c r="AD27" i="24"/>
  <c r="U28" i="24"/>
  <c r="V28" i="24"/>
  <c r="W28" i="24"/>
  <c r="X28" i="24"/>
  <c r="Y28" i="24"/>
  <c r="Z28" i="24"/>
  <c r="AA28" i="24"/>
  <c r="AB28" i="24"/>
  <c r="AC28" i="24"/>
  <c r="AD28" i="24"/>
  <c r="U29" i="24"/>
  <c r="V29" i="24"/>
  <c r="W29" i="24"/>
  <c r="X29" i="24"/>
  <c r="Y29" i="24"/>
  <c r="Z29" i="24"/>
  <c r="AA29" i="24"/>
  <c r="AB29" i="24"/>
  <c r="AC29" i="24"/>
  <c r="AD29" i="24"/>
  <c r="U30" i="24"/>
  <c r="V30" i="24"/>
  <c r="W30" i="24"/>
  <c r="X30" i="24"/>
  <c r="Y30" i="24"/>
  <c r="Z30" i="24"/>
  <c r="AA30" i="24"/>
  <c r="AB30" i="24"/>
  <c r="AC30" i="24"/>
  <c r="AD30" i="24"/>
  <c r="U31" i="24"/>
  <c r="V31" i="24"/>
  <c r="W31" i="24"/>
  <c r="X31" i="24"/>
  <c r="Y31" i="24"/>
  <c r="Z31" i="24"/>
  <c r="AA31" i="24"/>
  <c r="AB31" i="24"/>
  <c r="AC31" i="24"/>
  <c r="AD31" i="24"/>
  <c r="U32" i="24"/>
  <c r="V32" i="24"/>
  <c r="W32" i="24"/>
  <c r="X32" i="24"/>
  <c r="Y32" i="24"/>
  <c r="Z32" i="24"/>
  <c r="AA32" i="24"/>
  <c r="AB32" i="24"/>
  <c r="AC32" i="24"/>
  <c r="AD32" i="24"/>
  <c r="V2" i="24"/>
  <c r="W2" i="24"/>
  <c r="X2" i="24"/>
  <c r="Y2" i="24"/>
  <c r="Z2" i="24"/>
  <c r="AA2" i="24"/>
  <c r="AB2" i="24"/>
  <c r="AC2" i="24"/>
  <c r="AD2" i="24"/>
  <c r="U2" i="24"/>
  <c r="R715" i="24"/>
  <c r="R714" i="24"/>
  <c r="R713" i="24"/>
  <c r="R712" i="24"/>
  <c r="R711" i="24"/>
  <c r="R710" i="24"/>
  <c r="R709" i="24"/>
  <c r="R708" i="24"/>
  <c r="R707" i="24"/>
  <c r="R706" i="24"/>
  <c r="R705" i="24"/>
  <c r="R704" i="24"/>
  <c r="R703" i="24"/>
  <c r="R702" i="24"/>
  <c r="R701" i="24"/>
  <c r="R700" i="24"/>
  <c r="R699" i="24"/>
  <c r="R698" i="24"/>
  <c r="R697" i="24"/>
  <c r="R696" i="24"/>
  <c r="R695" i="24"/>
  <c r="R694" i="24"/>
  <c r="R693" i="24"/>
  <c r="R692" i="24"/>
  <c r="R691" i="24"/>
  <c r="R690" i="24"/>
  <c r="R689" i="24"/>
  <c r="R688" i="24"/>
  <c r="R687" i="24"/>
  <c r="R686" i="24"/>
  <c r="R685" i="24"/>
  <c r="R684" i="24"/>
  <c r="R683" i="24"/>
  <c r="R682" i="24"/>
  <c r="R681" i="24"/>
  <c r="R680" i="24"/>
  <c r="R679" i="24"/>
  <c r="R678" i="24"/>
  <c r="R677" i="24"/>
  <c r="R676" i="24"/>
  <c r="R675" i="24"/>
  <c r="R674" i="24"/>
  <c r="R673" i="24"/>
  <c r="R672" i="24"/>
  <c r="R671" i="24"/>
  <c r="R670" i="24"/>
  <c r="R669" i="24"/>
  <c r="R668" i="24"/>
  <c r="R667" i="24"/>
  <c r="R666" i="24"/>
  <c r="R665" i="24"/>
  <c r="R664" i="24"/>
  <c r="R663" i="24"/>
  <c r="R662" i="24"/>
  <c r="R661" i="24"/>
  <c r="R660" i="24"/>
  <c r="R659" i="24"/>
  <c r="R658" i="24"/>
  <c r="R657" i="24"/>
  <c r="R656" i="24"/>
  <c r="R655" i="24"/>
  <c r="R654" i="24"/>
  <c r="R653" i="24"/>
  <c r="R652" i="24"/>
  <c r="R651" i="24"/>
  <c r="R650" i="24"/>
  <c r="R649" i="24"/>
  <c r="R648" i="24"/>
  <c r="R647" i="24"/>
  <c r="R646" i="24"/>
  <c r="R645" i="24"/>
  <c r="R644" i="24"/>
  <c r="R643" i="24"/>
  <c r="R642" i="24"/>
  <c r="R641" i="24"/>
  <c r="R640" i="24"/>
  <c r="R639" i="24"/>
  <c r="R638" i="24"/>
  <c r="R637" i="24"/>
  <c r="R636" i="24"/>
  <c r="R635" i="24"/>
  <c r="R634" i="24"/>
  <c r="R633" i="24"/>
  <c r="R632" i="24"/>
  <c r="R631" i="24"/>
  <c r="R630" i="24"/>
  <c r="R629" i="24"/>
  <c r="R628" i="24"/>
  <c r="R627" i="24"/>
  <c r="R626" i="24"/>
  <c r="R625" i="24"/>
  <c r="R624" i="24"/>
  <c r="R623" i="24"/>
  <c r="R622" i="24"/>
  <c r="R621" i="24"/>
  <c r="R620" i="24"/>
  <c r="R619" i="24"/>
  <c r="R618" i="24"/>
  <c r="R617" i="24"/>
  <c r="R616" i="24"/>
  <c r="R615" i="24"/>
  <c r="R614" i="24"/>
  <c r="R613" i="24"/>
  <c r="R612" i="24"/>
  <c r="R611" i="24"/>
  <c r="R610" i="24"/>
  <c r="R609" i="24"/>
  <c r="R608" i="24"/>
  <c r="R607" i="24"/>
  <c r="R606" i="24"/>
  <c r="R605" i="24"/>
  <c r="R604" i="24"/>
  <c r="R603" i="24"/>
  <c r="R602" i="24"/>
  <c r="R601" i="24"/>
  <c r="R600" i="24"/>
  <c r="R599" i="24"/>
  <c r="R598" i="24"/>
  <c r="R597" i="24"/>
  <c r="R596" i="24"/>
  <c r="R595" i="24"/>
  <c r="R594" i="24"/>
  <c r="R593" i="24"/>
  <c r="R592" i="24"/>
  <c r="R591" i="24"/>
  <c r="R590" i="24"/>
  <c r="R589" i="24"/>
  <c r="R588" i="24"/>
  <c r="R587" i="24"/>
  <c r="R586" i="24"/>
  <c r="R585" i="24"/>
  <c r="R584" i="24"/>
  <c r="R583" i="24"/>
  <c r="R582" i="24"/>
  <c r="R581" i="24"/>
  <c r="R580" i="24"/>
  <c r="R579" i="24"/>
  <c r="R578" i="24"/>
  <c r="R577" i="24"/>
  <c r="R576" i="24"/>
  <c r="R575" i="24"/>
  <c r="R574" i="24"/>
  <c r="R573" i="24"/>
  <c r="R572" i="24"/>
  <c r="R571" i="24"/>
  <c r="R570" i="24"/>
  <c r="R569" i="24"/>
  <c r="R568" i="24"/>
  <c r="R567" i="24"/>
  <c r="R566" i="24"/>
  <c r="R565" i="24"/>
  <c r="R564" i="24"/>
  <c r="R563" i="24"/>
  <c r="R562" i="24"/>
  <c r="R561" i="24"/>
  <c r="R560" i="24"/>
  <c r="R559" i="24"/>
  <c r="R558" i="24"/>
  <c r="R557" i="24"/>
  <c r="R556" i="24"/>
  <c r="R555" i="24"/>
  <c r="R554" i="24"/>
  <c r="R553" i="24"/>
  <c r="R552" i="24"/>
  <c r="R551" i="24"/>
  <c r="R550" i="24"/>
  <c r="R549" i="24"/>
  <c r="R548" i="24"/>
  <c r="R547" i="24"/>
  <c r="R546" i="24"/>
  <c r="R545" i="24"/>
  <c r="R544" i="24"/>
  <c r="R543" i="24"/>
  <c r="R542" i="24"/>
  <c r="R541" i="24"/>
  <c r="R540" i="24"/>
  <c r="R539" i="24"/>
  <c r="R538" i="24"/>
  <c r="R537" i="24"/>
  <c r="R536" i="24"/>
  <c r="R535" i="24"/>
  <c r="R534" i="24"/>
  <c r="R533" i="24"/>
  <c r="R532" i="24"/>
  <c r="R531" i="24"/>
  <c r="R530" i="24"/>
  <c r="R529" i="24"/>
  <c r="R528" i="24"/>
  <c r="R527" i="24"/>
  <c r="R526" i="24"/>
  <c r="R525" i="24"/>
  <c r="R524" i="24"/>
  <c r="R523" i="24"/>
  <c r="R522" i="24"/>
  <c r="R521" i="24"/>
  <c r="R520" i="24"/>
  <c r="R519" i="24"/>
  <c r="R518" i="24"/>
  <c r="R517" i="24"/>
  <c r="R516" i="24"/>
  <c r="R515" i="24"/>
  <c r="R514" i="24"/>
  <c r="R513" i="24"/>
  <c r="R512" i="24"/>
  <c r="R511" i="24"/>
  <c r="R510" i="24"/>
  <c r="R509" i="24"/>
  <c r="R508" i="24"/>
  <c r="R507" i="24"/>
  <c r="R506" i="24"/>
  <c r="R505" i="24"/>
  <c r="R504" i="24"/>
  <c r="R503" i="24"/>
  <c r="R502" i="24"/>
  <c r="R501" i="24"/>
  <c r="R500" i="24"/>
  <c r="R499" i="24"/>
  <c r="R498" i="24"/>
  <c r="R497" i="24"/>
  <c r="R496" i="24"/>
  <c r="R495" i="24"/>
  <c r="R494" i="24"/>
  <c r="R493" i="24"/>
  <c r="R492" i="24"/>
  <c r="R491" i="24"/>
  <c r="R490" i="24"/>
  <c r="R489" i="24"/>
  <c r="R488" i="24"/>
  <c r="R487" i="24"/>
  <c r="R486" i="24"/>
  <c r="R485" i="24"/>
  <c r="R484" i="24"/>
  <c r="R483" i="24"/>
  <c r="R482" i="24"/>
  <c r="R481" i="24"/>
  <c r="R480" i="24"/>
  <c r="R479" i="24"/>
  <c r="R478" i="24"/>
  <c r="R477" i="24"/>
  <c r="R476" i="24"/>
  <c r="R475" i="24"/>
  <c r="R474" i="24"/>
  <c r="R473" i="24"/>
  <c r="R472" i="24"/>
  <c r="R471" i="24"/>
  <c r="R470" i="24"/>
  <c r="R469" i="24"/>
  <c r="R468" i="24"/>
  <c r="R467" i="24"/>
  <c r="R466" i="24"/>
  <c r="R465" i="24"/>
  <c r="R464" i="24"/>
  <c r="R463" i="24"/>
  <c r="R462" i="24"/>
  <c r="R461" i="24"/>
  <c r="R460" i="24"/>
  <c r="R459" i="24"/>
  <c r="R458" i="24"/>
  <c r="R457" i="24"/>
  <c r="R456" i="24"/>
  <c r="R455" i="24"/>
  <c r="R454" i="24"/>
  <c r="R453" i="24"/>
  <c r="R452" i="24"/>
  <c r="R451" i="24"/>
  <c r="R450" i="24"/>
  <c r="R449" i="24"/>
  <c r="R448" i="24"/>
  <c r="R447" i="24"/>
  <c r="R446" i="24"/>
  <c r="R445" i="24"/>
  <c r="R444" i="24"/>
  <c r="R443" i="24"/>
  <c r="R442" i="24"/>
  <c r="R441" i="24"/>
  <c r="R440" i="24"/>
  <c r="R439" i="24"/>
  <c r="R438" i="24"/>
  <c r="R437" i="24"/>
  <c r="R436" i="24"/>
  <c r="R435" i="24"/>
  <c r="R434" i="24"/>
  <c r="R433" i="24"/>
  <c r="R432" i="24"/>
  <c r="R431" i="24"/>
  <c r="R430" i="24"/>
  <c r="R429" i="24"/>
  <c r="R428" i="24"/>
  <c r="R427" i="24"/>
  <c r="R426" i="24"/>
  <c r="R425" i="24"/>
  <c r="R424" i="24"/>
  <c r="R423" i="24"/>
  <c r="R422" i="24"/>
  <c r="R421" i="24"/>
  <c r="R420" i="24"/>
  <c r="R419" i="24"/>
  <c r="R418" i="24"/>
  <c r="R417" i="24"/>
  <c r="R416" i="24"/>
  <c r="R415" i="24"/>
  <c r="R414" i="24"/>
  <c r="R413" i="24"/>
  <c r="R412" i="24"/>
  <c r="R411" i="24"/>
  <c r="R410" i="24"/>
  <c r="R409" i="24"/>
  <c r="R408" i="24"/>
  <c r="R407" i="24"/>
  <c r="R406" i="24"/>
  <c r="R405" i="24"/>
  <c r="R404" i="24"/>
  <c r="R403" i="24"/>
  <c r="R402" i="24"/>
  <c r="R401" i="24"/>
  <c r="R400" i="24"/>
  <c r="R399" i="24"/>
  <c r="R398" i="24"/>
  <c r="R397" i="24"/>
  <c r="R396" i="24"/>
  <c r="R395" i="24"/>
  <c r="R394" i="24"/>
  <c r="R393" i="24"/>
  <c r="R392" i="24"/>
  <c r="R391" i="24"/>
  <c r="R390" i="24"/>
  <c r="R389" i="24"/>
  <c r="R388" i="24"/>
  <c r="R387" i="24"/>
  <c r="R386" i="24"/>
  <c r="R385" i="24"/>
  <c r="R384" i="24"/>
  <c r="R383" i="24"/>
  <c r="R382" i="24"/>
  <c r="R381" i="24"/>
  <c r="R380" i="24"/>
  <c r="R379" i="24"/>
  <c r="R378" i="24"/>
  <c r="R377" i="24"/>
  <c r="R376" i="24"/>
  <c r="R375" i="24"/>
  <c r="R374" i="24"/>
  <c r="R373" i="24"/>
  <c r="R372" i="24"/>
  <c r="R371" i="24"/>
  <c r="R370" i="24"/>
  <c r="R369" i="24"/>
  <c r="R368" i="24"/>
  <c r="R367" i="24"/>
  <c r="R366" i="24"/>
  <c r="R365" i="24"/>
  <c r="R364" i="24"/>
  <c r="R363" i="24"/>
  <c r="R362" i="24"/>
  <c r="R361" i="24"/>
  <c r="R360" i="24"/>
  <c r="R359" i="24"/>
  <c r="R358" i="24"/>
  <c r="R357" i="24"/>
  <c r="R356" i="24"/>
  <c r="R355" i="24"/>
  <c r="R354" i="24"/>
  <c r="R353" i="24"/>
  <c r="R352" i="24"/>
  <c r="R351" i="24"/>
  <c r="R350" i="24"/>
  <c r="R349" i="24"/>
  <c r="R348" i="24"/>
  <c r="R347" i="24"/>
  <c r="R346" i="24"/>
  <c r="R345" i="24"/>
  <c r="R344" i="24"/>
  <c r="R343" i="24"/>
  <c r="R342" i="24"/>
  <c r="R341" i="24"/>
  <c r="R340" i="24"/>
  <c r="R339" i="24"/>
  <c r="R338" i="24"/>
  <c r="R337" i="24"/>
  <c r="R336" i="24"/>
  <c r="R335" i="24"/>
  <c r="R334" i="24"/>
  <c r="R333" i="24"/>
  <c r="R332" i="24"/>
  <c r="R331" i="24"/>
  <c r="R330" i="24"/>
  <c r="R329" i="24"/>
  <c r="R328" i="24"/>
  <c r="R327" i="24"/>
  <c r="R326" i="24"/>
  <c r="R325" i="24"/>
  <c r="R324" i="24"/>
  <c r="R323" i="24"/>
  <c r="R322" i="24"/>
  <c r="R321" i="24"/>
  <c r="R320" i="24"/>
  <c r="R319" i="24"/>
  <c r="R318" i="24"/>
  <c r="R317" i="24"/>
  <c r="R316" i="24"/>
  <c r="R315" i="24"/>
  <c r="R314" i="24"/>
  <c r="R313" i="24"/>
  <c r="R312" i="24"/>
  <c r="R311" i="24"/>
  <c r="R310" i="24"/>
  <c r="R309" i="24"/>
  <c r="R308" i="24"/>
  <c r="R307" i="24"/>
  <c r="R306" i="24"/>
  <c r="R305" i="24"/>
  <c r="R304" i="24"/>
  <c r="R303" i="24"/>
  <c r="R302" i="24"/>
  <c r="R301" i="24"/>
  <c r="R300" i="24"/>
  <c r="R299" i="24"/>
  <c r="R298" i="24"/>
  <c r="R297" i="24"/>
  <c r="R296" i="24"/>
  <c r="R295" i="24"/>
  <c r="R294" i="24"/>
  <c r="R293" i="24"/>
  <c r="R292" i="24"/>
  <c r="R291" i="24"/>
  <c r="R290" i="24"/>
  <c r="R289" i="24"/>
  <c r="R288" i="24"/>
  <c r="R287" i="24"/>
  <c r="R286" i="24"/>
  <c r="R285" i="24"/>
  <c r="R284" i="24"/>
  <c r="R283" i="24"/>
  <c r="R282" i="24"/>
  <c r="R281" i="24"/>
  <c r="R280" i="24"/>
  <c r="R279" i="24"/>
  <c r="R278" i="24"/>
  <c r="R277" i="24"/>
  <c r="R276" i="24"/>
  <c r="R275" i="24"/>
  <c r="R274" i="24"/>
  <c r="R273" i="24"/>
  <c r="R272" i="24"/>
  <c r="R271" i="24"/>
  <c r="R270" i="24"/>
  <c r="R269" i="24"/>
  <c r="R268" i="24"/>
  <c r="R267" i="24"/>
  <c r="R266" i="24"/>
  <c r="R265" i="24"/>
  <c r="R264" i="24"/>
  <c r="R263" i="24"/>
  <c r="R262" i="24"/>
  <c r="R261" i="24"/>
  <c r="R260" i="24"/>
  <c r="R259" i="24"/>
  <c r="R258" i="24"/>
  <c r="R257" i="24"/>
  <c r="R256" i="24"/>
  <c r="R255" i="24"/>
  <c r="R254" i="24"/>
  <c r="R253" i="24"/>
  <c r="R252" i="24"/>
  <c r="R251" i="24"/>
  <c r="R250" i="24"/>
  <c r="R249" i="24"/>
  <c r="R248" i="24"/>
  <c r="R247" i="24"/>
  <c r="R246" i="24"/>
  <c r="R245" i="24"/>
  <c r="R244" i="24"/>
  <c r="R243" i="24"/>
  <c r="R242" i="24"/>
  <c r="R241" i="24"/>
  <c r="R240" i="24"/>
  <c r="R239" i="24"/>
  <c r="R238" i="24"/>
  <c r="R237" i="24"/>
  <c r="R236" i="24"/>
  <c r="R235" i="24"/>
  <c r="R234" i="24"/>
  <c r="R233" i="24"/>
  <c r="R232" i="24"/>
  <c r="R231" i="24"/>
  <c r="R230" i="24"/>
  <c r="R229" i="24"/>
  <c r="R228" i="24"/>
  <c r="R227" i="24"/>
  <c r="R226" i="24"/>
  <c r="R225" i="24"/>
  <c r="R224" i="24"/>
  <c r="R223" i="24"/>
  <c r="R222" i="24"/>
  <c r="R221" i="24"/>
  <c r="R220" i="24"/>
  <c r="R219" i="24"/>
  <c r="R218" i="24"/>
  <c r="R217" i="24"/>
  <c r="R216" i="24"/>
  <c r="R215" i="24"/>
  <c r="R214" i="24"/>
  <c r="R213" i="24"/>
  <c r="R212" i="24"/>
  <c r="R211" i="24"/>
  <c r="R210" i="24"/>
  <c r="R209" i="24"/>
  <c r="R208" i="24"/>
  <c r="R207" i="24"/>
  <c r="R206" i="24"/>
  <c r="R205" i="24"/>
  <c r="R204" i="24"/>
  <c r="R203" i="24"/>
  <c r="R202" i="24"/>
  <c r="R201" i="24"/>
  <c r="R200" i="24"/>
  <c r="R199" i="24"/>
  <c r="R198" i="24"/>
  <c r="R197" i="24"/>
  <c r="R196" i="24"/>
  <c r="R195" i="24"/>
  <c r="R194" i="24"/>
  <c r="R193" i="24"/>
  <c r="R192" i="24"/>
  <c r="R191" i="24"/>
  <c r="R190" i="24"/>
  <c r="R189" i="24"/>
  <c r="R188" i="24"/>
  <c r="R187" i="24"/>
  <c r="R186" i="24"/>
  <c r="R185" i="24"/>
  <c r="R184" i="24"/>
  <c r="R183" i="24"/>
  <c r="R182" i="24"/>
  <c r="R181" i="24"/>
  <c r="R180" i="24"/>
  <c r="R179" i="24"/>
  <c r="R178" i="24"/>
  <c r="R177" i="24"/>
  <c r="R176" i="24"/>
  <c r="R175" i="24"/>
  <c r="R174" i="24"/>
  <c r="R173" i="24"/>
  <c r="R172" i="24"/>
  <c r="R171" i="24"/>
  <c r="R170" i="24"/>
  <c r="R169" i="24"/>
  <c r="R168" i="24"/>
  <c r="R167" i="24"/>
  <c r="R166" i="24"/>
  <c r="R165" i="24"/>
  <c r="R164" i="24"/>
  <c r="R163" i="24"/>
  <c r="R162" i="24"/>
  <c r="R161" i="24"/>
  <c r="R160" i="24"/>
  <c r="R159" i="24"/>
  <c r="R158" i="24"/>
  <c r="R157" i="24"/>
  <c r="R156" i="24"/>
  <c r="R155" i="24"/>
  <c r="R154" i="24"/>
  <c r="R153" i="24"/>
  <c r="R152" i="24"/>
  <c r="R151" i="24"/>
  <c r="R150" i="24"/>
  <c r="R149" i="24"/>
  <c r="R148" i="24"/>
  <c r="R147" i="24"/>
  <c r="R146" i="24"/>
  <c r="R145" i="24"/>
  <c r="R144" i="24"/>
  <c r="R143" i="24"/>
  <c r="R142" i="24"/>
  <c r="R141" i="24"/>
  <c r="R140" i="24"/>
  <c r="R139" i="24"/>
  <c r="R138" i="24"/>
  <c r="R137" i="24"/>
  <c r="R136" i="24"/>
  <c r="R135" i="24"/>
  <c r="R134" i="24"/>
  <c r="R133" i="24"/>
  <c r="R132" i="24"/>
  <c r="R131" i="24"/>
  <c r="R130" i="24"/>
  <c r="R129" i="24"/>
  <c r="R128" i="24"/>
  <c r="R127" i="24"/>
  <c r="R126" i="24"/>
  <c r="R125" i="24"/>
  <c r="R124" i="24"/>
  <c r="R123" i="24"/>
  <c r="R122" i="24"/>
  <c r="R121" i="24"/>
  <c r="R120" i="24"/>
  <c r="R119" i="24"/>
  <c r="R118" i="24"/>
  <c r="R117" i="24"/>
  <c r="R116" i="24"/>
  <c r="R115" i="24"/>
  <c r="R114" i="24"/>
  <c r="R113" i="24"/>
  <c r="R112" i="24"/>
  <c r="R111" i="24"/>
  <c r="R110" i="24"/>
  <c r="R109" i="24"/>
  <c r="R108" i="24"/>
  <c r="R107" i="24"/>
  <c r="R106" i="24"/>
  <c r="R105" i="24"/>
  <c r="R104" i="24"/>
  <c r="R103" i="24"/>
  <c r="R102" i="24"/>
  <c r="R101" i="24"/>
  <c r="R100" i="24"/>
  <c r="R99" i="24"/>
  <c r="R98" i="24"/>
  <c r="R97" i="24"/>
  <c r="R96" i="24"/>
  <c r="R95" i="24"/>
  <c r="R94" i="24"/>
  <c r="R93" i="24"/>
  <c r="R92" i="24"/>
  <c r="R91" i="24"/>
  <c r="R90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4" i="24"/>
  <c r="R43" i="24"/>
  <c r="R42" i="24"/>
  <c r="R41" i="24"/>
  <c r="R40" i="24"/>
  <c r="R39" i="24"/>
  <c r="R38" i="24"/>
  <c r="R37" i="24"/>
  <c r="R36" i="24"/>
  <c r="R35" i="24"/>
  <c r="R34" i="24"/>
  <c r="R33" i="24"/>
  <c r="R32" i="24"/>
  <c r="R31" i="24"/>
  <c r="R30" i="24"/>
  <c r="R29" i="24"/>
  <c r="R28" i="24"/>
  <c r="R27" i="24"/>
  <c r="R26" i="24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R2" i="24"/>
  <c r="N63" i="27" l="1"/>
  <c r="R63" i="27" s="1"/>
  <c r="N102" i="27"/>
  <c r="N64" i="27"/>
  <c r="R64" i="27" s="1"/>
  <c r="N94" i="27"/>
  <c r="N92" i="27"/>
  <c r="N34" i="27"/>
  <c r="R34" i="27" s="1"/>
  <c r="N123" i="27"/>
  <c r="N78" i="27"/>
  <c r="R78" i="27" s="1"/>
  <c r="N33" i="27"/>
  <c r="R33" i="27" s="1"/>
  <c r="N126" i="27"/>
  <c r="N79" i="27"/>
  <c r="R79" i="27" s="1"/>
  <c r="N32" i="27"/>
  <c r="R32" i="27" s="1"/>
  <c r="N114" i="27"/>
  <c r="N77" i="27"/>
  <c r="R77" i="27" s="1"/>
  <c r="N100" i="27"/>
  <c r="N104" i="27"/>
  <c r="N60" i="27"/>
  <c r="R60" i="27" s="1"/>
  <c r="N106" i="27"/>
  <c r="N99" i="27"/>
  <c r="N59" i="27"/>
  <c r="R59" i="27" s="1"/>
  <c r="N107" i="27"/>
  <c r="N93" i="27"/>
  <c r="N58" i="27"/>
  <c r="R58" i="27" s="1"/>
  <c r="N98" i="27"/>
  <c r="N117" i="27"/>
  <c r="N57" i="27"/>
  <c r="R57" i="27" s="1"/>
  <c r="N97" i="27"/>
  <c r="N113" i="27"/>
  <c r="N40" i="27"/>
  <c r="R40" i="27" s="1"/>
  <c r="N54" i="27"/>
  <c r="R54" i="27" s="1"/>
  <c r="N75" i="27"/>
  <c r="R75" i="27" s="1"/>
  <c r="N70" i="27"/>
  <c r="R70" i="27" s="1"/>
  <c r="N85" i="27"/>
  <c r="R85" i="27" s="1"/>
  <c r="N88" i="27"/>
  <c r="N124" i="27"/>
  <c r="N39" i="27"/>
  <c r="R39" i="27" s="1"/>
  <c r="N45" i="27"/>
  <c r="R45" i="27" s="1"/>
  <c r="N53" i="27"/>
  <c r="R53" i="27" s="1"/>
  <c r="N74" i="27"/>
  <c r="R74" i="27" s="1"/>
  <c r="N69" i="27"/>
  <c r="R69" i="27" s="1"/>
  <c r="N83" i="27"/>
  <c r="R83" i="27" s="1"/>
  <c r="N103" i="27"/>
  <c r="N115" i="27"/>
  <c r="N38" i="27"/>
  <c r="R38" i="27" s="1"/>
  <c r="N44" i="27"/>
  <c r="R44" i="27" s="1"/>
  <c r="N52" i="27"/>
  <c r="R52" i="27" s="1"/>
  <c r="N73" i="27"/>
  <c r="R73" i="27" s="1"/>
  <c r="H4" i="28"/>
  <c r="O4" i="28" s="1"/>
  <c r="G4" i="28"/>
  <c r="N4" i="28" s="1"/>
  <c r="F4" i="28"/>
  <c r="M4" i="28" s="1"/>
  <c r="E4" i="28"/>
  <c r="L4" i="28" s="1"/>
  <c r="D4" i="28"/>
  <c r="K4" i="28" s="1"/>
  <c r="C4" i="28"/>
  <c r="J4" i="28" s="1"/>
  <c r="N68" i="27"/>
  <c r="R68" i="27" s="1"/>
  <c r="N84" i="27"/>
  <c r="R84" i="27" s="1"/>
  <c r="N120" i="27"/>
  <c r="N129" i="27"/>
  <c r="N37" i="27"/>
  <c r="R37" i="27" s="1"/>
  <c r="N43" i="27"/>
  <c r="R43" i="27" s="1"/>
  <c r="N72" i="27"/>
  <c r="R72" i="27" s="1"/>
  <c r="N67" i="27"/>
  <c r="R67" i="27" s="1"/>
  <c r="N82" i="27"/>
  <c r="R82" i="27" s="1"/>
  <c r="K21" i="25"/>
  <c r="R86" i="25"/>
  <c r="K20" i="25" s="1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S88" i="24"/>
  <c r="S89" i="24"/>
  <c r="S90" i="24"/>
  <c r="S91" i="24"/>
  <c r="S92" i="24"/>
  <c r="S93" i="24"/>
  <c r="S94" i="24"/>
  <c r="S95" i="24"/>
  <c r="S96" i="24"/>
  <c r="S97" i="24"/>
  <c r="S98" i="24"/>
  <c r="S99" i="24"/>
  <c r="S100" i="24"/>
  <c r="S101" i="24"/>
  <c r="S102" i="24"/>
  <c r="S103" i="24"/>
  <c r="S104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S117" i="24"/>
  <c r="S118" i="24"/>
  <c r="S119" i="24"/>
  <c r="S120" i="24"/>
  <c r="S121" i="24"/>
  <c r="S122" i="24"/>
  <c r="S123" i="24"/>
  <c r="S124" i="24"/>
  <c r="S125" i="24"/>
  <c r="S126" i="24"/>
  <c r="S127" i="24"/>
  <c r="S128" i="24"/>
  <c r="S129" i="24"/>
  <c r="S130" i="24"/>
  <c r="S131" i="24"/>
  <c r="S132" i="24"/>
  <c r="S133" i="24"/>
  <c r="S134" i="24"/>
  <c r="S135" i="24"/>
  <c r="S136" i="24"/>
  <c r="S137" i="24"/>
  <c r="S138" i="24"/>
  <c r="S139" i="24"/>
  <c r="S140" i="24"/>
  <c r="S141" i="24"/>
  <c r="S142" i="24"/>
  <c r="S143" i="24"/>
  <c r="S144" i="24"/>
  <c r="S145" i="24"/>
  <c r="S146" i="24"/>
  <c r="S147" i="24"/>
  <c r="S148" i="24"/>
  <c r="S149" i="24"/>
  <c r="S150" i="24"/>
  <c r="S151" i="24"/>
  <c r="S152" i="24"/>
  <c r="S153" i="24"/>
  <c r="S154" i="24"/>
  <c r="S155" i="24"/>
  <c r="S156" i="24"/>
  <c r="S157" i="24"/>
  <c r="S158" i="24"/>
  <c r="S159" i="24"/>
  <c r="S160" i="24"/>
  <c r="S161" i="24"/>
  <c r="S162" i="24"/>
  <c r="S163" i="24"/>
  <c r="S164" i="24"/>
  <c r="S165" i="24"/>
  <c r="S166" i="24"/>
  <c r="S167" i="24"/>
  <c r="S168" i="24"/>
  <c r="S169" i="24"/>
  <c r="S170" i="24"/>
  <c r="S171" i="24"/>
  <c r="S172" i="24"/>
  <c r="S173" i="24"/>
  <c r="S174" i="24"/>
  <c r="S175" i="24"/>
  <c r="S176" i="24"/>
  <c r="S177" i="24"/>
  <c r="S178" i="24"/>
  <c r="S179" i="24"/>
  <c r="S180" i="24"/>
  <c r="S181" i="24"/>
  <c r="S182" i="24"/>
  <c r="S183" i="24"/>
  <c r="S184" i="24"/>
  <c r="S185" i="24"/>
  <c r="S186" i="24"/>
  <c r="S187" i="24"/>
  <c r="S188" i="24"/>
  <c r="S189" i="24"/>
  <c r="S190" i="24"/>
  <c r="S191" i="24"/>
  <c r="S192" i="24"/>
  <c r="S193" i="24"/>
  <c r="S194" i="24"/>
  <c r="S195" i="24"/>
  <c r="S196" i="24"/>
  <c r="S197" i="24"/>
  <c r="S198" i="24"/>
  <c r="S199" i="24"/>
  <c r="S200" i="24"/>
  <c r="S201" i="24"/>
  <c r="S202" i="24"/>
  <c r="S203" i="24"/>
  <c r="S204" i="24"/>
  <c r="S205" i="24"/>
  <c r="S206" i="24"/>
  <c r="S207" i="24"/>
  <c r="S208" i="24"/>
  <c r="S209" i="24"/>
  <c r="S210" i="24"/>
  <c r="S211" i="24"/>
  <c r="S212" i="24"/>
  <c r="S213" i="24"/>
  <c r="S214" i="24"/>
  <c r="S215" i="24"/>
  <c r="S216" i="24"/>
  <c r="S217" i="24"/>
  <c r="S218" i="24"/>
  <c r="S219" i="24"/>
  <c r="S220" i="24"/>
  <c r="S221" i="24"/>
  <c r="S222" i="24"/>
  <c r="S223" i="24"/>
  <c r="S224" i="24"/>
  <c r="S225" i="24"/>
  <c r="S226" i="24"/>
  <c r="S227" i="24"/>
  <c r="S228" i="24"/>
  <c r="S229" i="24"/>
  <c r="S230" i="24"/>
  <c r="S231" i="24"/>
  <c r="S232" i="24"/>
  <c r="S233" i="24"/>
  <c r="S234" i="24"/>
  <c r="S235" i="24"/>
  <c r="S236" i="24"/>
  <c r="S237" i="24"/>
  <c r="S238" i="24"/>
  <c r="S239" i="24"/>
  <c r="S240" i="24"/>
  <c r="S241" i="24"/>
  <c r="S242" i="24"/>
  <c r="S243" i="24"/>
  <c r="S244" i="24"/>
  <c r="S245" i="24"/>
  <c r="S246" i="24"/>
  <c r="S247" i="24"/>
  <c r="S248" i="24"/>
  <c r="S249" i="24"/>
  <c r="S250" i="24"/>
  <c r="S251" i="24"/>
  <c r="S252" i="24"/>
  <c r="S253" i="24"/>
  <c r="S254" i="24"/>
  <c r="S255" i="24"/>
  <c r="S256" i="24"/>
  <c r="S257" i="24"/>
  <c r="S258" i="24"/>
  <c r="S259" i="24"/>
  <c r="S260" i="24"/>
  <c r="S261" i="24"/>
  <c r="S262" i="24"/>
  <c r="S263" i="24"/>
  <c r="S264" i="24"/>
  <c r="S265" i="24"/>
  <c r="S266" i="24"/>
  <c r="S267" i="24"/>
  <c r="S268" i="24"/>
  <c r="S269" i="24"/>
  <c r="S270" i="24"/>
  <c r="S271" i="24"/>
  <c r="S272" i="24"/>
  <c r="S273" i="24"/>
  <c r="S274" i="24"/>
  <c r="S275" i="24"/>
  <c r="S276" i="24"/>
  <c r="S277" i="24"/>
  <c r="S278" i="24"/>
  <c r="S279" i="24"/>
  <c r="S280" i="24"/>
  <c r="S281" i="24"/>
  <c r="S282" i="24"/>
  <c r="S283" i="24"/>
  <c r="S284" i="24"/>
  <c r="S285" i="24"/>
  <c r="S286" i="24"/>
  <c r="S287" i="24"/>
  <c r="S288" i="24"/>
  <c r="S289" i="24"/>
  <c r="S290" i="24"/>
  <c r="S291" i="24"/>
  <c r="S292" i="24"/>
  <c r="S293" i="24"/>
  <c r="S294" i="24"/>
  <c r="S295" i="24"/>
  <c r="S296" i="24"/>
  <c r="S297" i="24"/>
  <c r="S298" i="24"/>
  <c r="S299" i="24"/>
  <c r="S300" i="24"/>
  <c r="S301" i="24"/>
  <c r="S302" i="24"/>
  <c r="S303" i="24"/>
  <c r="S304" i="24"/>
  <c r="S305" i="24"/>
  <c r="S306" i="24"/>
  <c r="S307" i="24"/>
  <c r="S308" i="24"/>
  <c r="S309" i="24"/>
  <c r="S310" i="24"/>
  <c r="S311" i="24"/>
  <c r="S312" i="24"/>
  <c r="S313" i="24"/>
  <c r="S314" i="24"/>
  <c r="S315" i="24"/>
  <c r="S316" i="24"/>
  <c r="S317" i="24"/>
  <c r="S318" i="24"/>
  <c r="S319" i="24"/>
  <c r="S320" i="24"/>
  <c r="S321" i="24"/>
  <c r="S322" i="24"/>
  <c r="S323" i="24"/>
  <c r="S324" i="24"/>
  <c r="S325" i="24"/>
  <c r="S326" i="24"/>
  <c r="S327" i="24"/>
  <c r="S328" i="24"/>
  <c r="S329" i="24"/>
  <c r="S330" i="24"/>
  <c r="S331" i="24"/>
  <c r="S332" i="24"/>
  <c r="S333" i="24"/>
  <c r="S334" i="24"/>
  <c r="S335" i="24"/>
  <c r="S336" i="24"/>
  <c r="S337" i="24"/>
  <c r="S338" i="24"/>
  <c r="S339" i="24"/>
  <c r="S340" i="24"/>
  <c r="S341" i="24"/>
  <c r="S342" i="24"/>
  <c r="S343" i="24"/>
  <c r="S344" i="24"/>
  <c r="S345" i="24"/>
  <c r="S346" i="24"/>
  <c r="S347" i="24"/>
  <c r="S348" i="24"/>
  <c r="S349" i="24"/>
  <c r="S350" i="24"/>
  <c r="S351" i="24"/>
  <c r="S352" i="24"/>
  <c r="S353" i="24"/>
  <c r="S354" i="24"/>
  <c r="S355" i="24"/>
  <c r="S356" i="24"/>
  <c r="S357" i="24"/>
  <c r="S358" i="24"/>
  <c r="S359" i="24"/>
  <c r="S360" i="24"/>
  <c r="S361" i="24"/>
  <c r="S362" i="24"/>
  <c r="S363" i="24"/>
  <c r="S364" i="24"/>
  <c r="S365" i="24"/>
  <c r="S366" i="24"/>
  <c r="S367" i="24"/>
  <c r="S368" i="24"/>
  <c r="S369" i="24"/>
  <c r="S370" i="24"/>
  <c r="S371" i="24"/>
  <c r="S372" i="24"/>
  <c r="S373" i="24"/>
  <c r="S374" i="24"/>
  <c r="S375" i="24"/>
  <c r="S376" i="24"/>
  <c r="S377" i="24"/>
  <c r="S378" i="24"/>
  <c r="S379" i="24"/>
  <c r="S380" i="24"/>
  <c r="S381" i="24"/>
  <c r="S382" i="24"/>
  <c r="S383" i="24"/>
  <c r="S384" i="24"/>
  <c r="S385" i="24"/>
  <c r="S386" i="24"/>
  <c r="S387" i="24"/>
  <c r="S388" i="24"/>
  <c r="S389" i="24"/>
  <c r="S390" i="24"/>
  <c r="S391" i="24"/>
  <c r="S392" i="24"/>
  <c r="S393" i="24"/>
  <c r="S394" i="24"/>
  <c r="S395" i="24"/>
  <c r="S396" i="24"/>
  <c r="S397" i="24"/>
  <c r="S398" i="24"/>
  <c r="S399" i="24"/>
  <c r="S400" i="24"/>
  <c r="S401" i="24"/>
  <c r="S402" i="24"/>
  <c r="S403" i="24"/>
  <c r="S404" i="24"/>
  <c r="S405" i="24"/>
  <c r="S406" i="24"/>
  <c r="S407" i="24"/>
  <c r="S408" i="24"/>
  <c r="S409" i="24"/>
  <c r="S410" i="24"/>
  <c r="S411" i="24"/>
  <c r="S412" i="24"/>
  <c r="S413" i="24"/>
  <c r="S414" i="24"/>
  <c r="S415" i="24"/>
  <c r="S416" i="24"/>
  <c r="S417" i="24"/>
  <c r="S418" i="24"/>
  <c r="S419" i="24"/>
  <c r="S420" i="24"/>
  <c r="S421" i="24"/>
  <c r="S422" i="24"/>
  <c r="S423" i="24"/>
  <c r="S424" i="24"/>
  <c r="S425" i="24"/>
  <c r="S426" i="24"/>
  <c r="S427" i="24"/>
  <c r="S428" i="24"/>
  <c r="S429" i="24"/>
  <c r="S430" i="24"/>
  <c r="S431" i="24"/>
  <c r="S432" i="24"/>
  <c r="S433" i="24"/>
  <c r="S434" i="24"/>
  <c r="S435" i="24"/>
  <c r="S436" i="24"/>
  <c r="S437" i="24"/>
  <c r="S438" i="24"/>
  <c r="S439" i="24"/>
  <c r="S440" i="24"/>
  <c r="S441" i="24"/>
  <c r="S442" i="24"/>
  <c r="S443" i="24"/>
  <c r="S444" i="24"/>
  <c r="S445" i="24"/>
  <c r="S446" i="24"/>
  <c r="S447" i="24"/>
  <c r="S448" i="24"/>
  <c r="S449" i="24"/>
  <c r="S450" i="24"/>
  <c r="S451" i="24"/>
  <c r="S452" i="24"/>
  <c r="S453" i="24"/>
  <c r="S454" i="24"/>
  <c r="S455" i="24"/>
  <c r="S456" i="24"/>
  <c r="S457" i="24"/>
  <c r="S458" i="24"/>
  <c r="S459" i="24"/>
  <c r="S460" i="24"/>
  <c r="S461" i="24"/>
  <c r="S462" i="24"/>
  <c r="S463" i="24"/>
  <c r="S464" i="24"/>
  <c r="S465" i="24"/>
  <c r="S466" i="24"/>
  <c r="S467" i="24"/>
  <c r="S468" i="24"/>
  <c r="S469" i="24"/>
  <c r="S470" i="24"/>
  <c r="S471" i="24"/>
  <c r="S472" i="24"/>
  <c r="S473" i="24"/>
  <c r="S474" i="24"/>
  <c r="S475" i="24"/>
  <c r="S476" i="24"/>
  <c r="S477" i="24"/>
  <c r="S478" i="24"/>
  <c r="S479" i="24"/>
  <c r="S480" i="24"/>
  <c r="S481" i="24"/>
  <c r="S482" i="24"/>
  <c r="S483" i="24"/>
  <c r="S484" i="24"/>
  <c r="S485" i="24"/>
  <c r="S486" i="24"/>
  <c r="S487" i="24"/>
  <c r="S488" i="24"/>
  <c r="S489" i="24"/>
  <c r="S490" i="24"/>
  <c r="S491" i="24"/>
  <c r="S492" i="24"/>
  <c r="S493" i="24"/>
  <c r="S494" i="24"/>
  <c r="S495" i="24"/>
  <c r="S496" i="24"/>
  <c r="S497" i="24"/>
  <c r="S498" i="24"/>
  <c r="S499" i="24"/>
  <c r="S500" i="24"/>
  <c r="S501" i="24"/>
  <c r="S502" i="24"/>
  <c r="S503" i="24"/>
  <c r="S504" i="24"/>
  <c r="S505" i="24"/>
  <c r="S506" i="24"/>
  <c r="S507" i="24"/>
  <c r="S508" i="24"/>
  <c r="S509" i="24"/>
  <c r="S510" i="24"/>
  <c r="S511" i="24"/>
  <c r="S512" i="24"/>
  <c r="S513" i="24"/>
  <c r="S514" i="24"/>
  <c r="S515" i="24"/>
  <c r="S516" i="24"/>
  <c r="S517" i="24"/>
  <c r="S518" i="24"/>
  <c r="S519" i="24"/>
  <c r="S520" i="24"/>
  <c r="S521" i="24"/>
  <c r="S522" i="24"/>
  <c r="S523" i="24"/>
  <c r="S524" i="24"/>
  <c r="S525" i="24"/>
  <c r="S526" i="24"/>
  <c r="S527" i="24"/>
  <c r="S528" i="24"/>
  <c r="S529" i="24"/>
  <c r="S530" i="24"/>
  <c r="S531" i="24"/>
  <c r="S532" i="24"/>
  <c r="S533" i="24"/>
  <c r="S534" i="24"/>
  <c r="S535" i="24"/>
  <c r="S536" i="24"/>
  <c r="S537" i="24"/>
  <c r="S538" i="24"/>
  <c r="S539" i="24"/>
  <c r="S540" i="24"/>
  <c r="S541" i="24"/>
  <c r="S542" i="24"/>
  <c r="S543" i="24"/>
  <c r="S544" i="24"/>
  <c r="S545" i="24"/>
  <c r="S546" i="24"/>
  <c r="S547" i="24"/>
  <c r="S548" i="24"/>
  <c r="S549" i="24"/>
  <c r="S550" i="24"/>
  <c r="S551" i="24"/>
  <c r="S552" i="24"/>
  <c r="S553" i="24"/>
  <c r="S554" i="24"/>
  <c r="S555" i="24"/>
  <c r="S556" i="24"/>
  <c r="S557" i="24"/>
  <c r="S558" i="24"/>
  <c r="S559" i="24"/>
  <c r="S560" i="24"/>
  <c r="S561" i="24"/>
  <c r="S562" i="24"/>
  <c r="S563" i="24"/>
  <c r="S564" i="24"/>
  <c r="S565" i="24"/>
  <c r="S566" i="24"/>
  <c r="S567" i="24"/>
  <c r="S568" i="24"/>
  <c r="S569" i="24"/>
  <c r="S570" i="24"/>
  <c r="S571" i="24"/>
  <c r="S572" i="24"/>
  <c r="S573" i="24"/>
  <c r="S574" i="24"/>
  <c r="S575" i="24"/>
  <c r="S576" i="24"/>
  <c r="S577" i="24"/>
  <c r="S578" i="24"/>
  <c r="S579" i="24"/>
  <c r="S580" i="24"/>
  <c r="S581" i="24"/>
  <c r="S582" i="24"/>
  <c r="S583" i="24"/>
  <c r="S584" i="24"/>
  <c r="S585" i="24"/>
  <c r="S586" i="24"/>
  <c r="S587" i="24"/>
  <c r="S588" i="24"/>
  <c r="S589" i="24"/>
  <c r="S590" i="24"/>
  <c r="S591" i="24"/>
  <c r="S592" i="24"/>
  <c r="S593" i="24"/>
  <c r="S594" i="24"/>
  <c r="S595" i="24"/>
  <c r="S596" i="24"/>
  <c r="S597" i="24"/>
  <c r="S598" i="24"/>
  <c r="S599" i="24"/>
  <c r="S600" i="24"/>
  <c r="S601" i="24"/>
  <c r="S602" i="24"/>
  <c r="S603" i="24"/>
  <c r="S604" i="24"/>
  <c r="S605" i="24"/>
  <c r="S606" i="24"/>
  <c r="S607" i="24"/>
  <c r="S608" i="24"/>
  <c r="S609" i="24"/>
  <c r="S610" i="24"/>
  <c r="S611" i="24"/>
  <c r="S612" i="24"/>
  <c r="S613" i="24"/>
  <c r="S614" i="24"/>
  <c r="S615" i="24"/>
  <c r="S616" i="24"/>
  <c r="S617" i="24"/>
  <c r="S618" i="24"/>
  <c r="S619" i="24"/>
  <c r="S620" i="24"/>
  <c r="S621" i="24"/>
  <c r="S622" i="24"/>
  <c r="S623" i="24"/>
  <c r="S624" i="24"/>
  <c r="S625" i="24"/>
  <c r="S626" i="24"/>
  <c r="S627" i="24"/>
  <c r="S628" i="24"/>
  <c r="S629" i="24"/>
  <c r="S630" i="24"/>
  <c r="S631" i="24"/>
  <c r="S632" i="24"/>
  <c r="S633" i="24"/>
  <c r="S634" i="24"/>
  <c r="S635" i="24"/>
  <c r="S636" i="24"/>
  <c r="S637" i="24"/>
  <c r="S638" i="24"/>
  <c r="S639" i="24"/>
  <c r="S640" i="24"/>
  <c r="S641" i="24"/>
  <c r="S642" i="24"/>
  <c r="S643" i="24"/>
  <c r="S644" i="24"/>
  <c r="S645" i="24"/>
  <c r="S646" i="24"/>
  <c r="S647" i="24"/>
  <c r="S648" i="24"/>
  <c r="S649" i="24"/>
  <c r="S650" i="24"/>
  <c r="S651" i="24"/>
  <c r="S652" i="24"/>
  <c r="S653" i="24"/>
  <c r="S654" i="24"/>
  <c r="S655" i="24"/>
  <c r="S656" i="24"/>
  <c r="S657" i="24"/>
  <c r="S658" i="24"/>
  <c r="S659" i="24"/>
  <c r="S660" i="24"/>
  <c r="S661" i="24"/>
  <c r="S662" i="24"/>
  <c r="S663" i="24"/>
  <c r="S664" i="24"/>
  <c r="S665" i="24"/>
  <c r="S666" i="24"/>
  <c r="S667" i="24"/>
  <c r="S668" i="24"/>
  <c r="S669" i="24"/>
  <c r="S670" i="24"/>
  <c r="S671" i="24"/>
  <c r="S672" i="24"/>
  <c r="S673" i="24"/>
  <c r="S674" i="24"/>
  <c r="S675" i="24"/>
  <c r="S676" i="24"/>
  <c r="S677" i="24"/>
  <c r="S678" i="24"/>
  <c r="S679" i="24"/>
  <c r="S680" i="24"/>
  <c r="S681" i="24"/>
  <c r="S682" i="24"/>
  <c r="S683" i="24"/>
  <c r="S684" i="24"/>
  <c r="S685" i="24"/>
  <c r="S686" i="24"/>
  <c r="S687" i="24"/>
  <c r="S688" i="24"/>
  <c r="S689" i="24"/>
  <c r="S690" i="24"/>
  <c r="S691" i="24"/>
  <c r="S692" i="24"/>
  <c r="S693" i="24"/>
  <c r="S694" i="24"/>
  <c r="S695" i="24"/>
  <c r="S696" i="24"/>
  <c r="S697" i="24"/>
  <c r="S698" i="24"/>
  <c r="S699" i="24"/>
  <c r="S700" i="24"/>
  <c r="S701" i="24"/>
  <c r="S702" i="24"/>
  <c r="S703" i="24"/>
  <c r="S704" i="24"/>
  <c r="S705" i="24"/>
  <c r="S706" i="24"/>
  <c r="S707" i="24"/>
  <c r="S708" i="24"/>
  <c r="S709" i="24"/>
  <c r="S710" i="24"/>
  <c r="S711" i="24"/>
  <c r="S712" i="24"/>
  <c r="S713" i="24"/>
  <c r="S714" i="24"/>
  <c r="S715" i="24"/>
  <c r="S4" i="24"/>
  <c r="S3" i="24"/>
  <c r="S2" i="24"/>
  <c r="R86" i="27" l="1"/>
  <c r="K20" i="27" s="1"/>
  <c r="K21" i="27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L3" i="5"/>
  <c r="M3" i="5"/>
  <c r="N3" i="5"/>
  <c r="O3" i="5"/>
  <c r="P3" i="5"/>
  <c r="L4" i="5"/>
  <c r="M4" i="5"/>
  <c r="N4" i="5"/>
  <c r="O4" i="5"/>
  <c r="P4" i="5"/>
  <c r="L5" i="5"/>
  <c r="M5" i="5"/>
  <c r="N5" i="5"/>
  <c r="O5" i="5"/>
  <c r="P5" i="5"/>
  <c r="L6" i="5"/>
  <c r="M6" i="5"/>
  <c r="N6" i="5"/>
  <c r="O6" i="5"/>
  <c r="P6" i="5"/>
  <c r="L7" i="5"/>
  <c r="M7" i="5"/>
  <c r="N7" i="5"/>
  <c r="O7" i="5"/>
  <c r="P7" i="5"/>
  <c r="L8" i="5"/>
  <c r="M8" i="5"/>
  <c r="N8" i="5"/>
  <c r="O8" i="5"/>
  <c r="P8" i="5"/>
  <c r="L9" i="5"/>
  <c r="M9" i="5"/>
  <c r="N9" i="5"/>
  <c r="O9" i="5"/>
  <c r="P9" i="5"/>
  <c r="L10" i="5"/>
  <c r="M10" i="5"/>
  <c r="N10" i="5"/>
  <c r="O10" i="5"/>
  <c r="P10" i="5"/>
  <c r="L11" i="5"/>
  <c r="M11" i="5"/>
  <c r="N11" i="5"/>
  <c r="O11" i="5"/>
  <c r="P11" i="5"/>
  <c r="L12" i="5"/>
  <c r="M12" i="5"/>
  <c r="N12" i="5"/>
  <c r="O12" i="5"/>
  <c r="P12" i="5"/>
  <c r="L13" i="5"/>
  <c r="M13" i="5"/>
  <c r="N13" i="5"/>
  <c r="O13" i="5"/>
  <c r="P13" i="5"/>
  <c r="L14" i="5"/>
  <c r="M14" i="5"/>
  <c r="N14" i="5"/>
  <c r="O14" i="5"/>
  <c r="P14" i="5"/>
  <c r="L15" i="5"/>
  <c r="M15" i="5"/>
  <c r="N15" i="5"/>
  <c r="O15" i="5"/>
  <c r="P15" i="5"/>
  <c r="O135" i="22"/>
  <c r="N135" i="22"/>
  <c r="M135" i="22"/>
  <c r="L135" i="22"/>
  <c r="K135" i="22"/>
  <c r="J135" i="22"/>
  <c r="O134" i="22"/>
  <c r="N134" i="22"/>
  <c r="M134" i="22"/>
  <c r="L134" i="22"/>
  <c r="K134" i="22"/>
  <c r="J134" i="22"/>
  <c r="O133" i="22"/>
  <c r="N133" i="22"/>
  <c r="M133" i="22"/>
  <c r="L133" i="22"/>
  <c r="K133" i="22"/>
  <c r="J133" i="22"/>
  <c r="O132" i="22"/>
  <c r="N132" i="22"/>
  <c r="M132" i="22"/>
  <c r="L132" i="22"/>
  <c r="K132" i="22"/>
  <c r="J132" i="22"/>
  <c r="O131" i="22"/>
  <c r="N131" i="22"/>
  <c r="M131" i="22"/>
  <c r="L131" i="22"/>
  <c r="K131" i="22"/>
  <c r="J131" i="22"/>
  <c r="O130" i="22"/>
  <c r="N130" i="22"/>
  <c r="M130" i="22"/>
  <c r="L130" i="22"/>
  <c r="K130" i="22"/>
  <c r="J130" i="22"/>
  <c r="O129" i="22"/>
  <c r="N129" i="22"/>
  <c r="M129" i="22"/>
  <c r="L129" i="22"/>
  <c r="K129" i="22"/>
  <c r="J129" i="22"/>
  <c r="O128" i="22"/>
  <c r="N128" i="22"/>
  <c r="M128" i="22"/>
  <c r="L128" i="22"/>
  <c r="K128" i="22"/>
  <c r="J128" i="22"/>
  <c r="O127" i="22"/>
  <c r="N127" i="22"/>
  <c r="M127" i="22"/>
  <c r="L127" i="22"/>
  <c r="K127" i="22"/>
  <c r="J127" i="22"/>
  <c r="O126" i="22"/>
  <c r="N126" i="22"/>
  <c r="M126" i="22"/>
  <c r="L126" i="22"/>
  <c r="K126" i="22"/>
  <c r="J126" i="22"/>
  <c r="O125" i="22"/>
  <c r="N125" i="22"/>
  <c r="M125" i="22"/>
  <c r="L125" i="22"/>
  <c r="K125" i="22"/>
  <c r="J125" i="22"/>
  <c r="O124" i="22"/>
  <c r="N124" i="22"/>
  <c r="M124" i="22"/>
  <c r="L124" i="22"/>
  <c r="K124" i="22"/>
  <c r="J124" i="22"/>
  <c r="O123" i="22"/>
  <c r="N123" i="22"/>
  <c r="M123" i="22"/>
  <c r="L123" i="22"/>
  <c r="K123" i="22"/>
  <c r="J123" i="22"/>
  <c r="O122" i="22"/>
  <c r="N122" i="22"/>
  <c r="M122" i="22"/>
  <c r="L122" i="22"/>
  <c r="K122" i="22"/>
  <c r="J122" i="22"/>
  <c r="O121" i="22"/>
  <c r="N121" i="22"/>
  <c r="M121" i="22"/>
  <c r="L121" i="22"/>
  <c r="K121" i="22"/>
  <c r="J121" i="22"/>
  <c r="O120" i="22"/>
  <c r="N120" i="22"/>
  <c r="M120" i="22"/>
  <c r="L120" i="22"/>
  <c r="K120" i="22"/>
  <c r="J120" i="22"/>
  <c r="O119" i="22"/>
  <c r="N119" i="22"/>
  <c r="M119" i="22"/>
  <c r="L119" i="22"/>
  <c r="K119" i="22"/>
  <c r="J119" i="22"/>
  <c r="O118" i="22"/>
  <c r="N118" i="22"/>
  <c r="M118" i="22"/>
  <c r="L118" i="22"/>
  <c r="K118" i="22"/>
  <c r="J118" i="22"/>
  <c r="O117" i="22"/>
  <c r="N117" i="22"/>
  <c r="M117" i="22"/>
  <c r="L117" i="22"/>
  <c r="K117" i="22"/>
  <c r="J117" i="22"/>
  <c r="O116" i="22"/>
  <c r="N116" i="22"/>
  <c r="M116" i="22"/>
  <c r="L116" i="22"/>
  <c r="K116" i="22"/>
  <c r="J116" i="22"/>
  <c r="O115" i="22"/>
  <c r="N115" i="22"/>
  <c r="M115" i="22"/>
  <c r="L115" i="22"/>
  <c r="K115" i="22"/>
  <c r="J115" i="22"/>
  <c r="O114" i="22"/>
  <c r="N114" i="22"/>
  <c r="M114" i="22"/>
  <c r="L114" i="22"/>
  <c r="K114" i="22"/>
  <c r="J114" i="22"/>
  <c r="O113" i="22"/>
  <c r="N113" i="22"/>
  <c r="M113" i="22"/>
  <c r="L113" i="22"/>
  <c r="K113" i="22"/>
  <c r="J113" i="22"/>
  <c r="O112" i="22"/>
  <c r="N112" i="22"/>
  <c r="M112" i="22"/>
  <c r="L112" i="22"/>
  <c r="K112" i="22"/>
  <c r="J112" i="22"/>
  <c r="O111" i="22"/>
  <c r="N111" i="22"/>
  <c r="M111" i="22"/>
  <c r="L111" i="22"/>
  <c r="K111" i="22"/>
  <c r="J111" i="22"/>
  <c r="O110" i="22"/>
  <c r="N110" i="22"/>
  <c r="M110" i="22"/>
  <c r="L110" i="22"/>
  <c r="K110" i="22"/>
  <c r="J110" i="22"/>
  <c r="O109" i="22"/>
  <c r="N109" i="22"/>
  <c r="M109" i="22"/>
  <c r="L109" i="22"/>
  <c r="K109" i="22"/>
  <c r="J109" i="22"/>
  <c r="O108" i="22"/>
  <c r="N108" i="22"/>
  <c r="M108" i="22"/>
  <c r="L108" i="22"/>
  <c r="K108" i="22"/>
  <c r="J108" i="22"/>
  <c r="O107" i="22"/>
  <c r="N107" i="22"/>
  <c r="M107" i="22"/>
  <c r="L107" i="22"/>
  <c r="K107" i="22"/>
  <c r="J107" i="22"/>
  <c r="AJ106" i="22"/>
  <c r="AJ107" i="22" s="1"/>
  <c r="AJ108" i="22" s="1"/>
  <c r="AJ109" i="22" s="1"/>
  <c r="AJ110" i="22" s="1"/>
  <c r="AJ111" i="22" s="1"/>
  <c r="AJ112" i="22" s="1"/>
  <c r="AJ113" i="22" s="1"/>
  <c r="O106" i="22"/>
  <c r="N106" i="22"/>
  <c r="M106" i="22"/>
  <c r="L106" i="22"/>
  <c r="K106" i="22"/>
  <c r="J106" i="22"/>
  <c r="O105" i="22"/>
  <c r="N105" i="22"/>
  <c r="M105" i="22"/>
  <c r="L105" i="22"/>
  <c r="K105" i="22"/>
  <c r="J105" i="22"/>
  <c r="O104" i="22"/>
  <c r="N104" i="22"/>
  <c r="M104" i="22"/>
  <c r="L104" i="22"/>
  <c r="K104" i="22"/>
  <c r="J104" i="22"/>
  <c r="O103" i="22"/>
  <c r="N103" i="22"/>
  <c r="M103" i="22"/>
  <c r="L103" i="22"/>
  <c r="K103" i="22"/>
  <c r="J103" i="22"/>
  <c r="O102" i="22"/>
  <c r="N102" i="22"/>
  <c r="M102" i="22"/>
  <c r="L102" i="22"/>
  <c r="K102" i="22"/>
  <c r="J102" i="22"/>
  <c r="O101" i="22"/>
  <c r="N101" i="22"/>
  <c r="M101" i="22"/>
  <c r="L101" i="22"/>
  <c r="K101" i="22"/>
  <c r="J101" i="22"/>
  <c r="O100" i="22"/>
  <c r="N100" i="22"/>
  <c r="M100" i="22"/>
  <c r="L100" i="22"/>
  <c r="K100" i="22"/>
  <c r="J100" i="22"/>
  <c r="O99" i="22"/>
  <c r="N99" i="22"/>
  <c r="M99" i="22"/>
  <c r="L99" i="22"/>
  <c r="K99" i="22"/>
  <c r="J99" i="22"/>
  <c r="AJ98" i="22"/>
  <c r="AJ99" i="22" s="1"/>
  <c r="AJ100" i="22" s="1"/>
  <c r="AJ101" i="22" s="1"/>
  <c r="AJ102" i="22" s="1"/>
  <c r="AJ103" i="22" s="1"/>
  <c r="AJ104" i="22" s="1"/>
  <c r="AJ105" i="22" s="1"/>
  <c r="O98" i="22"/>
  <c r="N98" i="22"/>
  <c r="M98" i="22"/>
  <c r="L98" i="22"/>
  <c r="K98" i="22"/>
  <c r="J98" i="22"/>
  <c r="O97" i="22"/>
  <c r="N97" i="22"/>
  <c r="M97" i="22"/>
  <c r="L97" i="22"/>
  <c r="K97" i="22"/>
  <c r="J97" i="22"/>
  <c r="O96" i="22"/>
  <c r="N96" i="22"/>
  <c r="M96" i="22"/>
  <c r="L96" i="22"/>
  <c r="K96" i="22"/>
  <c r="J96" i="22"/>
  <c r="O95" i="22"/>
  <c r="N95" i="22"/>
  <c r="M95" i="22"/>
  <c r="L95" i="22"/>
  <c r="K95" i="22"/>
  <c r="J95" i="22"/>
  <c r="O94" i="22"/>
  <c r="N94" i="22"/>
  <c r="M94" i="22"/>
  <c r="L94" i="22"/>
  <c r="K94" i="22"/>
  <c r="J94" i="22"/>
  <c r="O93" i="22"/>
  <c r="N93" i="22"/>
  <c r="M93" i="22"/>
  <c r="L93" i="22"/>
  <c r="K93" i="22"/>
  <c r="J93" i="22"/>
  <c r="O92" i="22"/>
  <c r="N92" i="22"/>
  <c r="M92" i="22"/>
  <c r="L92" i="22"/>
  <c r="K92" i="22"/>
  <c r="J92" i="22"/>
  <c r="O91" i="22"/>
  <c r="N91" i="22"/>
  <c r="M91" i="22"/>
  <c r="L91" i="22"/>
  <c r="K91" i="22"/>
  <c r="J91" i="22"/>
  <c r="AJ90" i="22"/>
  <c r="AJ91" i="22" s="1"/>
  <c r="AJ92" i="22" s="1"/>
  <c r="AJ93" i="22" s="1"/>
  <c r="AJ94" i="22" s="1"/>
  <c r="AJ95" i="22" s="1"/>
  <c r="AJ96" i="22" s="1"/>
  <c r="AJ97" i="22" s="1"/>
  <c r="O90" i="22"/>
  <c r="N90" i="22"/>
  <c r="M90" i="22"/>
  <c r="L90" i="22"/>
  <c r="K90" i="22"/>
  <c r="J90" i="22"/>
  <c r="O89" i="22"/>
  <c r="N89" i="22"/>
  <c r="M89" i="22"/>
  <c r="L89" i="22"/>
  <c r="K89" i="22"/>
  <c r="J89" i="22"/>
  <c r="O88" i="22"/>
  <c r="N88" i="22"/>
  <c r="M88" i="22"/>
  <c r="L88" i="22"/>
  <c r="K88" i="22"/>
  <c r="J88" i="22"/>
  <c r="O87" i="22"/>
  <c r="N87" i="22"/>
  <c r="M87" i="22"/>
  <c r="L87" i="22"/>
  <c r="K87" i="22"/>
  <c r="J87" i="22"/>
  <c r="O86" i="22"/>
  <c r="N86" i="22"/>
  <c r="M86" i="22"/>
  <c r="L86" i="22"/>
  <c r="K86" i="22"/>
  <c r="J86" i="22"/>
  <c r="O85" i="22"/>
  <c r="N85" i="22"/>
  <c r="M85" i="22"/>
  <c r="L85" i="22"/>
  <c r="K85" i="22"/>
  <c r="J85" i="22"/>
  <c r="O84" i="22"/>
  <c r="N84" i="22"/>
  <c r="M84" i="22"/>
  <c r="L84" i="22"/>
  <c r="K84" i="22"/>
  <c r="J84" i="22"/>
  <c r="O83" i="22"/>
  <c r="N83" i="22"/>
  <c r="M83" i="22"/>
  <c r="L83" i="22"/>
  <c r="K83" i="22"/>
  <c r="J83" i="22"/>
  <c r="AJ82" i="22"/>
  <c r="AJ83" i="22" s="1"/>
  <c r="AJ84" i="22" s="1"/>
  <c r="AJ85" i="22" s="1"/>
  <c r="AJ86" i="22" s="1"/>
  <c r="AJ87" i="22" s="1"/>
  <c r="AJ88" i="22" s="1"/>
  <c r="AJ89" i="22" s="1"/>
  <c r="O82" i="22"/>
  <c r="N82" i="22"/>
  <c r="M82" i="22"/>
  <c r="L82" i="22"/>
  <c r="K82" i="22"/>
  <c r="J82" i="22"/>
  <c r="O81" i="22"/>
  <c r="N81" i="22"/>
  <c r="M81" i="22"/>
  <c r="L81" i="22"/>
  <c r="K81" i="22"/>
  <c r="J81" i="22"/>
  <c r="O80" i="22"/>
  <c r="N80" i="22"/>
  <c r="M80" i="22"/>
  <c r="L80" i="22"/>
  <c r="K80" i="22"/>
  <c r="J80" i="22"/>
  <c r="O79" i="22"/>
  <c r="N79" i="22"/>
  <c r="M79" i="22"/>
  <c r="L79" i="22"/>
  <c r="K79" i="22"/>
  <c r="J79" i="22"/>
  <c r="O78" i="22"/>
  <c r="N78" i="22"/>
  <c r="M78" i="22"/>
  <c r="L78" i="22"/>
  <c r="K78" i="22"/>
  <c r="J78" i="22"/>
  <c r="O77" i="22"/>
  <c r="N77" i="22"/>
  <c r="M77" i="22"/>
  <c r="L77" i="22"/>
  <c r="K77" i="22"/>
  <c r="J77" i="22"/>
  <c r="O76" i="22"/>
  <c r="N76" i="22"/>
  <c r="M76" i="22"/>
  <c r="L76" i="22"/>
  <c r="K76" i="22"/>
  <c r="J76" i="22"/>
  <c r="O75" i="22"/>
  <c r="N75" i="22"/>
  <c r="M75" i="22"/>
  <c r="L75" i="22"/>
  <c r="K75" i="22"/>
  <c r="J75" i="22"/>
  <c r="AJ74" i="22"/>
  <c r="AJ75" i="22" s="1"/>
  <c r="AJ76" i="22" s="1"/>
  <c r="AJ77" i="22" s="1"/>
  <c r="AJ78" i="22" s="1"/>
  <c r="AJ79" i="22" s="1"/>
  <c r="AJ80" i="22" s="1"/>
  <c r="AJ81" i="22" s="1"/>
  <c r="O74" i="22"/>
  <c r="N74" i="22"/>
  <c r="M74" i="22"/>
  <c r="L74" i="22"/>
  <c r="K74" i="22"/>
  <c r="J74" i="22"/>
  <c r="O73" i="22"/>
  <c r="N73" i="22"/>
  <c r="M73" i="22"/>
  <c r="L73" i="22"/>
  <c r="K73" i="22"/>
  <c r="J73" i="22"/>
  <c r="O72" i="22"/>
  <c r="N72" i="22"/>
  <c r="M72" i="22"/>
  <c r="L72" i="22"/>
  <c r="K72" i="22"/>
  <c r="J72" i="22"/>
  <c r="O71" i="22"/>
  <c r="N71" i="22"/>
  <c r="M71" i="22"/>
  <c r="L71" i="22"/>
  <c r="K71" i="22"/>
  <c r="J71" i="22"/>
  <c r="O70" i="22"/>
  <c r="N70" i="22"/>
  <c r="M70" i="22"/>
  <c r="L70" i="22"/>
  <c r="K70" i="22"/>
  <c r="J70" i="22"/>
  <c r="O69" i="22"/>
  <c r="N69" i="22"/>
  <c r="M69" i="22"/>
  <c r="L69" i="22"/>
  <c r="K69" i="22"/>
  <c r="J69" i="22"/>
  <c r="O68" i="22"/>
  <c r="N68" i="22"/>
  <c r="M68" i="22"/>
  <c r="L68" i="22"/>
  <c r="K68" i="22"/>
  <c r="J68" i="22"/>
  <c r="O67" i="22"/>
  <c r="N67" i="22"/>
  <c r="M67" i="22"/>
  <c r="L67" i="22"/>
  <c r="K67" i="22"/>
  <c r="J67" i="22"/>
  <c r="AJ66" i="22"/>
  <c r="AJ67" i="22" s="1"/>
  <c r="AJ68" i="22" s="1"/>
  <c r="AJ69" i="22" s="1"/>
  <c r="AJ70" i="22" s="1"/>
  <c r="AJ71" i="22" s="1"/>
  <c r="AJ72" i="22" s="1"/>
  <c r="AJ73" i="22" s="1"/>
  <c r="O66" i="22"/>
  <c r="N66" i="22"/>
  <c r="M66" i="22"/>
  <c r="L66" i="22"/>
  <c r="K66" i="22"/>
  <c r="J66" i="22"/>
  <c r="O65" i="22"/>
  <c r="N65" i="22"/>
  <c r="M65" i="22"/>
  <c r="L65" i="22"/>
  <c r="K65" i="22"/>
  <c r="J65" i="22"/>
  <c r="O64" i="22"/>
  <c r="N64" i="22"/>
  <c r="M64" i="22"/>
  <c r="L64" i="22"/>
  <c r="K64" i="22"/>
  <c r="J64" i="22"/>
  <c r="O63" i="22"/>
  <c r="N63" i="22"/>
  <c r="M63" i="22"/>
  <c r="L63" i="22"/>
  <c r="K63" i="22"/>
  <c r="J63" i="22"/>
  <c r="O62" i="22"/>
  <c r="N62" i="22"/>
  <c r="M62" i="22"/>
  <c r="L62" i="22"/>
  <c r="K62" i="22"/>
  <c r="J62" i="22"/>
  <c r="O61" i="22"/>
  <c r="N61" i="22"/>
  <c r="M61" i="22"/>
  <c r="L61" i="22"/>
  <c r="K61" i="22"/>
  <c r="J61" i="22"/>
  <c r="O60" i="22"/>
  <c r="N60" i="22"/>
  <c r="M60" i="22"/>
  <c r="L60" i="22"/>
  <c r="K60" i="22"/>
  <c r="J60" i="22"/>
  <c r="O59" i="22"/>
  <c r="N59" i="22"/>
  <c r="M59" i="22"/>
  <c r="L59" i="22"/>
  <c r="K59" i="22"/>
  <c r="J59" i="22"/>
  <c r="AJ58" i="22"/>
  <c r="AJ59" i="22" s="1"/>
  <c r="AJ60" i="22" s="1"/>
  <c r="AJ61" i="22" s="1"/>
  <c r="AJ62" i="22" s="1"/>
  <c r="AJ63" i="22" s="1"/>
  <c r="AJ64" i="22" s="1"/>
  <c r="AJ65" i="22" s="1"/>
  <c r="O58" i="22"/>
  <c r="N58" i="22"/>
  <c r="M58" i="22"/>
  <c r="L58" i="22"/>
  <c r="K58" i="22"/>
  <c r="J58" i="22"/>
  <c r="O57" i="22"/>
  <c r="N57" i="22"/>
  <c r="M57" i="22"/>
  <c r="L57" i="22"/>
  <c r="K57" i="22"/>
  <c r="J57" i="22"/>
  <c r="O56" i="22"/>
  <c r="N56" i="22"/>
  <c r="M56" i="22"/>
  <c r="L56" i="22"/>
  <c r="K56" i="22"/>
  <c r="J56" i="22"/>
  <c r="O55" i="22"/>
  <c r="N55" i="22"/>
  <c r="M55" i="22"/>
  <c r="L55" i="22"/>
  <c r="K55" i="22"/>
  <c r="J55" i="22"/>
  <c r="O54" i="22"/>
  <c r="N54" i="22"/>
  <c r="M54" i="22"/>
  <c r="L54" i="22"/>
  <c r="K54" i="22"/>
  <c r="J54" i="22"/>
  <c r="O53" i="22"/>
  <c r="N53" i="22"/>
  <c r="M53" i="22"/>
  <c r="L53" i="22"/>
  <c r="K53" i="22"/>
  <c r="J53" i="22"/>
  <c r="O52" i="22"/>
  <c r="N52" i="22"/>
  <c r="M52" i="22"/>
  <c r="L52" i="22"/>
  <c r="K52" i="22"/>
  <c r="J52" i="22"/>
  <c r="AJ51" i="22"/>
  <c r="AJ52" i="22" s="1"/>
  <c r="AJ53" i="22" s="1"/>
  <c r="AJ54" i="22" s="1"/>
  <c r="AJ55" i="22" s="1"/>
  <c r="AJ56" i="22" s="1"/>
  <c r="AJ57" i="22" s="1"/>
  <c r="O51" i="22"/>
  <c r="N51" i="22"/>
  <c r="M51" i="22"/>
  <c r="L51" i="22"/>
  <c r="K51" i="22"/>
  <c r="J51" i="22"/>
  <c r="AJ50" i="22"/>
  <c r="O50" i="22"/>
  <c r="N50" i="22"/>
  <c r="M50" i="22"/>
  <c r="L50" i="22"/>
  <c r="K50" i="22"/>
  <c r="J50" i="22"/>
  <c r="O49" i="22"/>
  <c r="N49" i="22"/>
  <c r="M49" i="22"/>
  <c r="L49" i="22"/>
  <c r="K49" i="22"/>
  <c r="J49" i="22"/>
  <c r="O48" i="22"/>
  <c r="N48" i="22"/>
  <c r="M48" i="22"/>
  <c r="L48" i="22"/>
  <c r="K48" i="22"/>
  <c r="J48" i="22"/>
  <c r="O47" i="22"/>
  <c r="N47" i="22"/>
  <c r="M47" i="22"/>
  <c r="L47" i="22"/>
  <c r="K47" i="22"/>
  <c r="J47" i="22"/>
  <c r="AJ46" i="22"/>
  <c r="AJ47" i="22" s="1"/>
  <c r="AJ48" i="22" s="1"/>
  <c r="AJ49" i="22" s="1"/>
  <c r="O46" i="22"/>
  <c r="N46" i="22"/>
  <c r="M46" i="22"/>
  <c r="L46" i="22"/>
  <c r="K46" i="22"/>
  <c r="J46" i="22"/>
  <c r="O45" i="22"/>
  <c r="N45" i="22"/>
  <c r="M45" i="22"/>
  <c r="L45" i="22"/>
  <c r="K45" i="22"/>
  <c r="J45" i="22"/>
  <c r="O44" i="22"/>
  <c r="N44" i="22"/>
  <c r="M44" i="22"/>
  <c r="L44" i="22"/>
  <c r="K44" i="22"/>
  <c r="J44" i="22"/>
  <c r="AJ43" i="22"/>
  <c r="AJ44" i="22" s="1"/>
  <c r="AJ45" i="22" s="1"/>
  <c r="O43" i="22"/>
  <c r="N43" i="22"/>
  <c r="M43" i="22"/>
  <c r="L43" i="22"/>
  <c r="K43" i="22"/>
  <c r="J43" i="22"/>
  <c r="AJ42" i="22"/>
  <c r="O42" i="22"/>
  <c r="N42" i="22"/>
  <c r="M42" i="22"/>
  <c r="L42" i="22"/>
  <c r="K42" i="22"/>
  <c r="J42" i="22"/>
  <c r="O41" i="22"/>
  <c r="N41" i="22"/>
  <c r="M41" i="22"/>
  <c r="L41" i="22"/>
  <c r="K41" i="22"/>
  <c r="J41" i="22"/>
  <c r="O40" i="22"/>
  <c r="N40" i="22"/>
  <c r="M40" i="22"/>
  <c r="L40" i="22"/>
  <c r="K40" i="22"/>
  <c r="J40" i="22"/>
  <c r="O39" i="22"/>
  <c r="N39" i="22"/>
  <c r="M39" i="22"/>
  <c r="L39" i="22"/>
  <c r="K39" i="22"/>
  <c r="J39" i="22"/>
  <c r="O38" i="22"/>
  <c r="N38" i="22"/>
  <c r="M38" i="22"/>
  <c r="L38" i="22"/>
  <c r="K38" i="22"/>
  <c r="J38" i="22"/>
  <c r="O37" i="22"/>
  <c r="N37" i="22"/>
  <c r="M37" i="22"/>
  <c r="L37" i="22"/>
  <c r="K37" i="22"/>
  <c r="J37" i="22"/>
  <c r="O36" i="22"/>
  <c r="N36" i="22"/>
  <c r="M36" i="22"/>
  <c r="L36" i="22"/>
  <c r="K36" i="22"/>
  <c r="J36" i="22"/>
  <c r="AJ35" i="22"/>
  <c r="AJ36" i="22" s="1"/>
  <c r="AJ37" i="22" s="1"/>
  <c r="AJ38" i="22" s="1"/>
  <c r="O35" i="22"/>
  <c r="N35" i="22"/>
  <c r="M35" i="22"/>
  <c r="L35" i="22"/>
  <c r="K35" i="22"/>
  <c r="J35" i="22"/>
  <c r="AJ34" i="22"/>
  <c r="O34" i="22"/>
  <c r="N34" i="22"/>
  <c r="M34" i="22"/>
  <c r="L34" i="22"/>
  <c r="K34" i="22"/>
  <c r="J34" i="22"/>
  <c r="O33" i="22"/>
  <c r="N33" i="22"/>
  <c r="M33" i="22"/>
  <c r="L33" i="22"/>
  <c r="K33" i="22"/>
  <c r="J33" i="22"/>
  <c r="O32" i="22"/>
  <c r="N32" i="22"/>
  <c r="M32" i="22"/>
  <c r="L32" i="22"/>
  <c r="K32" i="22"/>
  <c r="J32" i="22"/>
  <c r="AR31" i="22"/>
  <c r="O31" i="22"/>
  <c r="N31" i="22"/>
  <c r="M31" i="22"/>
  <c r="L31" i="22"/>
  <c r="K31" i="22"/>
  <c r="J31" i="22"/>
  <c r="O30" i="22"/>
  <c r="N30" i="22"/>
  <c r="M30" i="22"/>
  <c r="L30" i="22"/>
  <c r="K30" i="22"/>
  <c r="J30" i="22"/>
  <c r="O29" i="22"/>
  <c r="N29" i="22"/>
  <c r="M29" i="22"/>
  <c r="L29" i="22"/>
  <c r="K29" i="22"/>
  <c r="J29" i="22"/>
  <c r="O28" i="22"/>
  <c r="N28" i="22"/>
  <c r="M28" i="22"/>
  <c r="L28" i="22"/>
  <c r="K28" i="22"/>
  <c r="J28" i="22"/>
  <c r="AJ27" i="22"/>
  <c r="AJ28" i="22" s="1"/>
  <c r="AJ29" i="22" s="1"/>
  <c r="AJ30" i="22" s="1"/>
  <c r="AJ31" i="22" s="1"/>
  <c r="AJ32" i="22" s="1"/>
  <c r="AJ33" i="22" s="1"/>
  <c r="O27" i="22"/>
  <c r="N27" i="22"/>
  <c r="M27" i="22"/>
  <c r="L27" i="22"/>
  <c r="K27" i="22"/>
  <c r="J27" i="22"/>
  <c r="AJ26" i="22"/>
  <c r="O26" i="22"/>
  <c r="N26" i="22"/>
  <c r="M26" i="22"/>
  <c r="L26" i="22"/>
  <c r="K26" i="22"/>
  <c r="J26" i="22"/>
  <c r="O25" i="22"/>
  <c r="N25" i="22"/>
  <c r="M25" i="22"/>
  <c r="L25" i="22"/>
  <c r="K25" i="22"/>
  <c r="J25" i="22"/>
  <c r="O24" i="22"/>
  <c r="N24" i="22"/>
  <c r="M24" i="22"/>
  <c r="L24" i="22"/>
  <c r="K24" i="22"/>
  <c r="J24" i="22"/>
  <c r="O23" i="22"/>
  <c r="N23" i="22"/>
  <c r="M23" i="22"/>
  <c r="L23" i="22"/>
  <c r="K23" i="22"/>
  <c r="J23" i="22"/>
  <c r="AR22" i="22"/>
  <c r="AR35" i="22" s="1"/>
  <c r="W22" i="22"/>
  <c r="V22" i="22"/>
  <c r="U22" i="22"/>
  <c r="T22" i="22"/>
  <c r="S22" i="22"/>
  <c r="R22" i="22"/>
  <c r="O22" i="22"/>
  <c r="N22" i="22"/>
  <c r="M22" i="22"/>
  <c r="L22" i="22"/>
  <c r="K22" i="22"/>
  <c r="J22" i="22"/>
  <c r="AR21" i="22"/>
  <c r="AR34" i="22" s="1"/>
  <c r="W21" i="22"/>
  <c r="V21" i="22"/>
  <c r="U21" i="22"/>
  <c r="T21" i="22"/>
  <c r="S21" i="22"/>
  <c r="R21" i="22"/>
  <c r="O21" i="22"/>
  <c r="N21" i="22"/>
  <c r="M21" i="22"/>
  <c r="L21" i="22"/>
  <c r="K21" i="22"/>
  <c r="J21" i="22"/>
  <c r="AR20" i="22"/>
  <c r="AR33" i="22" s="1"/>
  <c r="Q20" i="22"/>
  <c r="W20" i="22" s="1"/>
  <c r="O20" i="22"/>
  <c r="N20" i="22"/>
  <c r="M20" i="22"/>
  <c r="L20" i="22"/>
  <c r="K20" i="22"/>
  <c r="J20" i="22"/>
  <c r="AR19" i="22"/>
  <c r="AR32" i="22" s="1"/>
  <c r="AJ19" i="22"/>
  <c r="AJ20" i="22" s="1"/>
  <c r="W19" i="22"/>
  <c r="V19" i="22"/>
  <c r="T19" i="22"/>
  <c r="S19" i="22"/>
  <c r="R19" i="22"/>
  <c r="Q19" i="22"/>
  <c r="U19" i="22" s="1"/>
  <c r="O19" i="22"/>
  <c r="N19" i="22"/>
  <c r="M19" i="22"/>
  <c r="L19" i="22"/>
  <c r="K19" i="22"/>
  <c r="J19" i="22"/>
  <c r="AR18" i="22"/>
  <c r="AJ18" i="22"/>
  <c r="Q18" i="22"/>
  <c r="W18" i="22" s="1"/>
  <c r="O18" i="22"/>
  <c r="N18" i="22"/>
  <c r="M18" i="22"/>
  <c r="L18" i="22"/>
  <c r="K18" i="22"/>
  <c r="J18" i="22"/>
  <c r="AR17" i="22"/>
  <c r="AR30" i="22" s="1"/>
  <c r="Q17" i="22"/>
  <c r="W17" i="22" s="1"/>
  <c r="O17" i="22"/>
  <c r="N17" i="22"/>
  <c r="M17" i="22"/>
  <c r="L17" i="22"/>
  <c r="K17" i="22"/>
  <c r="J17" i="22"/>
  <c r="AR16" i="22"/>
  <c r="AR29" i="22" s="1"/>
  <c r="W16" i="22"/>
  <c r="U16" i="22"/>
  <c r="T16" i="22"/>
  <c r="Q16" i="22"/>
  <c r="V16" i="22" s="1"/>
  <c r="O16" i="22"/>
  <c r="N16" i="22"/>
  <c r="M16" i="22"/>
  <c r="L16" i="22"/>
  <c r="K16" i="22"/>
  <c r="J16" i="22"/>
  <c r="AR15" i="22"/>
  <c r="AR28" i="22" s="1"/>
  <c r="W15" i="22"/>
  <c r="V15" i="22"/>
  <c r="T15" i="22"/>
  <c r="S15" i="22"/>
  <c r="R15" i="22"/>
  <c r="Q15" i="22"/>
  <c r="U15" i="22" s="1"/>
  <c r="O15" i="22"/>
  <c r="N15" i="22"/>
  <c r="M15" i="22"/>
  <c r="L15" i="22"/>
  <c r="K15" i="22"/>
  <c r="J15" i="22"/>
  <c r="AR14" i="22"/>
  <c r="AR27" i="22" s="1"/>
  <c r="W14" i="22"/>
  <c r="V14" i="22"/>
  <c r="U14" i="22"/>
  <c r="S14" i="22"/>
  <c r="R14" i="22"/>
  <c r="Q14" i="22"/>
  <c r="T14" i="22" s="1"/>
  <c r="O14" i="22"/>
  <c r="N14" i="22"/>
  <c r="M14" i="22"/>
  <c r="L14" i="22"/>
  <c r="K14" i="22"/>
  <c r="J14" i="22"/>
  <c r="AR13" i="22"/>
  <c r="AR26" i="22" s="1"/>
  <c r="Y13" i="22"/>
  <c r="Y14" i="22" s="1"/>
  <c r="T13" i="22"/>
  <c r="R13" i="22"/>
  <c r="Q13" i="22"/>
  <c r="W13" i="22" s="1"/>
  <c r="O13" i="22"/>
  <c r="N13" i="22"/>
  <c r="M13" i="22"/>
  <c r="L13" i="22"/>
  <c r="K13" i="22"/>
  <c r="J13" i="22"/>
  <c r="AR12" i="22"/>
  <c r="AR25" i="22" s="1"/>
  <c r="Y12" i="22"/>
  <c r="W12" i="22"/>
  <c r="S12" i="22"/>
  <c r="Q12" i="22"/>
  <c r="V12" i="22" s="1"/>
  <c r="O12" i="22"/>
  <c r="N12" i="22"/>
  <c r="M12" i="22"/>
  <c r="L12" i="22"/>
  <c r="K12" i="22"/>
  <c r="J12" i="22"/>
  <c r="AR11" i="22"/>
  <c r="AR24" i="22" s="1"/>
  <c r="Y11" i="22"/>
  <c r="W11" i="22"/>
  <c r="V11" i="22"/>
  <c r="U11" i="22"/>
  <c r="T11" i="22"/>
  <c r="S11" i="22"/>
  <c r="R11" i="22"/>
  <c r="Q11" i="22"/>
  <c r="O11" i="22"/>
  <c r="N11" i="22"/>
  <c r="M11" i="22"/>
  <c r="L11" i="22"/>
  <c r="K11" i="22"/>
  <c r="J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AR10" i="22"/>
  <c r="AR23" i="22" s="1"/>
  <c r="AJ10" i="22"/>
  <c r="Y10" i="22"/>
  <c r="V10" i="22"/>
  <c r="U10" i="22"/>
  <c r="Q10" i="22"/>
  <c r="T10" i="22" s="1"/>
  <c r="O10" i="22"/>
  <c r="N10" i="22"/>
  <c r="M10" i="22"/>
  <c r="L10" i="22"/>
  <c r="K10" i="22"/>
  <c r="J10" i="22"/>
  <c r="E9" i="22"/>
  <c r="L9" i="22" s="1"/>
  <c r="C9" i="22"/>
  <c r="B9" i="22"/>
  <c r="H9" i="22" s="1"/>
  <c r="G8" i="22"/>
  <c r="N8" i="22" s="1"/>
  <c r="F8" i="22"/>
  <c r="M8" i="22" s="1"/>
  <c r="B8" i="22"/>
  <c r="E8" i="22" s="1"/>
  <c r="L8" i="22" s="1"/>
  <c r="V15" i="19"/>
  <c r="U15" i="19"/>
  <c r="T15" i="19"/>
  <c r="S15" i="19"/>
  <c r="V14" i="19"/>
  <c r="U14" i="19"/>
  <c r="T14" i="19"/>
  <c r="S14" i="19"/>
  <c r="V13" i="19"/>
  <c r="U13" i="19"/>
  <c r="T13" i="19"/>
  <c r="S13" i="19"/>
  <c r="V12" i="19"/>
  <c r="U12" i="19"/>
  <c r="T12" i="19"/>
  <c r="S12" i="19"/>
  <c r="V11" i="19"/>
  <c r="U11" i="19"/>
  <c r="T11" i="19"/>
  <c r="S11" i="19"/>
  <c r="V10" i="19"/>
  <c r="U10" i="19"/>
  <c r="T10" i="19"/>
  <c r="S10" i="19"/>
  <c r="V9" i="19"/>
  <c r="U9" i="19"/>
  <c r="T9" i="19"/>
  <c r="S9" i="19"/>
  <c r="V8" i="19"/>
  <c r="U8" i="19"/>
  <c r="T8" i="19"/>
  <c r="S8" i="19"/>
  <c r="V7" i="19"/>
  <c r="U7" i="19"/>
  <c r="T7" i="19"/>
  <c r="S7" i="19"/>
  <c r="V6" i="19"/>
  <c r="U6" i="19"/>
  <c r="T6" i="19"/>
  <c r="S6" i="19"/>
  <c r="V5" i="19"/>
  <c r="U5" i="19"/>
  <c r="T5" i="19"/>
  <c r="S5" i="19"/>
  <c r="V4" i="19"/>
  <c r="U4" i="19"/>
  <c r="T4" i="19"/>
  <c r="S4" i="19"/>
  <c r="V15" i="17"/>
  <c r="U15" i="17"/>
  <c r="T15" i="17"/>
  <c r="S15" i="17"/>
  <c r="V14" i="17"/>
  <c r="U14" i="17"/>
  <c r="T14" i="17"/>
  <c r="S14" i="17"/>
  <c r="V13" i="17"/>
  <c r="U13" i="17"/>
  <c r="T13" i="17"/>
  <c r="S13" i="17"/>
  <c r="V12" i="17"/>
  <c r="U12" i="17"/>
  <c r="T12" i="17"/>
  <c r="S12" i="17"/>
  <c r="V11" i="17"/>
  <c r="U11" i="17"/>
  <c r="T11" i="17"/>
  <c r="S11" i="17"/>
  <c r="V10" i="17"/>
  <c r="U10" i="17"/>
  <c r="T10" i="17"/>
  <c r="S10" i="17"/>
  <c r="V9" i="17"/>
  <c r="U9" i="17"/>
  <c r="T9" i="17"/>
  <c r="S9" i="17"/>
  <c r="V8" i="17"/>
  <c r="U8" i="17"/>
  <c r="T8" i="17"/>
  <c r="S8" i="17"/>
  <c r="V7" i="17"/>
  <c r="U7" i="17"/>
  <c r="T7" i="17"/>
  <c r="S7" i="17"/>
  <c r="V6" i="17"/>
  <c r="U6" i="17"/>
  <c r="T6" i="17"/>
  <c r="S6" i="17"/>
  <c r="V5" i="17"/>
  <c r="U5" i="17"/>
  <c r="T5" i="17"/>
  <c r="S5" i="17"/>
  <c r="V4" i="17"/>
  <c r="U4" i="17"/>
  <c r="T4" i="17"/>
  <c r="S4" i="17"/>
  <c r="V3" i="19"/>
  <c r="U3" i="19"/>
  <c r="T3" i="19"/>
  <c r="V3" i="17"/>
  <c r="U3" i="17"/>
  <c r="T3" i="17"/>
  <c r="S3" i="19"/>
  <c r="S3" i="17"/>
  <c r="O135" i="20"/>
  <c r="N135" i="20"/>
  <c r="M135" i="20"/>
  <c r="L135" i="20"/>
  <c r="K135" i="20"/>
  <c r="J135" i="20"/>
  <c r="O134" i="20"/>
  <c r="N134" i="20"/>
  <c r="M134" i="20"/>
  <c r="L134" i="20"/>
  <c r="K134" i="20"/>
  <c r="J134" i="20"/>
  <c r="O133" i="20"/>
  <c r="N133" i="20"/>
  <c r="M133" i="20"/>
  <c r="L133" i="20"/>
  <c r="K133" i="20"/>
  <c r="J133" i="20"/>
  <c r="O132" i="20"/>
  <c r="N132" i="20"/>
  <c r="M132" i="20"/>
  <c r="L132" i="20"/>
  <c r="K132" i="20"/>
  <c r="J132" i="20"/>
  <c r="O131" i="20"/>
  <c r="N131" i="20"/>
  <c r="M131" i="20"/>
  <c r="L131" i="20"/>
  <c r="K131" i="20"/>
  <c r="J131" i="20"/>
  <c r="O130" i="20"/>
  <c r="N130" i="20"/>
  <c r="M130" i="20"/>
  <c r="L130" i="20"/>
  <c r="K130" i="20"/>
  <c r="J130" i="20"/>
  <c r="O129" i="20"/>
  <c r="N129" i="20"/>
  <c r="M129" i="20"/>
  <c r="L129" i="20"/>
  <c r="K129" i="20"/>
  <c r="J129" i="20"/>
  <c r="O128" i="20"/>
  <c r="N128" i="20"/>
  <c r="M128" i="20"/>
  <c r="L128" i="20"/>
  <c r="K128" i="20"/>
  <c r="J128" i="20"/>
  <c r="O127" i="20"/>
  <c r="N127" i="20"/>
  <c r="M127" i="20"/>
  <c r="L127" i="20"/>
  <c r="K127" i="20"/>
  <c r="J127" i="20"/>
  <c r="O126" i="20"/>
  <c r="N126" i="20"/>
  <c r="M126" i="20"/>
  <c r="L126" i="20"/>
  <c r="K126" i="20"/>
  <c r="J126" i="20"/>
  <c r="O125" i="20"/>
  <c r="N125" i="20"/>
  <c r="M125" i="20"/>
  <c r="L125" i="20"/>
  <c r="K125" i="20"/>
  <c r="J125" i="20"/>
  <c r="O124" i="20"/>
  <c r="N124" i="20"/>
  <c r="M124" i="20"/>
  <c r="L124" i="20"/>
  <c r="K124" i="20"/>
  <c r="J124" i="20"/>
  <c r="O123" i="20"/>
  <c r="N123" i="20"/>
  <c r="M123" i="20"/>
  <c r="L123" i="20"/>
  <c r="K123" i="20"/>
  <c r="J123" i="20"/>
  <c r="O122" i="20"/>
  <c r="N122" i="20"/>
  <c r="M122" i="20"/>
  <c r="L122" i="20"/>
  <c r="K122" i="20"/>
  <c r="J122" i="20"/>
  <c r="O121" i="20"/>
  <c r="N121" i="20"/>
  <c r="M121" i="20"/>
  <c r="L121" i="20"/>
  <c r="K121" i="20"/>
  <c r="J121" i="20"/>
  <c r="O120" i="20"/>
  <c r="N120" i="20"/>
  <c r="M120" i="20"/>
  <c r="L120" i="20"/>
  <c r="K120" i="20"/>
  <c r="J120" i="20"/>
  <c r="O119" i="20"/>
  <c r="N119" i="20"/>
  <c r="M119" i="20"/>
  <c r="L119" i="20"/>
  <c r="K119" i="20"/>
  <c r="J119" i="20"/>
  <c r="O118" i="20"/>
  <c r="N118" i="20"/>
  <c r="M118" i="20"/>
  <c r="L118" i="20"/>
  <c r="K118" i="20"/>
  <c r="J118" i="20"/>
  <c r="O117" i="20"/>
  <c r="N117" i="20"/>
  <c r="M117" i="20"/>
  <c r="L117" i="20"/>
  <c r="K117" i="20"/>
  <c r="J117" i="20"/>
  <c r="O116" i="20"/>
  <c r="N116" i="20"/>
  <c r="M116" i="20"/>
  <c r="L116" i="20"/>
  <c r="K116" i="20"/>
  <c r="J116" i="20"/>
  <c r="O115" i="20"/>
  <c r="N115" i="20"/>
  <c r="M115" i="20"/>
  <c r="L115" i="20"/>
  <c r="K115" i="20"/>
  <c r="J115" i="20"/>
  <c r="O114" i="20"/>
  <c r="N114" i="20"/>
  <c r="M114" i="20"/>
  <c r="L114" i="20"/>
  <c r="K114" i="20"/>
  <c r="J114" i="20"/>
  <c r="O113" i="20"/>
  <c r="N113" i="20"/>
  <c r="M113" i="20"/>
  <c r="L113" i="20"/>
  <c r="K113" i="20"/>
  <c r="J113" i="20"/>
  <c r="O112" i="20"/>
  <c r="N112" i="20"/>
  <c r="M112" i="20"/>
  <c r="L112" i="20"/>
  <c r="K112" i="20"/>
  <c r="J112" i="20"/>
  <c r="O111" i="20"/>
  <c r="N111" i="20"/>
  <c r="M111" i="20"/>
  <c r="L111" i="20"/>
  <c r="K111" i="20"/>
  <c r="J111" i="20"/>
  <c r="O110" i="20"/>
  <c r="N110" i="20"/>
  <c r="M110" i="20"/>
  <c r="L110" i="20"/>
  <c r="K110" i="20"/>
  <c r="J110" i="20"/>
  <c r="O109" i="20"/>
  <c r="N109" i="20"/>
  <c r="M109" i="20"/>
  <c r="L109" i="20"/>
  <c r="K109" i="20"/>
  <c r="J109" i="20"/>
  <c r="O108" i="20"/>
  <c r="N108" i="20"/>
  <c r="M108" i="20"/>
  <c r="L108" i="20"/>
  <c r="K108" i="20"/>
  <c r="J108" i="20"/>
  <c r="AJ107" i="20"/>
  <c r="AJ108" i="20" s="1"/>
  <c r="AJ109" i="20" s="1"/>
  <c r="AJ110" i="20" s="1"/>
  <c r="AJ111" i="20" s="1"/>
  <c r="AJ112" i="20" s="1"/>
  <c r="AJ113" i="20" s="1"/>
  <c r="O107" i="20"/>
  <c r="N107" i="20"/>
  <c r="M107" i="20"/>
  <c r="L107" i="20"/>
  <c r="K107" i="20"/>
  <c r="J107" i="20"/>
  <c r="AJ106" i="20"/>
  <c r="O106" i="20"/>
  <c r="N106" i="20"/>
  <c r="M106" i="20"/>
  <c r="L106" i="20"/>
  <c r="K106" i="20"/>
  <c r="J106" i="20"/>
  <c r="O105" i="20"/>
  <c r="N105" i="20"/>
  <c r="M105" i="20"/>
  <c r="L105" i="20"/>
  <c r="K105" i="20"/>
  <c r="J105" i="20"/>
  <c r="O104" i="20"/>
  <c r="N104" i="20"/>
  <c r="M104" i="20"/>
  <c r="L104" i="20"/>
  <c r="K104" i="20"/>
  <c r="J104" i="20"/>
  <c r="O103" i="20"/>
  <c r="N103" i="20"/>
  <c r="M103" i="20"/>
  <c r="L103" i="20"/>
  <c r="K103" i="20"/>
  <c r="J103" i="20"/>
  <c r="O102" i="20"/>
  <c r="N102" i="20"/>
  <c r="M102" i="20"/>
  <c r="L102" i="20"/>
  <c r="K102" i="20"/>
  <c r="J102" i="20"/>
  <c r="O101" i="20"/>
  <c r="N101" i="20"/>
  <c r="M101" i="20"/>
  <c r="L101" i="20"/>
  <c r="K101" i="20"/>
  <c r="J101" i="20"/>
  <c r="O100" i="20"/>
  <c r="N100" i="20"/>
  <c r="M100" i="20"/>
  <c r="L100" i="20"/>
  <c r="K100" i="20"/>
  <c r="J100" i="20"/>
  <c r="AJ99" i="20"/>
  <c r="AJ100" i="20" s="1"/>
  <c r="AJ101" i="20" s="1"/>
  <c r="AJ102" i="20" s="1"/>
  <c r="AJ103" i="20" s="1"/>
  <c r="AJ104" i="20" s="1"/>
  <c r="AJ105" i="20" s="1"/>
  <c r="O99" i="20"/>
  <c r="N99" i="20"/>
  <c r="M99" i="20"/>
  <c r="L99" i="20"/>
  <c r="K99" i="20"/>
  <c r="J99" i="20"/>
  <c r="AJ98" i="20"/>
  <c r="O98" i="20"/>
  <c r="N98" i="20"/>
  <c r="M98" i="20"/>
  <c r="L98" i="20"/>
  <c r="K98" i="20"/>
  <c r="J98" i="20"/>
  <c r="O97" i="20"/>
  <c r="N97" i="20"/>
  <c r="M97" i="20"/>
  <c r="L97" i="20"/>
  <c r="K97" i="20"/>
  <c r="J97" i="20"/>
  <c r="O96" i="20"/>
  <c r="N96" i="20"/>
  <c r="M96" i="20"/>
  <c r="L96" i="20"/>
  <c r="K96" i="20"/>
  <c r="J96" i="20"/>
  <c r="O95" i="20"/>
  <c r="N95" i="20"/>
  <c r="M95" i="20"/>
  <c r="L95" i="20"/>
  <c r="K95" i="20"/>
  <c r="J95" i="20"/>
  <c r="O94" i="20"/>
  <c r="N94" i="20"/>
  <c r="M94" i="20"/>
  <c r="L94" i="20"/>
  <c r="K94" i="20"/>
  <c r="J94" i="20"/>
  <c r="O93" i="20"/>
  <c r="N93" i="20"/>
  <c r="M93" i="20"/>
  <c r="L93" i="20"/>
  <c r="K93" i="20"/>
  <c r="J93" i="20"/>
  <c r="O92" i="20"/>
  <c r="N92" i="20"/>
  <c r="M92" i="20"/>
  <c r="L92" i="20"/>
  <c r="K92" i="20"/>
  <c r="J92" i="20"/>
  <c r="AJ91" i="20"/>
  <c r="AJ92" i="20" s="1"/>
  <c r="AJ93" i="20" s="1"/>
  <c r="AJ94" i="20" s="1"/>
  <c r="AJ95" i="20" s="1"/>
  <c r="AJ96" i="20" s="1"/>
  <c r="AJ97" i="20" s="1"/>
  <c r="O91" i="20"/>
  <c r="N91" i="20"/>
  <c r="M91" i="20"/>
  <c r="L91" i="20"/>
  <c r="K91" i="20"/>
  <c r="J91" i="20"/>
  <c r="AJ90" i="20"/>
  <c r="O90" i="20"/>
  <c r="N90" i="20"/>
  <c r="M90" i="20"/>
  <c r="L90" i="20"/>
  <c r="K90" i="20"/>
  <c r="J90" i="20"/>
  <c r="O89" i="20"/>
  <c r="N89" i="20"/>
  <c r="M89" i="20"/>
  <c r="L89" i="20"/>
  <c r="K89" i="20"/>
  <c r="J89" i="20"/>
  <c r="O88" i="20"/>
  <c r="N88" i="20"/>
  <c r="M88" i="20"/>
  <c r="L88" i="20"/>
  <c r="K88" i="20"/>
  <c r="J88" i="20"/>
  <c r="O87" i="20"/>
  <c r="N87" i="20"/>
  <c r="M87" i="20"/>
  <c r="L87" i="20"/>
  <c r="K87" i="20"/>
  <c r="J87" i="20"/>
  <c r="O86" i="20"/>
  <c r="N86" i="20"/>
  <c r="M86" i="20"/>
  <c r="L86" i="20"/>
  <c r="K86" i="20"/>
  <c r="J86" i="20"/>
  <c r="O85" i="20"/>
  <c r="N85" i="20"/>
  <c r="M85" i="20"/>
  <c r="L85" i="20"/>
  <c r="K85" i="20"/>
  <c r="J85" i="20"/>
  <c r="O84" i="20"/>
  <c r="N84" i="20"/>
  <c r="M84" i="20"/>
  <c r="L84" i="20"/>
  <c r="K84" i="20"/>
  <c r="J84" i="20"/>
  <c r="AJ83" i="20"/>
  <c r="AJ84" i="20" s="1"/>
  <c r="AJ85" i="20" s="1"/>
  <c r="AJ86" i="20" s="1"/>
  <c r="AJ87" i="20" s="1"/>
  <c r="AJ88" i="20" s="1"/>
  <c r="AJ89" i="20" s="1"/>
  <c r="O83" i="20"/>
  <c r="N83" i="20"/>
  <c r="M83" i="20"/>
  <c r="L83" i="20"/>
  <c r="K83" i="20"/>
  <c r="J83" i="20"/>
  <c r="AJ82" i="20"/>
  <c r="O82" i="20"/>
  <c r="N82" i="20"/>
  <c r="M82" i="20"/>
  <c r="L82" i="20"/>
  <c r="K82" i="20"/>
  <c r="J82" i="20"/>
  <c r="O81" i="20"/>
  <c r="N81" i="20"/>
  <c r="M81" i="20"/>
  <c r="L81" i="20"/>
  <c r="K81" i="20"/>
  <c r="J81" i="20"/>
  <c r="O80" i="20"/>
  <c r="N80" i="20"/>
  <c r="M80" i="20"/>
  <c r="L80" i="20"/>
  <c r="K80" i="20"/>
  <c r="J80" i="20"/>
  <c r="O79" i="20"/>
  <c r="N79" i="20"/>
  <c r="M79" i="20"/>
  <c r="L79" i="20"/>
  <c r="K79" i="20"/>
  <c r="J79" i="20"/>
  <c r="O78" i="20"/>
  <c r="N78" i="20"/>
  <c r="M78" i="20"/>
  <c r="L78" i="20"/>
  <c r="K78" i="20"/>
  <c r="J78" i="20"/>
  <c r="O77" i="20"/>
  <c r="N77" i="20"/>
  <c r="M77" i="20"/>
  <c r="L77" i="20"/>
  <c r="K77" i="20"/>
  <c r="J77" i="20"/>
  <c r="O76" i="20"/>
  <c r="N76" i="20"/>
  <c r="M76" i="20"/>
  <c r="L76" i="20"/>
  <c r="K76" i="20"/>
  <c r="J76" i="20"/>
  <c r="AJ75" i="20"/>
  <c r="AJ76" i="20" s="1"/>
  <c r="AJ77" i="20" s="1"/>
  <c r="AJ78" i="20" s="1"/>
  <c r="AJ79" i="20" s="1"/>
  <c r="AJ80" i="20" s="1"/>
  <c r="AJ81" i="20" s="1"/>
  <c r="O75" i="20"/>
  <c r="N75" i="20"/>
  <c r="M75" i="20"/>
  <c r="L75" i="20"/>
  <c r="K75" i="20"/>
  <c r="J75" i="20"/>
  <c r="AJ74" i="20"/>
  <c r="O74" i="20"/>
  <c r="N74" i="20"/>
  <c r="M74" i="20"/>
  <c r="L74" i="20"/>
  <c r="K74" i="20"/>
  <c r="J74" i="20"/>
  <c r="O73" i="20"/>
  <c r="N73" i="20"/>
  <c r="M73" i="20"/>
  <c r="L73" i="20"/>
  <c r="K73" i="20"/>
  <c r="J73" i="20"/>
  <c r="O72" i="20"/>
  <c r="N72" i="20"/>
  <c r="M72" i="20"/>
  <c r="L72" i="20"/>
  <c r="K72" i="20"/>
  <c r="J72" i="20"/>
  <c r="AJ71" i="20"/>
  <c r="AJ72" i="20" s="1"/>
  <c r="AJ73" i="20" s="1"/>
  <c r="O71" i="20"/>
  <c r="N71" i="20"/>
  <c r="M71" i="20"/>
  <c r="L71" i="20"/>
  <c r="K71" i="20"/>
  <c r="J71" i="20"/>
  <c r="O70" i="20"/>
  <c r="N70" i="20"/>
  <c r="M70" i="20"/>
  <c r="L70" i="20"/>
  <c r="K70" i="20"/>
  <c r="J70" i="20"/>
  <c r="O69" i="20"/>
  <c r="N69" i="20"/>
  <c r="M69" i="20"/>
  <c r="L69" i="20"/>
  <c r="K69" i="20"/>
  <c r="J69" i="20"/>
  <c r="O68" i="20"/>
  <c r="N68" i="20"/>
  <c r="M68" i="20"/>
  <c r="L68" i="20"/>
  <c r="K68" i="20"/>
  <c r="J68" i="20"/>
  <c r="AJ67" i="20"/>
  <c r="AJ68" i="20" s="1"/>
  <c r="AJ69" i="20" s="1"/>
  <c r="AJ70" i="20" s="1"/>
  <c r="O67" i="20"/>
  <c r="N67" i="20"/>
  <c r="M67" i="20"/>
  <c r="L67" i="20"/>
  <c r="K67" i="20"/>
  <c r="J67" i="20"/>
  <c r="AJ66" i="20"/>
  <c r="O66" i="20"/>
  <c r="N66" i="20"/>
  <c r="M66" i="20"/>
  <c r="L66" i="20"/>
  <c r="K66" i="20"/>
  <c r="J66" i="20"/>
  <c r="O65" i="20"/>
  <c r="N65" i="20"/>
  <c r="M65" i="20"/>
  <c r="L65" i="20"/>
  <c r="K65" i="20"/>
  <c r="J65" i="20"/>
  <c r="O64" i="20"/>
  <c r="N64" i="20"/>
  <c r="M64" i="20"/>
  <c r="L64" i="20"/>
  <c r="K64" i="20"/>
  <c r="J64" i="20"/>
  <c r="AJ63" i="20"/>
  <c r="AJ64" i="20" s="1"/>
  <c r="AJ65" i="20" s="1"/>
  <c r="O63" i="20"/>
  <c r="N63" i="20"/>
  <c r="M63" i="20"/>
  <c r="L63" i="20"/>
  <c r="K63" i="20"/>
  <c r="J63" i="20"/>
  <c r="O62" i="20"/>
  <c r="N62" i="20"/>
  <c r="M62" i="20"/>
  <c r="L62" i="20"/>
  <c r="K62" i="20"/>
  <c r="J62" i="20"/>
  <c r="O61" i="20"/>
  <c r="N61" i="20"/>
  <c r="M61" i="20"/>
  <c r="L61" i="20"/>
  <c r="K61" i="20"/>
  <c r="J61" i="20"/>
  <c r="O60" i="20"/>
  <c r="N60" i="20"/>
  <c r="M60" i="20"/>
  <c r="L60" i="20"/>
  <c r="K60" i="20"/>
  <c r="J60" i="20"/>
  <c r="AJ59" i="20"/>
  <c r="AJ60" i="20" s="1"/>
  <c r="AJ61" i="20" s="1"/>
  <c r="AJ62" i="20" s="1"/>
  <c r="O59" i="20"/>
  <c r="N59" i="20"/>
  <c r="M59" i="20"/>
  <c r="L59" i="20"/>
  <c r="K59" i="20"/>
  <c r="J59" i="20"/>
  <c r="AJ58" i="20"/>
  <c r="O58" i="20"/>
  <c r="N58" i="20"/>
  <c r="M58" i="20"/>
  <c r="L58" i="20"/>
  <c r="K58" i="20"/>
  <c r="J58" i="20"/>
  <c r="O57" i="20"/>
  <c r="N57" i="20"/>
  <c r="M57" i="20"/>
  <c r="L57" i="20"/>
  <c r="K57" i="20"/>
  <c r="J57" i="20"/>
  <c r="O56" i="20"/>
  <c r="N56" i="20"/>
  <c r="M56" i="20"/>
  <c r="L56" i="20"/>
  <c r="K56" i="20"/>
  <c r="J56" i="20"/>
  <c r="O55" i="20"/>
  <c r="N55" i="20"/>
  <c r="M55" i="20"/>
  <c r="L55" i="20"/>
  <c r="K55" i="20"/>
  <c r="J55" i="20"/>
  <c r="O54" i="20"/>
  <c r="N54" i="20"/>
  <c r="M54" i="20"/>
  <c r="L54" i="20"/>
  <c r="K54" i="20"/>
  <c r="J54" i="20"/>
  <c r="O53" i="20"/>
  <c r="N53" i="20"/>
  <c r="M53" i="20"/>
  <c r="L53" i="20"/>
  <c r="K53" i="20"/>
  <c r="J53" i="20"/>
  <c r="O52" i="20"/>
  <c r="N52" i="20"/>
  <c r="M52" i="20"/>
  <c r="L52" i="20"/>
  <c r="K52" i="20"/>
  <c r="J52" i="20"/>
  <c r="O51" i="20"/>
  <c r="N51" i="20"/>
  <c r="M51" i="20"/>
  <c r="L51" i="20"/>
  <c r="K51" i="20"/>
  <c r="J51" i="20"/>
  <c r="AJ50" i="20"/>
  <c r="AJ51" i="20" s="1"/>
  <c r="AJ52" i="20" s="1"/>
  <c r="AJ53" i="20" s="1"/>
  <c r="AJ54" i="20" s="1"/>
  <c r="AJ55" i="20" s="1"/>
  <c r="AJ56" i="20" s="1"/>
  <c r="AJ57" i="20" s="1"/>
  <c r="O50" i="20"/>
  <c r="N50" i="20"/>
  <c r="M50" i="20"/>
  <c r="L50" i="20"/>
  <c r="K50" i="20"/>
  <c r="J50" i="20"/>
  <c r="O49" i="20"/>
  <c r="N49" i="20"/>
  <c r="M49" i="20"/>
  <c r="L49" i="20"/>
  <c r="K49" i="20"/>
  <c r="J49" i="20"/>
  <c r="O48" i="20"/>
  <c r="N48" i="20"/>
  <c r="M48" i="20"/>
  <c r="L48" i="20"/>
  <c r="K48" i="20"/>
  <c r="J48" i="20"/>
  <c r="O47" i="20"/>
  <c r="N47" i="20"/>
  <c r="M47" i="20"/>
  <c r="L47" i="20"/>
  <c r="K47" i="20"/>
  <c r="J47" i="20"/>
  <c r="O46" i="20"/>
  <c r="N46" i="20"/>
  <c r="M46" i="20"/>
  <c r="L46" i="20"/>
  <c r="K46" i="20"/>
  <c r="J46" i="20"/>
  <c r="O45" i="20"/>
  <c r="N45" i="20"/>
  <c r="M45" i="20"/>
  <c r="L45" i="20"/>
  <c r="K45" i="20"/>
  <c r="J45" i="20"/>
  <c r="O44" i="20"/>
  <c r="N44" i="20"/>
  <c r="M44" i="20"/>
  <c r="L44" i="20"/>
  <c r="K44" i="20"/>
  <c r="J44" i="20"/>
  <c r="O43" i="20"/>
  <c r="N43" i="20"/>
  <c r="M43" i="20"/>
  <c r="L43" i="20"/>
  <c r="K43" i="20"/>
  <c r="J43" i="20"/>
  <c r="AJ42" i="20"/>
  <c r="AJ43" i="20" s="1"/>
  <c r="AJ44" i="20" s="1"/>
  <c r="AJ45" i="20" s="1"/>
  <c r="AJ46" i="20" s="1"/>
  <c r="AJ47" i="20" s="1"/>
  <c r="AJ48" i="20" s="1"/>
  <c r="AJ49" i="20" s="1"/>
  <c r="O42" i="20"/>
  <c r="N42" i="20"/>
  <c r="M42" i="20"/>
  <c r="L42" i="20"/>
  <c r="K42" i="20"/>
  <c r="J42" i="20"/>
  <c r="O41" i="20"/>
  <c r="N41" i="20"/>
  <c r="M41" i="20"/>
  <c r="L41" i="20"/>
  <c r="K41" i="20"/>
  <c r="J41" i="20"/>
  <c r="O40" i="20"/>
  <c r="N40" i="20"/>
  <c r="M40" i="20"/>
  <c r="L40" i="20"/>
  <c r="K40" i="20"/>
  <c r="J40" i="20"/>
  <c r="O39" i="20"/>
  <c r="N39" i="20"/>
  <c r="M39" i="20"/>
  <c r="L39" i="20"/>
  <c r="K39" i="20"/>
  <c r="J39" i="20"/>
  <c r="O38" i="20"/>
  <c r="N38" i="20"/>
  <c r="M38" i="20"/>
  <c r="L38" i="20"/>
  <c r="K38" i="20"/>
  <c r="J38" i="20"/>
  <c r="O37" i="20"/>
  <c r="N37" i="20"/>
  <c r="M37" i="20"/>
  <c r="L37" i="20"/>
  <c r="K37" i="20"/>
  <c r="J37" i="20"/>
  <c r="O36" i="20"/>
  <c r="N36" i="20"/>
  <c r="M36" i="20"/>
  <c r="L36" i="20"/>
  <c r="K36" i="20"/>
  <c r="J36" i="20"/>
  <c r="AJ35" i="20"/>
  <c r="AJ36" i="20" s="1"/>
  <c r="AJ37" i="20" s="1"/>
  <c r="AJ38" i="20" s="1"/>
  <c r="AJ39" i="20" s="1"/>
  <c r="AJ40" i="20" s="1"/>
  <c r="AJ41" i="20" s="1"/>
  <c r="O35" i="20"/>
  <c r="N35" i="20"/>
  <c r="M35" i="20"/>
  <c r="L35" i="20"/>
  <c r="K35" i="20"/>
  <c r="J35" i="20"/>
  <c r="AJ34" i="20"/>
  <c r="O34" i="20"/>
  <c r="N34" i="20"/>
  <c r="M34" i="20"/>
  <c r="L34" i="20"/>
  <c r="K34" i="20"/>
  <c r="J34" i="20"/>
  <c r="AR33" i="20"/>
  <c r="O33" i="20"/>
  <c r="N33" i="20"/>
  <c r="M33" i="20"/>
  <c r="L33" i="20"/>
  <c r="K33" i="20"/>
  <c r="J33" i="20"/>
  <c r="O32" i="20"/>
  <c r="N32" i="20"/>
  <c r="M32" i="20"/>
  <c r="L32" i="20"/>
  <c r="K32" i="20"/>
  <c r="J32" i="20"/>
  <c r="O31" i="20"/>
  <c r="N31" i="20"/>
  <c r="M31" i="20"/>
  <c r="L31" i="20"/>
  <c r="K31" i="20"/>
  <c r="J31" i="20"/>
  <c r="O30" i="20"/>
  <c r="N30" i="20"/>
  <c r="M30" i="20"/>
  <c r="L30" i="20"/>
  <c r="K30" i="20"/>
  <c r="J30" i="20"/>
  <c r="O29" i="20"/>
  <c r="N29" i="20"/>
  <c r="M29" i="20"/>
  <c r="L29" i="20"/>
  <c r="K29" i="20"/>
  <c r="J29" i="20"/>
  <c r="AR28" i="20"/>
  <c r="O28" i="20"/>
  <c r="N28" i="20"/>
  <c r="M28" i="20"/>
  <c r="L28" i="20"/>
  <c r="K28" i="20"/>
  <c r="J28" i="20"/>
  <c r="O27" i="20"/>
  <c r="N27" i="20"/>
  <c r="M27" i="20"/>
  <c r="L27" i="20"/>
  <c r="K27" i="20"/>
  <c r="J27" i="20"/>
  <c r="AJ26" i="20"/>
  <c r="AJ27" i="20" s="1"/>
  <c r="AJ28" i="20" s="1"/>
  <c r="AJ29" i="20" s="1"/>
  <c r="AJ30" i="20" s="1"/>
  <c r="AJ31" i="20" s="1"/>
  <c r="AJ32" i="20" s="1"/>
  <c r="AJ33" i="20" s="1"/>
  <c r="O26" i="20"/>
  <c r="N26" i="20"/>
  <c r="M26" i="20"/>
  <c r="L26" i="20"/>
  <c r="K26" i="20"/>
  <c r="J26" i="20"/>
  <c r="O25" i="20"/>
  <c r="N25" i="20"/>
  <c r="M25" i="20"/>
  <c r="L25" i="20"/>
  <c r="K25" i="20"/>
  <c r="J25" i="20"/>
  <c r="O24" i="20"/>
  <c r="N24" i="20"/>
  <c r="M24" i="20"/>
  <c r="L24" i="20"/>
  <c r="K24" i="20"/>
  <c r="J24" i="20"/>
  <c r="O23" i="20"/>
  <c r="N23" i="20"/>
  <c r="M23" i="20"/>
  <c r="L23" i="20"/>
  <c r="K23" i="20"/>
  <c r="J23" i="20"/>
  <c r="AR22" i="20"/>
  <c r="AR35" i="20" s="1"/>
  <c r="W22" i="20"/>
  <c r="P15" i="19" s="1"/>
  <c r="V22" i="20"/>
  <c r="O15" i="19" s="1"/>
  <c r="U22" i="20"/>
  <c r="T22" i="20"/>
  <c r="M15" i="19" s="1"/>
  <c r="S22" i="20"/>
  <c r="L15" i="19" s="1"/>
  <c r="R22" i="20"/>
  <c r="K15" i="19" s="1"/>
  <c r="O22" i="20"/>
  <c r="N22" i="20"/>
  <c r="M22" i="20"/>
  <c r="L22" i="20"/>
  <c r="K22" i="20"/>
  <c r="J22" i="20"/>
  <c r="AR21" i="20"/>
  <c r="AR34" i="20" s="1"/>
  <c r="AJ21" i="20"/>
  <c r="AJ22" i="20" s="1"/>
  <c r="AJ23" i="20" s="1"/>
  <c r="AJ24" i="20" s="1"/>
  <c r="AJ25" i="20" s="1"/>
  <c r="W21" i="20"/>
  <c r="V21" i="20"/>
  <c r="U21" i="20"/>
  <c r="T21" i="20"/>
  <c r="M14" i="19" s="1"/>
  <c r="S21" i="20"/>
  <c r="L14" i="19" s="1"/>
  <c r="R21" i="20"/>
  <c r="K14" i="19" s="1"/>
  <c r="O21" i="20"/>
  <c r="N21" i="20"/>
  <c r="M21" i="20"/>
  <c r="L21" i="20"/>
  <c r="K21" i="20"/>
  <c r="J21" i="20"/>
  <c r="AR20" i="20"/>
  <c r="W20" i="20"/>
  <c r="V20" i="20"/>
  <c r="Q20" i="20"/>
  <c r="U20" i="20" s="1"/>
  <c r="O20" i="20"/>
  <c r="N20" i="20"/>
  <c r="M20" i="20"/>
  <c r="L20" i="20"/>
  <c r="K20" i="20"/>
  <c r="J20" i="20"/>
  <c r="AR19" i="20"/>
  <c r="AR32" i="20" s="1"/>
  <c r="W19" i="20"/>
  <c r="V19" i="20"/>
  <c r="U19" i="20"/>
  <c r="Q19" i="20"/>
  <c r="T19" i="20" s="1"/>
  <c r="M12" i="19" s="1"/>
  <c r="O19" i="20"/>
  <c r="N19" i="20"/>
  <c r="M19" i="20"/>
  <c r="L19" i="20"/>
  <c r="K19" i="20"/>
  <c r="J19" i="20"/>
  <c r="B19" i="20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B109" i="20" s="1"/>
  <c r="B110" i="20" s="1"/>
  <c r="B111" i="20" s="1"/>
  <c r="B112" i="20" s="1"/>
  <c r="B113" i="20" s="1"/>
  <c r="B114" i="20" s="1"/>
  <c r="B115" i="20" s="1"/>
  <c r="B116" i="20" s="1"/>
  <c r="B117" i="20" s="1"/>
  <c r="B118" i="20" s="1"/>
  <c r="B119" i="20" s="1"/>
  <c r="B120" i="20" s="1"/>
  <c r="B121" i="20" s="1"/>
  <c r="B122" i="20" s="1"/>
  <c r="B123" i="20" s="1"/>
  <c r="B124" i="20" s="1"/>
  <c r="B125" i="20" s="1"/>
  <c r="B126" i="20" s="1"/>
  <c r="B127" i="20" s="1"/>
  <c r="B128" i="20" s="1"/>
  <c r="B129" i="20" s="1"/>
  <c r="B130" i="20" s="1"/>
  <c r="B131" i="20" s="1"/>
  <c r="B132" i="20" s="1"/>
  <c r="B133" i="20" s="1"/>
  <c r="B134" i="20" s="1"/>
  <c r="B135" i="20" s="1"/>
  <c r="AR18" i="20"/>
  <c r="AR31" i="20" s="1"/>
  <c r="AJ18" i="20"/>
  <c r="AJ19" i="20" s="1"/>
  <c r="AJ20" i="20" s="1"/>
  <c r="W18" i="20"/>
  <c r="V18" i="20"/>
  <c r="U18" i="20"/>
  <c r="T18" i="20"/>
  <c r="M11" i="19" s="1"/>
  <c r="R18" i="20"/>
  <c r="K11" i="19" s="1"/>
  <c r="Q18" i="20"/>
  <c r="S18" i="20" s="1"/>
  <c r="L11" i="19" s="1"/>
  <c r="O18" i="20"/>
  <c r="N18" i="20"/>
  <c r="M18" i="20"/>
  <c r="L18" i="20"/>
  <c r="K18" i="20"/>
  <c r="J18" i="20"/>
  <c r="AR17" i="20"/>
  <c r="AR30" i="20" s="1"/>
  <c r="V17" i="20"/>
  <c r="O10" i="19" s="1"/>
  <c r="U17" i="20"/>
  <c r="N10" i="19" s="1"/>
  <c r="T17" i="20"/>
  <c r="M10" i="19" s="1"/>
  <c r="S17" i="20"/>
  <c r="L10" i="19" s="1"/>
  <c r="Q17" i="20"/>
  <c r="R17" i="20" s="1"/>
  <c r="K10" i="19" s="1"/>
  <c r="O17" i="20"/>
  <c r="N17" i="20"/>
  <c r="M17" i="20"/>
  <c r="L17" i="20"/>
  <c r="K17" i="20"/>
  <c r="J17" i="20"/>
  <c r="AR16" i="20"/>
  <c r="AR29" i="20" s="1"/>
  <c r="W16" i="20"/>
  <c r="V16" i="20"/>
  <c r="U16" i="20"/>
  <c r="T16" i="20"/>
  <c r="M9" i="19" s="1"/>
  <c r="S16" i="20"/>
  <c r="L9" i="19" s="1"/>
  <c r="R16" i="20"/>
  <c r="K9" i="19" s="1"/>
  <c r="Q16" i="20"/>
  <c r="O16" i="20"/>
  <c r="N16" i="20"/>
  <c r="M16" i="20"/>
  <c r="L16" i="20"/>
  <c r="K16" i="20"/>
  <c r="J16" i="20"/>
  <c r="AR15" i="20"/>
  <c r="V15" i="20"/>
  <c r="R15" i="20"/>
  <c r="K8" i="19" s="1"/>
  <c r="Q15" i="20"/>
  <c r="O15" i="20"/>
  <c r="N15" i="20"/>
  <c r="M15" i="20"/>
  <c r="L15" i="20"/>
  <c r="K15" i="20"/>
  <c r="J15" i="20"/>
  <c r="AR14" i="20"/>
  <c r="AR27" i="20" s="1"/>
  <c r="S14" i="20"/>
  <c r="L7" i="19" s="1"/>
  <c r="Q14" i="20"/>
  <c r="O14" i="20"/>
  <c r="N14" i="20"/>
  <c r="M14" i="20"/>
  <c r="L14" i="20"/>
  <c r="K14" i="20"/>
  <c r="J14" i="20"/>
  <c r="AR13" i="20"/>
  <c r="AR26" i="20" s="1"/>
  <c r="T13" i="20"/>
  <c r="M6" i="19" s="1"/>
  <c r="R13" i="20"/>
  <c r="K6" i="19" s="1"/>
  <c r="Q13" i="20"/>
  <c r="O13" i="20"/>
  <c r="N13" i="20"/>
  <c r="M13" i="20"/>
  <c r="L13" i="20"/>
  <c r="K13" i="20"/>
  <c r="J13" i="20"/>
  <c r="AR12" i="20"/>
  <c r="AR25" i="20" s="1"/>
  <c r="AJ12" i="20"/>
  <c r="AJ13" i="20" s="1"/>
  <c r="AJ14" i="20" s="1"/>
  <c r="AJ15" i="20" s="1"/>
  <c r="AJ16" i="20" s="1"/>
  <c r="AJ17" i="20" s="1"/>
  <c r="Q12" i="20"/>
  <c r="O12" i="20"/>
  <c r="N12" i="20"/>
  <c r="M12" i="20"/>
  <c r="L12" i="20"/>
  <c r="K12" i="20"/>
  <c r="J12" i="20"/>
  <c r="B12" i="20"/>
  <c r="B13" i="20" s="1"/>
  <c r="B14" i="20" s="1"/>
  <c r="B15" i="20" s="1"/>
  <c r="B16" i="20" s="1"/>
  <c r="B17" i="20" s="1"/>
  <c r="B18" i="20" s="1"/>
  <c r="AR11" i="20"/>
  <c r="AR24" i="20" s="1"/>
  <c r="AJ11" i="20"/>
  <c r="W11" i="20"/>
  <c r="V11" i="20"/>
  <c r="O4" i="19" s="1"/>
  <c r="S11" i="20"/>
  <c r="L4" i="19" s="1"/>
  <c r="R11" i="20"/>
  <c r="K4" i="19" s="1"/>
  <c r="Q11" i="20"/>
  <c r="U11" i="20" s="1"/>
  <c r="O11" i="20"/>
  <c r="N11" i="20"/>
  <c r="M11" i="20"/>
  <c r="L11" i="20"/>
  <c r="K11" i="20"/>
  <c r="J11" i="20"/>
  <c r="B11" i="20"/>
  <c r="AR10" i="20"/>
  <c r="AR23" i="20" s="1"/>
  <c r="AJ10" i="20"/>
  <c r="Y10" i="20"/>
  <c r="Y11" i="20" s="1"/>
  <c r="Y12" i="20" s="1"/>
  <c r="Y13" i="20" s="1"/>
  <c r="Y14" i="20" s="1"/>
  <c r="Y15" i="20" s="1"/>
  <c r="Y16" i="20" s="1"/>
  <c r="Y17" i="20" s="1"/>
  <c r="Y18" i="20" s="1"/>
  <c r="Y19" i="20" s="1"/>
  <c r="W10" i="20"/>
  <c r="P3" i="19" s="1"/>
  <c r="Q10" i="20"/>
  <c r="O10" i="20"/>
  <c r="N10" i="20"/>
  <c r="M10" i="20"/>
  <c r="L10" i="20"/>
  <c r="K10" i="20"/>
  <c r="J10" i="20"/>
  <c r="F9" i="20"/>
  <c r="M9" i="20" s="1"/>
  <c r="C9" i="20"/>
  <c r="J9" i="20" s="1"/>
  <c r="B9" i="20"/>
  <c r="E93" i="19"/>
  <c r="G85" i="19"/>
  <c r="F85" i="19"/>
  <c r="G84" i="19"/>
  <c r="G80" i="19"/>
  <c r="F80" i="19"/>
  <c r="G79" i="19"/>
  <c r="G75" i="19"/>
  <c r="F75" i="19"/>
  <c r="G74" i="19"/>
  <c r="G70" i="19"/>
  <c r="F70" i="19"/>
  <c r="G69" i="19"/>
  <c r="C68" i="19"/>
  <c r="G65" i="19"/>
  <c r="F65" i="19"/>
  <c r="G64" i="19"/>
  <c r="G60" i="19"/>
  <c r="F60" i="19"/>
  <c r="G59" i="19"/>
  <c r="G55" i="19"/>
  <c r="F55" i="19"/>
  <c r="G54" i="19"/>
  <c r="G50" i="19"/>
  <c r="F50" i="19"/>
  <c r="G49" i="19"/>
  <c r="G45" i="19"/>
  <c r="F45" i="19"/>
  <c r="G44" i="19"/>
  <c r="G40" i="19"/>
  <c r="F40" i="19"/>
  <c r="G39" i="19"/>
  <c r="G35" i="19"/>
  <c r="F35" i="19"/>
  <c r="G34" i="19"/>
  <c r="B28" i="19"/>
  <c r="F127" i="19" s="1"/>
  <c r="B27" i="19"/>
  <c r="P26" i="19"/>
  <c r="W3" i="20" s="1"/>
  <c r="O26" i="19"/>
  <c r="V3" i="20" s="1"/>
  <c r="N26" i="19"/>
  <c r="U3" i="20" s="1"/>
  <c r="M26" i="19"/>
  <c r="T3" i="20" s="1"/>
  <c r="L26" i="19"/>
  <c r="S3" i="20" s="1"/>
  <c r="AC54" i="20" s="1"/>
  <c r="K26" i="19"/>
  <c r="R3" i="20" s="1"/>
  <c r="B26" i="19"/>
  <c r="B25" i="19"/>
  <c r="B24" i="19"/>
  <c r="B23" i="19"/>
  <c r="B22" i="19"/>
  <c r="B21" i="19"/>
  <c r="B20" i="19"/>
  <c r="B19" i="19"/>
  <c r="B18" i="19"/>
  <c r="B17" i="19"/>
  <c r="B16" i="19"/>
  <c r="R15" i="19"/>
  <c r="N15" i="19"/>
  <c r="J15" i="19"/>
  <c r="B15" i="19"/>
  <c r="G103" i="19" s="1"/>
  <c r="R14" i="19"/>
  <c r="P14" i="19"/>
  <c r="O14" i="19"/>
  <c r="N14" i="19"/>
  <c r="J14" i="19"/>
  <c r="B14" i="19"/>
  <c r="B82" i="19" s="1"/>
  <c r="C82" i="19" s="1"/>
  <c r="R13" i="19"/>
  <c r="P13" i="19"/>
  <c r="O13" i="19"/>
  <c r="N13" i="19"/>
  <c r="J13" i="19"/>
  <c r="B13" i="19"/>
  <c r="B77" i="19" s="1"/>
  <c r="C77" i="19" s="1"/>
  <c r="R12" i="19"/>
  <c r="P12" i="19"/>
  <c r="O12" i="19"/>
  <c r="N12" i="19"/>
  <c r="J12" i="19"/>
  <c r="B12" i="19"/>
  <c r="B72" i="19" s="1"/>
  <c r="C72" i="19" s="1"/>
  <c r="R11" i="19"/>
  <c r="P11" i="19"/>
  <c r="O11" i="19"/>
  <c r="N11" i="19"/>
  <c r="J11" i="19"/>
  <c r="B11" i="19"/>
  <c r="B67" i="19" s="1"/>
  <c r="C69" i="19" s="1"/>
  <c r="R10" i="19"/>
  <c r="J10" i="19"/>
  <c r="B10" i="19"/>
  <c r="B62" i="19" s="1"/>
  <c r="R9" i="19"/>
  <c r="P9" i="19"/>
  <c r="O9" i="19"/>
  <c r="N9" i="19"/>
  <c r="J9" i="19"/>
  <c r="B9" i="19"/>
  <c r="B57" i="19" s="1"/>
  <c r="E59" i="19" s="1"/>
  <c r="R8" i="19"/>
  <c r="O8" i="19"/>
  <c r="J8" i="19"/>
  <c r="B8" i="19"/>
  <c r="B52" i="19" s="1"/>
  <c r="E54" i="19" s="1"/>
  <c r="R7" i="19"/>
  <c r="J7" i="19"/>
  <c r="B7" i="19"/>
  <c r="B47" i="19" s="1"/>
  <c r="R6" i="19"/>
  <c r="J6" i="19"/>
  <c r="B6" i="19"/>
  <c r="B42" i="19" s="1"/>
  <c r="R5" i="19"/>
  <c r="J5" i="19"/>
  <c r="B5" i="19"/>
  <c r="B37" i="19" s="1"/>
  <c r="R4" i="19"/>
  <c r="P4" i="19"/>
  <c r="N4" i="19"/>
  <c r="J4" i="19"/>
  <c r="B4" i="19"/>
  <c r="B32" i="19" s="1"/>
  <c r="R3" i="19"/>
  <c r="J3" i="19"/>
  <c r="B3" i="19"/>
  <c r="P2" i="19"/>
  <c r="O2" i="19"/>
  <c r="N2" i="19"/>
  <c r="M2" i="19"/>
  <c r="L2" i="19"/>
  <c r="K2" i="19"/>
  <c r="H2" i="19"/>
  <c r="G2" i="19"/>
  <c r="F2" i="19"/>
  <c r="E2" i="19"/>
  <c r="D2" i="19"/>
  <c r="C2" i="19"/>
  <c r="O135" i="18"/>
  <c r="N135" i="18"/>
  <c r="M135" i="18"/>
  <c r="L135" i="18"/>
  <c r="K135" i="18"/>
  <c r="J135" i="18"/>
  <c r="O134" i="18"/>
  <c r="N134" i="18"/>
  <c r="M134" i="18"/>
  <c r="L134" i="18"/>
  <c r="K134" i="18"/>
  <c r="J134" i="18"/>
  <c r="O133" i="18"/>
  <c r="N133" i="18"/>
  <c r="M133" i="18"/>
  <c r="L133" i="18"/>
  <c r="K133" i="18"/>
  <c r="J133" i="18"/>
  <c r="O132" i="18"/>
  <c r="N132" i="18"/>
  <c r="M132" i="18"/>
  <c r="L132" i="18"/>
  <c r="K132" i="18"/>
  <c r="J132" i="18"/>
  <c r="O131" i="18"/>
  <c r="N131" i="18"/>
  <c r="M131" i="18"/>
  <c r="L131" i="18"/>
  <c r="K131" i="18"/>
  <c r="J131" i="18"/>
  <c r="O130" i="18"/>
  <c r="N130" i="18"/>
  <c r="M130" i="18"/>
  <c r="L130" i="18"/>
  <c r="K130" i="18"/>
  <c r="J130" i="18"/>
  <c r="O129" i="18"/>
  <c r="N129" i="18"/>
  <c r="M129" i="18"/>
  <c r="L129" i="18"/>
  <c r="K129" i="18"/>
  <c r="J129" i="18"/>
  <c r="O128" i="18"/>
  <c r="N128" i="18"/>
  <c r="M128" i="18"/>
  <c r="L128" i="18"/>
  <c r="K128" i="18"/>
  <c r="J128" i="18"/>
  <c r="O127" i="18"/>
  <c r="N127" i="18"/>
  <c r="M127" i="18"/>
  <c r="L127" i="18"/>
  <c r="K127" i="18"/>
  <c r="J127" i="18"/>
  <c r="O126" i="18"/>
  <c r="N126" i="18"/>
  <c r="M126" i="18"/>
  <c r="L126" i="18"/>
  <c r="K126" i="18"/>
  <c r="J126" i="18"/>
  <c r="O125" i="18"/>
  <c r="N125" i="18"/>
  <c r="M125" i="18"/>
  <c r="L125" i="18"/>
  <c r="K125" i="18"/>
  <c r="J125" i="18"/>
  <c r="O124" i="18"/>
  <c r="N124" i="18"/>
  <c r="M124" i="18"/>
  <c r="L124" i="18"/>
  <c r="K124" i="18"/>
  <c r="J124" i="18"/>
  <c r="O123" i="18"/>
  <c r="N123" i="18"/>
  <c r="M123" i="18"/>
  <c r="L123" i="18"/>
  <c r="K123" i="18"/>
  <c r="J123" i="18"/>
  <c r="O122" i="18"/>
  <c r="N122" i="18"/>
  <c r="M122" i="18"/>
  <c r="L122" i="18"/>
  <c r="K122" i="18"/>
  <c r="J122" i="18"/>
  <c r="O121" i="18"/>
  <c r="N121" i="18"/>
  <c r="M121" i="18"/>
  <c r="L121" i="18"/>
  <c r="K121" i="18"/>
  <c r="J121" i="18"/>
  <c r="O120" i="18"/>
  <c r="N120" i="18"/>
  <c r="M120" i="18"/>
  <c r="L120" i="18"/>
  <c r="K120" i="18"/>
  <c r="J120" i="18"/>
  <c r="O119" i="18"/>
  <c r="N119" i="18"/>
  <c r="M119" i="18"/>
  <c r="L119" i="18"/>
  <c r="K119" i="18"/>
  <c r="J119" i="18"/>
  <c r="O118" i="18"/>
  <c r="N118" i="18"/>
  <c r="M118" i="18"/>
  <c r="L118" i="18"/>
  <c r="K118" i="18"/>
  <c r="J118" i="18"/>
  <c r="O117" i="18"/>
  <c r="N117" i="18"/>
  <c r="M117" i="18"/>
  <c r="L117" i="18"/>
  <c r="K117" i="18"/>
  <c r="J117" i="18"/>
  <c r="O116" i="18"/>
  <c r="N116" i="18"/>
  <c r="M116" i="18"/>
  <c r="L116" i="18"/>
  <c r="K116" i="18"/>
  <c r="J116" i="18"/>
  <c r="O115" i="18"/>
  <c r="N115" i="18"/>
  <c r="M115" i="18"/>
  <c r="L115" i="18"/>
  <c r="K115" i="18"/>
  <c r="J115" i="18"/>
  <c r="O114" i="18"/>
  <c r="N114" i="18"/>
  <c r="M114" i="18"/>
  <c r="L114" i="18"/>
  <c r="K114" i="18"/>
  <c r="J114" i="18"/>
  <c r="O113" i="18"/>
  <c r="N113" i="18"/>
  <c r="M113" i="18"/>
  <c r="L113" i="18"/>
  <c r="K113" i="18"/>
  <c r="J113" i="18"/>
  <c r="O112" i="18"/>
  <c r="N112" i="18"/>
  <c r="M112" i="18"/>
  <c r="L112" i="18"/>
  <c r="K112" i="18"/>
  <c r="J112" i="18"/>
  <c r="O111" i="18"/>
  <c r="N111" i="18"/>
  <c r="M111" i="18"/>
  <c r="L111" i="18"/>
  <c r="K111" i="18"/>
  <c r="J111" i="18"/>
  <c r="O110" i="18"/>
  <c r="N110" i="18"/>
  <c r="M110" i="18"/>
  <c r="L110" i="18"/>
  <c r="K110" i="18"/>
  <c r="J110" i="18"/>
  <c r="O109" i="18"/>
  <c r="N109" i="18"/>
  <c r="M109" i="18"/>
  <c r="L109" i="18"/>
  <c r="K109" i="18"/>
  <c r="J109" i="18"/>
  <c r="O108" i="18"/>
  <c r="N108" i="18"/>
  <c r="M108" i="18"/>
  <c r="L108" i="18"/>
  <c r="K108" i="18"/>
  <c r="J108" i="18"/>
  <c r="O107" i="18"/>
  <c r="N107" i="18"/>
  <c r="M107" i="18"/>
  <c r="L107" i="18"/>
  <c r="K107" i="18"/>
  <c r="J107" i="18"/>
  <c r="AJ106" i="18"/>
  <c r="AJ107" i="18" s="1"/>
  <c r="AJ108" i="18" s="1"/>
  <c r="AJ109" i="18" s="1"/>
  <c r="AJ110" i="18" s="1"/>
  <c r="AJ111" i="18" s="1"/>
  <c r="AJ112" i="18" s="1"/>
  <c r="AJ113" i="18" s="1"/>
  <c r="O106" i="18"/>
  <c r="N106" i="18"/>
  <c r="M106" i="18"/>
  <c r="L106" i="18"/>
  <c r="K106" i="18"/>
  <c r="J106" i="18"/>
  <c r="O105" i="18"/>
  <c r="N105" i="18"/>
  <c r="M105" i="18"/>
  <c r="L105" i="18"/>
  <c r="K105" i="18"/>
  <c r="J105" i="18"/>
  <c r="O104" i="18"/>
  <c r="N104" i="18"/>
  <c r="M104" i="18"/>
  <c r="L104" i="18"/>
  <c r="K104" i="18"/>
  <c r="J104" i="18"/>
  <c r="O103" i="18"/>
  <c r="N103" i="18"/>
  <c r="M103" i="18"/>
  <c r="L103" i="18"/>
  <c r="K103" i="18"/>
  <c r="J103" i="18"/>
  <c r="O102" i="18"/>
  <c r="N102" i="18"/>
  <c r="M102" i="18"/>
  <c r="L102" i="18"/>
  <c r="K102" i="18"/>
  <c r="J102" i="18"/>
  <c r="O101" i="18"/>
  <c r="N101" i="18"/>
  <c r="M101" i="18"/>
  <c r="L101" i="18"/>
  <c r="K101" i="18"/>
  <c r="J101" i="18"/>
  <c r="O100" i="18"/>
  <c r="N100" i="18"/>
  <c r="M100" i="18"/>
  <c r="L100" i="18"/>
  <c r="K100" i="18"/>
  <c r="J100" i="18"/>
  <c r="O99" i="18"/>
  <c r="N99" i="18"/>
  <c r="M99" i="18"/>
  <c r="L99" i="18"/>
  <c r="K99" i="18"/>
  <c r="J99" i="18"/>
  <c r="AJ98" i="18"/>
  <c r="AJ99" i="18" s="1"/>
  <c r="AJ100" i="18" s="1"/>
  <c r="AJ101" i="18" s="1"/>
  <c r="AJ102" i="18" s="1"/>
  <c r="AJ103" i="18" s="1"/>
  <c r="AJ104" i="18" s="1"/>
  <c r="AJ105" i="18" s="1"/>
  <c r="O98" i="18"/>
  <c r="N98" i="18"/>
  <c r="M98" i="18"/>
  <c r="L98" i="18"/>
  <c r="K98" i="18"/>
  <c r="J98" i="18"/>
  <c r="O97" i="18"/>
  <c r="N97" i="18"/>
  <c r="M97" i="18"/>
  <c r="L97" i="18"/>
  <c r="K97" i="18"/>
  <c r="J97" i="18"/>
  <c r="O96" i="18"/>
  <c r="N96" i="18"/>
  <c r="M96" i="18"/>
  <c r="L96" i="18"/>
  <c r="K96" i="18"/>
  <c r="J96" i="18"/>
  <c r="O95" i="18"/>
  <c r="N95" i="18"/>
  <c r="M95" i="18"/>
  <c r="L95" i="18"/>
  <c r="K95" i="18"/>
  <c r="J95" i="18"/>
  <c r="O94" i="18"/>
  <c r="N94" i="18"/>
  <c r="M94" i="18"/>
  <c r="L94" i="18"/>
  <c r="K94" i="18"/>
  <c r="J94" i="18"/>
  <c r="O93" i="18"/>
  <c r="N93" i="18"/>
  <c r="M93" i="18"/>
  <c r="L93" i="18"/>
  <c r="K93" i="18"/>
  <c r="J93" i="18"/>
  <c r="O92" i="18"/>
  <c r="N92" i="18"/>
  <c r="M92" i="18"/>
  <c r="L92" i="18"/>
  <c r="K92" i="18"/>
  <c r="J92" i="18"/>
  <c r="O91" i="18"/>
  <c r="N91" i="18"/>
  <c r="M91" i="18"/>
  <c r="L91" i="18"/>
  <c r="K91" i="18"/>
  <c r="J91" i="18"/>
  <c r="AJ90" i="18"/>
  <c r="AJ91" i="18" s="1"/>
  <c r="AJ92" i="18" s="1"/>
  <c r="AJ93" i="18" s="1"/>
  <c r="AJ94" i="18" s="1"/>
  <c r="AJ95" i="18" s="1"/>
  <c r="AJ96" i="18" s="1"/>
  <c r="AJ97" i="18" s="1"/>
  <c r="O90" i="18"/>
  <c r="N90" i="18"/>
  <c r="M90" i="18"/>
  <c r="L90" i="18"/>
  <c r="K90" i="18"/>
  <c r="J90" i="18"/>
  <c r="O89" i="18"/>
  <c r="N89" i="18"/>
  <c r="M89" i="18"/>
  <c r="L89" i="18"/>
  <c r="K89" i="18"/>
  <c r="J89" i="18"/>
  <c r="O88" i="18"/>
  <c r="N88" i="18"/>
  <c r="M88" i="18"/>
  <c r="L88" i="18"/>
  <c r="K88" i="18"/>
  <c r="J88" i="18"/>
  <c r="O87" i="18"/>
  <c r="N87" i="18"/>
  <c r="M87" i="18"/>
  <c r="L87" i="18"/>
  <c r="K87" i="18"/>
  <c r="J87" i="18"/>
  <c r="O86" i="18"/>
  <c r="N86" i="18"/>
  <c r="M86" i="18"/>
  <c r="L86" i="18"/>
  <c r="K86" i="18"/>
  <c r="J86" i="18"/>
  <c r="O85" i="18"/>
  <c r="N85" i="18"/>
  <c r="M85" i="18"/>
  <c r="L85" i="18"/>
  <c r="K85" i="18"/>
  <c r="J85" i="18"/>
  <c r="O84" i="18"/>
  <c r="N84" i="18"/>
  <c r="M84" i="18"/>
  <c r="L84" i="18"/>
  <c r="K84" i="18"/>
  <c r="J84" i="18"/>
  <c r="O83" i="18"/>
  <c r="N83" i="18"/>
  <c r="M83" i="18"/>
  <c r="L83" i="18"/>
  <c r="K83" i="18"/>
  <c r="J83" i="18"/>
  <c r="AJ82" i="18"/>
  <c r="AJ83" i="18" s="1"/>
  <c r="AJ84" i="18" s="1"/>
  <c r="AJ85" i="18" s="1"/>
  <c r="AJ86" i="18" s="1"/>
  <c r="AJ87" i="18" s="1"/>
  <c r="AJ88" i="18" s="1"/>
  <c r="AJ89" i="18" s="1"/>
  <c r="O82" i="18"/>
  <c r="N82" i="18"/>
  <c r="M82" i="18"/>
  <c r="L82" i="18"/>
  <c r="K82" i="18"/>
  <c r="J82" i="18"/>
  <c r="O81" i="18"/>
  <c r="N81" i="18"/>
  <c r="M81" i="18"/>
  <c r="L81" i="18"/>
  <c r="K81" i="18"/>
  <c r="J81" i="18"/>
  <c r="O80" i="18"/>
  <c r="N80" i="18"/>
  <c r="M80" i="18"/>
  <c r="L80" i="18"/>
  <c r="K80" i="18"/>
  <c r="J80" i="18"/>
  <c r="O79" i="18"/>
  <c r="N79" i="18"/>
  <c r="M79" i="18"/>
  <c r="L79" i="18"/>
  <c r="K79" i="18"/>
  <c r="J79" i="18"/>
  <c r="O78" i="18"/>
  <c r="N78" i="18"/>
  <c r="M78" i="18"/>
  <c r="L78" i="18"/>
  <c r="K78" i="18"/>
  <c r="J78" i="18"/>
  <c r="O77" i="18"/>
  <c r="N77" i="18"/>
  <c r="M77" i="18"/>
  <c r="L77" i="18"/>
  <c r="K77" i="18"/>
  <c r="J77" i="18"/>
  <c r="O76" i="18"/>
  <c r="N76" i="18"/>
  <c r="M76" i="18"/>
  <c r="L76" i="18"/>
  <c r="K76" i="18"/>
  <c r="J76" i="18"/>
  <c r="O75" i="18"/>
  <c r="N75" i="18"/>
  <c r="M75" i="18"/>
  <c r="L75" i="18"/>
  <c r="K75" i="18"/>
  <c r="J75" i="18"/>
  <c r="AJ74" i="18"/>
  <c r="AJ75" i="18" s="1"/>
  <c r="AJ76" i="18" s="1"/>
  <c r="AJ77" i="18" s="1"/>
  <c r="AJ78" i="18" s="1"/>
  <c r="AJ79" i="18" s="1"/>
  <c r="AJ80" i="18" s="1"/>
  <c r="AJ81" i="18" s="1"/>
  <c r="O74" i="18"/>
  <c r="N74" i="18"/>
  <c r="M74" i="18"/>
  <c r="L74" i="18"/>
  <c r="K74" i="18"/>
  <c r="J74" i="18"/>
  <c r="O73" i="18"/>
  <c r="N73" i="18"/>
  <c r="M73" i="18"/>
  <c r="L73" i="18"/>
  <c r="K73" i="18"/>
  <c r="J73" i="18"/>
  <c r="O72" i="18"/>
  <c r="N72" i="18"/>
  <c r="M72" i="18"/>
  <c r="L72" i="18"/>
  <c r="K72" i="18"/>
  <c r="J72" i="18"/>
  <c r="O71" i="18"/>
  <c r="N71" i="18"/>
  <c r="M71" i="18"/>
  <c r="L71" i="18"/>
  <c r="K71" i="18"/>
  <c r="J71" i="18"/>
  <c r="O70" i="18"/>
  <c r="N70" i="18"/>
  <c r="M70" i="18"/>
  <c r="L70" i="18"/>
  <c r="K70" i="18"/>
  <c r="J70" i="18"/>
  <c r="O69" i="18"/>
  <c r="N69" i="18"/>
  <c r="M69" i="18"/>
  <c r="L69" i="18"/>
  <c r="K69" i="18"/>
  <c r="J69" i="18"/>
  <c r="O68" i="18"/>
  <c r="N68" i="18"/>
  <c r="M68" i="18"/>
  <c r="L68" i="18"/>
  <c r="K68" i="18"/>
  <c r="J68" i="18"/>
  <c r="O67" i="18"/>
  <c r="N67" i="18"/>
  <c r="M67" i="18"/>
  <c r="L67" i="18"/>
  <c r="K67" i="18"/>
  <c r="J67" i="18"/>
  <c r="AJ66" i="18"/>
  <c r="AJ67" i="18" s="1"/>
  <c r="AJ68" i="18" s="1"/>
  <c r="AJ69" i="18" s="1"/>
  <c r="AJ70" i="18" s="1"/>
  <c r="AJ71" i="18" s="1"/>
  <c r="AJ72" i="18" s="1"/>
  <c r="AJ73" i="18" s="1"/>
  <c r="O66" i="18"/>
  <c r="N66" i="18"/>
  <c r="M66" i="18"/>
  <c r="L66" i="18"/>
  <c r="K66" i="18"/>
  <c r="J66" i="18"/>
  <c r="O65" i="18"/>
  <c r="N65" i="18"/>
  <c r="M65" i="18"/>
  <c r="L65" i="18"/>
  <c r="K65" i="18"/>
  <c r="J65" i="18"/>
  <c r="O64" i="18"/>
  <c r="N64" i="18"/>
  <c r="M64" i="18"/>
  <c r="L64" i="18"/>
  <c r="K64" i="18"/>
  <c r="J64" i="18"/>
  <c r="O63" i="18"/>
  <c r="N63" i="18"/>
  <c r="M63" i="18"/>
  <c r="L63" i="18"/>
  <c r="K63" i="18"/>
  <c r="J63" i="18"/>
  <c r="O62" i="18"/>
  <c r="N62" i="18"/>
  <c r="M62" i="18"/>
  <c r="L62" i="18"/>
  <c r="K62" i="18"/>
  <c r="J62" i="18"/>
  <c r="O61" i="18"/>
  <c r="N61" i="18"/>
  <c r="M61" i="18"/>
  <c r="L61" i="18"/>
  <c r="K61" i="18"/>
  <c r="J61" i="18"/>
  <c r="O60" i="18"/>
  <c r="N60" i="18"/>
  <c r="M60" i="18"/>
  <c r="L60" i="18"/>
  <c r="K60" i="18"/>
  <c r="J60" i="18"/>
  <c r="O59" i="18"/>
  <c r="N59" i="18"/>
  <c r="M59" i="18"/>
  <c r="L59" i="18"/>
  <c r="K59" i="18"/>
  <c r="J59" i="18"/>
  <c r="AJ58" i="18"/>
  <c r="AJ59" i="18" s="1"/>
  <c r="AJ60" i="18" s="1"/>
  <c r="AJ61" i="18" s="1"/>
  <c r="AJ62" i="18" s="1"/>
  <c r="AJ63" i="18" s="1"/>
  <c r="AJ64" i="18" s="1"/>
  <c r="AJ65" i="18" s="1"/>
  <c r="O58" i="18"/>
  <c r="N58" i="18"/>
  <c r="M58" i="18"/>
  <c r="L58" i="18"/>
  <c r="K58" i="18"/>
  <c r="J58" i="18"/>
  <c r="O57" i="18"/>
  <c r="N57" i="18"/>
  <c r="M57" i="18"/>
  <c r="L57" i="18"/>
  <c r="K57" i="18"/>
  <c r="J57" i="18"/>
  <c r="O56" i="18"/>
  <c r="N56" i="18"/>
  <c r="M56" i="18"/>
  <c r="L56" i="18"/>
  <c r="K56" i="18"/>
  <c r="J56" i="18"/>
  <c r="O55" i="18"/>
  <c r="N55" i="18"/>
  <c r="M55" i="18"/>
  <c r="L55" i="18"/>
  <c r="K55" i="18"/>
  <c r="J55" i="18"/>
  <c r="O54" i="18"/>
  <c r="N54" i="18"/>
  <c r="M54" i="18"/>
  <c r="L54" i="18"/>
  <c r="K54" i="18"/>
  <c r="J54" i="18"/>
  <c r="O53" i="18"/>
  <c r="N53" i="18"/>
  <c r="M53" i="18"/>
  <c r="L53" i="18"/>
  <c r="K53" i="18"/>
  <c r="J53" i="18"/>
  <c r="O52" i="18"/>
  <c r="N52" i="18"/>
  <c r="M52" i="18"/>
  <c r="L52" i="18"/>
  <c r="K52" i="18"/>
  <c r="J52" i="18"/>
  <c r="AJ51" i="18"/>
  <c r="AJ52" i="18" s="1"/>
  <c r="AJ53" i="18" s="1"/>
  <c r="AJ54" i="18" s="1"/>
  <c r="AJ55" i="18" s="1"/>
  <c r="AJ56" i="18" s="1"/>
  <c r="AJ57" i="18" s="1"/>
  <c r="O51" i="18"/>
  <c r="N51" i="18"/>
  <c r="M51" i="18"/>
  <c r="L51" i="18"/>
  <c r="K51" i="18"/>
  <c r="J51" i="18"/>
  <c r="AJ50" i="18"/>
  <c r="O50" i="18"/>
  <c r="N50" i="18"/>
  <c r="M50" i="18"/>
  <c r="L50" i="18"/>
  <c r="K50" i="18"/>
  <c r="J50" i="18"/>
  <c r="O49" i="18"/>
  <c r="N49" i="18"/>
  <c r="M49" i="18"/>
  <c r="L49" i="18"/>
  <c r="K49" i="18"/>
  <c r="J49" i="18"/>
  <c r="O48" i="18"/>
  <c r="N48" i="18"/>
  <c r="M48" i="18"/>
  <c r="L48" i="18"/>
  <c r="K48" i="18"/>
  <c r="J48" i="18"/>
  <c r="O47" i="18"/>
  <c r="N47" i="18"/>
  <c r="M47" i="18"/>
  <c r="L47" i="18"/>
  <c r="K47" i="18"/>
  <c r="J47" i="18"/>
  <c r="AJ46" i="18"/>
  <c r="AJ47" i="18" s="1"/>
  <c r="AJ48" i="18" s="1"/>
  <c r="AJ49" i="18" s="1"/>
  <c r="O46" i="18"/>
  <c r="N46" i="18"/>
  <c r="M46" i="18"/>
  <c r="L46" i="18"/>
  <c r="K46" i="18"/>
  <c r="J46" i="18"/>
  <c r="O45" i="18"/>
  <c r="N45" i="18"/>
  <c r="M45" i="18"/>
  <c r="L45" i="18"/>
  <c r="K45" i="18"/>
  <c r="J45" i="18"/>
  <c r="O44" i="18"/>
  <c r="N44" i="18"/>
  <c r="M44" i="18"/>
  <c r="L44" i="18"/>
  <c r="K44" i="18"/>
  <c r="J44" i="18"/>
  <c r="AJ43" i="18"/>
  <c r="AJ44" i="18" s="1"/>
  <c r="AJ45" i="18" s="1"/>
  <c r="O43" i="18"/>
  <c r="N43" i="18"/>
  <c r="M43" i="18"/>
  <c r="L43" i="18"/>
  <c r="K43" i="18"/>
  <c r="J43" i="18"/>
  <c r="AJ42" i="18"/>
  <c r="O42" i="18"/>
  <c r="N42" i="18"/>
  <c r="M42" i="18"/>
  <c r="L42" i="18"/>
  <c r="K42" i="18"/>
  <c r="J42" i="18"/>
  <c r="O41" i="18"/>
  <c r="N41" i="18"/>
  <c r="M41" i="18"/>
  <c r="L41" i="18"/>
  <c r="K41" i="18"/>
  <c r="J41" i="18"/>
  <c r="O40" i="18"/>
  <c r="N40" i="18"/>
  <c r="M40" i="18"/>
  <c r="L40" i="18"/>
  <c r="K40" i="18"/>
  <c r="J40" i="18"/>
  <c r="O39" i="18"/>
  <c r="N39" i="18"/>
  <c r="M39" i="18"/>
  <c r="L39" i="18"/>
  <c r="K39" i="18"/>
  <c r="J39" i="18"/>
  <c r="O38" i="18"/>
  <c r="N38" i="18"/>
  <c r="M38" i="18"/>
  <c r="L38" i="18"/>
  <c r="K38" i="18"/>
  <c r="J38" i="18"/>
  <c r="O37" i="18"/>
  <c r="N37" i="18"/>
  <c r="M37" i="18"/>
  <c r="L37" i="18"/>
  <c r="K37" i="18"/>
  <c r="J37" i="18"/>
  <c r="O36" i="18"/>
  <c r="N36" i="18"/>
  <c r="M36" i="18"/>
  <c r="L36" i="18"/>
  <c r="K36" i="18"/>
  <c r="J36" i="18"/>
  <c r="AJ35" i="18"/>
  <c r="AJ36" i="18" s="1"/>
  <c r="AJ37" i="18" s="1"/>
  <c r="AJ38" i="18" s="1"/>
  <c r="AJ39" i="18" s="1"/>
  <c r="AJ40" i="18" s="1"/>
  <c r="AJ41" i="18" s="1"/>
  <c r="O35" i="18"/>
  <c r="N35" i="18"/>
  <c r="M35" i="18"/>
  <c r="L35" i="18"/>
  <c r="K35" i="18"/>
  <c r="J35" i="18"/>
  <c r="AJ34" i="18"/>
  <c r="O34" i="18"/>
  <c r="N34" i="18"/>
  <c r="M34" i="18"/>
  <c r="L34" i="18"/>
  <c r="K34" i="18"/>
  <c r="J34" i="18"/>
  <c r="O33" i="18"/>
  <c r="N33" i="18"/>
  <c r="M33" i="18"/>
  <c r="L33" i="18"/>
  <c r="K33" i="18"/>
  <c r="J33" i="18"/>
  <c r="O32" i="18"/>
  <c r="N32" i="18"/>
  <c r="M32" i="18"/>
  <c r="L32" i="18"/>
  <c r="K32" i="18"/>
  <c r="J32" i="18"/>
  <c r="O31" i="18"/>
  <c r="N31" i="18"/>
  <c r="M31" i="18"/>
  <c r="L31" i="18"/>
  <c r="K31" i="18"/>
  <c r="J31" i="18"/>
  <c r="AR30" i="18"/>
  <c r="O30" i="18"/>
  <c r="N30" i="18"/>
  <c r="M30" i="18"/>
  <c r="L30" i="18"/>
  <c r="K30" i="18"/>
  <c r="J30" i="18"/>
  <c r="O29" i="18"/>
  <c r="N29" i="18"/>
  <c r="M29" i="18"/>
  <c r="L29" i="18"/>
  <c r="K29" i="18"/>
  <c r="J29" i="18"/>
  <c r="O28" i="18"/>
  <c r="N28" i="18"/>
  <c r="M28" i="18"/>
  <c r="L28" i="18"/>
  <c r="K28" i="18"/>
  <c r="J28" i="18"/>
  <c r="AJ27" i="18"/>
  <c r="AJ28" i="18" s="1"/>
  <c r="AJ29" i="18" s="1"/>
  <c r="AJ30" i="18" s="1"/>
  <c r="AJ31" i="18" s="1"/>
  <c r="AJ32" i="18" s="1"/>
  <c r="AJ33" i="18" s="1"/>
  <c r="O27" i="18"/>
  <c r="N27" i="18"/>
  <c r="M27" i="18"/>
  <c r="L27" i="18"/>
  <c r="K27" i="18"/>
  <c r="J27" i="18"/>
  <c r="AJ26" i="18"/>
  <c r="O26" i="18"/>
  <c r="N26" i="18"/>
  <c r="M26" i="18"/>
  <c r="L26" i="18"/>
  <c r="K26" i="18"/>
  <c r="J26" i="18"/>
  <c r="O25" i="18"/>
  <c r="N25" i="18"/>
  <c r="M25" i="18"/>
  <c r="L25" i="18"/>
  <c r="K25" i="18"/>
  <c r="J25" i="18"/>
  <c r="O24" i="18"/>
  <c r="N24" i="18"/>
  <c r="M24" i="18"/>
  <c r="L24" i="18"/>
  <c r="K24" i="18"/>
  <c r="J24" i="18"/>
  <c r="O23" i="18"/>
  <c r="N23" i="18"/>
  <c r="M23" i="18"/>
  <c r="L23" i="18"/>
  <c r="K23" i="18"/>
  <c r="J23" i="18"/>
  <c r="AR22" i="18"/>
  <c r="AR35" i="18" s="1"/>
  <c r="W22" i="18"/>
  <c r="P15" i="17" s="1"/>
  <c r="V22" i="18"/>
  <c r="U22" i="18"/>
  <c r="T22" i="18"/>
  <c r="S22" i="18"/>
  <c r="R22" i="18"/>
  <c r="O22" i="18"/>
  <c r="N22" i="18"/>
  <c r="M22" i="18"/>
  <c r="L22" i="18"/>
  <c r="K22" i="18"/>
  <c r="J22" i="18"/>
  <c r="AR21" i="18"/>
  <c r="AR34" i="18" s="1"/>
  <c r="W21" i="18"/>
  <c r="P14" i="17" s="1"/>
  <c r="V21" i="18"/>
  <c r="U21" i="18"/>
  <c r="T21" i="18"/>
  <c r="M14" i="17" s="1"/>
  <c r="S21" i="18"/>
  <c r="R21" i="18"/>
  <c r="O21" i="18"/>
  <c r="N21" i="18"/>
  <c r="M21" i="18"/>
  <c r="L21" i="18"/>
  <c r="K21" i="18"/>
  <c r="J21" i="18"/>
  <c r="AR20" i="18"/>
  <c r="AR33" i="18" s="1"/>
  <c r="W20" i="18"/>
  <c r="V20" i="18"/>
  <c r="U20" i="18"/>
  <c r="T20" i="18"/>
  <c r="M13" i="17" s="1"/>
  <c r="S20" i="18"/>
  <c r="Q20" i="18"/>
  <c r="R20" i="18" s="1"/>
  <c r="O20" i="18"/>
  <c r="N20" i="18"/>
  <c r="M20" i="18"/>
  <c r="L20" i="18"/>
  <c r="K20" i="18"/>
  <c r="J20" i="18"/>
  <c r="AR19" i="18"/>
  <c r="AR32" i="18" s="1"/>
  <c r="W19" i="18"/>
  <c r="V19" i="18"/>
  <c r="U19" i="18"/>
  <c r="T19" i="18"/>
  <c r="S19" i="18"/>
  <c r="R19" i="18"/>
  <c r="Q19" i="18"/>
  <c r="O19" i="18"/>
  <c r="N19" i="18"/>
  <c r="M19" i="18"/>
  <c r="L19" i="18"/>
  <c r="K19" i="18"/>
  <c r="J19" i="18"/>
  <c r="AR18" i="18"/>
  <c r="AR31" i="18" s="1"/>
  <c r="AJ18" i="18"/>
  <c r="AJ19" i="18" s="1"/>
  <c r="AJ20" i="18" s="1"/>
  <c r="AJ21" i="18" s="1"/>
  <c r="AJ22" i="18" s="1"/>
  <c r="AJ23" i="18" s="1"/>
  <c r="AJ24" i="18" s="1"/>
  <c r="AJ25" i="18" s="1"/>
  <c r="V18" i="18"/>
  <c r="T18" i="18"/>
  <c r="S18" i="18"/>
  <c r="R18" i="18"/>
  <c r="Q18" i="18"/>
  <c r="W18" i="18" s="1"/>
  <c r="O18" i="18"/>
  <c r="N18" i="18"/>
  <c r="M18" i="18"/>
  <c r="L18" i="18"/>
  <c r="K18" i="18"/>
  <c r="J18" i="18"/>
  <c r="AR17" i="18"/>
  <c r="Q17" i="18"/>
  <c r="R10" i="17" s="1"/>
  <c r="O17" i="18"/>
  <c r="N17" i="18"/>
  <c r="M17" i="18"/>
  <c r="L17" i="18"/>
  <c r="K17" i="18"/>
  <c r="J17" i="18"/>
  <c r="AR16" i="18"/>
  <c r="AR29" i="18" s="1"/>
  <c r="V16" i="18"/>
  <c r="S16" i="18"/>
  <c r="Q16" i="18"/>
  <c r="O16" i="18"/>
  <c r="N16" i="18"/>
  <c r="M16" i="18"/>
  <c r="L16" i="18"/>
  <c r="K16" i="18"/>
  <c r="J16" i="18"/>
  <c r="AR15" i="18"/>
  <c r="AR28" i="18" s="1"/>
  <c r="W15" i="18"/>
  <c r="V15" i="18"/>
  <c r="U15" i="18"/>
  <c r="T15" i="18"/>
  <c r="S15" i="18"/>
  <c r="R15" i="18"/>
  <c r="Q15" i="18"/>
  <c r="O15" i="18"/>
  <c r="N15" i="18"/>
  <c r="M15" i="18"/>
  <c r="L15" i="18"/>
  <c r="K15" i="18"/>
  <c r="J15" i="18"/>
  <c r="AR14" i="18"/>
  <c r="AR27" i="18" s="1"/>
  <c r="AJ14" i="18"/>
  <c r="AJ15" i="18" s="1"/>
  <c r="AJ16" i="18" s="1"/>
  <c r="AJ17" i="18" s="1"/>
  <c r="W14" i="18"/>
  <c r="U14" i="18"/>
  <c r="T14" i="18"/>
  <c r="R14" i="18"/>
  <c r="Q14" i="18"/>
  <c r="S14" i="18" s="1"/>
  <c r="O14" i="18"/>
  <c r="N14" i="18"/>
  <c r="M14" i="18"/>
  <c r="L14" i="18"/>
  <c r="K14" i="18"/>
  <c r="J14" i="18"/>
  <c r="AR13" i="18"/>
  <c r="AR26" i="18" s="1"/>
  <c r="V13" i="18"/>
  <c r="T13" i="18"/>
  <c r="R13" i="18"/>
  <c r="Q13" i="18"/>
  <c r="W13" i="18" s="1"/>
  <c r="O13" i="18"/>
  <c r="N13" i="18"/>
  <c r="M13" i="18"/>
  <c r="L13" i="18"/>
  <c r="K13" i="18"/>
  <c r="J13" i="18"/>
  <c r="B13" i="18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B109" i="18" s="1"/>
  <c r="B110" i="18" s="1"/>
  <c r="B111" i="18" s="1"/>
  <c r="B112" i="18" s="1"/>
  <c r="B113" i="18" s="1"/>
  <c r="B114" i="18" s="1"/>
  <c r="B115" i="18" s="1"/>
  <c r="B116" i="18" s="1"/>
  <c r="B117" i="18" s="1"/>
  <c r="B118" i="18" s="1"/>
  <c r="B119" i="18" s="1"/>
  <c r="B120" i="18" s="1"/>
  <c r="B121" i="18" s="1"/>
  <c r="B122" i="18" s="1"/>
  <c r="B123" i="18" s="1"/>
  <c r="B124" i="18" s="1"/>
  <c r="B125" i="18" s="1"/>
  <c r="B126" i="18" s="1"/>
  <c r="B127" i="18" s="1"/>
  <c r="B128" i="18" s="1"/>
  <c r="B129" i="18" s="1"/>
  <c r="B130" i="18" s="1"/>
  <c r="B131" i="18" s="1"/>
  <c r="B132" i="18" s="1"/>
  <c r="B133" i="18" s="1"/>
  <c r="B134" i="18" s="1"/>
  <c r="B135" i="18" s="1"/>
  <c r="AR12" i="18"/>
  <c r="AR25" i="18" s="1"/>
  <c r="W12" i="18"/>
  <c r="V12" i="18"/>
  <c r="O5" i="17" s="1"/>
  <c r="T12" i="18"/>
  <c r="M5" i="17" s="1"/>
  <c r="Q12" i="18"/>
  <c r="R12" i="18" s="1"/>
  <c r="O12" i="18"/>
  <c r="N12" i="18"/>
  <c r="M12" i="18"/>
  <c r="L12" i="18"/>
  <c r="K12" i="18"/>
  <c r="J12" i="18"/>
  <c r="AR11" i="18"/>
  <c r="AR24" i="18" s="1"/>
  <c r="AJ11" i="18"/>
  <c r="AJ12" i="18" s="1"/>
  <c r="AJ13" i="18" s="1"/>
  <c r="U11" i="18"/>
  <c r="Q11" i="18"/>
  <c r="O11" i="18"/>
  <c r="N11" i="18"/>
  <c r="M11" i="18"/>
  <c r="L11" i="18"/>
  <c r="K11" i="18"/>
  <c r="J11" i="18"/>
  <c r="B11" i="18"/>
  <c r="B12" i="18" s="1"/>
  <c r="AR10" i="18"/>
  <c r="AR23" i="18" s="1"/>
  <c r="AJ10" i="18"/>
  <c r="Y10" i="18"/>
  <c r="Y11" i="18" s="1"/>
  <c r="Y12" i="18" s="1"/>
  <c r="Y13" i="18" s="1"/>
  <c r="Y14" i="18" s="1"/>
  <c r="Y15" i="18" s="1"/>
  <c r="Y16" i="18" s="1"/>
  <c r="Y17" i="18" s="1"/>
  <c r="Y18" i="18" s="1"/>
  <c r="Y19" i="18" s="1"/>
  <c r="W10" i="18"/>
  <c r="V10" i="18"/>
  <c r="U10" i="18"/>
  <c r="R10" i="18"/>
  <c r="Q10" i="18"/>
  <c r="T10" i="18" s="1"/>
  <c r="M3" i="17" s="1"/>
  <c r="O10" i="18"/>
  <c r="N10" i="18"/>
  <c r="M10" i="18"/>
  <c r="L10" i="18"/>
  <c r="K10" i="18"/>
  <c r="J10" i="18"/>
  <c r="G9" i="18"/>
  <c r="N9" i="18" s="1"/>
  <c r="F9" i="18"/>
  <c r="M9" i="18" s="1"/>
  <c r="E9" i="18"/>
  <c r="L9" i="18" s="1"/>
  <c r="C9" i="18"/>
  <c r="J9" i="18" s="1"/>
  <c r="B9" i="18"/>
  <c r="H9" i="18" s="1"/>
  <c r="O9" i="18" s="1"/>
  <c r="H8" i="18"/>
  <c r="O8" i="18" s="1"/>
  <c r="G8" i="18"/>
  <c r="N8" i="18" s="1"/>
  <c r="B8" i="18"/>
  <c r="D8" i="18" s="1"/>
  <c r="K8" i="18" s="1"/>
  <c r="B7" i="18"/>
  <c r="F130" i="17"/>
  <c r="B130" i="17"/>
  <c r="F129" i="17"/>
  <c r="D127" i="17"/>
  <c r="E125" i="17"/>
  <c r="C125" i="17"/>
  <c r="B123" i="17"/>
  <c r="E122" i="17"/>
  <c r="C122" i="17"/>
  <c r="B122" i="17"/>
  <c r="B120" i="17"/>
  <c r="G118" i="17"/>
  <c r="E118" i="17"/>
  <c r="D118" i="17"/>
  <c r="G115" i="17"/>
  <c r="D115" i="17"/>
  <c r="C115" i="17"/>
  <c r="B113" i="17"/>
  <c r="F110" i="17"/>
  <c r="B108" i="17"/>
  <c r="B107" i="17"/>
  <c r="E105" i="17"/>
  <c r="B105" i="17"/>
  <c r="G104" i="17"/>
  <c r="B104" i="17"/>
  <c r="E102" i="17"/>
  <c r="E101" i="17"/>
  <c r="B101" i="17"/>
  <c r="B100" i="17"/>
  <c r="F99" i="17"/>
  <c r="G98" i="17"/>
  <c r="B97" i="17"/>
  <c r="F95" i="17"/>
  <c r="D95" i="17"/>
  <c r="B95" i="17"/>
  <c r="F94" i="17"/>
  <c r="E94" i="17"/>
  <c r="D92" i="17"/>
  <c r="F91" i="17"/>
  <c r="D90" i="17"/>
  <c r="G88" i="17"/>
  <c r="G85" i="17"/>
  <c r="F85" i="17"/>
  <c r="G84" i="17"/>
  <c r="F82" i="17"/>
  <c r="B82" i="17"/>
  <c r="E84" i="17" s="1"/>
  <c r="G80" i="17"/>
  <c r="F80" i="17"/>
  <c r="G79" i="17"/>
  <c r="D79" i="17"/>
  <c r="D77" i="17"/>
  <c r="B77" i="17"/>
  <c r="D80" i="17" s="1"/>
  <c r="G75" i="17"/>
  <c r="F75" i="17"/>
  <c r="G74" i="17"/>
  <c r="E74" i="17"/>
  <c r="D73" i="17"/>
  <c r="C72" i="17"/>
  <c r="B72" i="17"/>
  <c r="F73" i="17" s="1"/>
  <c r="G70" i="17"/>
  <c r="F70" i="17"/>
  <c r="G69" i="17"/>
  <c r="G65" i="17"/>
  <c r="F65" i="17"/>
  <c r="G64" i="17"/>
  <c r="G60" i="17"/>
  <c r="F60" i="17"/>
  <c r="C60" i="17"/>
  <c r="G59" i="17"/>
  <c r="E58" i="17"/>
  <c r="P57" i="17"/>
  <c r="G55" i="17"/>
  <c r="F55" i="17"/>
  <c r="G54" i="17"/>
  <c r="G50" i="17"/>
  <c r="F50" i="17"/>
  <c r="D50" i="17"/>
  <c r="E50" i="17" s="1"/>
  <c r="G49" i="17"/>
  <c r="F48" i="17"/>
  <c r="G48" i="17" s="1"/>
  <c r="B48" i="17"/>
  <c r="E47" i="17"/>
  <c r="B47" i="17"/>
  <c r="E48" i="17" s="1"/>
  <c r="G45" i="17"/>
  <c r="F45" i="17"/>
  <c r="G44" i="17"/>
  <c r="E44" i="17"/>
  <c r="C44" i="17"/>
  <c r="C43" i="17"/>
  <c r="G40" i="17"/>
  <c r="F40" i="17"/>
  <c r="G39" i="17"/>
  <c r="G35" i="17"/>
  <c r="F35" i="17"/>
  <c r="G34" i="17"/>
  <c r="B28" i="17"/>
  <c r="B127" i="17" s="1"/>
  <c r="B27" i="17"/>
  <c r="P26" i="17"/>
  <c r="W3" i="18" s="1"/>
  <c r="O26" i="17"/>
  <c r="V3" i="18" s="1"/>
  <c r="N26" i="17"/>
  <c r="U3" i="18" s="1"/>
  <c r="M26" i="17"/>
  <c r="T3" i="18" s="1"/>
  <c r="AD17" i="18" s="1"/>
  <c r="L26" i="17"/>
  <c r="S3" i="18" s="1"/>
  <c r="K26" i="17"/>
  <c r="R3" i="18" s="1"/>
  <c r="AB12" i="18" s="1"/>
  <c r="B26" i="17"/>
  <c r="B25" i="17"/>
  <c r="B24" i="17"/>
  <c r="B23" i="17"/>
  <c r="B22" i="17"/>
  <c r="B21" i="17"/>
  <c r="B20" i="17"/>
  <c r="B19" i="17"/>
  <c r="B18" i="17"/>
  <c r="B17" i="17"/>
  <c r="B16" i="17"/>
  <c r="R15" i="17"/>
  <c r="O15" i="17"/>
  <c r="N15" i="17"/>
  <c r="M15" i="17"/>
  <c r="L15" i="17"/>
  <c r="K15" i="17"/>
  <c r="J15" i="17"/>
  <c r="B15" i="17"/>
  <c r="G123" i="17" s="1"/>
  <c r="R14" i="17"/>
  <c r="O14" i="17"/>
  <c r="N14" i="17"/>
  <c r="L14" i="17"/>
  <c r="K14" i="17"/>
  <c r="J14" i="17"/>
  <c r="B14" i="17"/>
  <c r="R13" i="17"/>
  <c r="P13" i="17"/>
  <c r="O13" i="17"/>
  <c r="N13" i="17"/>
  <c r="L13" i="17"/>
  <c r="K13" i="17"/>
  <c r="J13" i="17"/>
  <c r="B13" i="17"/>
  <c r="R12" i="17"/>
  <c r="P12" i="17"/>
  <c r="O12" i="17"/>
  <c r="N12" i="17"/>
  <c r="M12" i="17"/>
  <c r="L12" i="17"/>
  <c r="K12" i="17"/>
  <c r="J12" i="17"/>
  <c r="B12" i="17"/>
  <c r="R11" i="17"/>
  <c r="P11" i="17"/>
  <c r="O11" i="17"/>
  <c r="M11" i="17"/>
  <c r="L11" i="17"/>
  <c r="K11" i="17"/>
  <c r="J11" i="17"/>
  <c r="B11" i="17"/>
  <c r="B67" i="17" s="1"/>
  <c r="B10" i="17"/>
  <c r="B62" i="17" s="1"/>
  <c r="R9" i="17"/>
  <c r="O9" i="17"/>
  <c r="L9" i="17"/>
  <c r="J9" i="17"/>
  <c r="B9" i="17"/>
  <c r="B57" i="17" s="1"/>
  <c r="G57" i="17" s="1"/>
  <c r="R8" i="17"/>
  <c r="P8" i="17"/>
  <c r="O8" i="17"/>
  <c r="N8" i="17"/>
  <c r="M8" i="17"/>
  <c r="L8" i="17"/>
  <c r="K8" i="17"/>
  <c r="J8" i="17"/>
  <c r="B8" i="17"/>
  <c r="B52" i="17" s="1"/>
  <c r="R7" i="17"/>
  <c r="P7" i="17"/>
  <c r="N7" i="17"/>
  <c r="M7" i="17"/>
  <c r="L7" i="17"/>
  <c r="K7" i="17"/>
  <c r="J7" i="17"/>
  <c r="B7" i="17"/>
  <c r="R6" i="17"/>
  <c r="P6" i="17"/>
  <c r="O6" i="17"/>
  <c r="M6" i="17"/>
  <c r="K6" i="17"/>
  <c r="J6" i="17"/>
  <c r="B6" i="17"/>
  <c r="B42" i="17" s="1"/>
  <c r="P42" i="17" s="1"/>
  <c r="Q42" i="17" s="1"/>
  <c r="R5" i="17"/>
  <c r="P5" i="17"/>
  <c r="K5" i="17"/>
  <c r="J5" i="17"/>
  <c r="B5" i="17"/>
  <c r="R4" i="17"/>
  <c r="N4" i="17"/>
  <c r="J4" i="17"/>
  <c r="B4" i="17"/>
  <c r="R3" i="17"/>
  <c r="P3" i="17"/>
  <c r="O3" i="17"/>
  <c r="N3" i="17"/>
  <c r="K3" i="17"/>
  <c r="J3" i="17"/>
  <c r="B3" i="17"/>
  <c r="P2" i="17"/>
  <c r="O2" i="17"/>
  <c r="N2" i="17"/>
  <c r="M2" i="17"/>
  <c r="L2" i="17"/>
  <c r="K2" i="17"/>
  <c r="H2" i="17"/>
  <c r="G2" i="17"/>
  <c r="F2" i="17"/>
  <c r="E2" i="17"/>
  <c r="D2" i="17"/>
  <c r="C2" i="17"/>
  <c r="O135" i="14"/>
  <c r="N135" i="14"/>
  <c r="M135" i="14"/>
  <c r="L135" i="14"/>
  <c r="K135" i="14"/>
  <c r="J135" i="14"/>
  <c r="O134" i="14"/>
  <c r="N134" i="14"/>
  <c r="M134" i="14"/>
  <c r="L134" i="14"/>
  <c r="K134" i="14"/>
  <c r="J134" i="14"/>
  <c r="O133" i="14"/>
  <c r="N133" i="14"/>
  <c r="M133" i="14"/>
  <c r="L133" i="14"/>
  <c r="K133" i="14"/>
  <c r="J133" i="14"/>
  <c r="O132" i="14"/>
  <c r="N132" i="14"/>
  <c r="M132" i="14"/>
  <c r="L132" i="14"/>
  <c r="K132" i="14"/>
  <c r="J132" i="14"/>
  <c r="O131" i="14"/>
  <c r="N131" i="14"/>
  <c r="M131" i="14"/>
  <c r="L131" i="14"/>
  <c r="K131" i="14"/>
  <c r="J131" i="14"/>
  <c r="O130" i="14"/>
  <c r="N130" i="14"/>
  <c r="M130" i="14"/>
  <c r="L130" i="14"/>
  <c r="K130" i="14"/>
  <c r="J130" i="14"/>
  <c r="O129" i="14"/>
  <c r="N129" i="14"/>
  <c r="M129" i="14"/>
  <c r="L129" i="14"/>
  <c r="K129" i="14"/>
  <c r="J129" i="14"/>
  <c r="O128" i="14"/>
  <c r="N128" i="14"/>
  <c r="M128" i="14"/>
  <c r="L128" i="14"/>
  <c r="K128" i="14"/>
  <c r="J128" i="14"/>
  <c r="O127" i="14"/>
  <c r="N127" i="14"/>
  <c r="M127" i="14"/>
  <c r="L127" i="14"/>
  <c r="K127" i="14"/>
  <c r="J127" i="14"/>
  <c r="O126" i="14"/>
  <c r="N126" i="14"/>
  <c r="M126" i="14"/>
  <c r="L126" i="14"/>
  <c r="K126" i="14"/>
  <c r="J126" i="14"/>
  <c r="O125" i="14"/>
  <c r="N125" i="14"/>
  <c r="M125" i="14"/>
  <c r="L125" i="14"/>
  <c r="K125" i="14"/>
  <c r="J125" i="14"/>
  <c r="O124" i="14"/>
  <c r="N124" i="14"/>
  <c r="M124" i="14"/>
  <c r="L124" i="14"/>
  <c r="K124" i="14"/>
  <c r="J124" i="14"/>
  <c r="O123" i="14"/>
  <c r="N123" i="14"/>
  <c r="M123" i="14"/>
  <c r="L123" i="14"/>
  <c r="K123" i="14"/>
  <c r="J123" i="14"/>
  <c r="O122" i="14"/>
  <c r="N122" i="14"/>
  <c r="M122" i="14"/>
  <c r="L122" i="14"/>
  <c r="K122" i="14"/>
  <c r="J122" i="14"/>
  <c r="O121" i="14"/>
  <c r="N121" i="14"/>
  <c r="M121" i="14"/>
  <c r="L121" i="14"/>
  <c r="K121" i="14"/>
  <c r="J121" i="14"/>
  <c r="O120" i="14"/>
  <c r="N120" i="14"/>
  <c r="M120" i="14"/>
  <c r="L120" i="14"/>
  <c r="K120" i="14"/>
  <c r="J120" i="14"/>
  <c r="O119" i="14"/>
  <c r="N119" i="14"/>
  <c r="M119" i="14"/>
  <c r="L119" i="14"/>
  <c r="K119" i="14"/>
  <c r="J119" i="14"/>
  <c r="O118" i="14"/>
  <c r="N118" i="14"/>
  <c r="M118" i="14"/>
  <c r="L118" i="14"/>
  <c r="K118" i="14"/>
  <c r="J118" i="14"/>
  <c r="O117" i="14"/>
  <c r="N117" i="14"/>
  <c r="M117" i="14"/>
  <c r="L117" i="14"/>
  <c r="K117" i="14"/>
  <c r="J117" i="14"/>
  <c r="O116" i="14"/>
  <c r="N116" i="14"/>
  <c r="M116" i="14"/>
  <c r="L116" i="14"/>
  <c r="K116" i="14"/>
  <c r="J116" i="14"/>
  <c r="O115" i="14"/>
  <c r="N115" i="14"/>
  <c r="M115" i="14"/>
  <c r="L115" i="14"/>
  <c r="K115" i="14"/>
  <c r="J115" i="14"/>
  <c r="O114" i="14"/>
  <c r="N114" i="14"/>
  <c r="M114" i="14"/>
  <c r="L114" i="14"/>
  <c r="K114" i="14"/>
  <c r="J114" i="14"/>
  <c r="O113" i="14"/>
  <c r="N113" i="14"/>
  <c r="M113" i="14"/>
  <c r="L113" i="14"/>
  <c r="K113" i="14"/>
  <c r="J113" i="14"/>
  <c r="O112" i="14"/>
  <c r="N112" i="14"/>
  <c r="M112" i="14"/>
  <c r="L112" i="14"/>
  <c r="K112" i="14"/>
  <c r="J112" i="14"/>
  <c r="O111" i="14"/>
  <c r="N111" i="14"/>
  <c r="M111" i="14"/>
  <c r="L111" i="14"/>
  <c r="K111" i="14"/>
  <c r="J111" i="14"/>
  <c r="O110" i="14"/>
  <c r="N110" i="14"/>
  <c r="M110" i="14"/>
  <c r="L110" i="14"/>
  <c r="K110" i="14"/>
  <c r="J110" i="14"/>
  <c r="AJ109" i="14"/>
  <c r="AJ110" i="14" s="1"/>
  <c r="AJ111" i="14" s="1"/>
  <c r="AJ112" i="14" s="1"/>
  <c r="AJ113" i="14" s="1"/>
  <c r="O109" i="14"/>
  <c r="N109" i="14"/>
  <c r="M109" i="14"/>
  <c r="L109" i="14"/>
  <c r="K109" i="14"/>
  <c r="J109" i="14"/>
  <c r="O108" i="14"/>
  <c r="N108" i="14"/>
  <c r="M108" i="14"/>
  <c r="L108" i="14"/>
  <c r="K108" i="14"/>
  <c r="J108" i="14"/>
  <c r="O107" i="14"/>
  <c r="N107" i="14"/>
  <c r="M107" i="14"/>
  <c r="L107" i="14"/>
  <c r="K107" i="14"/>
  <c r="J107" i="14"/>
  <c r="AJ106" i="14"/>
  <c r="AJ107" i="14" s="1"/>
  <c r="AJ108" i="14" s="1"/>
  <c r="O106" i="14"/>
  <c r="N106" i="14"/>
  <c r="M106" i="14"/>
  <c r="L106" i="14"/>
  <c r="K106" i="14"/>
  <c r="J106" i="14"/>
  <c r="O105" i="14"/>
  <c r="N105" i="14"/>
  <c r="M105" i="14"/>
  <c r="L105" i="14"/>
  <c r="K105" i="14"/>
  <c r="J105" i="14"/>
  <c r="O104" i="14"/>
  <c r="N104" i="14"/>
  <c r="M104" i="14"/>
  <c r="L104" i="14"/>
  <c r="K104" i="14"/>
  <c r="J104" i="14"/>
  <c r="O103" i="14"/>
  <c r="N103" i="14"/>
  <c r="M103" i="14"/>
  <c r="L103" i="14"/>
  <c r="K103" i="14"/>
  <c r="J103" i="14"/>
  <c r="O102" i="14"/>
  <c r="N102" i="14"/>
  <c r="M102" i="14"/>
  <c r="L102" i="14"/>
  <c r="K102" i="14"/>
  <c r="J102" i="14"/>
  <c r="O101" i="14"/>
  <c r="N101" i="14"/>
  <c r="M101" i="14"/>
  <c r="L101" i="14"/>
  <c r="K101" i="14"/>
  <c r="J101" i="14"/>
  <c r="O100" i="14"/>
  <c r="N100" i="14"/>
  <c r="M100" i="14"/>
  <c r="L100" i="14"/>
  <c r="K100" i="14"/>
  <c r="J100" i="14"/>
  <c r="O99" i="14"/>
  <c r="N99" i="14"/>
  <c r="M99" i="14"/>
  <c r="L99" i="14"/>
  <c r="K99" i="14"/>
  <c r="J99" i="14"/>
  <c r="AJ98" i="14"/>
  <c r="AJ99" i="14" s="1"/>
  <c r="AJ100" i="14" s="1"/>
  <c r="AJ101" i="14" s="1"/>
  <c r="AJ102" i="14" s="1"/>
  <c r="AJ103" i="14" s="1"/>
  <c r="AJ104" i="14" s="1"/>
  <c r="AJ105" i="14" s="1"/>
  <c r="O98" i="14"/>
  <c r="N98" i="14"/>
  <c r="M98" i="14"/>
  <c r="L98" i="14"/>
  <c r="K98" i="14"/>
  <c r="J98" i="14"/>
  <c r="O97" i="14"/>
  <c r="N97" i="14"/>
  <c r="M97" i="14"/>
  <c r="L97" i="14"/>
  <c r="K97" i="14"/>
  <c r="J97" i="14"/>
  <c r="O96" i="14"/>
  <c r="N96" i="14"/>
  <c r="M96" i="14"/>
  <c r="L96" i="14"/>
  <c r="K96" i="14"/>
  <c r="J96" i="14"/>
  <c r="O95" i="14"/>
  <c r="N95" i="14"/>
  <c r="M95" i="14"/>
  <c r="L95" i="14"/>
  <c r="K95" i="14"/>
  <c r="J95" i="14"/>
  <c r="O94" i="14"/>
  <c r="N94" i="14"/>
  <c r="M94" i="14"/>
  <c r="L94" i="14"/>
  <c r="K94" i="14"/>
  <c r="J94" i="14"/>
  <c r="O93" i="14"/>
  <c r="N93" i="14"/>
  <c r="M93" i="14"/>
  <c r="L93" i="14"/>
  <c r="K93" i="14"/>
  <c r="J93" i="14"/>
  <c r="O92" i="14"/>
  <c r="N92" i="14"/>
  <c r="M92" i="14"/>
  <c r="L92" i="14"/>
  <c r="K92" i="14"/>
  <c r="J92" i="14"/>
  <c r="O91" i="14"/>
  <c r="N91" i="14"/>
  <c r="M91" i="14"/>
  <c r="L91" i="14"/>
  <c r="K91" i="14"/>
  <c r="J91" i="14"/>
  <c r="AJ90" i="14"/>
  <c r="AJ91" i="14" s="1"/>
  <c r="AJ92" i="14" s="1"/>
  <c r="AJ93" i="14" s="1"/>
  <c r="AJ94" i="14" s="1"/>
  <c r="AJ95" i="14" s="1"/>
  <c r="AJ96" i="14" s="1"/>
  <c r="AJ97" i="14" s="1"/>
  <c r="O90" i="14"/>
  <c r="N90" i="14"/>
  <c r="M90" i="14"/>
  <c r="L90" i="14"/>
  <c r="K90" i="14"/>
  <c r="J90" i="14"/>
  <c r="O89" i="14"/>
  <c r="N89" i="14"/>
  <c r="M89" i="14"/>
  <c r="L89" i="14"/>
  <c r="K89" i="14"/>
  <c r="J89" i="14"/>
  <c r="O88" i="14"/>
  <c r="N88" i="14"/>
  <c r="M88" i="14"/>
  <c r="L88" i="14"/>
  <c r="K88" i="14"/>
  <c r="J88" i="14"/>
  <c r="O87" i="14"/>
  <c r="N87" i="14"/>
  <c r="M87" i="14"/>
  <c r="L87" i="14"/>
  <c r="K87" i="14"/>
  <c r="J87" i="14"/>
  <c r="O86" i="14"/>
  <c r="N86" i="14"/>
  <c r="M86" i="14"/>
  <c r="L86" i="14"/>
  <c r="K86" i="14"/>
  <c r="J86" i="14"/>
  <c r="O85" i="14"/>
  <c r="N85" i="14"/>
  <c r="M85" i="14"/>
  <c r="L85" i="14"/>
  <c r="K85" i="14"/>
  <c r="J85" i="14"/>
  <c r="O84" i="14"/>
  <c r="N84" i="14"/>
  <c r="M84" i="14"/>
  <c r="L84" i="14"/>
  <c r="K84" i="14"/>
  <c r="J84" i="14"/>
  <c r="O83" i="14"/>
  <c r="N83" i="14"/>
  <c r="M83" i="14"/>
  <c r="L83" i="14"/>
  <c r="K83" i="14"/>
  <c r="J83" i="14"/>
  <c r="AJ82" i="14"/>
  <c r="AJ83" i="14" s="1"/>
  <c r="AJ84" i="14" s="1"/>
  <c r="AJ85" i="14" s="1"/>
  <c r="AJ86" i="14" s="1"/>
  <c r="AJ87" i="14" s="1"/>
  <c r="AJ88" i="14" s="1"/>
  <c r="AJ89" i="14" s="1"/>
  <c r="O82" i="14"/>
  <c r="N82" i="14"/>
  <c r="M82" i="14"/>
  <c r="L82" i="14"/>
  <c r="K82" i="14"/>
  <c r="J82" i="14"/>
  <c r="O81" i="14"/>
  <c r="N81" i="14"/>
  <c r="M81" i="14"/>
  <c r="L81" i="14"/>
  <c r="K81" i="14"/>
  <c r="J81" i="14"/>
  <c r="O80" i="14"/>
  <c r="N80" i="14"/>
  <c r="M80" i="14"/>
  <c r="L80" i="14"/>
  <c r="K80" i="14"/>
  <c r="J80" i="14"/>
  <c r="O79" i="14"/>
  <c r="N79" i="14"/>
  <c r="M79" i="14"/>
  <c r="L79" i="14"/>
  <c r="K79" i="14"/>
  <c r="J79" i="14"/>
  <c r="O78" i="14"/>
  <c r="N78" i="14"/>
  <c r="M78" i="14"/>
  <c r="L78" i="14"/>
  <c r="K78" i="14"/>
  <c r="J78" i="14"/>
  <c r="O77" i="14"/>
  <c r="N77" i="14"/>
  <c r="M77" i="14"/>
  <c r="L77" i="14"/>
  <c r="K77" i="14"/>
  <c r="J77" i="14"/>
  <c r="O76" i="14"/>
  <c r="N76" i="14"/>
  <c r="M76" i="14"/>
  <c r="L76" i="14"/>
  <c r="K76" i="14"/>
  <c r="J76" i="14"/>
  <c r="O75" i="14"/>
  <c r="N75" i="14"/>
  <c r="M75" i="14"/>
  <c r="L75" i="14"/>
  <c r="K75" i="14"/>
  <c r="J75" i="14"/>
  <c r="AJ74" i="14"/>
  <c r="AJ75" i="14" s="1"/>
  <c r="AJ76" i="14" s="1"/>
  <c r="AJ77" i="14" s="1"/>
  <c r="AJ78" i="14" s="1"/>
  <c r="AJ79" i="14" s="1"/>
  <c r="AJ80" i="14" s="1"/>
  <c r="AJ81" i="14" s="1"/>
  <c r="O74" i="14"/>
  <c r="N74" i="14"/>
  <c r="M74" i="14"/>
  <c r="L74" i="14"/>
  <c r="K74" i="14"/>
  <c r="J74" i="14"/>
  <c r="O73" i="14"/>
  <c r="N73" i="14"/>
  <c r="M73" i="14"/>
  <c r="L73" i="14"/>
  <c r="K73" i="14"/>
  <c r="J73" i="14"/>
  <c r="O72" i="14"/>
  <c r="N72" i="14"/>
  <c r="M72" i="14"/>
  <c r="L72" i="14"/>
  <c r="K72" i="14"/>
  <c r="J72" i="14"/>
  <c r="O71" i="14"/>
  <c r="N71" i="14"/>
  <c r="M71" i="14"/>
  <c r="L71" i="14"/>
  <c r="K71" i="14"/>
  <c r="J71" i="14"/>
  <c r="O70" i="14"/>
  <c r="N70" i="14"/>
  <c r="M70" i="14"/>
  <c r="L70" i="14"/>
  <c r="K70" i="14"/>
  <c r="J70" i="14"/>
  <c r="O69" i="14"/>
  <c r="N69" i="14"/>
  <c r="M69" i="14"/>
  <c r="L69" i="14"/>
  <c r="K69" i="14"/>
  <c r="J69" i="14"/>
  <c r="O68" i="14"/>
  <c r="N68" i="14"/>
  <c r="M68" i="14"/>
  <c r="L68" i="14"/>
  <c r="K68" i="14"/>
  <c r="J68" i="14"/>
  <c r="AJ67" i="14"/>
  <c r="AJ68" i="14" s="1"/>
  <c r="AJ69" i="14" s="1"/>
  <c r="AJ70" i="14" s="1"/>
  <c r="AJ71" i="14" s="1"/>
  <c r="AJ72" i="14" s="1"/>
  <c r="AJ73" i="14" s="1"/>
  <c r="O67" i="14"/>
  <c r="N67" i="14"/>
  <c r="M67" i="14"/>
  <c r="L67" i="14"/>
  <c r="K67" i="14"/>
  <c r="J67" i="14"/>
  <c r="AJ66" i="14"/>
  <c r="O66" i="14"/>
  <c r="N66" i="14"/>
  <c r="M66" i="14"/>
  <c r="L66" i="14"/>
  <c r="K66" i="14"/>
  <c r="J66" i="14"/>
  <c r="O65" i="14"/>
  <c r="N65" i="14"/>
  <c r="M65" i="14"/>
  <c r="L65" i="14"/>
  <c r="K65" i="14"/>
  <c r="J65" i="14"/>
  <c r="O64" i="14"/>
  <c r="N64" i="14"/>
  <c r="M64" i="14"/>
  <c r="L64" i="14"/>
  <c r="K64" i="14"/>
  <c r="J64" i="14"/>
  <c r="O63" i="14"/>
  <c r="N63" i="14"/>
  <c r="M63" i="14"/>
  <c r="L63" i="14"/>
  <c r="K63" i="14"/>
  <c r="J63" i="14"/>
  <c r="O62" i="14"/>
  <c r="N62" i="14"/>
  <c r="M62" i="14"/>
  <c r="L62" i="14"/>
  <c r="K62" i="14"/>
  <c r="J62" i="14"/>
  <c r="O61" i="14"/>
  <c r="N61" i="14"/>
  <c r="M61" i="14"/>
  <c r="L61" i="14"/>
  <c r="K61" i="14"/>
  <c r="J61" i="14"/>
  <c r="AJ60" i="14"/>
  <c r="AJ61" i="14" s="1"/>
  <c r="AJ62" i="14" s="1"/>
  <c r="AJ63" i="14" s="1"/>
  <c r="AJ64" i="14" s="1"/>
  <c r="AJ65" i="14" s="1"/>
  <c r="O60" i="14"/>
  <c r="N60" i="14"/>
  <c r="M60" i="14"/>
  <c r="L60" i="14"/>
  <c r="K60" i="14"/>
  <c r="J60" i="14"/>
  <c r="AJ59" i="14"/>
  <c r="O59" i="14"/>
  <c r="N59" i="14"/>
  <c r="M59" i="14"/>
  <c r="L59" i="14"/>
  <c r="K59" i="14"/>
  <c r="J59" i="14"/>
  <c r="AJ58" i="14"/>
  <c r="O58" i="14"/>
  <c r="N58" i="14"/>
  <c r="M58" i="14"/>
  <c r="L58" i="14"/>
  <c r="K58" i="14"/>
  <c r="J58" i="14"/>
  <c r="O57" i="14"/>
  <c r="N57" i="14"/>
  <c r="M57" i="14"/>
  <c r="L57" i="14"/>
  <c r="K57" i="14"/>
  <c r="J57" i="14"/>
  <c r="O56" i="14"/>
  <c r="N56" i="14"/>
  <c r="M56" i="14"/>
  <c r="L56" i="14"/>
  <c r="K56" i="14"/>
  <c r="J56" i="14"/>
  <c r="O55" i="14"/>
  <c r="N55" i="14"/>
  <c r="M55" i="14"/>
  <c r="L55" i="14"/>
  <c r="K55" i="14"/>
  <c r="J55" i="14"/>
  <c r="O54" i="14"/>
  <c r="N54" i="14"/>
  <c r="M54" i="14"/>
  <c r="L54" i="14"/>
  <c r="K54" i="14"/>
  <c r="J54" i="14"/>
  <c r="O53" i="14"/>
  <c r="N53" i="14"/>
  <c r="M53" i="14"/>
  <c r="L53" i="14"/>
  <c r="K53" i="14"/>
  <c r="J53" i="14"/>
  <c r="AJ52" i="14"/>
  <c r="AJ53" i="14" s="1"/>
  <c r="AJ54" i="14" s="1"/>
  <c r="AJ55" i="14" s="1"/>
  <c r="AJ56" i="14" s="1"/>
  <c r="AJ57" i="14" s="1"/>
  <c r="O52" i="14"/>
  <c r="N52" i="14"/>
  <c r="M52" i="14"/>
  <c r="L52" i="14"/>
  <c r="K52" i="14"/>
  <c r="J52" i="14"/>
  <c r="AJ51" i="14"/>
  <c r="O51" i="14"/>
  <c r="N51" i="14"/>
  <c r="M51" i="14"/>
  <c r="L51" i="14"/>
  <c r="K51" i="14"/>
  <c r="J51" i="14"/>
  <c r="AJ50" i="14"/>
  <c r="O50" i="14"/>
  <c r="N50" i="14"/>
  <c r="M50" i="14"/>
  <c r="L50" i="14"/>
  <c r="K50" i="14"/>
  <c r="J50" i="14"/>
  <c r="AJ49" i="14"/>
  <c r="O49" i="14"/>
  <c r="N49" i="14"/>
  <c r="M49" i="14"/>
  <c r="L49" i="14"/>
  <c r="K49" i="14"/>
  <c r="J49" i="14"/>
  <c r="O48" i="14"/>
  <c r="N48" i="14"/>
  <c r="M48" i="14"/>
  <c r="L48" i="14"/>
  <c r="K48" i="14"/>
  <c r="J48" i="14"/>
  <c r="O47" i="14"/>
  <c r="N47" i="14"/>
  <c r="M47" i="14"/>
  <c r="L47" i="14"/>
  <c r="K47" i="14"/>
  <c r="J47" i="14"/>
  <c r="O46" i="14"/>
  <c r="N46" i="14"/>
  <c r="M46" i="14"/>
  <c r="L46" i="14"/>
  <c r="K46" i="14"/>
  <c r="J46" i="14"/>
  <c r="O45" i="14"/>
  <c r="N45" i="14"/>
  <c r="M45" i="14"/>
  <c r="L45" i="14"/>
  <c r="K45" i="14"/>
  <c r="J45" i="14"/>
  <c r="AJ44" i="14"/>
  <c r="AJ45" i="14" s="1"/>
  <c r="AJ46" i="14" s="1"/>
  <c r="AJ47" i="14" s="1"/>
  <c r="AJ48" i="14" s="1"/>
  <c r="O44" i="14"/>
  <c r="N44" i="14"/>
  <c r="M44" i="14"/>
  <c r="L44" i="14"/>
  <c r="K44" i="14"/>
  <c r="J44" i="14"/>
  <c r="AJ43" i="14"/>
  <c r="O43" i="14"/>
  <c r="N43" i="14"/>
  <c r="M43" i="14"/>
  <c r="L43" i="14"/>
  <c r="K43" i="14"/>
  <c r="J43" i="14"/>
  <c r="AJ42" i="14"/>
  <c r="O42" i="14"/>
  <c r="N42" i="14"/>
  <c r="M42" i="14"/>
  <c r="L42" i="14"/>
  <c r="K42" i="14"/>
  <c r="J42" i="14"/>
  <c r="AJ41" i="14"/>
  <c r="O41" i="14"/>
  <c r="N41" i="14"/>
  <c r="M41" i="14"/>
  <c r="L41" i="14"/>
  <c r="K41" i="14"/>
  <c r="J41" i="14"/>
  <c r="O40" i="14"/>
  <c r="N40" i="14"/>
  <c r="M40" i="14"/>
  <c r="L40" i="14"/>
  <c r="K40" i="14"/>
  <c r="J40" i="14"/>
  <c r="O39" i="14"/>
  <c r="N39" i="14"/>
  <c r="M39" i="14"/>
  <c r="L39" i="14"/>
  <c r="K39" i="14"/>
  <c r="J39" i="14"/>
  <c r="O38" i="14"/>
  <c r="N38" i="14"/>
  <c r="M38" i="14"/>
  <c r="L38" i="14"/>
  <c r="K38" i="14"/>
  <c r="J38" i="14"/>
  <c r="O37" i="14"/>
  <c r="N37" i="14"/>
  <c r="M37" i="14"/>
  <c r="L37" i="14"/>
  <c r="K37" i="14"/>
  <c r="J37" i="14"/>
  <c r="O36" i="14"/>
  <c r="N36" i="14"/>
  <c r="M36" i="14"/>
  <c r="L36" i="14"/>
  <c r="K36" i="14"/>
  <c r="J36" i="14"/>
  <c r="AJ35" i="14"/>
  <c r="AJ36" i="14" s="1"/>
  <c r="AJ37" i="14" s="1"/>
  <c r="AJ38" i="14" s="1"/>
  <c r="AJ39" i="14" s="1"/>
  <c r="AJ40" i="14" s="1"/>
  <c r="O35" i="14"/>
  <c r="N35" i="14"/>
  <c r="M35" i="14"/>
  <c r="L35" i="14"/>
  <c r="K35" i="14"/>
  <c r="J35" i="14"/>
  <c r="AR34" i="14"/>
  <c r="AJ34" i="14"/>
  <c r="O34" i="14"/>
  <c r="N34" i="14"/>
  <c r="M34" i="14"/>
  <c r="L34" i="14"/>
  <c r="K34" i="14"/>
  <c r="J34" i="14"/>
  <c r="O33" i="14"/>
  <c r="N33" i="14"/>
  <c r="M33" i="14"/>
  <c r="L33" i="14"/>
  <c r="K33" i="14"/>
  <c r="J33" i="14"/>
  <c r="O32" i="14"/>
  <c r="N32" i="14"/>
  <c r="M32" i="14"/>
  <c r="L32" i="14"/>
  <c r="K32" i="14"/>
  <c r="J32" i="14"/>
  <c r="O31" i="14"/>
  <c r="N31" i="14"/>
  <c r="M31" i="14"/>
  <c r="L31" i="14"/>
  <c r="K31" i="14"/>
  <c r="J31" i="14"/>
  <c r="O30" i="14"/>
  <c r="N30" i="14"/>
  <c r="M30" i="14"/>
  <c r="L30" i="14"/>
  <c r="K30" i="14"/>
  <c r="J30" i="14"/>
  <c r="O29" i="14"/>
  <c r="N29" i="14"/>
  <c r="M29" i="14"/>
  <c r="L29" i="14"/>
  <c r="K29" i="14"/>
  <c r="J29" i="14"/>
  <c r="O28" i="14"/>
  <c r="N28" i="14"/>
  <c r="M28" i="14"/>
  <c r="L28" i="14"/>
  <c r="K28" i="14"/>
  <c r="J28" i="14"/>
  <c r="AJ27" i="14"/>
  <c r="AJ28" i="14" s="1"/>
  <c r="AJ29" i="14" s="1"/>
  <c r="AJ30" i="14" s="1"/>
  <c r="AJ31" i="14" s="1"/>
  <c r="AJ32" i="14" s="1"/>
  <c r="O27" i="14"/>
  <c r="N27" i="14"/>
  <c r="M27" i="14"/>
  <c r="L27" i="14"/>
  <c r="K27" i="14"/>
  <c r="J27" i="14"/>
  <c r="AJ26" i="14"/>
  <c r="O26" i="14"/>
  <c r="N26" i="14"/>
  <c r="M26" i="14"/>
  <c r="L26" i="14"/>
  <c r="K26" i="14"/>
  <c r="J26" i="14"/>
  <c r="O25" i="14"/>
  <c r="N25" i="14"/>
  <c r="M25" i="14"/>
  <c r="L25" i="14"/>
  <c r="K25" i="14"/>
  <c r="J25" i="14"/>
  <c r="O24" i="14"/>
  <c r="N24" i="14"/>
  <c r="M24" i="14"/>
  <c r="L24" i="14"/>
  <c r="K24" i="14"/>
  <c r="J24" i="14"/>
  <c r="O23" i="14"/>
  <c r="N23" i="14"/>
  <c r="M23" i="14"/>
  <c r="L23" i="14"/>
  <c r="K23" i="14"/>
  <c r="J23" i="14"/>
  <c r="AR22" i="14"/>
  <c r="AR35" i="14" s="1"/>
  <c r="W22" i="14"/>
  <c r="V22" i="14"/>
  <c r="U22" i="14"/>
  <c r="T22" i="14"/>
  <c r="S22" i="14"/>
  <c r="R22" i="14"/>
  <c r="O22" i="14"/>
  <c r="N22" i="14"/>
  <c r="M22" i="14"/>
  <c r="L22" i="14"/>
  <c r="K22" i="14"/>
  <c r="J22" i="14"/>
  <c r="AR21" i="14"/>
  <c r="W21" i="14"/>
  <c r="V21" i="14"/>
  <c r="U21" i="14"/>
  <c r="T21" i="14"/>
  <c r="S21" i="14"/>
  <c r="R21" i="14"/>
  <c r="O21" i="14"/>
  <c r="N21" i="14"/>
  <c r="M21" i="14"/>
  <c r="L21" i="14"/>
  <c r="K21" i="14"/>
  <c r="J21" i="14"/>
  <c r="AR20" i="14"/>
  <c r="AR33" i="14" s="1"/>
  <c r="S20" i="14"/>
  <c r="Q20" i="14"/>
  <c r="O20" i="14"/>
  <c r="N20" i="14"/>
  <c r="M20" i="14"/>
  <c r="L20" i="14"/>
  <c r="K20" i="14"/>
  <c r="J20" i="14"/>
  <c r="AR19" i="14"/>
  <c r="AR32" i="14" s="1"/>
  <c r="V19" i="14"/>
  <c r="T19" i="14"/>
  <c r="S19" i="14"/>
  <c r="R19" i="14"/>
  <c r="Q19" i="14"/>
  <c r="W19" i="14" s="1"/>
  <c r="O19" i="14"/>
  <c r="N19" i="14"/>
  <c r="M19" i="14"/>
  <c r="L19" i="14"/>
  <c r="K19" i="14"/>
  <c r="J19" i="14"/>
  <c r="AR18" i="14"/>
  <c r="AR31" i="14" s="1"/>
  <c r="AJ18" i="14"/>
  <c r="AJ19" i="14" s="1"/>
  <c r="AJ20" i="14" s="1"/>
  <c r="AJ21" i="14" s="1"/>
  <c r="AJ22" i="14" s="1"/>
  <c r="W18" i="14"/>
  <c r="U18" i="14"/>
  <c r="S18" i="14"/>
  <c r="R18" i="14"/>
  <c r="Q18" i="14"/>
  <c r="O18" i="14"/>
  <c r="N18" i="14"/>
  <c r="M18" i="14"/>
  <c r="L18" i="14"/>
  <c r="K18" i="14"/>
  <c r="J18" i="14"/>
  <c r="AR17" i="14"/>
  <c r="AR30" i="14" s="1"/>
  <c r="V17" i="14"/>
  <c r="T17" i="14"/>
  <c r="R17" i="14"/>
  <c r="Q17" i="14"/>
  <c r="O17" i="14"/>
  <c r="N17" i="14"/>
  <c r="M17" i="14"/>
  <c r="L17" i="14"/>
  <c r="K17" i="14"/>
  <c r="J17" i="14"/>
  <c r="AR16" i="14"/>
  <c r="AR29" i="14" s="1"/>
  <c r="Q16" i="14"/>
  <c r="U16" i="14" s="1"/>
  <c r="O16" i="14"/>
  <c r="N16" i="14"/>
  <c r="M16" i="14"/>
  <c r="L16" i="14"/>
  <c r="K16" i="14"/>
  <c r="J16" i="14"/>
  <c r="AR15" i="14"/>
  <c r="AR28" i="14" s="1"/>
  <c r="V15" i="14"/>
  <c r="T15" i="14"/>
  <c r="R15" i="14"/>
  <c r="Q15" i="14"/>
  <c r="W15" i="14" s="1"/>
  <c r="O15" i="14"/>
  <c r="N15" i="14"/>
  <c r="M15" i="14"/>
  <c r="L15" i="14"/>
  <c r="K15" i="14"/>
  <c r="J15" i="14"/>
  <c r="AR14" i="14"/>
  <c r="AR27" i="14" s="1"/>
  <c r="W14" i="14"/>
  <c r="Q14" i="14"/>
  <c r="O14" i="14"/>
  <c r="N14" i="14"/>
  <c r="M14" i="14"/>
  <c r="L14" i="14"/>
  <c r="K14" i="14"/>
  <c r="J14" i="14"/>
  <c r="AR13" i="14"/>
  <c r="AR26" i="14" s="1"/>
  <c r="V13" i="14"/>
  <c r="T13" i="14"/>
  <c r="R13" i="14"/>
  <c r="Q13" i="14"/>
  <c r="W13" i="14" s="1"/>
  <c r="O13" i="14"/>
  <c r="N13" i="14"/>
  <c r="M13" i="14"/>
  <c r="L13" i="14"/>
  <c r="K13" i="14"/>
  <c r="J13" i="14"/>
  <c r="AR12" i="14"/>
  <c r="AR25" i="14" s="1"/>
  <c r="W12" i="14"/>
  <c r="U12" i="14"/>
  <c r="S12" i="14"/>
  <c r="Q12" i="14"/>
  <c r="O12" i="14"/>
  <c r="N12" i="14"/>
  <c r="M12" i="14"/>
  <c r="L12" i="14"/>
  <c r="K12" i="14"/>
  <c r="J12" i="14"/>
  <c r="B12" i="14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AR11" i="14"/>
  <c r="AR24" i="14" s="1"/>
  <c r="V11" i="14"/>
  <c r="T11" i="14"/>
  <c r="S11" i="14"/>
  <c r="R11" i="14"/>
  <c r="Q11" i="14"/>
  <c r="W11" i="14" s="1"/>
  <c r="O11" i="14"/>
  <c r="N11" i="14"/>
  <c r="M11" i="14"/>
  <c r="L11" i="14"/>
  <c r="K11" i="14"/>
  <c r="J11" i="14"/>
  <c r="B11" i="14"/>
  <c r="AR10" i="14"/>
  <c r="AR23" i="14" s="1"/>
  <c r="AJ10" i="14"/>
  <c r="AJ11" i="14" s="1"/>
  <c r="Y10" i="14"/>
  <c r="Y11" i="14" s="1"/>
  <c r="U10" i="14"/>
  <c r="R10" i="14"/>
  <c r="Q10" i="14"/>
  <c r="W10" i="14" s="1"/>
  <c r="O10" i="14"/>
  <c r="N10" i="14"/>
  <c r="M10" i="14"/>
  <c r="L10" i="14"/>
  <c r="K10" i="14"/>
  <c r="J10" i="14"/>
  <c r="M9" i="14"/>
  <c r="G9" i="14"/>
  <c r="N9" i="14" s="1"/>
  <c r="F9" i="14"/>
  <c r="E9" i="14"/>
  <c r="L9" i="14" s="1"/>
  <c r="D9" i="14"/>
  <c r="K9" i="14" s="1"/>
  <c r="B9" i="14"/>
  <c r="H9" i="14" s="1"/>
  <c r="F8" i="14"/>
  <c r="M8" i="14" s="1"/>
  <c r="C8" i="14"/>
  <c r="J8" i="14" s="1"/>
  <c r="B8" i="14"/>
  <c r="H8" i="14" s="1"/>
  <c r="O8" i="14" s="1"/>
  <c r="O135" i="13"/>
  <c r="N135" i="13"/>
  <c r="M135" i="13"/>
  <c r="L135" i="13"/>
  <c r="K135" i="13"/>
  <c r="J135" i="13"/>
  <c r="O134" i="13"/>
  <c r="N134" i="13"/>
  <c r="M134" i="13"/>
  <c r="L134" i="13"/>
  <c r="K134" i="13"/>
  <c r="J134" i="13"/>
  <c r="O133" i="13"/>
  <c r="N133" i="13"/>
  <c r="M133" i="13"/>
  <c r="L133" i="13"/>
  <c r="K133" i="13"/>
  <c r="J133" i="13"/>
  <c r="O132" i="13"/>
  <c r="N132" i="13"/>
  <c r="M132" i="13"/>
  <c r="L132" i="13"/>
  <c r="K132" i="13"/>
  <c r="J132" i="13"/>
  <c r="O131" i="13"/>
  <c r="N131" i="13"/>
  <c r="M131" i="13"/>
  <c r="L131" i="13"/>
  <c r="K131" i="13"/>
  <c r="J131" i="13"/>
  <c r="O130" i="13"/>
  <c r="N130" i="13"/>
  <c r="M130" i="13"/>
  <c r="L130" i="13"/>
  <c r="K130" i="13"/>
  <c r="J130" i="13"/>
  <c r="O129" i="13"/>
  <c r="N129" i="13"/>
  <c r="M129" i="13"/>
  <c r="L129" i="13"/>
  <c r="K129" i="13"/>
  <c r="J129" i="13"/>
  <c r="O128" i="13"/>
  <c r="N128" i="13"/>
  <c r="M128" i="13"/>
  <c r="L128" i="13"/>
  <c r="K128" i="13"/>
  <c r="J128" i="13"/>
  <c r="O127" i="13"/>
  <c r="N127" i="13"/>
  <c r="M127" i="13"/>
  <c r="L127" i="13"/>
  <c r="K127" i="13"/>
  <c r="J127" i="13"/>
  <c r="O126" i="13"/>
  <c r="N126" i="13"/>
  <c r="M126" i="13"/>
  <c r="L126" i="13"/>
  <c r="K126" i="13"/>
  <c r="J126" i="13"/>
  <c r="O125" i="13"/>
  <c r="N125" i="13"/>
  <c r="M125" i="13"/>
  <c r="L125" i="13"/>
  <c r="K125" i="13"/>
  <c r="J125" i="13"/>
  <c r="O124" i="13"/>
  <c r="N124" i="13"/>
  <c r="M124" i="13"/>
  <c r="L124" i="13"/>
  <c r="K124" i="13"/>
  <c r="J124" i="13"/>
  <c r="O123" i="13"/>
  <c r="N123" i="13"/>
  <c r="M123" i="13"/>
  <c r="L123" i="13"/>
  <c r="K123" i="13"/>
  <c r="J123" i="13"/>
  <c r="O122" i="13"/>
  <c r="N122" i="13"/>
  <c r="M122" i="13"/>
  <c r="L122" i="13"/>
  <c r="K122" i="13"/>
  <c r="J122" i="13"/>
  <c r="O121" i="13"/>
  <c r="N121" i="13"/>
  <c r="M121" i="13"/>
  <c r="L121" i="13"/>
  <c r="K121" i="13"/>
  <c r="J121" i="13"/>
  <c r="O120" i="13"/>
  <c r="N120" i="13"/>
  <c r="M120" i="13"/>
  <c r="L120" i="13"/>
  <c r="K120" i="13"/>
  <c r="J120" i="13"/>
  <c r="O119" i="13"/>
  <c r="N119" i="13"/>
  <c r="M119" i="13"/>
  <c r="L119" i="13"/>
  <c r="K119" i="13"/>
  <c r="J119" i="13"/>
  <c r="O118" i="13"/>
  <c r="N118" i="13"/>
  <c r="M118" i="13"/>
  <c r="L118" i="13"/>
  <c r="K118" i="13"/>
  <c r="J118" i="13"/>
  <c r="O117" i="13"/>
  <c r="N117" i="13"/>
  <c r="M117" i="13"/>
  <c r="L117" i="13"/>
  <c r="K117" i="13"/>
  <c r="J117" i="13"/>
  <c r="O116" i="13"/>
  <c r="N116" i="13"/>
  <c r="M116" i="13"/>
  <c r="L116" i="13"/>
  <c r="K116" i="13"/>
  <c r="J116" i="13"/>
  <c r="O115" i="13"/>
  <c r="N115" i="13"/>
  <c r="M115" i="13"/>
  <c r="L115" i="13"/>
  <c r="K115" i="13"/>
  <c r="J115" i="13"/>
  <c r="O114" i="13"/>
  <c r="N114" i="13"/>
  <c r="M114" i="13"/>
  <c r="L114" i="13"/>
  <c r="K114" i="13"/>
  <c r="J114" i="13"/>
  <c r="O113" i="13"/>
  <c r="N113" i="13"/>
  <c r="M113" i="13"/>
  <c r="L113" i="13"/>
  <c r="K113" i="13"/>
  <c r="J113" i="13"/>
  <c r="O112" i="13"/>
  <c r="N112" i="13"/>
  <c r="M112" i="13"/>
  <c r="L112" i="13"/>
  <c r="K112" i="13"/>
  <c r="J112" i="13"/>
  <c r="O111" i="13"/>
  <c r="N111" i="13"/>
  <c r="M111" i="13"/>
  <c r="L111" i="13"/>
  <c r="K111" i="13"/>
  <c r="J111" i="13"/>
  <c r="O110" i="13"/>
  <c r="N110" i="13"/>
  <c r="M110" i="13"/>
  <c r="L110" i="13"/>
  <c r="K110" i="13"/>
  <c r="J110" i="13"/>
  <c r="O109" i="13"/>
  <c r="N109" i="13"/>
  <c r="M109" i="13"/>
  <c r="L109" i="13"/>
  <c r="K109" i="13"/>
  <c r="J109" i="13"/>
  <c r="O108" i="13"/>
  <c r="N108" i="13"/>
  <c r="M108" i="13"/>
  <c r="L108" i="13"/>
  <c r="K108" i="13"/>
  <c r="J108" i="13"/>
  <c r="AJ107" i="13"/>
  <c r="AJ108" i="13" s="1"/>
  <c r="AJ109" i="13" s="1"/>
  <c r="AJ110" i="13" s="1"/>
  <c r="AJ111" i="13" s="1"/>
  <c r="AJ112" i="13" s="1"/>
  <c r="AJ113" i="13" s="1"/>
  <c r="O107" i="13"/>
  <c r="N107" i="13"/>
  <c r="M107" i="13"/>
  <c r="L107" i="13"/>
  <c r="K107" i="13"/>
  <c r="J107" i="13"/>
  <c r="AJ106" i="13"/>
  <c r="O106" i="13"/>
  <c r="N106" i="13"/>
  <c r="M106" i="13"/>
  <c r="L106" i="13"/>
  <c r="K106" i="13"/>
  <c r="J106" i="13"/>
  <c r="O105" i="13"/>
  <c r="N105" i="13"/>
  <c r="M105" i="13"/>
  <c r="L105" i="13"/>
  <c r="K105" i="13"/>
  <c r="J105" i="13"/>
  <c r="O104" i="13"/>
  <c r="N104" i="13"/>
  <c r="M104" i="13"/>
  <c r="L104" i="13"/>
  <c r="K104" i="13"/>
  <c r="J104" i="13"/>
  <c r="O103" i="13"/>
  <c r="N103" i="13"/>
  <c r="M103" i="13"/>
  <c r="L103" i="13"/>
  <c r="K103" i="13"/>
  <c r="J103" i="13"/>
  <c r="O102" i="13"/>
  <c r="N102" i="13"/>
  <c r="M102" i="13"/>
  <c r="L102" i="13"/>
  <c r="K102" i="13"/>
  <c r="J102" i="13"/>
  <c r="O101" i="13"/>
  <c r="N101" i="13"/>
  <c r="M101" i="13"/>
  <c r="L101" i="13"/>
  <c r="K101" i="13"/>
  <c r="J101" i="13"/>
  <c r="O100" i="13"/>
  <c r="N100" i="13"/>
  <c r="M100" i="13"/>
  <c r="L100" i="13"/>
  <c r="K100" i="13"/>
  <c r="J100" i="13"/>
  <c r="AJ99" i="13"/>
  <c r="AJ100" i="13" s="1"/>
  <c r="AJ101" i="13" s="1"/>
  <c r="AJ102" i="13" s="1"/>
  <c r="AJ103" i="13" s="1"/>
  <c r="AJ104" i="13" s="1"/>
  <c r="AJ105" i="13" s="1"/>
  <c r="O99" i="13"/>
  <c r="N99" i="13"/>
  <c r="M99" i="13"/>
  <c r="L99" i="13"/>
  <c r="K99" i="13"/>
  <c r="J99" i="13"/>
  <c r="AJ98" i="13"/>
  <c r="O98" i="13"/>
  <c r="N98" i="13"/>
  <c r="M98" i="13"/>
  <c r="L98" i="13"/>
  <c r="K98" i="13"/>
  <c r="J98" i="13"/>
  <c r="O97" i="13"/>
  <c r="N97" i="13"/>
  <c r="M97" i="13"/>
  <c r="L97" i="13"/>
  <c r="K97" i="13"/>
  <c r="J97" i="13"/>
  <c r="O96" i="13"/>
  <c r="N96" i="13"/>
  <c r="M96" i="13"/>
  <c r="L96" i="13"/>
  <c r="K96" i="13"/>
  <c r="J96" i="13"/>
  <c r="O95" i="13"/>
  <c r="N95" i="13"/>
  <c r="M95" i="13"/>
  <c r="L95" i="13"/>
  <c r="K95" i="13"/>
  <c r="J95" i="13"/>
  <c r="O94" i="13"/>
  <c r="N94" i="13"/>
  <c r="M94" i="13"/>
  <c r="L94" i="13"/>
  <c r="K94" i="13"/>
  <c r="J94" i="13"/>
  <c r="O93" i="13"/>
  <c r="N93" i="13"/>
  <c r="M93" i="13"/>
  <c r="L93" i="13"/>
  <c r="K93" i="13"/>
  <c r="J93" i="13"/>
  <c r="O92" i="13"/>
  <c r="N92" i="13"/>
  <c r="M92" i="13"/>
  <c r="L92" i="13"/>
  <c r="K92" i="13"/>
  <c r="J92" i="13"/>
  <c r="AJ91" i="13"/>
  <c r="AJ92" i="13" s="1"/>
  <c r="AJ93" i="13" s="1"/>
  <c r="AJ94" i="13" s="1"/>
  <c r="AJ95" i="13" s="1"/>
  <c r="AJ96" i="13" s="1"/>
  <c r="AJ97" i="13" s="1"/>
  <c r="O91" i="13"/>
  <c r="N91" i="13"/>
  <c r="M91" i="13"/>
  <c r="L91" i="13"/>
  <c r="K91" i="13"/>
  <c r="J91" i="13"/>
  <c r="AJ90" i="13"/>
  <c r="O90" i="13"/>
  <c r="N90" i="13"/>
  <c r="M90" i="13"/>
  <c r="L90" i="13"/>
  <c r="K90" i="13"/>
  <c r="J90" i="13"/>
  <c r="O89" i="13"/>
  <c r="N89" i="13"/>
  <c r="M89" i="13"/>
  <c r="L89" i="13"/>
  <c r="K89" i="13"/>
  <c r="J89" i="13"/>
  <c r="O88" i="13"/>
  <c r="N88" i="13"/>
  <c r="M88" i="13"/>
  <c r="L88" i="13"/>
  <c r="K88" i="13"/>
  <c r="J88" i="13"/>
  <c r="O87" i="13"/>
  <c r="N87" i="13"/>
  <c r="M87" i="13"/>
  <c r="L87" i="13"/>
  <c r="K87" i="13"/>
  <c r="J87" i="13"/>
  <c r="O86" i="13"/>
  <c r="N86" i="13"/>
  <c r="M86" i="13"/>
  <c r="L86" i="13"/>
  <c r="K86" i="13"/>
  <c r="J86" i="13"/>
  <c r="O85" i="13"/>
  <c r="N85" i="13"/>
  <c r="M85" i="13"/>
  <c r="L85" i="13"/>
  <c r="K85" i="13"/>
  <c r="J85" i="13"/>
  <c r="O84" i="13"/>
  <c r="N84" i="13"/>
  <c r="M84" i="13"/>
  <c r="L84" i="13"/>
  <c r="K84" i="13"/>
  <c r="J84" i="13"/>
  <c r="AJ83" i="13"/>
  <c r="AJ84" i="13" s="1"/>
  <c r="AJ85" i="13" s="1"/>
  <c r="AJ86" i="13" s="1"/>
  <c r="AJ87" i="13" s="1"/>
  <c r="AJ88" i="13" s="1"/>
  <c r="AJ89" i="13" s="1"/>
  <c r="O83" i="13"/>
  <c r="N83" i="13"/>
  <c r="M83" i="13"/>
  <c r="L83" i="13"/>
  <c r="K83" i="13"/>
  <c r="J83" i="13"/>
  <c r="AJ82" i="13"/>
  <c r="O82" i="13"/>
  <c r="N82" i="13"/>
  <c r="M82" i="13"/>
  <c r="L82" i="13"/>
  <c r="K82" i="13"/>
  <c r="J82" i="13"/>
  <c r="O81" i="13"/>
  <c r="N81" i="13"/>
  <c r="M81" i="13"/>
  <c r="L81" i="13"/>
  <c r="K81" i="13"/>
  <c r="J81" i="13"/>
  <c r="O80" i="13"/>
  <c r="N80" i="13"/>
  <c r="M80" i="13"/>
  <c r="L80" i="13"/>
  <c r="K80" i="13"/>
  <c r="J80" i="13"/>
  <c r="AJ79" i="13"/>
  <c r="AJ80" i="13" s="1"/>
  <c r="AJ81" i="13" s="1"/>
  <c r="O79" i="13"/>
  <c r="N79" i="13"/>
  <c r="M79" i="13"/>
  <c r="L79" i="13"/>
  <c r="K79" i="13"/>
  <c r="J79" i="13"/>
  <c r="O78" i="13"/>
  <c r="N78" i="13"/>
  <c r="M78" i="13"/>
  <c r="L78" i="13"/>
  <c r="K78" i="13"/>
  <c r="J78" i="13"/>
  <c r="O77" i="13"/>
  <c r="N77" i="13"/>
  <c r="M77" i="13"/>
  <c r="L77" i="13"/>
  <c r="K77" i="13"/>
  <c r="J77" i="13"/>
  <c r="O76" i="13"/>
  <c r="N76" i="13"/>
  <c r="M76" i="13"/>
  <c r="L76" i="13"/>
  <c r="K76" i="13"/>
  <c r="J76" i="13"/>
  <c r="AJ75" i="13"/>
  <c r="AJ76" i="13" s="1"/>
  <c r="AJ77" i="13" s="1"/>
  <c r="AJ78" i="13" s="1"/>
  <c r="O75" i="13"/>
  <c r="N75" i="13"/>
  <c r="M75" i="13"/>
  <c r="L75" i="13"/>
  <c r="K75" i="13"/>
  <c r="J75" i="13"/>
  <c r="AJ74" i="13"/>
  <c r="O74" i="13"/>
  <c r="N74" i="13"/>
  <c r="M74" i="13"/>
  <c r="L74" i="13"/>
  <c r="K74" i="13"/>
  <c r="J74" i="13"/>
  <c r="O73" i="13"/>
  <c r="N73" i="13"/>
  <c r="M73" i="13"/>
  <c r="L73" i="13"/>
  <c r="K73" i="13"/>
  <c r="J73" i="13"/>
  <c r="O72" i="13"/>
  <c r="N72" i="13"/>
  <c r="M72" i="13"/>
  <c r="L72" i="13"/>
  <c r="K72" i="13"/>
  <c r="J72" i="13"/>
  <c r="AJ71" i="13"/>
  <c r="AJ72" i="13" s="1"/>
  <c r="AJ73" i="13" s="1"/>
  <c r="O71" i="13"/>
  <c r="N71" i="13"/>
  <c r="M71" i="13"/>
  <c r="L71" i="13"/>
  <c r="K71" i="13"/>
  <c r="J71" i="13"/>
  <c r="O70" i="13"/>
  <c r="N70" i="13"/>
  <c r="M70" i="13"/>
  <c r="L70" i="13"/>
  <c r="K70" i="13"/>
  <c r="J70" i="13"/>
  <c r="O69" i="13"/>
  <c r="N69" i="13"/>
  <c r="M69" i="13"/>
  <c r="L69" i="13"/>
  <c r="K69" i="13"/>
  <c r="J69" i="13"/>
  <c r="O68" i="13"/>
  <c r="N68" i="13"/>
  <c r="M68" i="13"/>
  <c r="L68" i="13"/>
  <c r="K68" i="13"/>
  <c r="J68" i="13"/>
  <c r="AJ67" i="13"/>
  <c r="AJ68" i="13" s="1"/>
  <c r="AJ69" i="13" s="1"/>
  <c r="AJ70" i="13" s="1"/>
  <c r="O67" i="13"/>
  <c r="N67" i="13"/>
  <c r="M67" i="13"/>
  <c r="L67" i="13"/>
  <c r="K67" i="13"/>
  <c r="J67" i="13"/>
  <c r="AJ66" i="13"/>
  <c r="O66" i="13"/>
  <c r="N66" i="13"/>
  <c r="M66" i="13"/>
  <c r="L66" i="13"/>
  <c r="K66" i="13"/>
  <c r="J66" i="13"/>
  <c r="O65" i="13"/>
  <c r="N65" i="13"/>
  <c r="M65" i="13"/>
  <c r="L65" i="13"/>
  <c r="K65" i="13"/>
  <c r="J65" i="13"/>
  <c r="O64" i="13"/>
  <c r="N64" i="13"/>
  <c r="M64" i="13"/>
  <c r="L64" i="13"/>
  <c r="K64" i="13"/>
  <c r="J64" i="13"/>
  <c r="O63" i="13"/>
  <c r="N63" i="13"/>
  <c r="M63" i="13"/>
  <c r="L63" i="13"/>
  <c r="K63" i="13"/>
  <c r="J63" i="13"/>
  <c r="O62" i="13"/>
  <c r="N62" i="13"/>
  <c r="M62" i="13"/>
  <c r="L62" i="13"/>
  <c r="K62" i="13"/>
  <c r="J62" i="13"/>
  <c r="O61" i="13"/>
  <c r="N61" i="13"/>
  <c r="M61" i="13"/>
  <c r="L61" i="13"/>
  <c r="K61" i="13"/>
  <c r="J61" i="13"/>
  <c r="O60" i="13"/>
  <c r="N60" i="13"/>
  <c r="M60" i="13"/>
  <c r="L60" i="13"/>
  <c r="K60" i="13"/>
  <c r="J60" i="13"/>
  <c r="AJ59" i="13"/>
  <c r="AJ60" i="13" s="1"/>
  <c r="AJ61" i="13" s="1"/>
  <c r="AJ62" i="13" s="1"/>
  <c r="AJ63" i="13" s="1"/>
  <c r="AJ64" i="13" s="1"/>
  <c r="AJ65" i="13" s="1"/>
  <c r="O59" i="13"/>
  <c r="N59" i="13"/>
  <c r="M59" i="13"/>
  <c r="L59" i="13"/>
  <c r="K59" i="13"/>
  <c r="J59" i="13"/>
  <c r="AJ58" i="13"/>
  <c r="O58" i="13"/>
  <c r="N58" i="13"/>
  <c r="M58" i="13"/>
  <c r="L58" i="13"/>
  <c r="K58" i="13"/>
  <c r="J58" i="13"/>
  <c r="AJ57" i="13"/>
  <c r="O57" i="13"/>
  <c r="N57" i="13"/>
  <c r="M57" i="13"/>
  <c r="L57" i="13"/>
  <c r="K57" i="13"/>
  <c r="J57" i="13"/>
  <c r="O56" i="13"/>
  <c r="N56" i="13"/>
  <c r="M56" i="13"/>
  <c r="L56" i="13"/>
  <c r="K56" i="13"/>
  <c r="J56" i="13"/>
  <c r="O55" i="13"/>
  <c r="N55" i="13"/>
  <c r="M55" i="13"/>
  <c r="L55" i="13"/>
  <c r="K55" i="13"/>
  <c r="J55" i="13"/>
  <c r="O54" i="13"/>
  <c r="N54" i="13"/>
  <c r="M54" i="13"/>
  <c r="L54" i="13"/>
  <c r="K54" i="13"/>
  <c r="J54" i="13"/>
  <c r="O53" i="13"/>
  <c r="N53" i="13"/>
  <c r="M53" i="13"/>
  <c r="L53" i="13"/>
  <c r="K53" i="13"/>
  <c r="J53" i="13"/>
  <c r="AJ52" i="13"/>
  <c r="AJ53" i="13" s="1"/>
  <c r="AJ54" i="13" s="1"/>
  <c r="AJ55" i="13" s="1"/>
  <c r="AJ56" i="13" s="1"/>
  <c r="O52" i="13"/>
  <c r="N52" i="13"/>
  <c r="M52" i="13"/>
  <c r="L52" i="13"/>
  <c r="K52" i="13"/>
  <c r="J52" i="13"/>
  <c r="AJ51" i="13"/>
  <c r="O51" i="13"/>
  <c r="N51" i="13"/>
  <c r="M51" i="13"/>
  <c r="L51" i="13"/>
  <c r="K51" i="13"/>
  <c r="J51" i="13"/>
  <c r="AJ50" i="13"/>
  <c r="O50" i="13"/>
  <c r="N50" i="13"/>
  <c r="M50" i="13"/>
  <c r="L50" i="13"/>
  <c r="K50" i="13"/>
  <c r="J50" i="13"/>
  <c r="O49" i="13"/>
  <c r="N49" i="13"/>
  <c r="M49" i="13"/>
  <c r="L49" i="13"/>
  <c r="K49" i="13"/>
  <c r="J49" i="13"/>
  <c r="O48" i="13"/>
  <c r="N48" i="13"/>
  <c r="M48" i="13"/>
  <c r="L48" i="13"/>
  <c r="K48" i="13"/>
  <c r="J48" i="13"/>
  <c r="O47" i="13"/>
  <c r="N47" i="13"/>
  <c r="M47" i="13"/>
  <c r="L47" i="13"/>
  <c r="K47" i="13"/>
  <c r="J47" i="13"/>
  <c r="O46" i="13"/>
  <c r="N46" i="13"/>
  <c r="M46" i="13"/>
  <c r="L46" i="13"/>
  <c r="K46" i="13"/>
  <c r="J46" i="13"/>
  <c r="AJ45" i="13"/>
  <c r="AJ46" i="13" s="1"/>
  <c r="AJ47" i="13" s="1"/>
  <c r="AJ48" i="13" s="1"/>
  <c r="AJ49" i="13" s="1"/>
  <c r="O45" i="13"/>
  <c r="N45" i="13"/>
  <c r="M45" i="13"/>
  <c r="L45" i="13"/>
  <c r="K45" i="13"/>
  <c r="J45" i="13"/>
  <c r="AJ44" i="13"/>
  <c r="O44" i="13"/>
  <c r="N44" i="13"/>
  <c r="M44" i="13"/>
  <c r="L44" i="13"/>
  <c r="K44" i="13"/>
  <c r="J44" i="13"/>
  <c r="AJ43" i="13"/>
  <c r="O43" i="13"/>
  <c r="N43" i="13"/>
  <c r="M43" i="13"/>
  <c r="L43" i="13"/>
  <c r="K43" i="13"/>
  <c r="J43" i="13"/>
  <c r="AJ42" i="13"/>
  <c r="O42" i="13"/>
  <c r="N42" i="13"/>
  <c r="M42" i="13"/>
  <c r="L42" i="13"/>
  <c r="K42" i="13"/>
  <c r="J42" i="13"/>
  <c r="O41" i="13"/>
  <c r="N41" i="13"/>
  <c r="M41" i="13"/>
  <c r="L41" i="13"/>
  <c r="K41" i="13"/>
  <c r="J41" i="13"/>
  <c r="O40" i="13"/>
  <c r="N40" i="13"/>
  <c r="M40" i="13"/>
  <c r="L40" i="13"/>
  <c r="K40" i="13"/>
  <c r="J40" i="13"/>
  <c r="O39" i="13"/>
  <c r="N39" i="13"/>
  <c r="M39" i="13"/>
  <c r="L39" i="13"/>
  <c r="K39" i="13"/>
  <c r="J39" i="13"/>
  <c r="O38" i="13"/>
  <c r="N38" i="13"/>
  <c r="M38" i="13"/>
  <c r="L38" i="13"/>
  <c r="K38" i="13"/>
  <c r="J38" i="13"/>
  <c r="O37" i="13"/>
  <c r="N37" i="13"/>
  <c r="M37" i="13"/>
  <c r="L37" i="13"/>
  <c r="K37" i="13"/>
  <c r="J37" i="13"/>
  <c r="O36" i="13"/>
  <c r="N36" i="13"/>
  <c r="M36" i="13"/>
  <c r="L36" i="13"/>
  <c r="K36" i="13"/>
  <c r="J36" i="13"/>
  <c r="O35" i="13"/>
  <c r="N35" i="13"/>
  <c r="M35" i="13"/>
  <c r="L35" i="13"/>
  <c r="K35" i="13"/>
  <c r="J35" i="13"/>
  <c r="AJ34" i="13"/>
  <c r="AJ35" i="13" s="1"/>
  <c r="AJ36" i="13" s="1"/>
  <c r="AJ37" i="13" s="1"/>
  <c r="AJ38" i="13" s="1"/>
  <c r="AJ39" i="13" s="1"/>
  <c r="AJ40" i="13" s="1"/>
  <c r="AJ41" i="13" s="1"/>
  <c r="O34" i="13"/>
  <c r="N34" i="13"/>
  <c r="M34" i="13"/>
  <c r="L34" i="13"/>
  <c r="K34" i="13"/>
  <c r="J34" i="13"/>
  <c r="O33" i="13"/>
  <c r="N33" i="13"/>
  <c r="M33" i="13"/>
  <c r="L33" i="13"/>
  <c r="K33" i="13"/>
  <c r="J33" i="13"/>
  <c r="O32" i="13"/>
  <c r="N32" i="13"/>
  <c r="M32" i="13"/>
  <c r="L32" i="13"/>
  <c r="K32" i="13"/>
  <c r="J32" i="13"/>
  <c r="O31" i="13"/>
  <c r="N31" i="13"/>
  <c r="M31" i="13"/>
  <c r="L31" i="13"/>
  <c r="K31" i="13"/>
  <c r="J31" i="13"/>
  <c r="O30" i="13"/>
  <c r="N30" i="13"/>
  <c r="M30" i="13"/>
  <c r="L30" i="13"/>
  <c r="K30" i="13"/>
  <c r="J30" i="13"/>
  <c r="O29" i="13"/>
  <c r="N29" i="13"/>
  <c r="M29" i="13"/>
  <c r="L29" i="13"/>
  <c r="K29" i="13"/>
  <c r="J29" i="13"/>
  <c r="AR28" i="13"/>
  <c r="O28" i="13"/>
  <c r="N28" i="13"/>
  <c r="M28" i="13"/>
  <c r="L28" i="13"/>
  <c r="K28" i="13"/>
  <c r="J28" i="13"/>
  <c r="O27" i="13"/>
  <c r="N27" i="13"/>
  <c r="M27" i="13"/>
  <c r="L27" i="13"/>
  <c r="K27" i="13"/>
  <c r="J27" i="13"/>
  <c r="AJ26" i="13"/>
  <c r="AJ27" i="13" s="1"/>
  <c r="AJ28" i="13" s="1"/>
  <c r="AJ29" i="13" s="1"/>
  <c r="AJ30" i="13" s="1"/>
  <c r="AJ31" i="13" s="1"/>
  <c r="AJ32" i="13" s="1"/>
  <c r="AJ33" i="13" s="1"/>
  <c r="O26" i="13"/>
  <c r="N26" i="13"/>
  <c r="M26" i="13"/>
  <c r="L26" i="13"/>
  <c r="K26" i="13"/>
  <c r="J26" i="13"/>
  <c r="AR25" i="13"/>
  <c r="O25" i="13"/>
  <c r="N25" i="13"/>
  <c r="M25" i="13"/>
  <c r="L25" i="13"/>
  <c r="K25" i="13"/>
  <c r="J25" i="13"/>
  <c r="O24" i="13"/>
  <c r="N24" i="13"/>
  <c r="M24" i="13"/>
  <c r="L24" i="13"/>
  <c r="K24" i="13"/>
  <c r="J24" i="13"/>
  <c r="B24" i="13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AR23" i="13"/>
  <c r="O23" i="13"/>
  <c r="N23" i="13"/>
  <c r="M23" i="13"/>
  <c r="L23" i="13"/>
  <c r="K23" i="13"/>
  <c r="J23" i="13"/>
  <c r="AR22" i="13"/>
  <c r="AR35" i="13" s="1"/>
  <c r="W22" i="13"/>
  <c r="V22" i="13"/>
  <c r="U22" i="13"/>
  <c r="T22" i="13"/>
  <c r="S22" i="13"/>
  <c r="R22" i="13"/>
  <c r="O22" i="13"/>
  <c r="N22" i="13"/>
  <c r="M22" i="13"/>
  <c r="L22" i="13"/>
  <c r="K22" i="13"/>
  <c r="J22" i="13"/>
  <c r="AR21" i="13"/>
  <c r="AR34" i="13" s="1"/>
  <c r="W21" i="13"/>
  <c r="V21" i="13"/>
  <c r="U21" i="13"/>
  <c r="T21" i="13"/>
  <c r="S21" i="13"/>
  <c r="R21" i="13"/>
  <c r="O21" i="13"/>
  <c r="N21" i="13"/>
  <c r="M21" i="13"/>
  <c r="L21" i="13"/>
  <c r="K21" i="13"/>
  <c r="J21" i="13"/>
  <c r="AR20" i="13"/>
  <c r="AR33" i="13" s="1"/>
  <c r="W20" i="13"/>
  <c r="V20" i="13"/>
  <c r="U20" i="13"/>
  <c r="S20" i="13"/>
  <c r="R20" i="13"/>
  <c r="Q20" i="13"/>
  <c r="T20" i="13" s="1"/>
  <c r="O20" i="13"/>
  <c r="N20" i="13"/>
  <c r="M20" i="13"/>
  <c r="L20" i="13"/>
  <c r="K20" i="13"/>
  <c r="J20" i="13"/>
  <c r="AR19" i="13"/>
  <c r="AR32" i="13" s="1"/>
  <c r="AJ19" i="13"/>
  <c r="AJ20" i="13" s="1"/>
  <c r="AJ21" i="13" s="1"/>
  <c r="AJ22" i="13" s="1"/>
  <c r="AJ23" i="13" s="1"/>
  <c r="AJ24" i="13" s="1"/>
  <c r="AJ25" i="13" s="1"/>
  <c r="V19" i="13"/>
  <c r="Q19" i="13"/>
  <c r="O19" i="13"/>
  <c r="N19" i="13"/>
  <c r="M19" i="13"/>
  <c r="L19" i="13"/>
  <c r="K19" i="13"/>
  <c r="J19" i="13"/>
  <c r="AR18" i="13"/>
  <c r="AR31" i="13" s="1"/>
  <c r="AJ18" i="13"/>
  <c r="W18" i="13"/>
  <c r="U18" i="13"/>
  <c r="S18" i="13"/>
  <c r="Q18" i="13"/>
  <c r="V18" i="13" s="1"/>
  <c r="O18" i="13"/>
  <c r="N18" i="13"/>
  <c r="M18" i="13"/>
  <c r="L18" i="13"/>
  <c r="K18" i="13"/>
  <c r="J18" i="13"/>
  <c r="AR17" i="13"/>
  <c r="AR30" i="13" s="1"/>
  <c r="W17" i="13"/>
  <c r="V17" i="13"/>
  <c r="U17" i="13"/>
  <c r="T17" i="13"/>
  <c r="S17" i="13"/>
  <c r="R17" i="13"/>
  <c r="Q17" i="13"/>
  <c r="O17" i="13"/>
  <c r="N17" i="13"/>
  <c r="M17" i="13"/>
  <c r="L17" i="13"/>
  <c r="K17" i="13"/>
  <c r="J17" i="13"/>
  <c r="AR16" i="13"/>
  <c r="AR29" i="13" s="1"/>
  <c r="U16" i="13"/>
  <c r="S16" i="13"/>
  <c r="Q16" i="13"/>
  <c r="O16" i="13"/>
  <c r="N16" i="13"/>
  <c r="M16" i="13"/>
  <c r="L16" i="13"/>
  <c r="K16" i="13"/>
  <c r="J16" i="13"/>
  <c r="AR15" i="13"/>
  <c r="W15" i="13"/>
  <c r="S15" i="13"/>
  <c r="Q15" i="13"/>
  <c r="O15" i="13"/>
  <c r="N15" i="13"/>
  <c r="M15" i="13"/>
  <c r="L15" i="13"/>
  <c r="K15" i="13"/>
  <c r="J15" i="13"/>
  <c r="AR14" i="13"/>
  <c r="AR27" i="13" s="1"/>
  <c r="Q14" i="13"/>
  <c r="O14" i="13"/>
  <c r="N14" i="13"/>
  <c r="M14" i="13"/>
  <c r="L14" i="13"/>
  <c r="K14" i="13"/>
  <c r="J14" i="13"/>
  <c r="AR13" i="13"/>
  <c r="AR26" i="13" s="1"/>
  <c r="W13" i="13"/>
  <c r="S13" i="13"/>
  <c r="Q13" i="13"/>
  <c r="O13" i="13"/>
  <c r="N13" i="13"/>
  <c r="M13" i="13"/>
  <c r="L13" i="13"/>
  <c r="K13" i="13"/>
  <c r="J13" i="13"/>
  <c r="AR12" i="13"/>
  <c r="Y12" i="13"/>
  <c r="Q12" i="13"/>
  <c r="O12" i="13"/>
  <c r="N12" i="13"/>
  <c r="M12" i="13"/>
  <c r="L12" i="13"/>
  <c r="K12" i="13"/>
  <c r="J12" i="13"/>
  <c r="AR11" i="13"/>
  <c r="AR24" i="13" s="1"/>
  <c r="W11" i="13"/>
  <c r="U11" i="13"/>
  <c r="T11" i="13"/>
  <c r="S11" i="13"/>
  <c r="R11" i="13"/>
  <c r="Q11" i="13"/>
  <c r="V11" i="13" s="1"/>
  <c r="O11" i="13"/>
  <c r="N11" i="13"/>
  <c r="M11" i="13"/>
  <c r="L11" i="13"/>
  <c r="K11" i="13"/>
  <c r="J11" i="13"/>
  <c r="B11" i="13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AR10" i="13"/>
  <c r="AJ10" i="13"/>
  <c r="AJ11" i="13" s="1"/>
  <c r="AJ12" i="13" s="1"/>
  <c r="AJ13" i="13" s="1"/>
  <c r="AJ14" i="13" s="1"/>
  <c r="AJ15" i="13" s="1"/>
  <c r="AJ16" i="13" s="1"/>
  <c r="AJ17" i="13" s="1"/>
  <c r="Y10" i="13"/>
  <c r="Y11" i="13" s="1"/>
  <c r="S10" i="13"/>
  <c r="Q10" i="13"/>
  <c r="O10" i="13"/>
  <c r="N10" i="13"/>
  <c r="M10" i="13"/>
  <c r="L10" i="13"/>
  <c r="K10" i="13"/>
  <c r="J10" i="13"/>
  <c r="H9" i="13"/>
  <c r="O9" i="13" s="1"/>
  <c r="G9" i="13"/>
  <c r="N9" i="13" s="1"/>
  <c r="F9" i="13"/>
  <c r="M9" i="13" s="1"/>
  <c r="B9" i="13"/>
  <c r="B8" i="13"/>
  <c r="O135" i="12"/>
  <c r="N135" i="12"/>
  <c r="M135" i="12"/>
  <c r="L135" i="12"/>
  <c r="K135" i="12"/>
  <c r="J135" i="12"/>
  <c r="O134" i="12"/>
  <c r="N134" i="12"/>
  <c r="M134" i="12"/>
  <c r="L134" i="12"/>
  <c r="K134" i="12"/>
  <c r="J134" i="12"/>
  <c r="O133" i="12"/>
  <c r="N133" i="12"/>
  <c r="M133" i="12"/>
  <c r="L133" i="12"/>
  <c r="K133" i="12"/>
  <c r="J133" i="12"/>
  <c r="O132" i="12"/>
  <c r="N132" i="12"/>
  <c r="M132" i="12"/>
  <c r="L132" i="12"/>
  <c r="K132" i="12"/>
  <c r="J132" i="12"/>
  <c r="O131" i="12"/>
  <c r="N131" i="12"/>
  <c r="M131" i="12"/>
  <c r="L131" i="12"/>
  <c r="K131" i="12"/>
  <c r="J131" i="12"/>
  <c r="O130" i="12"/>
  <c r="N130" i="12"/>
  <c r="M130" i="12"/>
  <c r="L130" i="12"/>
  <c r="K130" i="12"/>
  <c r="J130" i="12"/>
  <c r="O129" i="12"/>
  <c r="N129" i="12"/>
  <c r="M129" i="12"/>
  <c r="L129" i="12"/>
  <c r="K129" i="12"/>
  <c r="J129" i="12"/>
  <c r="O128" i="12"/>
  <c r="N128" i="12"/>
  <c r="M128" i="12"/>
  <c r="L128" i="12"/>
  <c r="K128" i="12"/>
  <c r="J128" i="12"/>
  <c r="O127" i="12"/>
  <c r="N127" i="12"/>
  <c r="M127" i="12"/>
  <c r="L127" i="12"/>
  <c r="K127" i="12"/>
  <c r="J127" i="12"/>
  <c r="O126" i="12"/>
  <c r="N126" i="12"/>
  <c r="M126" i="12"/>
  <c r="L126" i="12"/>
  <c r="K126" i="12"/>
  <c r="J126" i="12"/>
  <c r="O125" i="12"/>
  <c r="N125" i="12"/>
  <c r="M125" i="12"/>
  <c r="L125" i="12"/>
  <c r="K125" i="12"/>
  <c r="J125" i="12"/>
  <c r="O124" i="12"/>
  <c r="N124" i="12"/>
  <c r="M124" i="12"/>
  <c r="L124" i="12"/>
  <c r="K124" i="12"/>
  <c r="J124" i="12"/>
  <c r="O123" i="12"/>
  <c r="N123" i="12"/>
  <c r="M123" i="12"/>
  <c r="L123" i="12"/>
  <c r="K123" i="12"/>
  <c r="J123" i="12"/>
  <c r="O122" i="12"/>
  <c r="N122" i="12"/>
  <c r="M122" i="12"/>
  <c r="L122" i="12"/>
  <c r="K122" i="12"/>
  <c r="J122" i="12"/>
  <c r="O121" i="12"/>
  <c r="N121" i="12"/>
  <c r="M121" i="12"/>
  <c r="L121" i="12"/>
  <c r="K121" i="12"/>
  <c r="J121" i="12"/>
  <c r="O120" i="12"/>
  <c r="N120" i="12"/>
  <c r="M120" i="12"/>
  <c r="L120" i="12"/>
  <c r="K120" i="12"/>
  <c r="J120" i="12"/>
  <c r="O119" i="12"/>
  <c r="N119" i="12"/>
  <c r="M119" i="12"/>
  <c r="L119" i="12"/>
  <c r="K119" i="12"/>
  <c r="J119" i="12"/>
  <c r="O118" i="12"/>
  <c r="N118" i="12"/>
  <c r="M118" i="12"/>
  <c r="L118" i="12"/>
  <c r="K118" i="12"/>
  <c r="J118" i="12"/>
  <c r="O117" i="12"/>
  <c r="N117" i="12"/>
  <c r="M117" i="12"/>
  <c r="L117" i="12"/>
  <c r="K117" i="12"/>
  <c r="J117" i="12"/>
  <c r="O116" i="12"/>
  <c r="N116" i="12"/>
  <c r="M116" i="12"/>
  <c r="L116" i="12"/>
  <c r="K116" i="12"/>
  <c r="J116" i="12"/>
  <c r="O115" i="12"/>
  <c r="N115" i="12"/>
  <c r="M115" i="12"/>
  <c r="L115" i="12"/>
  <c r="K115" i="12"/>
  <c r="J115" i="12"/>
  <c r="O114" i="12"/>
  <c r="N114" i="12"/>
  <c r="M114" i="12"/>
  <c r="L114" i="12"/>
  <c r="K114" i="12"/>
  <c r="J114" i="12"/>
  <c r="O113" i="12"/>
  <c r="N113" i="12"/>
  <c r="M113" i="12"/>
  <c r="L113" i="12"/>
  <c r="K113" i="12"/>
  <c r="J113" i="12"/>
  <c r="O112" i="12"/>
  <c r="N112" i="12"/>
  <c r="M112" i="12"/>
  <c r="L112" i="12"/>
  <c r="K112" i="12"/>
  <c r="J112" i="12"/>
  <c r="O111" i="12"/>
  <c r="N111" i="12"/>
  <c r="M111" i="12"/>
  <c r="L111" i="12"/>
  <c r="K111" i="12"/>
  <c r="J111" i="12"/>
  <c r="O110" i="12"/>
  <c r="N110" i="12"/>
  <c r="M110" i="12"/>
  <c r="L110" i="12"/>
  <c r="K110" i="12"/>
  <c r="J110" i="12"/>
  <c r="O109" i="12"/>
  <c r="N109" i="12"/>
  <c r="M109" i="12"/>
  <c r="L109" i="12"/>
  <c r="K109" i="12"/>
  <c r="J109" i="12"/>
  <c r="O108" i="12"/>
  <c r="N108" i="12"/>
  <c r="M108" i="12"/>
  <c r="L108" i="12"/>
  <c r="K108" i="12"/>
  <c r="J108" i="12"/>
  <c r="O107" i="12"/>
  <c r="N107" i="12"/>
  <c r="M107" i="12"/>
  <c r="L107" i="12"/>
  <c r="K107" i="12"/>
  <c r="J107" i="12"/>
  <c r="AJ106" i="12"/>
  <c r="AJ107" i="12" s="1"/>
  <c r="AJ108" i="12" s="1"/>
  <c r="AJ109" i="12" s="1"/>
  <c r="AJ110" i="12" s="1"/>
  <c r="AJ111" i="12" s="1"/>
  <c r="AJ112" i="12" s="1"/>
  <c r="AJ113" i="12" s="1"/>
  <c r="O106" i="12"/>
  <c r="N106" i="12"/>
  <c r="M106" i="12"/>
  <c r="L106" i="12"/>
  <c r="K106" i="12"/>
  <c r="J106" i="12"/>
  <c r="O105" i="12"/>
  <c r="N105" i="12"/>
  <c r="M105" i="12"/>
  <c r="L105" i="12"/>
  <c r="K105" i="12"/>
  <c r="J105" i="12"/>
  <c r="O104" i="12"/>
  <c r="N104" i="12"/>
  <c r="M104" i="12"/>
  <c r="L104" i="12"/>
  <c r="K104" i="12"/>
  <c r="J104" i="12"/>
  <c r="AJ103" i="12"/>
  <c r="AJ104" i="12" s="1"/>
  <c r="AJ105" i="12" s="1"/>
  <c r="O103" i="12"/>
  <c r="N103" i="12"/>
  <c r="M103" i="12"/>
  <c r="L103" i="12"/>
  <c r="K103" i="12"/>
  <c r="J103" i="12"/>
  <c r="O102" i="12"/>
  <c r="N102" i="12"/>
  <c r="M102" i="12"/>
  <c r="L102" i="12"/>
  <c r="K102" i="12"/>
  <c r="J102" i="12"/>
  <c r="O101" i="12"/>
  <c r="N101" i="12"/>
  <c r="M101" i="12"/>
  <c r="L101" i="12"/>
  <c r="K101" i="12"/>
  <c r="J101" i="12"/>
  <c r="AJ100" i="12"/>
  <c r="AJ101" i="12" s="1"/>
  <c r="AJ102" i="12" s="1"/>
  <c r="O100" i="12"/>
  <c r="N100" i="12"/>
  <c r="M100" i="12"/>
  <c r="L100" i="12"/>
  <c r="K100" i="12"/>
  <c r="J100" i="12"/>
  <c r="O99" i="12"/>
  <c r="N99" i="12"/>
  <c r="M99" i="12"/>
  <c r="L99" i="12"/>
  <c r="K99" i="12"/>
  <c r="J99" i="12"/>
  <c r="AJ98" i="12"/>
  <c r="AJ99" i="12" s="1"/>
  <c r="O98" i="12"/>
  <c r="N98" i="12"/>
  <c r="M98" i="12"/>
  <c r="L98" i="12"/>
  <c r="K98" i="12"/>
  <c r="J98" i="12"/>
  <c r="O97" i="12"/>
  <c r="N97" i="12"/>
  <c r="M97" i="12"/>
  <c r="L97" i="12"/>
  <c r="K97" i="12"/>
  <c r="J97" i="12"/>
  <c r="O96" i="12"/>
  <c r="N96" i="12"/>
  <c r="M96" i="12"/>
  <c r="L96" i="12"/>
  <c r="K96" i="12"/>
  <c r="J96" i="12"/>
  <c r="O95" i="12"/>
  <c r="N95" i="12"/>
  <c r="M95" i="12"/>
  <c r="L95" i="12"/>
  <c r="K95" i="12"/>
  <c r="J95" i="12"/>
  <c r="O94" i="12"/>
  <c r="N94" i="12"/>
  <c r="M94" i="12"/>
  <c r="L94" i="12"/>
  <c r="K94" i="12"/>
  <c r="J94" i="12"/>
  <c r="O93" i="12"/>
  <c r="N93" i="12"/>
  <c r="M93" i="12"/>
  <c r="L93" i="12"/>
  <c r="K93" i="12"/>
  <c r="J93" i="12"/>
  <c r="AJ92" i="12"/>
  <c r="AJ93" i="12" s="1"/>
  <c r="AJ94" i="12" s="1"/>
  <c r="AJ95" i="12" s="1"/>
  <c r="AJ96" i="12" s="1"/>
  <c r="AJ97" i="12" s="1"/>
  <c r="O92" i="12"/>
  <c r="N92" i="12"/>
  <c r="M92" i="12"/>
  <c r="L92" i="12"/>
  <c r="K92" i="12"/>
  <c r="J92" i="12"/>
  <c r="AJ91" i="12"/>
  <c r="O91" i="12"/>
  <c r="N91" i="12"/>
  <c r="M91" i="12"/>
  <c r="L91" i="12"/>
  <c r="K91" i="12"/>
  <c r="J91" i="12"/>
  <c r="AJ90" i="12"/>
  <c r="O90" i="12"/>
  <c r="N90" i="12"/>
  <c r="M90" i="12"/>
  <c r="L90" i="12"/>
  <c r="K90" i="12"/>
  <c r="J90" i="12"/>
  <c r="O89" i="12"/>
  <c r="N89" i="12"/>
  <c r="M89" i="12"/>
  <c r="L89" i="12"/>
  <c r="K89" i="12"/>
  <c r="J89" i="12"/>
  <c r="O88" i="12"/>
  <c r="N88" i="12"/>
  <c r="M88" i="12"/>
  <c r="L88" i="12"/>
  <c r="K88" i="12"/>
  <c r="J88" i="12"/>
  <c r="O87" i="12"/>
  <c r="N87" i="12"/>
  <c r="M87" i="12"/>
  <c r="L87" i="12"/>
  <c r="K87" i="12"/>
  <c r="J87" i="12"/>
  <c r="O86" i="12"/>
  <c r="N86" i="12"/>
  <c r="M86" i="12"/>
  <c r="L86" i="12"/>
  <c r="K86" i="12"/>
  <c r="J86" i="12"/>
  <c r="O85" i="12"/>
  <c r="N85" i="12"/>
  <c r="M85" i="12"/>
  <c r="L85" i="12"/>
  <c r="K85" i="12"/>
  <c r="J85" i="12"/>
  <c r="O84" i="12"/>
  <c r="N84" i="12"/>
  <c r="M84" i="12"/>
  <c r="L84" i="12"/>
  <c r="K84" i="12"/>
  <c r="J84" i="12"/>
  <c r="O83" i="12"/>
  <c r="N83" i="12"/>
  <c r="M83" i="12"/>
  <c r="L83" i="12"/>
  <c r="K83" i="12"/>
  <c r="J83" i="12"/>
  <c r="AJ82" i="12"/>
  <c r="AJ83" i="12" s="1"/>
  <c r="AJ84" i="12" s="1"/>
  <c r="AJ85" i="12" s="1"/>
  <c r="AJ86" i="12" s="1"/>
  <c r="AJ87" i="12" s="1"/>
  <c r="AJ88" i="12" s="1"/>
  <c r="AJ89" i="12" s="1"/>
  <c r="O82" i="12"/>
  <c r="N82" i="12"/>
  <c r="M82" i="12"/>
  <c r="L82" i="12"/>
  <c r="K82" i="12"/>
  <c r="J82" i="12"/>
  <c r="O81" i="12"/>
  <c r="N81" i="12"/>
  <c r="M81" i="12"/>
  <c r="L81" i="12"/>
  <c r="K81" i="12"/>
  <c r="J81" i="12"/>
  <c r="O80" i="12"/>
  <c r="N80" i="12"/>
  <c r="M80" i="12"/>
  <c r="L80" i="12"/>
  <c r="K80" i="12"/>
  <c r="J80" i="12"/>
  <c r="O79" i="12"/>
  <c r="N79" i="12"/>
  <c r="M79" i="12"/>
  <c r="L79" i="12"/>
  <c r="K79" i="12"/>
  <c r="J79" i="12"/>
  <c r="O78" i="12"/>
  <c r="N78" i="12"/>
  <c r="M78" i="12"/>
  <c r="L78" i="12"/>
  <c r="K78" i="12"/>
  <c r="J78" i="12"/>
  <c r="O77" i="12"/>
  <c r="N77" i="12"/>
  <c r="M77" i="12"/>
  <c r="L77" i="12"/>
  <c r="K77" i="12"/>
  <c r="J77" i="12"/>
  <c r="O76" i="12"/>
  <c r="N76" i="12"/>
  <c r="M76" i="12"/>
  <c r="L76" i="12"/>
  <c r="K76" i="12"/>
  <c r="J76" i="12"/>
  <c r="O75" i="12"/>
  <c r="N75" i="12"/>
  <c r="M75" i="12"/>
  <c r="L75" i="12"/>
  <c r="K75" i="12"/>
  <c r="J75" i="12"/>
  <c r="AJ74" i="12"/>
  <c r="AJ75" i="12" s="1"/>
  <c r="AJ76" i="12" s="1"/>
  <c r="AJ77" i="12" s="1"/>
  <c r="AJ78" i="12" s="1"/>
  <c r="AJ79" i="12" s="1"/>
  <c r="AJ80" i="12" s="1"/>
  <c r="AJ81" i="12" s="1"/>
  <c r="O74" i="12"/>
  <c r="N74" i="12"/>
  <c r="M74" i="12"/>
  <c r="L74" i="12"/>
  <c r="K74" i="12"/>
  <c r="J74" i="12"/>
  <c r="O73" i="12"/>
  <c r="N73" i="12"/>
  <c r="M73" i="12"/>
  <c r="L73" i="12"/>
  <c r="K73" i="12"/>
  <c r="J73" i="12"/>
  <c r="O72" i="12"/>
  <c r="N72" i="12"/>
  <c r="M72" i="12"/>
  <c r="L72" i="12"/>
  <c r="K72" i="12"/>
  <c r="J72" i="12"/>
  <c r="O71" i="12"/>
  <c r="N71" i="12"/>
  <c r="M71" i="12"/>
  <c r="L71" i="12"/>
  <c r="K71" i="12"/>
  <c r="J71" i="12"/>
  <c r="O70" i="12"/>
  <c r="N70" i="12"/>
  <c r="M70" i="12"/>
  <c r="L70" i="12"/>
  <c r="K70" i="12"/>
  <c r="J70" i="12"/>
  <c r="O69" i="12"/>
  <c r="N69" i="12"/>
  <c r="M69" i="12"/>
  <c r="L69" i="12"/>
  <c r="K69" i="12"/>
  <c r="J69" i="12"/>
  <c r="O68" i="12"/>
  <c r="N68" i="12"/>
  <c r="M68" i="12"/>
  <c r="L68" i="12"/>
  <c r="K68" i="12"/>
  <c r="J68" i="12"/>
  <c r="AJ67" i="12"/>
  <c r="AJ68" i="12" s="1"/>
  <c r="AJ69" i="12" s="1"/>
  <c r="AJ70" i="12" s="1"/>
  <c r="AJ71" i="12" s="1"/>
  <c r="AJ72" i="12" s="1"/>
  <c r="AJ73" i="12" s="1"/>
  <c r="O67" i="12"/>
  <c r="N67" i="12"/>
  <c r="M67" i="12"/>
  <c r="L67" i="12"/>
  <c r="K67" i="12"/>
  <c r="J67" i="12"/>
  <c r="AJ66" i="12"/>
  <c r="O66" i="12"/>
  <c r="N66" i="12"/>
  <c r="M66" i="12"/>
  <c r="L66" i="12"/>
  <c r="K66" i="12"/>
  <c r="J66" i="12"/>
  <c r="O65" i="12"/>
  <c r="N65" i="12"/>
  <c r="M65" i="12"/>
  <c r="L65" i="12"/>
  <c r="K65" i="12"/>
  <c r="J65" i="12"/>
  <c r="O64" i="12"/>
  <c r="N64" i="12"/>
  <c r="M64" i="12"/>
  <c r="L64" i="12"/>
  <c r="K64" i="12"/>
  <c r="J64" i="12"/>
  <c r="O63" i="12"/>
  <c r="N63" i="12"/>
  <c r="M63" i="12"/>
  <c r="L63" i="12"/>
  <c r="K63" i="12"/>
  <c r="J63" i="12"/>
  <c r="O62" i="12"/>
  <c r="N62" i="12"/>
  <c r="M62" i="12"/>
  <c r="L62" i="12"/>
  <c r="K62" i="12"/>
  <c r="J62" i="12"/>
  <c r="O61" i="12"/>
  <c r="N61" i="12"/>
  <c r="M61" i="12"/>
  <c r="L61" i="12"/>
  <c r="K61" i="12"/>
  <c r="J61" i="12"/>
  <c r="O60" i="12"/>
  <c r="N60" i="12"/>
  <c r="M60" i="12"/>
  <c r="L60" i="12"/>
  <c r="K60" i="12"/>
  <c r="J60" i="12"/>
  <c r="O59" i="12"/>
  <c r="N59" i="12"/>
  <c r="M59" i="12"/>
  <c r="L59" i="12"/>
  <c r="K59" i="12"/>
  <c r="J59" i="12"/>
  <c r="AJ58" i="12"/>
  <c r="AJ59" i="12" s="1"/>
  <c r="AJ60" i="12" s="1"/>
  <c r="AJ61" i="12" s="1"/>
  <c r="AJ62" i="12" s="1"/>
  <c r="AJ63" i="12" s="1"/>
  <c r="AJ64" i="12" s="1"/>
  <c r="AJ65" i="12" s="1"/>
  <c r="O58" i="12"/>
  <c r="N58" i="12"/>
  <c r="M58" i="12"/>
  <c r="L58" i="12"/>
  <c r="K58" i="12"/>
  <c r="J58" i="12"/>
  <c r="O57" i="12"/>
  <c r="N57" i="12"/>
  <c r="M57" i="12"/>
  <c r="L57" i="12"/>
  <c r="K57" i="12"/>
  <c r="J57" i="12"/>
  <c r="O56" i="12"/>
  <c r="N56" i="12"/>
  <c r="M56" i="12"/>
  <c r="L56" i="12"/>
  <c r="K56" i="12"/>
  <c r="J56" i="12"/>
  <c r="O55" i="12"/>
  <c r="N55" i="12"/>
  <c r="M55" i="12"/>
  <c r="L55" i="12"/>
  <c r="K55" i="12"/>
  <c r="J55" i="12"/>
  <c r="O54" i="12"/>
  <c r="N54" i="12"/>
  <c r="M54" i="12"/>
  <c r="L54" i="12"/>
  <c r="K54" i="12"/>
  <c r="J54" i="12"/>
  <c r="O53" i="12"/>
  <c r="N53" i="12"/>
  <c r="M53" i="12"/>
  <c r="L53" i="12"/>
  <c r="K53" i="12"/>
  <c r="J53" i="12"/>
  <c r="O52" i="12"/>
  <c r="N52" i="12"/>
  <c r="M52" i="12"/>
  <c r="L52" i="12"/>
  <c r="K52" i="12"/>
  <c r="J52" i="12"/>
  <c r="O51" i="12"/>
  <c r="N51" i="12"/>
  <c r="M51" i="12"/>
  <c r="L51" i="12"/>
  <c r="K51" i="12"/>
  <c r="J51" i="12"/>
  <c r="AJ50" i="12"/>
  <c r="AJ51" i="12" s="1"/>
  <c r="AJ52" i="12" s="1"/>
  <c r="AJ53" i="12" s="1"/>
  <c r="AJ54" i="12" s="1"/>
  <c r="AJ55" i="12" s="1"/>
  <c r="AJ56" i="12" s="1"/>
  <c r="AJ57" i="12" s="1"/>
  <c r="O50" i="12"/>
  <c r="N50" i="12"/>
  <c r="M50" i="12"/>
  <c r="L50" i="12"/>
  <c r="K50" i="12"/>
  <c r="J50" i="12"/>
  <c r="O49" i="12"/>
  <c r="N49" i="12"/>
  <c r="M49" i="12"/>
  <c r="L49" i="12"/>
  <c r="K49" i="12"/>
  <c r="J49" i="12"/>
  <c r="O48" i="12"/>
  <c r="N48" i="12"/>
  <c r="M48" i="12"/>
  <c r="L48" i="12"/>
  <c r="K48" i="12"/>
  <c r="J48" i="12"/>
  <c r="O47" i="12"/>
  <c r="N47" i="12"/>
  <c r="M47" i="12"/>
  <c r="L47" i="12"/>
  <c r="K47" i="12"/>
  <c r="J47" i="12"/>
  <c r="O46" i="12"/>
  <c r="N46" i="12"/>
  <c r="M46" i="12"/>
  <c r="L46" i="12"/>
  <c r="K46" i="12"/>
  <c r="J46" i="12"/>
  <c r="O45" i="12"/>
  <c r="N45" i="12"/>
  <c r="M45" i="12"/>
  <c r="L45" i="12"/>
  <c r="K45" i="12"/>
  <c r="J45" i="12"/>
  <c r="AJ44" i="12"/>
  <c r="AJ45" i="12" s="1"/>
  <c r="AJ46" i="12" s="1"/>
  <c r="AJ47" i="12" s="1"/>
  <c r="AJ48" i="12" s="1"/>
  <c r="AJ49" i="12" s="1"/>
  <c r="O44" i="12"/>
  <c r="N44" i="12"/>
  <c r="M44" i="12"/>
  <c r="L44" i="12"/>
  <c r="K44" i="12"/>
  <c r="J44" i="12"/>
  <c r="O43" i="12"/>
  <c r="N43" i="12"/>
  <c r="M43" i="12"/>
  <c r="L43" i="12"/>
  <c r="K43" i="12"/>
  <c r="J43" i="12"/>
  <c r="AJ42" i="12"/>
  <c r="AJ43" i="12" s="1"/>
  <c r="O42" i="12"/>
  <c r="N42" i="12"/>
  <c r="M42" i="12"/>
  <c r="L42" i="12"/>
  <c r="K42" i="12"/>
  <c r="J42" i="12"/>
  <c r="O41" i="12"/>
  <c r="N41" i="12"/>
  <c r="M41" i="12"/>
  <c r="L41" i="12"/>
  <c r="K41" i="12"/>
  <c r="J41" i="12"/>
  <c r="O40" i="12"/>
  <c r="N40" i="12"/>
  <c r="M40" i="12"/>
  <c r="L40" i="12"/>
  <c r="K40" i="12"/>
  <c r="J40" i="12"/>
  <c r="O39" i="12"/>
  <c r="N39" i="12"/>
  <c r="M39" i="12"/>
  <c r="L39" i="12"/>
  <c r="K39" i="12"/>
  <c r="J39" i="12"/>
  <c r="O38" i="12"/>
  <c r="N38" i="12"/>
  <c r="M38" i="12"/>
  <c r="L38" i="12"/>
  <c r="K38" i="12"/>
  <c r="J38" i="12"/>
  <c r="O37" i="12"/>
  <c r="N37" i="12"/>
  <c r="M37" i="12"/>
  <c r="L37" i="12"/>
  <c r="K37" i="12"/>
  <c r="J37" i="12"/>
  <c r="O36" i="12"/>
  <c r="N36" i="12"/>
  <c r="M36" i="12"/>
  <c r="L36" i="12"/>
  <c r="K36" i="12"/>
  <c r="J36" i="12"/>
  <c r="AJ35" i="12"/>
  <c r="AJ36" i="12" s="1"/>
  <c r="AJ37" i="12" s="1"/>
  <c r="AJ38" i="12" s="1"/>
  <c r="AJ39" i="12" s="1"/>
  <c r="AJ40" i="12" s="1"/>
  <c r="AJ41" i="12" s="1"/>
  <c r="O35" i="12"/>
  <c r="N35" i="12"/>
  <c r="M35" i="12"/>
  <c r="L35" i="12"/>
  <c r="K35" i="12"/>
  <c r="J35" i="12"/>
  <c r="AR34" i="12"/>
  <c r="AJ34" i="12"/>
  <c r="O34" i="12"/>
  <c r="N34" i="12"/>
  <c r="M34" i="12"/>
  <c r="L34" i="12"/>
  <c r="K34" i="12"/>
  <c r="J34" i="12"/>
  <c r="O33" i="12"/>
  <c r="N33" i="12"/>
  <c r="M33" i="12"/>
  <c r="L33" i="12"/>
  <c r="K33" i="12"/>
  <c r="J33" i="12"/>
  <c r="O32" i="12"/>
  <c r="N32" i="12"/>
  <c r="M32" i="12"/>
  <c r="L32" i="12"/>
  <c r="K32" i="12"/>
  <c r="J32" i="12"/>
  <c r="O31" i="12"/>
  <c r="N31" i="12"/>
  <c r="M31" i="12"/>
  <c r="L31" i="12"/>
  <c r="K31" i="12"/>
  <c r="J31" i="12"/>
  <c r="O30" i="12"/>
  <c r="N30" i="12"/>
  <c r="M30" i="12"/>
  <c r="L30" i="12"/>
  <c r="K30" i="12"/>
  <c r="J30" i="12"/>
  <c r="O29" i="12"/>
  <c r="N29" i="12"/>
  <c r="M29" i="12"/>
  <c r="L29" i="12"/>
  <c r="K29" i="12"/>
  <c r="J29" i="12"/>
  <c r="O28" i="12"/>
  <c r="N28" i="12"/>
  <c r="M28" i="12"/>
  <c r="L28" i="12"/>
  <c r="K28" i="12"/>
  <c r="J28" i="12"/>
  <c r="O27" i="12"/>
  <c r="N27" i="12"/>
  <c r="M27" i="12"/>
  <c r="L27" i="12"/>
  <c r="K27" i="12"/>
  <c r="J27" i="12"/>
  <c r="AJ26" i="12"/>
  <c r="AJ27" i="12" s="1"/>
  <c r="AJ28" i="12" s="1"/>
  <c r="AJ29" i="12" s="1"/>
  <c r="AJ30" i="12" s="1"/>
  <c r="AJ31" i="12" s="1"/>
  <c r="AJ32" i="12" s="1"/>
  <c r="O26" i="12"/>
  <c r="N26" i="12"/>
  <c r="M26" i="12"/>
  <c r="L26" i="12"/>
  <c r="K26" i="12"/>
  <c r="J26" i="12"/>
  <c r="O25" i="12"/>
  <c r="N25" i="12"/>
  <c r="M25" i="12"/>
  <c r="L25" i="12"/>
  <c r="K25" i="12"/>
  <c r="J25" i="12"/>
  <c r="O24" i="12"/>
  <c r="N24" i="12"/>
  <c r="M24" i="12"/>
  <c r="L24" i="12"/>
  <c r="K24" i="12"/>
  <c r="J24" i="12"/>
  <c r="AR23" i="12"/>
  <c r="O23" i="12"/>
  <c r="N23" i="12"/>
  <c r="M23" i="12"/>
  <c r="L23" i="12"/>
  <c r="K23" i="12"/>
  <c r="J23" i="12"/>
  <c r="AR22" i="12"/>
  <c r="AR35" i="12" s="1"/>
  <c r="W22" i="12"/>
  <c r="V22" i="12"/>
  <c r="U22" i="12"/>
  <c r="T22" i="12"/>
  <c r="S22" i="12"/>
  <c r="R22" i="12"/>
  <c r="O22" i="12"/>
  <c r="N22" i="12"/>
  <c r="M22" i="12"/>
  <c r="L22" i="12"/>
  <c r="K22" i="12"/>
  <c r="J22" i="12"/>
  <c r="AR21" i="12"/>
  <c r="W21" i="12"/>
  <c r="V21" i="12"/>
  <c r="U21" i="12"/>
  <c r="T21" i="12"/>
  <c r="S21" i="12"/>
  <c r="R21" i="12"/>
  <c r="O21" i="12"/>
  <c r="N21" i="12"/>
  <c r="M21" i="12"/>
  <c r="L21" i="12"/>
  <c r="K21" i="12"/>
  <c r="J21" i="12"/>
  <c r="AR20" i="12"/>
  <c r="AR33" i="12" s="1"/>
  <c r="V20" i="12"/>
  <c r="U20" i="12"/>
  <c r="T20" i="12"/>
  <c r="S20" i="12"/>
  <c r="R20" i="12"/>
  <c r="Q20" i="12"/>
  <c r="W20" i="12" s="1"/>
  <c r="O20" i="12"/>
  <c r="N20" i="12"/>
  <c r="M20" i="12"/>
  <c r="L20" i="12"/>
  <c r="K20" i="12"/>
  <c r="J20" i="12"/>
  <c r="AR19" i="12"/>
  <c r="AR32" i="12" s="1"/>
  <c r="AJ19" i="12"/>
  <c r="AJ20" i="12" s="1"/>
  <c r="T19" i="12"/>
  <c r="Q19" i="12"/>
  <c r="O19" i="12"/>
  <c r="N19" i="12"/>
  <c r="M19" i="12"/>
  <c r="L19" i="12"/>
  <c r="K19" i="12"/>
  <c r="J19" i="12"/>
  <c r="AR18" i="12"/>
  <c r="AR31" i="12" s="1"/>
  <c r="AJ18" i="12"/>
  <c r="W18" i="12"/>
  <c r="S18" i="12"/>
  <c r="R18" i="12"/>
  <c r="Q18" i="12"/>
  <c r="O18" i="12"/>
  <c r="N18" i="12"/>
  <c r="M18" i="12"/>
  <c r="L18" i="12"/>
  <c r="K18" i="12"/>
  <c r="J18" i="12"/>
  <c r="AR17" i="12"/>
  <c r="AR30" i="12" s="1"/>
  <c r="R17" i="12"/>
  <c r="Q17" i="12"/>
  <c r="O17" i="12"/>
  <c r="N17" i="12"/>
  <c r="M17" i="12"/>
  <c r="L17" i="12"/>
  <c r="K17" i="12"/>
  <c r="J17" i="12"/>
  <c r="AR16" i="12"/>
  <c r="AR29" i="12" s="1"/>
  <c r="U16" i="12"/>
  <c r="Q16" i="12"/>
  <c r="O16" i="12"/>
  <c r="N16" i="12"/>
  <c r="M16" i="12"/>
  <c r="L16" i="12"/>
  <c r="K16" i="12"/>
  <c r="J16" i="12"/>
  <c r="AR15" i="12"/>
  <c r="AR28" i="12" s="1"/>
  <c r="W15" i="12"/>
  <c r="V15" i="12"/>
  <c r="T15" i="12"/>
  <c r="Q15" i="12"/>
  <c r="U15" i="12" s="1"/>
  <c r="O15" i="12"/>
  <c r="N15" i="12"/>
  <c r="M15" i="12"/>
  <c r="L15" i="12"/>
  <c r="K15" i="12"/>
  <c r="J15" i="12"/>
  <c r="AR14" i="12"/>
  <c r="AR27" i="12" s="1"/>
  <c r="W14" i="12"/>
  <c r="V14" i="12"/>
  <c r="U14" i="12"/>
  <c r="T14" i="12"/>
  <c r="S14" i="12"/>
  <c r="R14" i="12"/>
  <c r="Q14" i="12"/>
  <c r="O14" i="12"/>
  <c r="N14" i="12"/>
  <c r="M14" i="12"/>
  <c r="L14" i="12"/>
  <c r="K14" i="12"/>
  <c r="J14" i="12"/>
  <c r="AR13" i="12"/>
  <c r="AR26" i="12" s="1"/>
  <c r="W13" i="12"/>
  <c r="V13" i="12"/>
  <c r="U13" i="12"/>
  <c r="T13" i="12"/>
  <c r="S13" i="12"/>
  <c r="R13" i="12"/>
  <c r="Q13" i="12"/>
  <c r="O13" i="12"/>
  <c r="N13" i="12"/>
  <c r="M13" i="12"/>
  <c r="L13" i="12"/>
  <c r="K13" i="12"/>
  <c r="J13" i="12"/>
  <c r="AR12" i="12"/>
  <c r="AR25" i="12" s="1"/>
  <c r="Y12" i="12"/>
  <c r="Y13" i="12" s="1"/>
  <c r="Y14" i="12" s="1"/>
  <c r="V12" i="12"/>
  <c r="U12" i="12"/>
  <c r="T12" i="12"/>
  <c r="Q12" i="12"/>
  <c r="O12" i="12"/>
  <c r="N12" i="12"/>
  <c r="M12" i="12"/>
  <c r="L12" i="12"/>
  <c r="K12" i="12"/>
  <c r="J12" i="12"/>
  <c r="B12" i="12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AR11" i="12"/>
  <c r="AR24" i="12" s="1"/>
  <c r="W11" i="12"/>
  <c r="S11" i="12"/>
  <c r="R11" i="12"/>
  <c r="Q11" i="12"/>
  <c r="O11" i="12"/>
  <c r="N11" i="12"/>
  <c r="M11" i="12"/>
  <c r="L11" i="12"/>
  <c r="K11" i="12"/>
  <c r="J11" i="12"/>
  <c r="B11" i="12"/>
  <c r="AR10" i="12"/>
  <c r="AJ10" i="12"/>
  <c r="Y10" i="12"/>
  <c r="Y11" i="12" s="1"/>
  <c r="U10" i="12"/>
  <c r="T10" i="12"/>
  <c r="Q10" i="12"/>
  <c r="W10" i="12" s="1"/>
  <c r="O10" i="12"/>
  <c r="N10" i="12"/>
  <c r="M10" i="12"/>
  <c r="L10" i="12"/>
  <c r="K10" i="12"/>
  <c r="J10" i="12"/>
  <c r="H9" i="12"/>
  <c r="O9" i="12" s="1"/>
  <c r="G9" i="12"/>
  <c r="N9" i="12" s="1"/>
  <c r="F9" i="12"/>
  <c r="M9" i="12" s="1"/>
  <c r="E9" i="12"/>
  <c r="L9" i="12" s="1"/>
  <c r="D9" i="12"/>
  <c r="K9" i="12" s="1"/>
  <c r="C9" i="12"/>
  <c r="B9" i="12"/>
  <c r="G8" i="12"/>
  <c r="N8" i="12" s="1"/>
  <c r="B8" i="12"/>
  <c r="H8" i="12" s="1"/>
  <c r="O8" i="12" s="1"/>
  <c r="H7" i="12"/>
  <c r="O7" i="12" s="1"/>
  <c r="D7" i="12"/>
  <c r="K7" i="12" s="1"/>
  <c r="B7" i="12"/>
  <c r="O135" i="11"/>
  <c r="N135" i="11"/>
  <c r="M135" i="11"/>
  <c r="L135" i="11"/>
  <c r="K135" i="11"/>
  <c r="J135" i="11"/>
  <c r="O134" i="11"/>
  <c r="N134" i="11"/>
  <c r="M134" i="11"/>
  <c r="L134" i="11"/>
  <c r="K134" i="11"/>
  <c r="J134" i="11"/>
  <c r="O133" i="11"/>
  <c r="N133" i="11"/>
  <c r="M133" i="11"/>
  <c r="L133" i="11"/>
  <c r="K133" i="11"/>
  <c r="J133" i="11"/>
  <c r="O132" i="11"/>
  <c r="N132" i="11"/>
  <c r="M132" i="11"/>
  <c r="L132" i="11"/>
  <c r="K132" i="11"/>
  <c r="J132" i="11"/>
  <c r="O131" i="11"/>
  <c r="N131" i="11"/>
  <c r="M131" i="11"/>
  <c r="L131" i="11"/>
  <c r="K131" i="11"/>
  <c r="J131" i="11"/>
  <c r="O130" i="11"/>
  <c r="N130" i="11"/>
  <c r="M130" i="11"/>
  <c r="L130" i="11"/>
  <c r="K130" i="11"/>
  <c r="J130" i="11"/>
  <c r="O129" i="11"/>
  <c r="N129" i="11"/>
  <c r="M129" i="11"/>
  <c r="L129" i="11"/>
  <c r="K129" i="11"/>
  <c r="J129" i="11"/>
  <c r="O128" i="11"/>
  <c r="N128" i="11"/>
  <c r="M128" i="11"/>
  <c r="L128" i="11"/>
  <c r="K128" i="11"/>
  <c r="J128" i="11"/>
  <c r="O127" i="11"/>
  <c r="N127" i="11"/>
  <c r="M127" i="11"/>
  <c r="L127" i="11"/>
  <c r="K127" i="11"/>
  <c r="J127" i="11"/>
  <c r="O126" i="11"/>
  <c r="N126" i="11"/>
  <c r="M126" i="11"/>
  <c r="L126" i="11"/>
  <c r="K126" i="11"/>
  <c r="J126" i="11"/>
  <c r="O125" i="11"/>
  <c r="N125" i="11"/>
  <c r="M125" i="11"/>
  <c r="L125" i="11"/>
  <c r="K125" i="11"/>
  <c r="J125" i="11"/>
  <c r="O124" i="11"/>
  <c r="N124" i="11"/>
  <c r="M124" i="11"/>
  <c r="L124" i="11"/>
  <c r="K124" i="11"/>
  <c r="J124" i="11"/>
  <c r="O123" i="11"/>
  <c r="N123" i="11"/>
  <c r="M123" i="11"/>
  <c r="L123" i="11"/>
  <c r="K123" i="11"/>
  <c r="J123" i="11"/>
  <c r="O122" i="11"/>
  <c r="N122" i="11"/>
  <c r="M122" i="11"/>
  <c r="L122" i="11"/>
  <c r="K122" i="11"/>
  <c r="J122" i="11"/>
  <c r="O121" i="11"/>
  <c r="N121" i="11"/>
  <c r="M121" i="11"/>
  <c r="L121" i="11"/>
  <c r="K121" i="11"/>
  <c r="J121" i="11"/>
  <c r="O120" i="11"/>
  <c r="N120" i="11"/>
  <c r="M120" i="11"/>
  <c r="L120" i="11"/>
  <c r="K120" i="11"/>
  <c r="J120" i="11"/>
  <c r="O119" i="11"/>
  <c r="N119" i="11"/>
  <c r="M119" i="11"/>
  <c r="L119" i="11"/>
  <c r="K119" i="11"/>
  <c r="J119" i="11"/>
  <c r="O118" i="11"/>
  <c r="N118" i="11"/>
  <c r="M118" i="11"/>
  <c r="L118" i="11"/>
  <c r="K118" i="11"/>
  <c r="J118" i="11"/>
  <c r="O117" i="11"/>
  <c r="N117" i="11"/>
  <c r="M117" i="11"/>
  <c r="L117" i="11"/>
  <c r="K117" i="11"/>
  <c r="J117" i="11"/>
  <c r="O116" i="11"/>
  <c r="N116" i="11"/>
  <c r="M116" i="11"/>
  <c r="L116" i="11"/>
  <c r="K116" i="11"/>
  <c r="J116" i="11"/>
  <c r="O115" i="11"/>
  <c r="N115" i="11"/>
  <c r="M115" i="11"/>
  <c r="L115" i="11"/>
  <c r="K115" i="11"/>
  <c r="J115" i="11"/>
  <c r="O114" i="11"/>
  <c r="N114" i="11"/>
  <c r="M114" i="11"/>
  <c r="L114" i="11"/>
  <c r="K114" i="11"/>
  <c r="J114" i="11"/>
  <c r="O113" i="11"/>
  <c r="N113" i="11"/>
  <c r="M113" i="11"/>
  <c r="L113" i="11"/>
  <c r="K113" i="11"/>
  <c r="J113" i="11"/>
  <c r="O112" i="11"/>
  <c r="N112" i="11"/>
  <c r="M112" i="11"/>
  <c r="L112" i="11"/>
  <c r="K112" i="11"/>
  <c r="J112" i="11"/>
  <c r="AJ111" i="11"/>
  <c r="AJ112" i="11" s="1"/>
  <c r="AJ113" i="11" s="1"/>
  <c r="O111" i="11"/>
  <c r="N111" i="11"/>
  <c r="M111" i="11"/>
  <c r="L111" i="11"/>
  <c r="K111" i="11"/>
  <c r="J111" i="11"/>
  <c r="O110" i="11"/>
  <c r="N110" i="11"/>
  <c r="M110" i="11"/>
  <c r="L110" i="11"/>
  <c r="K110" i="11"/>
  <c r="J110" i="11"/>
  <c r="O109" i="11"/>
  <c r="N109" i="11"/>
  <c r="M109" i="11"/>
  <c r="L109" i="11"/>
  <c r="K109" i="11"/>
  <c r="J109" i="11"/>
  <c r="AJ108" i="11"/>
  <c r="AJ109" i="11" s="1"/>
  <c r="AJ110" i="11" s="1"/>
  <c r="O108" i="11"/>
  <c r="N108" i="11"/>
  <c r="M108" i="11"/>
  <c r="L108" i="11"/>
  <c r="K108" i="11"/>
  <c r="J108" i="11"/>
  <c r="AJ107" i="11"/>
  <c r="O107" i="11"/>
  <c r="N107" i="11"/>
  <c r="M107" i="11"/>
  <c r="L107" i="11"/>
  <c r="K107" i="11"/>
  <c r="J107" i="11"/>
  <c r="AJ106" i="11"/>
  <c r="O106" i="11"/>
  <c r="N106" i="11"/>
  <c r="M106" i="11"/>
  <c r="L106" i="11"/>
  <c r="K106" i="11"/>
  <c r="J106" i="11"/>
  <c r="O105" i="11"/>
  <c r="N105" i="11"/>
  <c r="M105" i="11"/>
  <c r="L105" i="11"/>
  <c r="K105" i="11"/>
  <c r="J105" i="11"/>
  <c r="O104" i="11"/>
  <c r="N104" i="11"/>
  <c r="M104" i="11"/>
  <c r="L104" i="11"/>
  <c r="K104" i="11"/>
  <c r="J104" i="11"/>
  <c r="O103" i="11"/>
  <c r="N103" i="11"/>
  <c r="M103" i="11"/>
  <c r="L103" i="11"/>
  <c r="K103" i="11"/>
  <c r="J103" i="11"/>
  <c r="O102" i="11"/>
  <c r="N102" i="11"/>
  <c r="M102" i="11"/>
  <c r="L102" i="11"/>
  <c r="K102" i="11"/>
  <c r="J102" i="11"/>
  <c r="O101" i="11"/>
  <c r="N101" i="11"/>
  <c r="M101" i="11"/>
  <c r="L101" i="11"/>
  <c r="K101" i="11"/>
  <c r="J101" i="11"/>
  <c r="AJ100" i="11"/>
  <c r="AJ101" i="11" s="1"/>
  <c r="AJ102" i="11" s="1"/>
  <c r="AJ103" i="11" s="1"/>
  <c r="AJ104" i="11" s="1"/>
  <c r="AJ105" i="11" s="1"/>
  <c r="O100" i="11"/>
  <c r="N100" i="11"/>
  <c r="M100" i="11"/>
  <c r="L100" i="11"/>
  <c r="K100" i="11"/>
  <c r="J100" i="11"/>
  <c r="AJ99" i="11"/>
  <c r="O99" i="11"/>
  <c r="N99" i="11"/>
  <c r="M99" i="11"/>
  <c r="L99" i="11"/>
  <c r="K99" i="11"/>
  <c r="J99" i="11"/>
  <c r="AJ98" i="11"/>
  <c r="O98" i="11"/>
  <c r="N98" i="11"/>
  <c r="M98" i="11"/>
  <c r="L98" i="11"/>
  <c r="K98" i="11"/>
  <c r="J98" i="11"/>
  <c r="O97" i="11"/>
  <c r="N97" i="11"/>
  <c r="M97" i="11"/>
  <c r="L97" i="11"/>
  <c r="K97" i="11"/>
  <c r="J97" i="11"/>
  <c r="O96" i="11"/>
  <c r="N96" i="11"/>
  <c r="M96" i="11"/>
  <c r="L96" i="11"/>
  <c r="K96" i="11"/>
  <c r="J96" i="11"/>
  <c r="AJ95" i="11"/>
  <c r="AJ96" i="11" s="1"/>
  <c r="AJ97" i="11" s="1"/>
  <c r="O95" i="11"/>
  <c r="N95" i="11"/>
  <c r="M95" i="11"/>
  <c r="L95" i="11"/>
  <c r="K95" i="11"/>
  <c r="J95" i="11"/>
  <c r="O94" i="11"/>
  <c r="N94" i="11"/>
  <c r="M94" i="11"/>
  <c r="L94" i="11"/>
  <c r="K94" i="11"/>
  <c r="J94" i="11"/>
  <c r="O93" i="11"/>
  <c r="N93" i="11"/>
  <c r="M93" i="11"/>
  <c r="L93" i="11"/>
  <c r="K93" i="11"/>
  <c r="J93" i="11"/>
  <c r="AJ92" i="11"/>
  <c r="AJ93" i="11" s="1"/>
  <c r="AJ94" i="11" s="1"/>
  <c r="O92" i="11"/>
  <c r="N92" i="11"/>
  <c r="M92" i="11"/>
  <c r="L92" i="11"/>
  <c r="K92" i="11"/>
  <c r="J92" i="11"/>
  <c r="O91" i="11"/>
  <c r="N91" i="11"/>
  <c r="M91" i="11"/>
  <c r="L91" i="11"/>
  <c r="K91" i="11"/>
  <c r="J91" i="11"/>
  <c r="AJ90" i="11"/>
  <c r="AJ91" i="11" s="1"/>
  <c r="O90" i="11"/>
  <c r="N90" i="11"/>
  <c r="M90" i="11"/>
  <c r="L90" i="11"/>
  <c r="K90" i="11"/>
  <c r="J90" i="11"/>
  <c r="O89" i="11"/>
  <c r="N89" i="11"/>
  <c r="M89" i="11"/>
  <c r="L89" i="11"/>
  <c r="K89" i="11"/>
  <c r="J89" i="11"/>
  <c r="O88" i="11"/>
  <c r="N88" i="11"/>
  <c r="M88" i="11"/>
  <c r="L88" i="11"/>
  <c r="K88" i="11"/>
  <c r="J88" i="11"/>
  <c r="O87" i="11"/>
  <c r="N87" i="11"/>
  <c r="M87" i="11"/>
  <c r="L87" i="11"/>
  <c r="K87" i="11"/>
  <c r="J87" i="11"/>
  <c r="O86" i="11"/>
  <c r="N86" i="11"/>
  <c r="M86" i="11"/>
  <c r="L86" i="11"/>
  <c r="K86" i="11"/>
  <c r="J86" i="11"/>
  <c r="O85" i="11"/>
  <c r="N85" i="11"/>
  <c r="M85" i="11"/>
  <c r="L85" i="11"/>
  <c r="K85" i="11"/>
  <c r="J85" i="11"/>
  <c r="AJ84" i="11"/>
  <c r="AJ85" i="11" s="1"/>
  <c r="AJ86" i="11" s="1"/>
  <c r="AJ87" i="11" s="1"/>
  <c r="AJ88" i="11" s="1"/>
  <c r="AJ89" i="11" s="1"/>
  <c r="O84" i="11"/>
  <c r="N84" i="11"/>
  <c r="M84" i="11"/>
  <c r="L84" i="11"/>
  <c r="K84" i="11"/>
  <c r="J84" i="11"/>
  <c r="O83" i="11"/>
  <c r="N83" i="11"/>
  <c r="M83" i="11"/>
  <c r="L83" i="11"/>
  <c r="K83" i="11"/>
  <c r="J83" i="11"/>
  <c r="AJ82" i="11"/>
  <c r="AJ83" i="11" s="1"/>
  <c r="O82" i="11"/>
  <c r="N82" i="11"/>
  <c r="M82" i="11"/>
  <c r="L82" i="11"/>
  <c r="K82" i="11"/>
  <c r="J82" i="11"/>
  <c r="O81" i="11"/>
  <c r="N81" i="11"/>
  <c r="M81" i="11"/>
  <c r="L81" i="11"/>
  <c r="K81" i="11"/>
  <c r="J81" i="11"/>
  <c r="O80" i="11"/>
  <c r="N80" i="11"/>
  <c r="M80" i="11"/>
  <c r="L80" i="11"/>
  <c r="K80" i="11"/>
  <c r="J80" i="11"/>
  <c r="O79" i="11"/>
  <c r="N79" i="11"/>
  <c r="M79" i="11"/>
  <c r="L79" i="11"/>
  <c r="K79" i="11"/>
  <c r="J79" i="11"/>
  <c r="O78" i="11"/>
  <c r="N78" i="11"/>
  <c r="M78" i="11"/>
  <c r="L78" i="11"/>
  <c r="K78" i="11"/>
  <c r="J78" i="11"/>
  <c r="O77" i="11"/>
  <c r="N77" i="11"/>
  <c r="M77" i="11"/>
  <c r="L77" i="11"/>
  <c r="K77" i="11"/>
  <c r="J77" i="11"/>
  <c r="AJ76" i="11"/>
  <c r="AJ77" i="11" s="1"/>
  <c r="AJ78" i="11" s="1"/>
  <c r="AJ79" i="11" s="1"/>
  <c r="AJ80" i="11" s="1"/>
  <c r="AJ81" i="11" s="1"/>
  <c r="O76" i="11"/>
  <c r="N76" i="11"/>
  <c r="M76" i="11"/>
  <c r="L76" i="11"/>
  <c r="K76" i="11"/>
  <c r="J76" i="11"/>
  <c r="AJ75" i="11"/>
  <c r="O75" i="11"/>
  <c r="N75" i="11"/>
  <c r="M75" i="11"/>
  <c r="L75" i="11"/>
  <c r="K75" i="11"/>
  <c r="J75" i="11"/>
  <c r="AJ74" i="11"/>
  <c r="O74" i="11"/>
  <c r="N74" i="11"/>
  <c r="M74" i="11"/>
  <c r="L74" i="11"/>
  <c r="K74" i="11"/>
  <c r="J74" i="11"/>
  <c r="AJ73" i="11"/>
  <c r="O73" i="11"/>
  <c r="N73" i="11"/>
  <c r="M73" i="11"/>
  <c r="L73" i="11"/>
  <c r="K73" i="11"/>
  <c r="J73" i="11"/>
  <c r="O72" i="11"/>
  <c r="N72" i="11"/>
  <c r="M72" i="11"/>
  <c r="L72" i="11"/>
  <c r="K72" i="11"/>
  <c r="J72" i="11"/>
  <c r="O71" i="11"/>
  <c r="N71" i="11"/>
  <c r="M71" i="11"/>
  <c r="L71" i="11"/>
  <c r="K71" i="11"/>
  <c r="J71" i="11"/>
  <c r="O70" i="11"/>
  <c r="N70" i="11"/>
  <c r="M70" i="11"/>
  <c r="L70" i="11"/>
  <c r="K70" i="11"/>
  <c r="J70" i="11"/>
  <c r="O69" i="11"/>
  <c r="N69" i="11"/>
  <c r="M69" i="11"/>
  <c r="L69" i="11"/>
  <c r="K69" i="11"/>
  <c r="J69" i="11"/>
  <c r="AJ68" i="11"/>
  <c r="AJ69" i="11" s="1"/>
  <c r="AJ70" i="11" s="1"/>
  <c r="AJ71" i="11" s="1"/>
  <c r="AJ72" i="11" s="1"/>
  <c r="O68" i="11"/>
  <c r="N68" i="11"/>
  <c r="M68" i="11"/>
  <c r="L68" i="11"/>
  <c r="K68" i="11"/>
  <c r="J68" i="11"/>
  <c r="AJ67" i="11"/>
  <c r="O67" i="11"/>
  <c r="N67" i="11"/>
  <c r="M67" i="11"/>
  <c r="L67" i="11"/>
  <c r="K67" i="11"/>
  <c r="J67" i="11"/>
  <c r="AJ66" i="11"/>
  <c r="O66" i="11"/>
  <c r="N66" i="11"/>
  <c r="M66" i="11"/>
  <c r="L66" i="11"/>
  <c r="K66" i="11"/>
  <c r="J66" i="11"/>
  <c r="O65" i="11"/>
  <c r="N65" i="11"/>
  <c r="M65" i="11"/>
  <c r="L65" i="11"/>
  <c r="K65" i="11"/>
  <c r="J65" i="11"/>
  <c r="AJ64" i="11"/>
  <c r="AJ65" i="11" s="1"/>
  <c r="O64" i="11"/>
  <c r="N64" i="11"/>
  <c r="M64" i="11"/>
  <c r="L64" i="11"/>
  <c r="K64" i="11"/>
  <c r="J64" i="11"/>
  <c r="O63" i="11"/>
  <c r="N63" i="11"/>
  <c r="M63" i="11"/>
  <c r="L63" i="11"/>
  <c r="K63" i="11"/>
  <c r="J63" i="11"/>
  <c r="O62" i="11"/>
  <c r="N62" i="11"/>
  <c r="M62" i="11"/>
  <c r="L62" i="11"/>
  <c r="K62" i="11"/>
  <c r="J62" i="11"/>
  <c r="O61" i="11"/>
  <c r="N61" i="11"/>
  <c r="M61" i="11"/>
  <c r="L61" i="11"/>
  <c r="K61" i="11"/>
  <c r="J61" i="11"/>
  <c r="AJ60" i="11"/>
  <c r="AJ61" i="11" s="1"/>
  <c r="AJ62" i="11" s="1"/>
  <c r="AJ63" i="11" s="1"/>
  <c r="O60" i="11"/>
  <c r="N60" i="11"/>
  <c r="M60" i="11"/>
  <c r="L60" i="11"/>
  <c r="K60" i="11"/>
  <c r="J60" i="11"/>
  <c r="O59" i="11"/>
  <c r="N59" i="11"/>
  <c r="M59" i="11"/>
  <c r="L59" i="11"/>
  <c r="K59" i="11"/>
  <c r="J59" i="11"/>
  <c r="AJ58" i="11"/>
  <c r="AJ59" i="11" s="1"/>
  <c r="O58" i="11"/>
  <c r="N58" i="11"/>
  <c r="M58" i="11"/>
  <c r="L58" i="11"/>
  <c r="K58" i="11"/>
  <c r="J58" i="11"/>
  <c r="O57" i="11"/>
  <c r="N57" i="11"/>
  <c r="M57" i="11"/>
  <c r="L57" i="11"/>
  <c r="K57" i="11"/>
  <c r="J57" i="11"/>
  <c r="O56" i="11"/>
  <c r="N56" i="11"/>
  <c r="M56" i="11"/>
  <c r="L56" i="11"/>
  <c r="K56" i="11"/>
  <c r="J56" i="11"/>
  <c r="O55" i="11"/>
  <c r="N55" i="11"/>
  <c r="M55" i="11"/>
  <c r="L55" i="11"/>
  <c r="K55" i="11"/>
  <c r="J55" i="11"/>
  <c r="O54" i="11"/>
  <c r="N54" i="11"/>
  <c r="M54" i="11"/>
  <c r="L54" i="11"/>
  <c r="K54" i="11"/>
  <c r="J54" i="11"/>
  <c r="O53" i="11"/>
  <c r="N53" i="11"/>
  <c r="M53" i="11"/>
  <c r="L53" i="11"/>
  <c r="K53" i="11"/>
  <c r="J53" i="11"/>
  <c r="O52" i="11"/>
  <c r="N52" i="11"/>
  <c r="M52" i="11"/>
  <c r="L52" i="11"/>
  <c r="K52" i="11"/>
  <c r="J52" i="11"/>
  <c r="O51" i="11"/>
  <c r="N51" i="11"/>
  <c r="M51" i="11"/>
  <c r="L51" i="11"/>
  <c r="K51" i="11"/>
  <c r="J51" i="11"/>
  <c r="AJ50" i="11"/>
  <c r="AJ51" i="11" s="1"/>
  <c r="AJ52" i="11" s="1"/>
  <c r="AJ53" i="11" s="1"/>
  <c r="AJ54" i="11" s="1"/>
  <c r="AJ55" i="11" s="1"/>
  <c r="AJ56" i="11" s="1"/>
  <c r="AJ57" i="11" s="1"/>
  <c r="O50" i="11"/>
  <c r="N50" i="11"/>
  <c r="M50" i="11"/>
  <c r="L50" i="11"/>
  <c r="K50" i="11"/>
  <c r="J50" i="11"/>
  <c r="O49" i="11"/>
  <c r="N49" i="11"/>
  <c r="M49" i="11"/>
  <c r="L49" i="11"/>
  <c r="K49" i="11"/>
  <c r="J49" i="11"/>
  <c r="O48" i="11"/>
  <c r="N48" i="11"/>
  <c r="M48" i="11"/>
  <c r="L48" i="11"/>
  <c r="K48" i="11"/>
  <c r="J48" i="11"/>
  <c r="O47" i="11"/>
  <c r="N47" i="11"/>
  <c r="M47" i="11"/>
  <c r="L47" i="11"/>
  <c r="K47" i="11"/>
  <c r="J47" i="11"/>
  <c r="O46" i="11"/>
  <c r="N46" i="11"/>
  <c r="M46" i="11"/>
  <c r="L46" i="11"/>
  <c r="K46" i="11"/>
  <c r="J46" i="11"/>
  <c r="O45" i="11"/>
  <c r="N45" i="11"/>
  <c r="M45" i="11"/>
  <c r="L45" i="11"/>
  <c r="K45" i="11"/>
  <c r="J45" i="11"/>
  <c r="O44" i="11"/>
  <c r="N44" i="11"/>
  <c r="M44" i="11"/>
  <c r="L44" i="11"/>
  <c r="K44" i="11"/>
  <c r="J44" i="11"/>
  <c r="O43" i="11"/>
  <c r="N43" i="11"/>
  <c r="M43" i="11"/>
  <c r="L43" i="11"/>
  <c r="K43" i="11"/>
  <c r="J43" i="11"/>
  <c r="AJ42" i="11"/>
  <c r="AJ43" i="11" s="1"/>
  <c r="AJ44" i="11" s="1"/>
  <c r="AJ45" i="11" s="1"/>
  <c r="AJ46" i="11" s="1"/>
  <c r="AJ47" i="11" s="1"/>
  <c r="AJ48" i="11" s="1"/>
  <c r="AJ49" i="11" s="1"/>
  <c r="O42" i="11"/>
  <c r="N42" i="11"/>
  <c r="M42" i="11"/>
  <c r="L42" i="11"/>
  <c r="K42" i="11"/>
  <c r="J42" i="11"/>
  <c r="O41" i="11"/>
  <c r="N41" i="11"/>
  <c r="M41" i="11"/>
  <c r="L41" i="11"/>
  <c r="K41" i="11"/>
  <c r="J41" i="11"/>
  <c r="O40" i="11"/>
  <c r="N40" i="11"/>
  <c r="M40" i="11"/>
  <c r="L40" i="11"/>
  <c r="K40" i="11"/>
  <c r="J40" i="11"/>
  <c r="O39" i="11"/>
  <c r="N39" i="11"/>
  <c r="M39" i="11"/>
  <c r="L39" i="11"/>
  <c r="K39" i="11"/>
  <c r="J39" i="11"/>
  <c r="O38" i="11"/>
  <c r="N38" i="11"/>
  <c r="M38" i="11"/>
  <c r="L38" i="11"/>
  <c r="K38" i="11"/>
  <c r="J38" i="11"/>
  <c r="AJ37" i="11"/>
  <c r="AJ38" i="11" s="1"/>
  <c r="AJ39" i="11" s="1"/>
  <c r="AJ40" i="11" s="1"/>
  <c r="AJ41" i="11" s="1"/>
  <c r="O37" i="11"/>
  <c r="N37" i="11"/>
  <c r="M37" i="11"/>
  <c r="L37" i="11"/>
  <c r="K37" i="11"/>
  <c r="J37" i="11"/>
  <c r="O36" i="11"/>
  <c r="N36" i="11"/>
  <c r="M36" i="11"/>
  <c r="L36" i="11"/>
  <c r="K36" i="11"/>
  <c r="J36" i="11"/>
  <c r="AR35" i="11"/>
  <c r="AJ35" i="11"/>
  <c r="AJ36" i="11" s="1"/>
  <c r="O35" i="11"/>
  <c r="N35" i="11"/>
  <c r="M35" i="11"/>
  <c r="L35" i="11"/>
  <c r="K35" i="11"/>
  <c r="J35" i="11"/>
  <c r="AJ34" i="11"/>
  <c r="O34" i="11"/>
  <c r="N34" i="11"/>
  <c r="M34" i="11"/>
  <c r="L34" i="11"/>
  <c r="K34" i="11"/>
  <c r="J34" i="11"/>
  <c r="AR33" i="11"/>
  <c r="O33" i="11"/>
  <c r="N33" i="11"/>
  <c r="M33" i="11"/>
  <c r="L33" i="11"/>
  <c r="K33" i="11"/>
  <c r="J33" i="11"/>
  <c r="AR32" i="11"/>
  <c r="O32" i="11"/>
  <c r="N32" i="11"/>
  <c r="M32" i="11"/>
  <c r="L32" i="11"/>
  <c r="K32" i="11"/>
  <c r="J32" i="11"/>
  <c r="O31" i="11"/>
  <c r="N31" i="11"/>
  <c r="M31" i="11"/>
  <c r="L31" i="11"/>
  <c r="K31" i="11"/>
  <c r="J31" i="11"/>
  <c r="O30" i="11"/>
  <c r="N30" i="11"/>
  <c r="M30" i="11"/>
  <c r="L30" i="11"/>
  <c r="K30" i="11"/>
  <c r="J30" i="11"/>
  <c r="AJ29" i="11"/>
  <c r="AJ30" i="11" s="1"/>
  <c r="AJ31" i="11" s="1"/>
  <c r="AJ32" i="11" s="1"/>
  <c r="AJ33" i="11" s="1"/>
  <c r="O29" i="11"/>
  <c r="N29" i="11"/>
  <c r="M29" i="11"/>
  <c r="L29" i="11"/>
  <c r="K29" i="11"/>
  <c r="J29" i="11"/>
  <c r="O28" i="11"/>
  <c r="N28" i="11"/>
  <c r="M28" i="11"/>
  <c r="L28" i="11"/>
  <c r="K28" i="11"/>
  <c r="J28" i="11"/>
  <c r="O27" i="11"/>
  <c r="N27" i="11"/>
  <c r="M27" i="11"/>
  <c r="L27" i="11"/>
  <c r="K27" i="11"/>
  <c r="J27" i="11"/>
  <c r="AJ26" i="11"/>
  <c r="AJ27" i="11" s="1"/>
  <c r="AJ28" i="11" s="1"/>
  <c r="O26" i="11"/>
  <c r="N26" i="11"/>
  <c r="M26" i="11"/>
  <c r="L26" i="11"/>
  <c r="K26" i="11"/>
  <c r="J26" i="11"/>
  <c r="O25" i="11"/>
  <c r="N25" i="11"/>
  <c r="M25" i="11"/>
  <c r="L25" i="11"/>
  <c r="K25" i="11"/>
  <c r="J25" i="11"/>
  <c r="O24" i="11"/>
  <c r="N24" i="11"/>
  <c r="M24" i="11"/>
  <c r="L24" i="11"/>
  <c r="K24" i="11"/>
  <c r="J24" i="11"/>
  <c r="O23" i="11"/>
  <c r="N23" i="11"/>
  <c r="M23" i="11"/>
  <c r="L23" i="11"/>
  <c r="K23" i="11"/>
  <c r="J23" i="11"/>
  <c r="AR22" i="11"/>
  <c r="W22" i="11"/>
  <c r="V22" i="11"/>
  <c r="U22" i="11"/>
  <c r="T22" i="11"/>
  <c r="S22" i="11"/>
  <c r="R22" i="11"/>
  <c r="O22" i="11"/>
  <c r="N22" i="11"/>
  <c r="M22" i="11"/>
  <c r="L22" i="11"/>
  <c r="K22" i="11"/>
  <c r="J22" i="11"/>
  <c r="AR21" i="11"/>
  <c r="AR34" i="11" s="1"/>
  <c r="W21" i="11"/>
  <c r="V21" i="11"/>
  <c r="U21" i="11"/>
  <c r="T21" i="11"/>
  <c r="S21" i="11"/>
  <c r="R21" i="11"/>
  <c r="O21" i="11"/>
  <c r="N21" i="11"/>
  <c r="M21" i="11"/>
  <c r="L21" i="11"/>
  <c r="K21" i="11"/>
  <c r="J21" i="11"/>
  <c r="AR20" i="11"/>
  <c r="Q20" i="11"/>
  <c r="W20" i="11" s="1"/>
  <c r="O20" i="11"/>
  <c r="N20" i="11"/>
  <c r="M20" i="11"/>
  <c r="L20" i="11"/>
  <c r="K20" i="11"/>
  <c r="J20" i="11"/>
  <c r="AR19" i="11"/>
  <c r="R19" i="11"/>
  <c r="Q19" i="11"/>
  <c r="W19" i="11" s="1"/>
  <c r="O19" i="11"/>
  <c r="N19" i="11"/>
  <c r="M19" i="11"/>
  <c r="L19" i="11"/>
  <c r="K19" i="11"/>
  <c r="J19" i="11"/>
  <c r="AR18" i="11"/>
  <c r="AR31" i="11" s="1"/>
  <c r="AJ18" i="11"/>
  <c r="AJ19" i="11" s="1"/>
  <c r="AJ20" i="11" s="1"/>
  <c r="AJ21" i="11" s="1"/>
  <c r="AJ22" i="11" s="1"/>
  <c r="AJ23" i="11" s="1"/>
  <c r="AJ24" i="11" s="1"/>
  <c r="AJ25" i="11" s="1"/>
  <c r="Q18" i="11"/>
  <c r="O18" i="11"/>
  <c r="N18" i="11"/>
  <c r="M18" i="11"/>
  <c r="L18" i="11"/>
  <c r="K18" i="11"/>
  <c r="J18" i="11"/>
  <c r="AR17" i="11"/>
  <c r="AR30" i="11" s="1"/>
  <c r="Y17" i="11"/>
  <c r="Y18" i="11" s="1"/>
  <c r="Y19" i="11" s="1"/>
  <c r="W17" i="11"/>
  <c r="Q17" i="11"/>
  <c r="V17" i="11" s="1"/>
  <c r="O17" i="11"/>
  <c r="N17" i="11"/>
  <c r="M17" i="11"/>
  <c r="L17" i="11"/>
  <c r="K17" i="11"/>
  <c r="J17" i="11"/>
  <c r="AR16" i="11"/>
  <c r="AR29" i="11" s="1"/>
  <c r="W16" i="11"/>
  <c r="V16" i="11"/>
  <c r="Q16" i="11"/>
  <c r="U16" i="11" s="1"/>
  <c r="O16" i="11"/>
  <c r="N16" i="11"/>
  <c r="M16" i="11"/>
  <c r="L16" i="11"/>
  <c r="K16" i="11"/>
  <c r="J16" i="11"/>
  <c r="AR15" i="11"/>
  <c r="AR28" i="11" s="1"/>
  <c r="W15" i="11"/>
  <c r="V15" i="11"/>
  <c r="U15" i="11"/>
  <c r="Q15" i="11"/>
  <c r="T15" i="11" s="1"/>
  <c r="O15" i="11"/>
  <c r="N15" i="11"/>
  <c r="M15" i="11"/>
  <c r="L15" i="11"/>
  <c r="K15" i="11"/>
  <c r="J15" i="11"/>
  <c r="AR14" i="11"/>
  <c r="AR27" i="11" s="1"/>
  <c r="W14" i="11"/>
  <c r="V14" i="11"/>
  <c r="U14" i="11"/>
  <c r="T14" i="11"/>
  <c r="S14" i="11"/>
  <c r="R14" i="11"/>
  <c r="Q14" i="11"/>
  <c r="O14" i="11"/>
  <c r="N14" i="11"/>
  <c r="M14" i="11"/>
  <c r="L14" i="11"/>
  <c r="K14" i="11"/>
  <c r="J14" i="11"/>
  <c r="AR13" i="11"/>
  <c r="AR26" i="11" s="1"/>
  <c r="W13" i="11"/>
  <c r="V13" i="11"/>
  <c r="U13" i="11"/>
  <c r="T13" i="11"/>
  <c r="S13" i="11"/>
  <c r="Q13" i="11"/>
  <c r="R13" i="11" s="1"/>
  <c r="O13" i="11"/>
  <c r="N13" i="11"/>
  <c r="M13" i="11"/>
  <c r="L13" i="11"/>
  <c r="K13" i="11"/>
  <c r="J13" i="11"/>
  <c r="AR12" i="11"/>
  <c r="AR25" i="11" s="1"/>
  <c r="W12" i="11"/>
  <c r="V12" i="11"/>
  <c r="U12" i="11"/>
  <c r="T12" i="11"/>
  <c r="S12" i="11"/>
  <c r="R12" i="11"/>
  <c r="Q12" i="11"/>
  <c r="O12" i="11"/>
  <c r="N12" i="11"/>
  <c r="M12" i="11"/>
  <c r="L12" i="11"/>
  <c r="K12" i="11"/>
  <c r="J12" i="11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AR11" i="11"/>
  <c r="AR24" i="11" s="1"/>
  <c r="Y11" i="11"/>
  <c r="Y12" i="11" s="1"/>
  <c r="Y13" i="11" s="1"/>
  <c r="Y14" i="11" s="1"/>
  <c r="Y15" i="11" s="1"/>
  <c r="Y16" i="11" s="1"/>
  <c r="Q11" i="11"/>
  <c r="O11" i="11"/>
  <c r="N11" i="11"/>
  <c r="M11" i="11"/>
  <c r="L11" i="11"/>
  <c r="K11" i="11"/>
  <c r="J11" i="11"/>
  <c r="B11" i="11"/>
  <c r="AR10" i="11"/>
  <c r="AR23" i="11" s="1"/>
  <c r="AJ10" i="11"/>
  <c r="Y10" i="11"/>
  <c r="Q10" i="11"/>
  <c r="O10" i="11"/>
  <c r="N10" i="11"/>
  <c r="M10" i="11"/>
  <c r="L10" i="11"/>
  <c r="K10" i="11"/>
  <c r="J10" i="11"/>
  <c r="E9" i="11"/>
  <c r="L9" i="11" s="1"/>
  <c r="D9" i="11"/>
  <c r="B9" i="11"/>
  <c r="O135" i="10"/>
  <c r="N135" i="10"/>
  <c r="M135" i="10"/>
  <c r="L135" i="10"/>
  <c r="K135" i="10"/>
  <c r="J135" i="10"/>
  <c r="O134" i="10"/>
  <c r="N134" i="10"/>
  <c r="M134" i="10"/>
  <c r="L134" i="10"/>
  <c r="K134" i="10"/>
  <c r="J134" i="10"/>
  <c r="O133" i="10"/>
  <c r="N133" i="10"/>
  <c r="M133" i="10"/>
  <c r="L133" i="10"/>
  <c r="K133" i="10"/>
  <c r="J133" i="10"/>
  <c r="O132" i="10"/>
  <c r="N132" i="10"/>
  <c r="M132" i="10"/>
  <c r="L132" i="10"/>
  <c r="K132" i="10"/>
  <c r="J132" i="10"/>
  <c r="O131" i="10"/>
  <c r="N131" i="10"/>
  <c r="M131" i="10"/>
  <c r="L131" i="10"/>
  <c r="K131" i="10"/>
  <c r="J131" i="10"/>
  <c r="O130" i="10"/>
  <c r="N130" i="10"/>
  <c r="M130" i="10"/>
  <c r="L130" i="10"/>
  <c r="K130" i="10"/>
  <c r="J130" i="10"/>
  <c r="O129" i="10"/>
  <c r="N129" i="10"/>
  <c r="M129" i="10"/>
  <c r="L129" i="10"/>
  <c r="K129" i="10"/>
  <c r="J129" i="10"/>
  <c r="O128" i="10"/>
  <c r="N128" i="10"/>
  <c r="M128" i="10"/>
  <c r="L128" i="10"/>
  <c r="K128" i="10"/>
  <c r="J128" i="10"/>
  <c r="O127" i="10"/>
  <c r="N127" i="10"/>
  <c r="M127" i="10"/>
  <c r="L127" i="10"/>
  <c r="K127" i="10"/>
  <c r="J127" i="10"/>
  <c r="O126" i="10"/>
  <c r="N126" i="10"/>
  <c r="M126" i="10"/>
  <c r="L126" i="10"/>
  <c r="K126" i="10"/>
  <c r="J126" i="10"/>
  <c r="O125" i="10"/>
  <c r="N125" i="10"/>
  <c r="M125" i="10"/>
  <c r="L125" i="10"/>
  <c r="K125" i="10"/>
  <c r="J125" i="10"/>
  <c r="O124" i="10"/>
  <c r="N124" i="10"/>
  <c r="M124" i="10"/>
  <c r="L124" i="10"/>
  <c r="K124" i="10"/>
  <c r="J124" i="10"/>
  <c r="O123" i="10"/>
  <c r="N123" i="10"/>
  <c r="M123" i="10"/>
  <c r="L123" i="10"/>
  <c r="K123" i="10"/>
  <c r="J123" i="10"/>
  <c r="O122" i="10"/>
  <c r="N122" i="10"/>
  <c r="M122" i="10"/>
  <c r="L122" i="10"/>
  <c r="K122" i="10"/>
  <c r="J122" i="10"/>
  <c r="O121" i="10"/>
  <c r="N121" i="10"/>
  <c r="M121" i="10"/>
  <c r="L121" i="10"/>
  <c r="K121" i="10"/>
  <c r="J121" i="10"/>
  <c r="O120" i="10"/>
  <c r="N120" i="10"/>
  <c r="M120" i="10"/>
  <c r="L120" i="10"/>
  <c r="K120" i="10"/>
  <c r="J120" i="10"/>
  <c r="O119" i="10"/>
  <c r="N119" i="10"/>
  <c r="M119" i="10"/>
  <c r="L119" i="10"/>
  <c r="K119" i="10"/>
  <c r="J119" i="10"/>
  <c r="O118" i="10"/>
  <c r="N118" i="10"/>
  <c r="M118" i="10"/>
  <c r="L118" i="10"/>
  <c r="K118" i="10"/>
  <c r="J118" i="10"/>
  <c r="O117" i="10"/>
  <c r="N117" i="10"/>
  <c r="M117" i="10"/>
  <c r="L117" i="10"/>
  <c r="K117" i="10"/>
  <c r="J117" i="10"/>
  <c r="O116" i="10"/>
  <c r="N116" i="10"/>
  <c r="M116" i="10"/>
  <c r="L116" i="10"/>
  <c r="K116" i="10"/>
  <c r="J116" i="10"/>
  <c r="O115" i="10"/>
  <c r="N115" i="10"/>
  <c r="M115" i="10"/>
  <c r="L115" i="10"/>
  <c r="K115" i="10"/>
  <c r="J115" i="10"/>
  <c r="O114" i="10"/>
  <c r="N114" i="10"/>
  <c r="M114" i="10"/>
  <c r="L114" i="10"/>
  <c r="K114" i="10"/>
  <c r="J114" i="10"/>
  <c r="O113" i="10"/>
  <c r="N113" i="10"/>
  <c r="M113" i="10"/>
  <c r="L113" i="10"/>
  <c r="K113" i="10"/>
  <c r="J113" i="10"/>
  <c r="O112" i="10"/>
  <c r="N112" i="10"/>
  <c r="M112" i="10"/>
  <c r="L112" i="10"/>
  <c r="K112" i="10"/>
  <c r="J112" i="10"/>
  <c r="O111" i="10"/>
  <c r="N111" i="10"/>
  <c r="M111" i="10"/>
  <c r="L111" i="10"/>
  <c r="K111" i="10"/>
  <c r="J111" i="10"/>
  <c r="O110" i="10"/>
  <c r="N110" i="10"/>
  <c r="M110" i="10"/>
  <c r="L110" i="10"/>
  <c r="K110" i="10"/>
  <c r="J110" i="10"/>
  <c r="AJ109" i="10"/>
  <c r="AJ110" i="10" s="1"/>
  <c r="AJ111" i="10" s="1"/>
  <c r="AJ112" i="10" s="1"/>
  <c r="AJ113" i="10" s="1"/>
  <c r="O109" i="10"/>
  <c r="N109" i="10"/>
  <c r="M109" i="10"/>
  <c r="L109" i="10"/>
  <c r="K109" i="10"/>
  <c r="J109" i="10"/>
  <c r="O108" i="10"/>
  <c r="N108" i="10"/>
  <c r="M108" i="10"/>
  <c r="L108" i="10"/>
  <c r="K108" i="10"/>
  <c r="J108" i="10"/>
  <c r="AJ107" i="10"/>
  <c r="AJ108" i="10" s="1"/>
  <c r="O107" i="10"/>
  <c r="N107" i="10"/>
  <c r="M107" i="10"/>
  <c r="L107" i="10"/>
  <c r="K107" i="10"/>
  <c r="J107" i="10"/>
  <c r="AJ106" i="10"/>
  <c r="O106" i="10"/>
  <c r="N106" i="10"/>
  <c r="M106" i="10"/>
  <c r="L106" i="10"/>
  <c r="K106" i="10"/>
  <c r="J106" i="10"/>
  <c r="O105" i="10"/>
  <c r="N105" i="10"/>
  <c r="M105" i="10"/>
  <c r="L105" i="10"/>
  <c r="K105" i="10"/>
  <c r="J105" i="10"/>
  <c r="O104" i="10"/>
  <c r="N104" i="10"/>
  <c r="M104" i="10"/>
  <c r="L104" i="10"/>
  <c r="K104" i="10"/>
  <c r="J104" i="10"/>
  <c r="O103" i="10"/>
  <c r="N103" i="10"/>
  <c r="M103" i="10"/>
  <c r="L103" i="10"/>
  <c r="K103" i="10"/>
  <c r="J103" i="10"/>
  <c r="O102" i="10"/>
  <c r="N102" i="10"/>
  <c r="M102" i="10"/>
  <c r="L102" i="10"/>
  <c r="K102" i="10"/>
  <c r="J102" i="10"/>
  <c r="O101" i="10"/>
  <c r="N101" i="10"/>
  <c r="M101" i="10"/>
  <c r="L101" i="10"/>
  <c r="K101" i="10"/>
  <c r="J101" i="10"/>
  <c r="O100" i="10"/>
  <c r="N100" i="10"/>
  <c r="M100" i="10"/>
  <c r="L100" i="10"/>
  <c r="K100" i="10"/>
  <c r="J100" i="10"/>
  <c r="O99" i="10"/>
  <c r="N99" i="10"/>
  <c r="M99" i="10"/>
  <c r="L99" i="10"/>
  <c r="K99" i="10"/>
  <c r="J99" i="10"/>
  <c r="AJ98" i="10"/>
  <c r="AJ99" i="10" s="1"/>
  <c r="AJ100" i="10" s="1"/>
  <c r="AJ101" i="10" s="1"/>
  <c r="AJ102" i="10" s="1"/>
  <c r="AJ103" i="10" s="1"/>
  <c r="AJ104" i="10" s="1"/>
  <c r="AJ105" i="10" s="1"/>
  <c r="O98" i="10"/>
  <c r="N98" i="10"/>
  <c r="M98" i="10"/>
  <c r="L98" i="10"/>
  <c r="K98" i="10"/>
  <c r="J98" i="10"/>
  <c r="O97" i="10"/>
  <c r="N97" i="10"/>
  <c r="M97" i="10"/>
  <c r="L97" i="10"/>
  <c r="K97" i="10"/>
  <c r="J97" i="10"/>
  <c r="O96" i="10"/>
  <c r="N96" i="10"/>
  <c r="M96" i="10"/>
  <c r="L96" i="10"/>
  <c r="K96" i="10"/>
  <c r="J96" i="10"/>
  <c r="O95" i="10"/>
  <c r="N95" i="10"/>
  <c r="M95" i="10"/>
  <c r="L95" i="10"/>
  <c r="K95" i="10"/>
  <c r="J95" i="10"/>
  <c r="O94" i="10"/>
  <c r="N94" i="10"/>
  <c r="M94" i="10"/>
  <c r="L94" i="10"/>
  <c r="K94" i="10"/>
  <c r="J94" i="10"/>
  <c r="AJ93" i="10"/>
  <c r="AJ94" i="10" s="1"/>
  <c r="AJ95" i="10" s="1"/>
  <c r="AJ96" i="10" s="1"/>
  <c r="AJ97" i="10" s="1"/>
  <c r="O93" i="10"/>
  <c r="N93" i="10"/>
  <c r="M93" i="10"/>
  <c r="L93" i="10"/>
  <c r="K93" i="10"/>
  <c r="J93" i="10"/>
  <c r="O92" i="10"/>
  <c r="N92" i="10"/>
  <c r="M92" i="10"/>
  <c r="L92" i="10"/>
  <c r="K92" i="10"/>
  <c r="J92" i="10"/>
  <c r="AJ91" i="10"/>
  <c r="AJ92" i="10" s="1"/>
  <c r="O91" i="10"/>
  <c r="N91" i="10"/>
  <c r="M91" i="10"/>
  <c r="L91" i="10"/>
  <c r="K91" i="10"/>
  <c r="J91" i="10"/>
  <c r="AJ90" i="10"/>
  <c r="O90" i="10"/>
  <c r="N90" i="10"/>
  <c r="M90" i="10"/>
  <c r="L90" i="10"/>
  <c r="K90" i="10"/>
  <c r="J90" i="10"/>
  <c r="O89" i="10"/>
  <c r="N89" i="10"/>
  <c r="M89" i="10"/>
  <c r="L89" i="10"/>
  <c r="K89" i="10"/>
  <c r="J89" i="10"/>
  <c r="O88" i="10"/>
  <c r="N88" i="10"/>
  <c r="M88" i="10"/>
  <c r="L88" i="10"/>
  <c r="K88" i="10"/>
  <c r="J88" i="10"/>
  <c r="O87" i="10"/>
  <c r="N87" i="10"/>
  <c r="M87" i="10"/>
  <c r="L87" i="10"/>
  <c r="K87" i="10"/>
  <c r="J87" i="10"/>
  <c r="O86" i="10"/>
  <c r="N86" i="10"/>
  <c r="M86" i="10"/>
  <c r="L86" i="10"/>
  <c r="K86" i="10"/>
  <c r="J86" i="10"/>
  <c r="O85" i="10"/>
  <c r="N85" i="10"/>
  <c r="M85" i="10"/>
  <c r="L85" i="10"/>
  <c r="K85" i="10"/>
  <c r="J85" i="10"/>
  <c r="AJ84" i="10"/>
  <c r="AJ85" i="10" s="1"/>
  <c r="AJ86" i="10" s="1"/>
  <c r="AJ87" i="10" s="1"/>
  <c r="AJ88" i="10" s="1"/>
  <c r="AJ89" i="10" s="1"/>
  <c r="O84" i="10"/>
  <c r="N84" i="10"/>
  <c r="M84" i="10"/>
  <c r="L84" i="10"/>
  <c r="K84" i="10"/>
  <c r="J84" i="10"/>
  <c r="AJ83" i="10"/>
  <c r="O83" i="10"/>
  <c r="N83" i="10"/>
  <c r="M83" i="10"/>
  <c r="L83" i="10"/>
  <c r="K83" i="10"/>
  <c r="J83" i="10"/>
  <c r="AJ82" i="10"/>
  <c r="O82" i="10"/>
  <c r="N82" i="10"/>
  <c r="M82" i="10"/>
  <c r="L82" i="10"/>
  <c r="K82" i="10"/>
  <c r="J82" i="10"/>
  <c r="O81" i="10"/>
  <c r="N81" i="10"/>
  <c r="M81" i="10"/>
  <c r="L81" i="10"/>
  <c r="K81" i="10"/>
  <c r="J81" i="10"/>
  <c r="O80" i="10"/>
  <c r="N80" i="10"/>
  <c r="M80" i="10"/>
  <c r="L80" i="10"/>
  <c r="K80" i="10"/>
  <c r="J80" i="10"/>
  <c r="O79" i="10"/>
  <c r="N79" i="10"/>
  <c r="M79" i="10"/>
  <c r="L79" i="10"/>
  <c r="K79" i="10"/>
  <c r="J79" i="10"/>
  <c r="O78" i="10"/>
  <c r="N78" i="10"/>
  <c r="M78" i="10"/>
  <c r="L78" i="10"/>
  <c r="K78" i="10"/>
  <c r="J78" i="10"/>
  <c r="O77" i="10"/>
  <c r="N77" i="10"/>
  <c r="M77" i="10"/>
  <c r="L77" i="10"/>
  <c r="K77" i="10"/>
  <c r="J77" i="10"/>
  <c r="O76" i="10"/>
  <c r="N76" i="10"/>
  <c r="M76" i="10"/>
  <c r="L76" i="10"/>
  <c r="K76" i="10"/>
  <c r="J76" i="10"/>
  <c r="AJ75" i="10"/>
  <c r="AJ76" i="10" s="1"/>
  <c r="AJ77" i="10" s="1"/>
  <c r="AJ78" i="10" s="1"/>
  <c r="AJ79" i="10" s="1"/>
  <c r="AJ80" i="10" s="1"/>
  <c r="AJ81" i="10" s="1"/>
  <c r="O75" i="10"/>
  <c r="N75" i="10"/>
  <c r="M75" i="10"/>
  <c r="L75" i="10"/>
  <c r="K75" i="10"/>
  <c r="J75" i="10"/>
  <c r="AJ74" i="10"/>
  <c r="O74" i="10"/>
  <c r="N74" i="10"/>
  <c r="M74" i="10"/>
  <c r="L74" i="10"/>
  <c r="K74" i="10"/>
  <c r="J74" i="10"/>
  <c r="AJ73" i="10"/>
  <c r="O73" i="10"/>
  <c r="N73" i="10"/>
  <c r="M73" i="10"/>
  <c r="L73" i="10"/>
  <c r="K73" i="10"/>
  <c r="J73" i="10"/>
  <c r="O72" i="10"/>
  <c r="N72" i="10"/>
  <c r="M72" i="10"/>
  <c r="L72" i="10"/>
  <c r="K72" i="10"/>
  <c r="J72" i="10"/>
  <c r="O71" i="10"/>
  <c r="N71" i="10"/>
  <c r="M71" i="10"/>
  <c r="L71" i="10"/>
  <c r="K71" i="10"/>
  <c r="J71" i="10"/>
  <c r="O70" i="10"/>
  <c r="N70" i="10"/>
  <c r="M70" i="10"/>
  <c r="L70" i="10"/>
  <c r="K70" i="10"/>
  <c r="J70" i="10"/>
  <c r="O69" i="10"/>
  <c r="N69" i="10"/>
  <c r="M69" i="10"/>
  <c r="L69" i="10"/>
  <c r="K69" i="10"/>
  <c r="J69" i="10"/>
  <c r="O68" i="10"/>
  <c r="N68" i="10"/>
  <c r="M68" i="10"/>
  <c r="L68" i="10"/>
  <c r="K68" i="10"/>
  <c r="J68" i="10"/>
  <c r="AJ67" i="10"/>
  <c r="AJ68" i="10" s="1"/>
  <c r="AJ69" i="10" s="1"/>
  <c r="AJ70" i="10" s="1"/>
  <c r="AJ71" i="10" s="1"/>
  <c r="AJ72" i="10" s="1"/>
  <c r="O67" i="10"/>
  <c r="N67" i="10"/>
  <c r="M67" i="10"/>
  <c r="L67" i="10"/>
  <c r="K67" i="10"/>
  <c r="J67" i="10"/>
  <c r="AJ66" i="10"/>
  <c r="O66" i="10"/>
  <c r="N66" i="10"/>
  <c r="M66" i="10"/>
  <c r="L66" i="10"/>
  <c r="K66" i="10"/>
  <c r="J66" i="10"/>
  <c r="O65" i="10"/>
  <c r="N65" i="10"/>
  <c r="M65" i="10"/>
  <c r="L65" i="10"/>
  <c r="K65" i="10"/>
  <c r="J65" i="10"/>
  <c r="O64" i="10"/>
  <c r="N64" i="10"/>
  <c r="M64" i="10"/>
  <c r="L64" i="10"/>
  <c r="K64" i="10"/>
  <c r="J64" i="10"/>
  <c r="O63" i="10"/>
  <c r="N63" i="10"/>
  <c r="M63" i="10"/>
  <c r="L63" i="10"/>
  <c r="K63" i="10"/>
  <c r="J63" i="10"/>
  <c r="O62" i="10"/>
  <c r="N62" i="10"/>
  <c r="M62" i="10"/>
  <c r="L62" i="10"/>
  <c r="K62" i="10"/>
  <c r="J62" i="10"/>
  <c r="O61" i="10"/>
  <c r="N61" i="10"/>
  <c r="M61" i="10"/>
  <c r="L61" i="10"/>
  <c r="K61" i="10"/>
  <c r="J61" i="10"/>
  <c r="O60" i="10"/>
  <c r="N60" i="10"/>
  <c r="M60" i="10"/>
  <c r="L60" i="10"/>
  <c r="K60" i="10"/>
  <c r="J60" i="10"/>
  <c r="AJ59" i="10"/>
  <c r="AJ60" i="10" s="1"/>
  <c r="AJ61" i="10" s="1"/>
  <c r="AJ62" i="10" s="1"/>
  <c r="AJ63" i="10" s="1"/>
  <c r="AJ64" i="10" s="1"/>
  <c r="AJ65" i="10" s="1"/>
  <c r="O59" i="10"/>
  <c r="N59" i="10"/>
  <c r="M59" i="10"/>
  <c r="L59" i="10"/>
  <c r="K59" i="10"/>
  <c r="J59" i="10"/>
  <c r="AJ58" i="10"/>
  <c r="O58" i="10"/>
  <c r="N58" i="10"/>
  <c r="M58" i="10"/>
  <c r="L58" i="10"/>
  <c r="K58" i="10"/>
  <c r="J58" i="10"/>
  <c r="O57" i="10"/>
  <c r="N57" i="10"/>
  <c r="M57" i="10"/>
  <c r="L57" i="10"/>
  <c r="K57" i="10"/>
  <c r="J57" i="10"/>
  <c r="O56" i="10"/>
  <c r="N56" i="10"/>
  <c r="M56" i="10"/>
  <c r="L56" i="10"/>
  <c r="K56" i="10"/>
  <c r="J56" i="10"/>
  <c r="O55" i="10"/>
  <c r="N55" i="10"/>
  <c r="M55" i="10"/>
  <c r="L55" i="10"/>
  <c r="K55" i="10"/>
  <c r="J55" i="10"/>
  <c r="O54" i="10"/>
  <c r="N54" i="10"/>
  <c r="M54" i="10"/>
  <c r="L54" i="10"/>
  <c r="K54" i="10"/>
  <c r="J54" i="10"/>
  <c r="O53" i="10"/>
  <c r="N53" i="10"/>
  <c r="M53" i="10"/>
  <c r="L53" i="10"/>
  <c r="K53" i="10"/>
  <c r="J53" i="10"/>
  <c r="O52" i="10"/>
  <c r="N52" i="10"/>
  <c r="M52" i="10"/>
  <c r="L52" i="10"/>
  <c r="K52" i="10"/>
  <c r="J52" i="10"/>
  <c r="AJ51" i="10"/>
  <c r="AJ52" i="10" s="1"/>
  <c r="AJ53" i="10" s="1"/>
  <c r="AJ54" i="10" s="1"/>
  <c r="AJ55" i="10" s="1"/>
  <c r="AJ56" i="10" s="1"/>
  <c r="AJ57" i="10" s="1"/>
  <c r="O51" i="10"/>
  <c r="N51" i="10"/>
  <c r="M51" i="10"/>
  <c r="L51" i="10"/>
  <c r="K51" i="10"/>
  <c r="J51" i="10"/>
  <c r="AJ50" i="10"/>
  <c r="O50" i="10"/>
  <c r="N50" i="10"/>
  <c r="M50" i="10"/>
  <c r="L50" i="10"/>
  <c r="K50" i="10"/>
  <c r="J50" i="10"/>
  <c r="O49" i="10"/>
  <c r="N49" i="10"/>
  <c r="M49" i="10"/>
  <c r="L49" i="10"/>
  <c r="K49" i="10"/>
  <c r="J49" i="10"/>
  <c r="O48" i="10"/>
  <c r="N48" i="10"/>
  <c r="M48" i="10"/>
  <c r="L48" i="10"/>
  <c r="K48" i="10"/>
  <c r="J48" i="10"/>
  <c r="O47" i="10"/>
  <c r="N47" i="10"/>
  <c r="M47" i="10"/>
  <c r="L47" i="10"/>
  <c r="K47" i="10"/>
  <c r="J47" i="10"/>
  <c r="O46" i="10"/>
  <c r="N46" i="10"/>
  <c r="M46" i="10"/>
  <c r="L46" i="10"/>
  <c r="K46" i="10"/>
  <c r="J46" i="10"/>
  <c r="O45" i="10"/>
  <c r="N45" i="10"/>
  <c r="M45" i="10"/>
  <c r="L45" i="10"/>
  <c r="K45" i="10"/>
  <c r="J45" i="10"/>
  <c r="O44" i="10"/>
  <c r="N44" i="10"/>
  <c r="M44" i="10"/>
  <c r="L44" i="10"/>
  <c r="K44" i="10"/>
  <c r="J44" i="10"/>
  <c r="O43" i="10"/>
  <c r="N43" i="10"/>
  <c r="M43" i="10"/>
  <c r="L43" i="10"/>
  <c r="K43" i="10"/>
  <c r="J43" i="10"/>
  <c r="AJ42" i="10"/>
  <c r="AJ43" i="10" s="1"/>
  <c r="AJ44" i="10" s="1"/>
  <c r="AJ45" i="10" s="1"/>
  <c r="AJ46" i="10" s="1"/>
  <c r="AJ47" i="10" s="1"/>
  <c r="AJ48" i="10" s="1"/>
  <c r="AJ49" i="10" s="1"/>
  <c r="O42" i="10"/>
  <c r="N42" i="10"/>
  <c r="M42" i="10"/>
  <c r="L42" i="10"/>
  <c r="K42" i="10"/>
  <c r="J42" i="10"/>
  <c r="O41" i="10"/>
  <c r="N41" i="10"/>
  <c r="M41" i="10"/>
  <c r="L41" i="10"/>
  <c r="K41" i="10"/>
  <c r="J41" i="10"/>
  <c r="O40" i="10"/>
  <c r="N40" i="10"/>
  <c r="M40" i="10"/>
  <c r="L40" i="10"/>
  <c r="K40" i="10"/>
  <c r="J40" i="10"/>
  <c r="O39" i="10"/>
  <c r="N39" i="10"/>
  <c r="M39" i="10"/>
  <c r="L39" i="10"/>
  <c r="K39" i="10"/>
  <c r="J39" i="10"/>
  <c r="O38" i="10"/>
  <c r="N38" i="10"/>
  <c r="M38" i="10"/>
  <c r="L38" i="10"/>
  <c r="K38" i="10"/>
  <c r="J38" i="10"/>
  <c r="AJ37" i="10"/>
  <c r="AJ38" i="10" s="1"/>
  <c r="AJ39" i="10" s="1"/>
  <c r="AJ40" i="10" s="1"/>
  <c r="AJ41" i="10" s="1"/>
  <c r="O37" i="10"/>
  <c r="N37" i="10"/>
  <c r="M37" i="10"/>
  <c r="L37" i="10"/>
  <c r="K37" i="10"/>
  <c r="J37" i="10"/>
  <c r="O36" i="10"/>
  <c r="N36" i="10"/>
  <c r="M36" i="10"/>
  <c r="L36" i="10"/>
  <c r="K36" i="10"/>
  <c r="J36" i="10"/>
  <c r="AJ35" i="10"/>
  <c r="AJ36" i="10" s="1"/>
  <c r="O35" i="10"/>
  <c r="N35" i="10"/>
  <c r="M35" i="10"/>
  <c r="L35" i="10"/>
  <c r="K35" i="10"/>
  <c r="J35" i="10"/>
  <c r="AR34" i="10"/>
  <c r="AJ34" i="10"/>
  <c r="O34" i="10"/>
  <c r="N34" i="10"/>
  <c r="M34" i="10"/>
  <c r="L34" i="10"/>
  <c r="K34" i="10"/>
  <c r="J34" i="10"/>
  <c r="O33" i="10"/>
  <c r="N33" i="10"/>
  <c r="M33" i="10"/>
  <c r="L33" i="10"/>
  <c r="K33" i="10"/>
  <c r="J33" i="10"/>
  <c r="O32" i="10"/>
  <c r="N32" i="10"/>
  <c r="M32" i="10"/>
  <c r="L32" i="10"/>
  <c r="K32" i="10"/>
  <c r="J32" i="10"/>
  <c r="O31" i="10"/>
  <c r="N31" i="10"/>
  <c r="M31" i="10"/>
  <c r="L31" i="10"/>
  <c r="K31" i="10"/>
  <c r="J31" i="10"/>
  <c r="O30" i="10"/>
  <c r="N30" i="10"/>
  <c r="M30" i="10"/>
  <c r="L30" i="10"/>
  <c r="K30" i="10"/>
  <c r="J30" i="10"/>
  <c r="O29" i="10"/>
  <c r="N29" i="10"/>
  <c r="M29" i="10"/>
  <c r="L29" i="10"/>
  <c r="K29" i="10"/>
  <c r="J29" i="10"/>
  <c r="O28" i="10"/>
  <c r="N28" i="10"/>
  <c r="M28" i="10"/>
  <c r="L28" i="10"/>
  <c r="K28" i="10"/>
  <c r="J28" i="10"/>
  <c r="AJ27" i="10"/>
  <c r="AJ28" i="10" s="1"/>
  <c r="AJ29" i="10" s="1"/>
  <c r="AJ30" i="10" s="1"/>
  <c r="AJ31" i="10" s="1"/>
  <c r="AJ32" i="10" s="1"/>
  <c r="AJ33" i="10" s="1"/>
  <c r="O27" i="10"/>
  <c r="N27" i="10"/>
  <c r="M27" i="10"/>
  <c r="L27" i="10"/>
  <c r="K27" i="10"/>
  <c r="J27" i="10"/>
  <c r="AR26" i="10"/>
  <c r="AJ26" i="10"/>
  <c r="O26" i="10"/>
  <c r="N26" i="10"/>
  <c r="M26" i="10"/>
  <c r="L26" i="10"/>
  <c r="K26" i="10"/>
  <c r="J26" i="10"/>
  <c r="O25" i="10"/>
  <c r="N25" i="10"/>
  <c r="M25" i="10"/>
  <c r="L25" i="10"/>
  <c r="K25" i="10"/>
  <c r="J25" i="10"/>
  <c r="O24" i="10"/>
  <c r="N24" i="10"/>
  <c r="M24" i="10"/>
  <c r="L24" i="10"/>
  <c r="K24" i="10"/>
  <c r="J24" i="10"/>
  <c r="O23" i="10"/>
  <c r="N23" i="10"/>
  <c r="M23" i="10"/>
  <c r="L23" i="10"/>
  <c r="K23" i="10"/>
  <c r="J23" i="10"/>
  <c r="AR22" i="10"/>
  <c r="AR35" i="10" s="1"/>
  <c r="W22" i="10"/>
  <c r="V22" i="10"/>
  <c r="U22" i="10"/>
  <c r="T22" i="10"/>
  <c r="S22" i="10"/>
  <c r="R22" i="10"/>
  <c r="O22" i="10"/>
  <c r="N22" i="10"/>
  <c r="M22" i="10"/>
  <c r="L22" i="10"/>
  <c r="K22" i="10"/>
  <c r="J22" i="10"/>
  <c r="AR21" i="10"/>
  <c r="W21" i="10"/>
  <c r="V21" i="10"/>
  <c r="U21" i="10"/>
  <c r="T21" i="10"/>
  <c r="S21" i="10"/>
  <c r="R21" i="10"/>
  <c r="O21" i="10"/>
  <c r="N21" i="10"/>
  <c r="M21" i="10"/>
  <c r="L21" i="10"/>
  <c r="K21" i="10"/>
  <c r="J21" i="10"/>
  <c r="AR20" i="10"/>
  <c r="AR33" i="10" s="1"/>
  <c r="V20" i="10"/>
  <c r="U20" i="10"/>
  <c r="S20" i="10"/>
  <c r="Q20" i="10"/>
  <c r="O20" i="10"/>
  <c r="N20" i="10"/>
  <c r="M20" i="10"/>
  <c r="L20" i="10"/>
  <c r="K20" i="10"/>
  <c r="J20" i="10"/>
  <c r="AR19" i="10"/>
  <c r="AR32" i="10" s="1"/>
  <c r="AJ19" i="10"/>
  <c r="AJ20" i="10" s="1"/>
  <c r="AJ21" i="10" s="1"/>
  <c r="AJ22" i="10" s="1"/>
  <c r="AJ23" i="10" s="1"/>
  <c r="W19" i="10"/>
  <c r="U19" i="10"/>
  <c r="T19" i="10"/>
  <c r="S19" i="10"/>
  <c r="R19" i="10"/>
  <c r="Q19" i="10"/>
  <c r="V19" i="10" s="1"/>
  <c r="O19" i="10"/>
  <c r="N19" i="10"/>
  <c r="M19" i="10"/>
  <c r="L19" i="10"/>
  <c r="K19" i="10"/>
  <c r="J19" i="10"/>
  <c r="AR18" i="10"/>
  <c r="AR31" i="10" s="1"/>
  <c r="AJ18" i="10"/>
  <c r="W18" i="10"/>
  <c r="T18" i="10"/>
  <c r="R18" i="10"/>
  <c r="Q18" i="10"/>
  <c r="U18" i="10" s="1"/>
  <c r="O18" i="10"/>
  <c r="N18" i="10"/>
  <c r="M18" i="10"/>
  <c r="L18" i="10"/>
  <c r="K18" i="10"/>
  <c r="J18" i="10"/>
  <c r="AR17" i="10"/>
  <c r="AR30" i="10" s="1"/>
  <c r="Q17" i="10"/>
  <c r="W17" i="10" s="1"/>
  <c r="O17" i="10"/>
  <c r="N17" i="10"/>
  <c r="M17" i="10"/>
  <c r="L17" i="10"/>
  <c r="K17" i="10"/>
  <c r="J17" i="10"/>
  <c r="AR16" i="10"/>
  <c r="AR29" i="10" s="1"/>
  <c r="T16" i="10"/>
  <c r="S16" i="10"/>
  <c r="R16" i="10"/>
  <c r="Q16" i="10"/>
  <c r="V16" i="10" s="1"/>
  <c r="O16" i="10"/>
  <c r="N16" i="10"/>
  <c r="M16" i="10"/>
  <c r="L16" i="10"/>
  <c r="K16" i="10"/>
  <c r="J16" i="10"/>
  <c r="AR15" i="10"/>
  <c r="AR28" i="10" s="1"/>
  <c r="V15" i="10"/>
  <c r="T15" i="10"/>
  <c r="Q15" i="10"/>
  <c r="W15" i="10" s="1"/>
  <c r="O15" i="10"/>
  <c r="N15" i="10"/>
  <c r="M15" i="10"/>
  <c r="L15" i="10"/>
  <c r="K15" i="10"/>
  <c r="J15" i="10"/>
  <c r="AR14" i="10"/>
  <c r="AR27" i="10" s="1"/>
  <c r="U14" i="10"/>
  <c r="T14" i="10"/>
  <c r="R14" i="10"/>
  <c r="Q14" i="10"/>
  <c r="W14" i="10" s="1"/>
  <c r="O14" i="10"/>
  <c r="N14" i="10"/>
  <c r="M14" i="10"/>
  <c r="L14" i="10"/>
  <c r="K14" i="10"/>
  <c r="J14" i="10"/>
  <c r="AR13" i="10"/>
  <c r="W13" i="10"/>
  <c r="V13" i="10"/>
  <c r="T13" i="10"/>
  <c r="R13" i="10"/>
  <c r="Q13" i="10"/>
  <c r="U13" i="10" s="1"/>
  <c r="O13" i="10"/>
  <c r="N13" i="10"/>
  <c r="M13" i="10"/>
  <c r="L13" i="10"/>
  <c r="K13" i="10"/>
  <c r="J13" i="10"/>
  <c r="AR12" i="10"/>
  <c r="AR25" i="10" s="1"/>
  <c r="W12" i="10"/>
  <c r="V12" i="10"/>
  <c r="U12" i="10"/>
  <c r="Q12" i="10"/>
  <c r="T12" i="10" s="1"/>
  <c r="O12" i="10"/>
  <c r="N12" i="10"/>
  <c r="M12" i="10"/>
  <c r="L12" i="10"/>
  <c r="K12" i="10"/>
  <c r="J12" i="10"/>
  <c r="AR11" i="10"/>
  <c r="AR24" i="10" s="1"/>
  <c r="Y11" i="10"/>
  <c r="Y12" i="10" s="1"/>
  <c r="V11" i="10"/>
  <c r="U11" i="10"/>
  <c r="T11" i="10"/>
  <c r="S11" i="10"/>
  <c r="R11" i="10"/>
  <c r="Q11" i="10"/>
  <c r="W11" i="10" s="1"/>
  <c r="O11" i="10"/>
  <c r="N11" i="10"/>
  <c r="M11" i="10"/>
  <c r="L11" i="10"/>
  <c r="K11" i="10"/>
  <c r="J11" i="10"/>
  <c r="B11" i="10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AR10" i="10"/>
  <c r="AR23" i="10" s="1"/>
  <c r="AJ10" i="10"/>
  <c r="Y10" i="10"/>
  <c r="U10" i="10"/>
  <c r="T10" i="10"/>
  <c r="S10" i="10"/>
  <c r="Q10" i="10"/>
  <c r="R10" i="10" s="1"/>
  <c r="O10" i="10"/>
  <c r="N10" i="10"/>
  <c r="M10" i="10"/>
  <c r="L10" i="10"/>
  <c r="K10" i="10"/>
  <c r="J10" i="10"/>
  <c r="H9" i="10"/>
  <c r="G9" i="10"/>
  <c r="N9" i="10" s="1"/>
  <c r="F9" i="10"/>
  <c r="M9" i="10" s="1"/>
  <c r="E9" i="10"/>
  <c r="L9" i="10" s="1"/>
  <c r="C9" i="10"/>
  <c r="J9" i="10" s="1"/>
  <c r="B9" i="10"/>
  <c r="D9" i="10" s="1"/>
  <c r="F8" i="10"/>
  <c r="M8" i="10" s="1"/>
  <c r="E8" i="10"/>
  <c r="L8" i="10" s="1"/>
  <c r="D8" i="10"/>
  <c r="K8" i="10" s="1"/>
  <c r="B8" i="10"/>
  <c r="C8" i="10" s="1"/>
  <c r="J8" i="10" s="1"/>
  <c r="B7" i="10"/>
  <c r="C7" i="10" s="1"/>
  <c r="J7" i="10" s="1"/>
  <c r="O135" i="9"/>
  <c r="N135" i="9"/>
  <c r="M135" i="9"/>
  <c r="L135" i="9"/>
  <c r="K135" i="9"/>
  <c r="J135" i="9"/>
  <c r="O134" i="9"/>
  <c r="N134" i="9"/>
  <c r="M134" i="9"/>
  <c r="L134" i="9"/>
  <c r="K134" i="9"/>
  <c r="J134" i="9"/>
  <c r="O133" i="9"/>
  <c r="N133" i="9"/>
  <c r="M133" i="9"/>
  <c r="L133" i="9"/>
  <c r="K133" i="9"/>
  <c r="J133" i="9"/>
  <c r="O132" i="9"/>
  <c r="N132" i="9"/>
  <c r="M132" i="9"/>
  <c r="L132" i="9"/>
  <c r="K132" i="9"/>
  <c r="J132" i="9"/>
  <c r="O131" i="9"/>
  <c r="N131" i="9"/>
  <c r="M131" i="9"/>
  <c r="L131" i="9"/>
  <c r="K131" i="9"/>
  <c r="J131" i="9"/>
  <c r="O130" i="9"/>
  <c r="N130" i="9"/>
  <c r="M130" i="9"/>
  <c r="L130" i="9"/>
  <c r="K130" i="9"/>
  <c r="J130" i="9"/>
  <c r="O129" i="9"/>
  <c r="N129" i="9"/>
  <c r="M129" i="9"/>
  <c r="L129" i="9"/>
  <c r="K129" i="9"/>
  <c r="J129" i="9"/>
  <c r="O128" i="9"/>
  <c r="N128" i="9"/>
  <c r="M128" i="9"/>
  <c r="L128" i="9"/>
  <c r="K128" i="9"/>
  <c r="J128" i="9"/>
  <c r="O127" i="9"/>
  <c r="N127" i="9"/>
  <c r="M127" i="9"/>
  <c r="L127" i="9"/>
  <c r="K127" i="9"/>
  <c r="J127" i="9"/>
  <c r="O126" i="9"/>
  <c r="N126" i="9"/>
  <c r="M126" i="9"/>
  <c r="L126" i="9"/>
  <c r="K126" i="9"/>
  <c r="J126" i="9"/>
  <c r="O125" i="9"/>
  <c r="N125" i="9"/>
  <c r="M125" i="9"/>
  <c r="L125" i="9"/>
  <c r="K125" i="9"/>
  <c r="J125" i="9"/>
  <c r="O124" i="9"/>
  <c r="N124" i="9"/>
  <c r="M124" i="9"/>
  <c r="L124" i="9"/>
  <c r="K124" i="9"/>
  <c r="J124" i="9"/>
  <c r="O123" i="9"/>
  <c r="N123" i="9"/>
  <c r="M123" i="9"/>
  <c r="L123" i="9"/>
  <c r="K123" i="9"/>
  <c r="J123" i="9"/>
  <c r="O122" i="9"/>
  <c r="N122" i="9"/>
  <c r="M122" i="9"/>
  <c r="L122" i="9"/>
  <c r="K122" i="9"/>
  <c r="J122" i="9"/>
  <c r="O121" i="9"/>
  <c r="N121" i="9"/>
  <c r="M121" i="9"/>
  <c r="L121" i="9"/>
  <c r="K121" i="9"/>
  <c r="J121" i="9"/>
  <c r="O120" i="9"/>
  <c r="N120" i="9"/>
  <c r="M120" i="9"/>
  <c r="L120" i="9"/>
  <c r="K120" i="9"/>
  <c r="J120" i="9"/>
  <c r="O119" i="9"/>
  <c r="N119" i="9"/>
  <c r="M119" i="9"/>
  <c r="L119" i="9"/>
  <c r="K119" i="9"/>
  <c r="J119" i="9"/>
  <c r="O118" i="9"/>
  <c r="N118" i="9"/>
  <c r="M118" i="9"/>
  <c r="L118" i="9"/>
  <c r="K118" i="9"/>
  <c r="J118" i="9"/>
  <c r="O117" i="9"/>
  <c r="N117" i="9"/>
  <c r="M117" i="9"/>
  <c r="L117" i="9"/>
  <c r="K117" i="9"/>
  <c r="J117" i="9"/>
  <c r="O116" i="9"/>
  <c r="N116" i="9"/>
  <c r="M116" i="9"/>
  <c r="L116" i="9"/>
  <c r="K116" i="9"/>
  <c r="J116" i="9"/>
  <c r="O115" i="9"/>
  <c r="N115" i="9"/>
  <c r="M115" i="9"/>
  <c r="L115" i="9"/>
  <c r="K115" i="9"/>
  <c r="J115" i="9"/>
  <c r="O114" i="9"/>
  <c r="N114" i="9"/>
  <c r="M114" i="9"/>
  <c r="L114" i="9"/>
  <c r="K114" i="9"/>
  <c r="J114" i="9"/>
  <c r="O113" i="9"/>
  <c r="N113" i="9"/>
  <c r="M113" i="9"/>
  <c r="L113" i="9"/>
  <c r="K113" i="9"/>
  <c r="J113" i="9"/>
  <c r="O112" i="9"/>
  <c r="N112" i="9"/>
  <c r="M112" i="9"/>
  <c r="L112" i="9"/>
  <c r="K112" i="9"/>
  <c r="J112" i="9"/>
  <c r="O111" i="9"/>
  <c r="N111" i="9"/>
  <c r="M111" i="9"/>
  <c r="L111" i="9"/>
  <c r="K111" i="9"/>
  <c r="J111" i="9"/>
  <c r="O110" i="9"/>
  <c r="N110" i="9"/>
  <c r="M110" i="9"/>
  <c r="L110" i="9"/>
  <c r="K110" i="9"/>
  <c r="J110" i="9"/>
  <c r="O109" i="9"/>
  <c r="N109" i="9"/>
  <c r="M109" i="9"/>
  <c r="L109" i="9"/>
  <c r="K109" i="9"/>
  <c r="J109" i="9"/>
  <c r="O108" i="9"/>
  <c r="N108" i="9"/>
  <c r="M108" i="9"/>
  <c r="L108" i="9"/>
  <c r="K108" i="9"/>
  <c r="J108" i="9"/>
  <c r="O107" i="9"/>
  <c r="N107" i="9"/>
  <c r="M107" i="9"/>
  <c r="L107" i="9"/>
  <c r="K107" i="9"/>
  <c r="J107" i="9"/>
  <c r="AJ106" i="9"/>
  <c r="AJ107" i="9" s="1"/>
  <c r="AJ108" i="9" s="1"/>
  <c r="AJ109" i="9" s="1"/>
  <c r="AJ110" i="9" s="1"/>
  <c r="AJ111" i="9" s="1"/>
  <c r="AJ112" i="9" s="1"/>
  <c r="AJ113" i="9" s="1"/>
  <c r="O106" i="9"/>
  <c r="N106" i="9"/>
  <c r="M106" i="9"/>
  <c r="L106" i="9"/>
  <c r="K106" i="9"/>
  <c r="J106" i="9"/>
  <c r="O105" i="9"/>
  <c r="N105" i="9"/>
  <c r="M105" i="9"/>
  <c r="L105" i="9"/>
  <c r="K105" i="9"/>
  <c r="J105" i="9"/>
  <c r="O104" i="9"/>
  <c r="N104" i="9"/>
  <c r="M104" i="9"/>
  <c r="L104" i="9"/>
  <c r="K104" i="9"/>
  <c r="J104" i="9"/>
  <c r="AJ103" i="9"/>
  <c r="AJ104" i="9" s="1"/>
  <c r="AJ105" i="9" s="1"/>
  <c r="O103" i="9"/>
  <c r="N103" i="9"/>
  <c r="M103" i="9"/>
  <c r="L103" i="9"/>
  <c r="K103" i="9"/>
  <c r="J103" i="9"/>
  <c r="O102" i="9"/>
  <c r="N102" i="9"/>
  <c r="M102" i="9"/>
  <c r="L102" i="9"/>
  <c r="K102" i="9"/>
  <c r="J102" i="9"/>
  <c r="O101" i="9"/>
  <c r="N101" i="9"/>
  <c r="M101" i="9"/>
  <c r="L101" i="9"/>
  <c r="K101" i="9"/>
  <c r="J101" i="9"/>
  <c r="O100" i="9"/>
  <c r="N100" i="9"/>
  <c r="M100" i="9"/>
  <c r="L100" i="9"/>
  <c r="K100" i="9"/>
  <c r="J100" i="9"/>
  <c r="AJ99" i="9"/>
  <c r="AJ100" i="9" s="1"/>
  <c r="AJ101" i="9" s="1"/>
  <c r="AJ102" i="9" s="1"/>
  <c r="O99" i="9"/>
  <c r="N99" i="9"/>
  <c r="M99" i="9"/>
  <c r="L99" i="9"/>
  <c r="K99" i="9"/>
  <c r="J99" i="9"/>
  <c r="AJ98" i="9"/>
  <c r="O98" i="9"/>
  <c r="N98" i="9"/>
  <c r="M98" i="9"/>
  <c r="L98" i="9"/>
  <c r="K98" i="9"/>
  <c r="J98" i="9"/>
  <c r="O97" i="9"/>
  <c r="N97" i="9"/>
  <c r="M97" i="9"/>
  <c r="L97" i="9"/>
  <c r="K97" i="9"/>
  <c r="J97" i="9"/>
  <c r="O96" i="9"/>
  <c r="N96" i="9"/>
  <c r="M96" i="9"/>
  <c r="L96" i="9"/>
  <c r="K96" i="9"/>
  <c r="J96" i="9"/>
  <c r="AJ95" i="9"/>
  <c r="AJ96" i="9" s="1"/>
  <c r="AJ97" i="9" s="1"/>
  <c r="O95" i="9"/>
  <c r="N95" i="9"/>
  <c r="M95" i="9"/>
  <c r="L95" i="9"/>
  <c r="K95" i="9"/>
  <c r="J95" i="9"/>
  <c r="O94" i="9"/>
  <c r="N94" i="9"/>
  <c r="M94" i="9"/>
  <c r="L94" i="9"/>
  <c r="K94" i="9"/>
  <c r="J94" i="9"/>
  <c r="O93" i="9"/>
  <c r="N93" i="9"/>
  <c r="M93" i="9"/>
  <c r="L93" i="9"/>
  <c r="K93" i="9"/>
  <c r="J93" i="9"/>
  <c r="O92" i="9"/>
  <c r="N92" i="9"/>
  <c r="M92" i="9"/>
  <c r="L92" i="9"/>
  <c r="K92" i="9"/>
  <c r="J92" i="9"/>
  <c r="AJ91" i="9"/>
  <c r="AJ92" i="9" s="1"/>
  <c r="AJ93" i="9" s="1"/>
  <c r="AJ94" i="9" s="1"/>
  <c r="O91" i="9"/>
  <c r="N91" i="9"/>
  <c r="M91" i="9"/>
  <c r="L91" i="9"/>
  <c r="K91" i="9"/>
  <c r="J91" i="9"/>
  <c r="AJ90" i="9"/>
  <c r="O90" i="9"/>
  <c r="N90" i="9"/>
  <c r="M90" i="9"/>
  <c r="L90" i="9"/>
  <c r="K90" i="9"/>
  <c r="J90" i="9"/>
  <c r="O89" i="9"/>
  <c r="N89" i="9"/>
  <c r="M89" i="9"/>
  <c r="L89" i="9"/>
  <c r="K89" i="9"/>
  <c r="J89" i="9"/>
  <c r="O88" i="9"/>
  <c r="N88" i="9"/>
  <c r="M88" i="9"/>
  <c r="L88" i="9"/>
  <c r="K88" i="9"/>
  <c r="J88" i="9"/>
  <c r="O87" i="9"/>
  <c r="N87" i="9"/>
  <c r="M87" i="9"/>
  <c r="L87" i="9"/>
  <c r="K87" i="9"/>
  <c r="J87" i="9"/>
  <c r="O86" i="9"/>
  <c r="N86" i="9"/>
  <c r="M86" i="9"/>
  <c r="L86" i="9"/>
  <c r="K86" i="9"/>
  <c r="J86" i="9"/>
  <c r="O85" i="9"/>
  <c r="N85" i="9"/>
  <c r="M85" i="9"/>
  <c r="L85" i="9"/>
  <c r="K85" i="9"/>
  <c r="J85" i="9"/>
  <c r="O84" i="9"/>
  <c r="N84" i="9"/>
  <c r="M84" i="9"/>
  <c r="L84" i="9"/>
  <c r="K84" i="9"/>
  <c r="J84" i="9"/>
  <c r="AJ83" i="9"/>
  <c r="AJ84" i="9" s="1"/>
  <c r="AJ85" i="9" s="1"/>
  <c r="AJ86" i="9" s="1"/>
  <c r="AJ87" i="9" s="1"/>
  <c r="AJ88" i="9" s="1"/>
  <c r="AJ89" i="9" s="1"/>
  <c r="O83" i="9"/>
  <c r="N83" i="9"/>
  <c r="M83" i="9"/>
  <c r="L83" i="9"/>
  <c r="K83" i="9"/>
  <c r="J83" i="9"/>
  <c r="AJ82" i="9"/>
  <c r="O82" i="9"/>
  <c r="N82" i="9"/>
  <c r="M82" i="9"/>
  <c r="L82" i="9"/>
  <c r="K82" i="9"/>
  <c r="J82" i="9"/>
  <c r="O81" i="9"/>
  <c r="N81" i="9"/>
  <c r="M81" i="9"/>
  <c r="L81" i="9"/>
  <c r="K81" i="9"/>
  <c r="J81" i="9"/>
  <c r="O80" i="9"/>
  <c r="N80" i="9"/>
  <c r="M80" i="9"/>
  <c r="L80" i="9"/>
  <c r="K80" i="9"/>
  <c r="J80" i="9"/>
  <c r="O79" i="9"/>
  <c r="N79" i="9"/>
  <c r="M79" i="9"/>
  <c r="L79" i="9"/>
  <c r="K79" i="9"/>
  <c r="J79" i="9"/>
  <c r="O78" i="9"/>
  <c r="N78" i="9"/>
  <c r="M78" i="9"/>
  <c r="L78" i="9"/>
  <c r="K78" i="9"/>
  <c r="J78" i="9"/>
  <c r="O77" i="9"/>
  <c r="N77" i="9"/>
  <c r="M77" i="9"/>
  <c r="L77" i="9"/>
  <c r="K77" i="9"/>
  <c r="J77" i="9"/>
  <c r="O76" i="9"/>
  <c r="N76" i="9"/>
  <c r="M76" i="9"/>
  <c r="L76" i="9"/>
  <c r="K76" i="9"/>
  <c r="J76" i="9"/>
  <c r="AJ75" i="9"/>
  <c r="AJ76" i="9" s="1"/>
  <c r="AJ77" i="9" s="1"/>
  <c r="AJ78" i="9" s="1"/>
  <c r="AJ79" i="9" s="1"/>
  <c r="AJ80" i="9" s="1"/>
  <c r="AJ81" i="9" s="1"/>
  <c r="O75" i="9"/>
  <c r="N75" i="9"/>
  <c r="M75" i="9"/>
  <c r="L75" i="9"/>
  <c r="K75" i="9"/>
  <c r="J75" i="9"/>
  <c r="AJ74" i="9"/>
  <c r="O74" i="9"/>
  <c r="N74" i="9"/>
  <c r="M74" i="9"/>
  <c r="L74" i="9"/>
  <c r="K74" i="9"/>
  <c r="J74" i="9"/>
  <c r="O73" i="9"/>
  <c r="N73" i="9"/>
  <c r="M73" i="9"/>
  <c r="L73" i="9"/>
  <c r="K73" i="9"/>
  <c r="J73" i="9"/>
  <c r="O72" i="9"/>
  <c r="N72" i="9"/>
  <c r="M72" i="9"/>
  <c r="L72" i="9"/>
  <c r="K72" i="9"/>
  <c r="J72" i="9"/>
  <c r="O71" i="9"/>
  <c r="N71" i="9"/>
  <c r="M71" i="9"/>
  <c r="L71" i="9"/>
  <c r="K71" i="9"/>
  <c r="J71" i="9"/>
  <c r="O70" i="9"/>
  <c r="N70" i="9"/>
  <c r="M70" i="9"/>
  <c r="L70" i="9"/>
  <c r="K70" i="9"/>
  <c r="J70" i="9"/>
  <c r="O69" i="9"/>
  <c r="N69" i="9"/>
  <c r="M69" i="9"/>
  <c r="L69" i="9"/>
  <c r="K69" i="9"/>
  <c r="J69" i="9"/>
  <c r="O68" i="9"/>
  <c r="N68" i="9"/>
  <c r="M68" i="9"/>
  <c r="L68" i="9"/>
  <c r="K68" i="9"/>
  <c r="J68" i="9"/>
  <c r="AJ67" i="9"/>
  <c r="AJ68" i="9" s="1"/>
  <c r="AJ69" i="9" s="1"/>
  <c r="AJ70" i="9" s="1"/>
  <c r="AJ71" i="9" s="1"/>
  <c r="AJ72" i="9" s="1"/>
  <c r="AJ73" i="9" s="1"/>
  <c r="O67" i="9"/>
  <c r="N67" i="9"/>
  <c r="M67" i="9"/>
  <c r="L67" i="9"/>
  <c r="K67" i="9"/>
  <c r="J67" i="9"/>
  <c r="AJ66" i="9"/>
  <c r="O66" i="9"/>
  <c r="N66" i="9"/>
  <c r="M66" i="9"/>
  <c r="L66" i="9"/>
  <c r="K66" i="9"/>
  <c r="J66" i="9"/>
  <c r="O65" i="9"/>
  <c r="N65" i="9"/>
  <c r="M65" i="9"/>
  <c r="L65" i="9"/>
  <c r="K65" i="9"/>
  <c r="J65" i="9"/>
  <c r="O64" i="9"/>
  <c r="N64" i="9"/>
  <c r="M64" i="9"/>
  <c r="L64" i="9"/>
  <c r="K64" i="9"/>
  <c r="J64" i="9"/>
  <c r="AJ63" i="9"/>
  <c r="AJ64" i="9" s="1"/>
  <c r="AJ65" i="9" s="1"/>
  <c r="O63" i="9"/>
  <c r="N63" i="9"/>
  <c r="M63" i="9"/>
  <c r="L63" i="9"/>
  <c r="K63" i="9"/>
  <c r="J63" i="9"/>
  <c r="O62" i="9"/>
  <c r="N62" i="9"/>
  <c r="M62" i="9"/>
  <c r="L62" i="9"/>
  <c r="K62" i="9"/>
  <c r="J62" i="9"/>
  <c r="O61" i="9"/>
  <c r="N61" i="9"/>
  <c r="M61" i="9"/>
  <c r="L61" i="9"/>
  <c r="K61" i="9"/>
  <c r="J61" i="9"/>
  <c r="O60" i="9"/>
  <c r="N60" i="9"/>
  <c r="M60" i="9"/>
  <c r="L60" i="9"/>
  <c r="K60" i="9"/>
  <c r="J60" i="9"/>
  <c r="AJ59" i="9"/>
  <c r="AJ60" i="9" s="1"/>
  <c r="AJ61" i="9" s="1"/>
  <c r="AJ62" i="9" s="1"/>
  <c r="O59" i="9"/>
  <c r="N59" i="9"/>
  <c r="M59" i="9"/>
  <c r="L59" i="9"/>
  <c r="K59" i="9"/>
  <c r="J59" i="9"/>
  <c r="AJ58" i="9"/>
  <c r="O58" i="9"/>
  <c r="N58" i="9"/>
  <c r="M58" i="9"/>
  <c r="L58" i="9"/>
  <c r="K58" i="9"/>
  <c r="J58" i="9"/>
  <c r="O57" i="9"/>
  <c r="N57" i="9"/>
  <c r="M57" i="9"/>
  <c r="L57" i="9"/>
  <c r="K57" i="9"/>
  <c r="J57" i="9"/>
  <c r="O56" i="9"/>
  <c r="N56" i="9"/>
  <c r="M56" i="9"/>
  <c r="L56" i="9"/>
  <c r="K56" i="9"/>
  <c r="J56" i="9"/>
  <c r="O55" i="9"/>
  <c r="N55" i="9"/>
  <c r="M55" i="9"/>
  <c r="L55" i="9"/>
  <c r="K55" i="9"/>
  <c r="J55" i="9"/>
  <c r="O54" i="9"/>
  <c r="N54" i="9"/>
  <c r="M54" i="9"/>
  <c r="L54" i="9"/>
  <c r="K54" i="9"/>
  <c r="J54" i="9"/>
  <c r="O53" i="9"/>
  <c r="N53" i="9"/>
  <c r="M53" i="9"/>
  <c r="L53" i="9"/>
  <c r="K53" i="9"/>
  <c r="J53" i="9"/>
  <c r="O52" i="9"/>
  <c r="N52" i="9"/>
  <c r="M52" i="9"/>
  <c r="L52" i="9"/>
  <c r="K52" i="9"/>
  <c r="J52" i="9"/>
  <c r="O51" i="9"/>
  <c r="N51" i="9"/>
  <c r="M51" i="9"/>
  <c r="L51" i="9"/>
  <c r="K51" i="9"/>
  <c r="J51" i="9"/>
  <c r="AJ50" i="9"/>
  <c r="AJ51" i="9" s="1"/>
  <c r="AJ52" i="9" s="1"/>
  <c r="AJ53" i="9" s="1"/>
  <c r="AJ54" i="9" s="1"/>
  <c r="AJ55" i="9" s="1"/>
  <c r="AJ56" i="9" s="1"/>
  <c r="AJ57" i="9" s="1"/>
  <c r="O50" i="9"/>
  <c r="N50" i="9"/>
  <c r="M50" i="9"/>
  <c r="L50" i="9"/>
  <c r="K50" i="9"/>
  <c r="J50" i="9"/>
  <c r="O49" i="9"/>
  <c r="N49" i="9"/>
  <c r="M49" i="9"/>
  <c r="L49" i="9"/>
  <c r="K49" i="9"/>
  <c r="J49" i="9"/>
  <c r="O48" i="9"/>
  <c r="N48" i="9"/>
  <c r="M48" i="9"/>
  <c r="L48" i="9"/>
  <c r="K48" i="9"/>
  <c r="J48" i="9"/>
  <c r="O47" i="9"/>
  <c r="N47" i="9"/>
  <c r="M47" i="9"/>
  <c r="L47" i="9"/>
  <c r="K47" i="9"/>
  <c r="J47" i="9"/>
  <c r="O46" i="9"/>
  <c r="N46" i="9"/>
  <c r="M46" i="9"/>
  <c r="L46" i="9"/>
  <c r="K46" i="9"/>
  <c r="J46" i="9"/>
  <c r="O45" i="9"/>
  <c r="N45" i="9"/>
  <c r="M45" i="9"/>
  <c r="L45" i="9"/>
  <c r="K45" i="9"/>
  <c r="J45" i="9"/>
  <c r="O44" i="9"/>
  <c r="N44" i="9"/>
  <c r="M44" i="9"/>
  <c r="L44" i="9"/>
  <c r="K44" i="9"/>
  <c r="J44" i="9"/>
  <c r="O43" i="9"/>
  <c r="N43" i="9"/>
  <c r="M43" i="9"/>
  <c r="L43" i="9"/>
  <c r="K43" i="9"/>
  <c r="J43" i="9"/>
  <c r="AJ42" i="9"/>
  <c r="AJ43" i="9" s="1"/>
  <c r="AJ44" i="9" s="1"/>
  <c r="AJ45" i="9" s="1"/>
  <c r="AJ46" i="9" s="1"/>
  <c r="AJ47" i="9" s="1"/>
  <c r="AJ48" i="9" s="1"/>
  <c r="AJ49" i="9" s="1"/>
  <c r="O42" i="9"/>
  <c r="N42" i="9"/>
  <c r="M42" i="9"/>
  <c r="L42" i="9"/>
  <c r="K42" i="9"/>
  <c r="J42" i="9"/>
  <c r="O41" i="9"/>
  <c r="N41" i="9"/>
  <c r="M41" i="9"/>
  <c r="L41" i="9"/>
  <c r="K41" i="9"/>
  <c r="J41" i="9"/>
  <c r="O40" i="9"/>
  <c r="N40" i="9"/>
  <c r="M40" i="9"/>
  <c r="L40" i="9"/>
  <c r="K40" i="9"/>
  <c r="J40" i="9"/>
  <c r="O39" i="9"/>
  <c r="N39" i="9"/>
  <c r="M39" i="9"/>
  <c r="L39" i="9"/>
  <c r="K39" i="9"/>
  <c r="J39" i="9"/>
  <c r="O38" i="9"/>
  <c r="N38" i="9"/>
  <c r="M38" i="9"/>
  <c r="L38" i="9"/>
  <c r="K38" i="9"/>
  <c r="J38" i="9"/>
  <c r="AJ37" i="9"/>
  <c r="AJ38" i="9" s="1"/>
  <c r="AJ39" i="9" s="1"/>
  <c r="AJ40" i="9" s="1"/>
  <c r="O37" i="9"/>
  <c r="N37" i="9"/>
  <c r="M37" i="9"/>
  <c r="L37" i="9"/>
  <c r="K37" i="9"/>
  <c r="J37" i="9"/>
  <c r="O36" i="9"/>
  <c r="N36" i="9"/>
  <c r="M36" i="9"/>
  <c r="L36" i="9"/>
  <c r="K36" i="9"/>
  <c r="J36" i="9"/>
  <c r="O35" i="9"/>
  <c r="N35" i="9"/>
  <c r="M35" i="9"/>
  <c r="L35" i="9"/>
  <c r="K35" i="9"/>
  <c r="J35" i="9"/>
  <c r="AR34" i="9"/>
  <c r="AJ34" i="9"/>
  <c r="AJ35" i="9" s="1"/>
  <c r="AJ36" i="9" s="1"/>
  <c r="O34" i="9"/>
  <c r="N34" i="9"/>
  <c r="M34" i="9"/>
  <c r="L34" i="9"/>
  <c r="K34" i="9"/>
  <c r="J34" i="9"/>
  <c r="O33" i="9"/>
  <c r="N33" i="9"/>
  <c r="M33" i="9"/>
  <c r="L33" i="9"/>
  <c r="K33" i="9"/>
  <c r="J33" i="9"/>
  <c r="O32" i="9"/>
  <c r="N32" i="9"/>
  <c r="M32" i="9"/>
  <c r="L32" i="9"/>
  <c r="K32" i="9"/>
  <c r="J32" i="9"/>
  <c r="O31" i="9"/>
  <c r="N31" i="9"/>
  <c r="M31" i="9"/>
  <c r="L31" i="9"/>
  <c r="K31" i="9"/>
  <c r="J31" i="9"/>
  <c r="O30" i="9"/>
  <c r="N30" i="9"/>
  <c r="M30" i="9"/>
  <c r="L30" i="9"/>
  <c r="K30" i="9"/>
  <c r="J30" i="9"/>
  <c r="AJ29" i="9"/>
  <c r="AJ30" i="9" s="1"/>
  <c r="AJ31" i="9" s="1"/>
  <c r="AJ32" i="9" s="1"/>
  <c r="AJ33" i="9" s="1"/>
  <c r="O29" i="9"/>
  <c r="N29" i="9"/>
  <c r="M29" i="9"/>
  <c r="L29" i="9"/>
  <c r="K29" i="9"/>
  <c r="J29" i="9"/>
  <c r="O28" i="9"/>
  <c r="N28" i="9"/>
  <c r="M28" i="9"/>
  <c r="L28" i="9"/>
  <c r="K28" i="9"/>
  <c r="J28" i="9"/>
  <c r="AJ27" i="9"/>
  <c r="AJ28" i="9" s="1"/>
  <c r="O27" i="9"/>
  <c r="N27" i="9"/>
  <c r="M27" i="9"/>
  <c r="L27" i="9"/>
  <c r="K27" i="9"/>
  <c r="J27" i="9"/>
  <c r="AJ26" i="9"/>
  <c r="O26" i="9"/>
  <c r="N26" i="9"/>
  <c r="M26" i="9"/>
  <c r="L26" i="9"/>
  <c r="K26" i="9"/>
  <c r="J26" i="9"/>
  <c r="O25" i="9"/>
  <c r="N25" i="9"/>
  <c r="M25" i="9"/>
  <c r="L25" i="9"/>
  <c r="K25" i="9"/>
  <c r="J25" i="9"/>
  <c r="AR24" i="9"/>
  <c r="O24" i="9"/>
  <c r="N24" i="9"/>
  <c r="M24" i="9"/>
  <c r="L24" i="9"/>
  <c r="K24" i="9"/>
  <c r="J24" i="9"/>
  <c r="O23" i="9"/>
  <c r="N23" i="9"/>
  <c r="M23" i="9"/>
  <c r="L23" i="9"/>
  <c r="K23" i="9"/>
  <c r="J23" i="9"/>
  <c r="AR22" i="9"/>
  <c r="AR35" i="9" s="1"/>
  <c r="W22" i="9"/>
  <c r="V22" i="9"/>
  <c r="U22" i="9"/>
  <c r="T22" i="9"/>
  <c r="S22" i="9"/>
  <c r="R22" i="9"/>
  <c r="O22" i="9"/>
  <c r="N22" i="9"/>
  <c r="M22" i="9"/>
  <c r="L22" i="9"/>
  <c r="K22" i="9"/>
  <c r="J22" i="9"/>
  <c r="AR21" i="9"/>
  <c r="W21" i="9"/>
  <c r="V21" i="9"/>
  <c r="U21" i="9"/>
  <c r="T21" i="9"/>
  <c r="S21" i="9"/>
  <c r="R21" i="9"/>
  <c r="O21" i="9"/>
  <c r="N21" i="9"/>
  <c r="M21" i="9"/>
  <c r="L21" i="9"/>
  <c r="K21" i="9"/>
  <c r="J21" i="9"/>
  <c r="AR20" i="9"/>
  <c r="AR33" i="9" s="1"/>
  <c r="Q20" i="9"/>
  <c r="O20" i="9"/>
  <c r="N20" i="9"/>
  <c r="M20" i="9"/>
  <c r="L20" i="9"/>
  <c r="K20" i="9"/>
  <c r="J20" i="9"/>
  <c r="AR19" i="9"/>
  <c r="AR32" i="9" s="1"/>
  <c r="AJ19" i="9"/>
  <c r="AJ20" i="9" s="1"/>
  <c r="AJ21" i="9" s="1"/>
  <c r="AJ22" i="9" s="1"/>
  <c r="AJ23" i="9" s="1"/>
  <c r="AJ24" i="9" s="1"/>
  <c r="AJ25" i="9" s="1"/>
  <c r="U19" i="9"/>
  <c r="R19" i="9"/>
  <c r="Q19" i="9"/>
  <c r="O19" i="9"/>
  <c r="N19" i="9"/>
  <c r="M19" i="9"/>
  <c r="L19" i="9"/>
  <c r="K19" i="9"/>
  <c r="J19" i="9"/>
  <c r="AR18" i="9"/>
  <c r="AR31" i="9" s="1"/>
  <c r="AJ18" i="9"/>
  <c r="Q18" i="9"/>
  <c r="O18" i="9"/>
  <c r="N18" i="9"/>
  <c r="M18" i="9"/>
  <c r="L18" i="9"/>
  <c r="K18" i="9"/>
  <c r="J18" i="9"/>
  <c r="AR17" i="9"/>
  <c r="AR30" i="9" s="1"/>
  <c r="W17" i="9"/>
  <c r="S17" i="9"/>
  <c r="R17" i="9"/>
  <c r="Q17" i="9"/>
  <c r="V17" i="9" s="1"/>
  <c r="O17" i="9"/>
  <c r="N17" i="9"/>
  <c r="M17" i="9"/>
  <c r="L17" i="9"/>
  <c r="K17" i="9"/>
  <c r="J17" i="9"/>
  <c r="AR16" i="9"/>
  <c r="AR29" i="9" s="1"/>
  <c r="V16" i="9"/>
  <c r="R16" i="9"/>
  <c r="Q16" i="9"/>
  <c r="W16" i="9" s="1"/>
  <c r="O16" i="9"/>
  <c r="N16" i="9"/>
  <c r="M16" i="9"/>
  <c r="L16" i="9"/>
  <c r="K16" i="9"/>
  <c r="J16" i="9"/>
  <c r="AR15" i="9"/>
  <c r="AR28" i="9" s="1"/>
  <c r="Q15" i="9"/>
  <c r="O15" i="9"/>
  <c r="N15" i="9"/>
  <c r="M15" i="9"/>
  <c r="L15" i="9"/>
  <c r="K15" i="9"/>
  <c r="J15" i="9"/>
  <c r="AR14" i="9"/>
  <c r="AR27" i="9" s="1"/>
  <c r="T14" i="9"/>
  <c r="Q14" i="9"/>
  <c r="W14" i="9" s="1"/>
  <c r="O14" i="9"/>
  <c r="N14" i="9"/>
  <c r="M14" i="9"/>
  <c r="L14" i="9"/>
  <c r="K14" i="9"/>
  <c r="J14" i="9"/>
  <c r="B14" i="9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AR13" i="9"/>
  <c r="AR26" i="9" s="1"/>
  <c r="W13" i="9"/>
  <c r="U13" i="9"/>
  <c r="S13" i="9"/>
  <c r="R13" i="9"/>
  <c r="Q13" i="9"/>
  <c r="V13" i="9" s="1"/>
  <c r="O13" i="9"/>
  <c r="N13" i="9"/>
  <c r="M13" i="9"/>
  <c r="L13" i="9"/>
  <c r="K13" i="9"/>
  <c r="J13" i="9"/>
  <c r="AR12" i="9"/>
  <c r="AR25" i="9" s="1"/>
  <c r="V12" i="9"/>
  <c r="R12" i="9"/>
  <c r="Q12" i="9"/>
  <c r="W12" i="9" s="1"/>
  <c r="O12" i="9"/>
  <c r="N12" i="9"/>
  <c r="M12" i="9"/>
  <c r="L12" i="9"/>
  <c r="K12" i="9"/>
  <c r="J12" i="9"/>
  <c r="B12" i="9"/>
  <c r="B13" i="9" s="1"/>
  <c r="AR11" i="9"/>
  <c r="Y11" i="9"/>
  <c r="Y12" i="9" s="1"/>
  <c r="U11" i="9"/>
  <c r="Q11" i="9"/>
  <c r="O11" i="9"/>
  <c r="N11" i="9"/>
  <c r="M11" i="9"/>
  <c r="L11" i="9"/>
  <c r="K11" i="9"/>
  <c r="J11" i="9"/>
  <c r="B11" i="9"/>
  <c r="AR10" i="9"/>
  <c r="AR23" i="9" s="1"/>
  <c r="AJ10" i="9"/>
  <c r="Y10" i="9"/>
  <c r="W10" i="9"/>
  <c r="V10" i="9"/>
  <c r="T10" i="9"/>
  <c r="R10" i="9"/>
  <c r="Q10" i="9"/>
  <c r="U10" i="9" s="1"/>
  <c r="O10" i="9"/>
  <c r="N10" i="9"/>
  <c r="M10" i="9"/>
  <c r="L10" i="9"/>
  <c r="K10" i="9"/>
  <c r="J10" i="9"/>
  <c r="M9" i="9"/>
  <c r="H9" i="9"/>
  <c r="O9" i="9" s="1"/>
  <c r="G9" i="9"/>
  <c r="N9" i="9" s="1"/>
  <c r="F9" i="9"/>
  <c r="E9" i="9"/>
  <c r="D9" i="9"/>
  <c r="K9" i="9" s="1"/>
  <c r="C9" i="9"/>
  <c r="J9" i="9" s="1"/>
  <c r="B9" i="9"/>
  <c r="J8" i="9"/>
  <c r="H8" i="9"/>
  <c r="O8" i="9" s="1"/>
  <c r="G8" i="9"/>
  <c r="N8" i="9" s="1"/>
  <c r="E8" i="9"/>
  <c r="L8" i="9" s="1"/>
  <c r="C8" i="9"/>
  <c r="B8" i="9"/>
  <c r="F8" i="9" s="1"/>
  <c r="M8" i="9" s="1"/>
  <c r="G7" i="9"/>
  <c r="N7" i="9" s="1"/>
  <c r="E7" i="9"/>
  <c r="L7" i="9" s="1"/>
  <c r="B7" i="9"/>
  <c r="C6" i="9"/>
  <c r="J6" i="9" s="1"/>
  <c r="B6" i="9"/>
  <c r="O135" i="8"/>
  <c r="N135" i="8"/>
  <c r="M135" i="8"/>
  <c r="L135" i="8"/>
  <c r="K135" i="8"/>
  <c r="J135" i="8"/>
  <c r="O134" i="8"/>
  <c r="N134" i="8"/>
  <c r="M134" i="8"/>
  <c r="L134" i="8"/>
  <c r="K134" i="8"/>
  <c r="J134" i="8"/>
  <c r="O133" i="8"/>
  <c r="N133" i="8"/>
  <c r="M133" i="8"/>
  <c r="L133" i="8"/>
  <c r="K133" i="8"/>
  <c r="J133" i="8"/>
  <c r="O132" i="8"/>
  <c r="N132" i="8"/>
  <c r="M132" i="8"/>
  <c r="L132" i="8"/>
  <c r="K132" i="8"/>
  <c r="J132" i="8"/>
  <c r="O131" i="8"/>
  <c r="N131" i="8"/>
  <c r="M131" i="8"/>
  <c r="L131" i="8"/>
  <c r="K131" i="8"/>
  <c r="J131" i="8"/>
  <c r="O130" i="8"/>
  <c r="N130" i="8"/>
  <c r="M130" i="8"/>
  <c r="L130" i="8"/>
  <c r="K130" i="8"/>
  <c r="J130" i="8"/>
  <c r="O129" i="8"/>
  <c r="N129" i="8"/>
  <c r="M129" i="8"/>
  <c r="L129" i="8"/>
  <c r="K129" i="8"/>
  <c r="J129" i="8"/>
  <c r="O128" i="8"/>
  <c r="N128" i="8"/>
  <c r="M128" i="8"/>
  <c r="L128" i="8"/>
  <c r="K128" i="8"/>
  <c r="J128" i="8"/>
  <c r="O127" i="8"/>
  <c r="N127" i="8"/>
  <c r="M127" i="8"/>
  <c r="L127" i="8"/>
  <c r="K127" i="8"/>
  <c r="J127" i="8"/>
  <c r="O126" i="8"/>
  <c r="N126" i="8"/>
  <c r="M126" i="8"/>
  <c r="L126" i="8"/>
  <c r="K126" i="8"/>
  <c r="J126" i="8"/>
  <c r="O125" i="8"/>
  <c r="N125" i="8"/>
  <c r="M125" i="8"/>
  <c r="L125" i="8"/>
  <c r="K125" i="8"/>
  <c r="J125" i="8"/>
  <c r="O124" i="8"/>
  <c r="N124" i="8"/>
  <c r="M124" i="8"/>
  <c r="L124" i="8"/>
  <c r="K124" i="8"/>
  <c r="J124" i="8"/>
  <c r="O123" i="8"/>
  <c r="N123" i="8"/>
  <c r="M123" i="8"/>
  <c r="L123" i="8"/>
  <c r="K123" i="8"/>
  <c r="J123" i="8"/>
  <c r="O122" i="8"/>
  <c r="N122" i="8"/>
  <c r="M122" i="8"/>
  <c r="L122" i="8"/>
  <c r="K122" i="8"/>
  <c r="J122" i="8"/>
  <c r="O121" i="8"/>
  <c r="N121" i="8"/>
  <c r="M121" i="8"/>
  <c r="L121" i="8"/>
  <c r="K121" i="8"/>
  <c r="J121" i="8"/>
  <c r="O120" i="8"/>
  <c r="N120" i="8"/>
  <c r="M120" i="8"/>
  <c r="L120" i="8"/>
  <c r="K120" i="8"/>
  <c r="J120" i="8"/>
  <c r="O119" i="8"/>
  <c r="N119" i="8"/>
  <c r="M119" i="8"/>
  <c r="L119" i="8"/>
  <c r="K119" i="8"/>
  <c r="J119" i="8"/>
  <c r="O118" i="8"/>
  <c r="N118" i="8"/>
  <c r="M118" i="8"/>
  <c r="L118" i="8"/>
  <c r="K118" i="8"/>
  <c r="J118" i="8"/>
  <c r="O117" i="8"/>
  <c r="N117" i="8"/>
  <c r="M117" i="8"/>
  <c r="L117" i="8"/>
  <c r="K117" i="8"/>
  <c r="J117" i="8"/>
  <c r="O116" i="8"/>
  <c r="N116" i="8"/>
  <c r="M116" i="8"/>
  <c r="L116" i="8"/>
  <c r="K116" i="8"/>
  <c r="J116" i="8"/>
  <c r="O115" i="8"/>
  <c r="N115" i="8"/>
  <c r="M115" i="8"/>
  <c r="L115" i="8"/>
  <c r="K115" i="8"/>
  <c r="J115" i="8"/>
  <c r="O114" i="8"/>
  <c r="N114" i="8"/>
  <c r="M114" i="8"/>
  <c r="L114" i="8"/>
  <c r="K114" i="8"/>
  <c r="J114" i="8"/>
  <c r="O113" i="8"/>
  <c r="N113" i="8"/>
  <c r="M113" i="8"/>
  <c r="L113" i="8"/>
  <c r="K113" i="8"/>
  <c r="J113" i="8"/>
  <c r="AJ112" i="8"/>
  <c r="AJ113" i="8" s="1"/>
  <c r="O112" i="8"/>
  <c r="N112" i="8"/>
  <c r="M112" i="8"/>
  <c r="L112" i="8"/>
  <c r="K112" i="8"/>
  <c r="J112" i="8"/>
  <c r="O111" i="8"/>
  <c r="N111" i="8"/>
  <c r="M111" i="8"/>
  <c r="L111" i="8"/>
  <c r="K111" i="8"/>
  <c r="J111" i="8"/>
  <c r="O110" i="8"/>
  <c r="N110" i="8"/>
  <c r="M110" i="8"/>
  <c r="L110" i="8"/>
  <c r="K110" i="8"/>
  <c r="J110" i="8"/>
  <c r="O109" i="8"/>
  <c r="N109" i="8"/>
  <c r="M109" i="8"/>
  <c r="L109" i="8"/>
  <c r="K109" i="8"/>
  <c r="J109" i="8"/>
  <c r="O108" i="8"/>
  <c r="N108" i="8"/>
  <c r="M108" i="8"/>
  <c r="L108" i="8"/>
  <c r="K108" i="8"/>
  <c r="J108" i="8"/>
  <c r="AJ107" i="8"/>
  <c r="AJ108" i="8" s="1"/>
  <c r="AJ109" i="8" s="1"/>
  <c r="AJ110" i="8" s="1"/>
  <c r="AJ111" i="8" s="1"/>
  <c r="O107" i="8"/>
  <c r="N107" i="8"/>
  <c r="M107" i="8"/>
  <c r="L107" i="8"/>
  <c r="K107" i="8"/>
  <c r="J107" i="8"/>
  <c r="AJ106" i="8"/>
  <c r="O106" i="8"/>
  <c r="N106" i="8"/>
  <c r="M106" i="8"/>
  <c r="L106" i="8"/>
  <c r="K106" i="8"/>
  <c r="J106" i="8"/>
  <c r="O105" i="8"/>
  <c r="N105" i="8"/>
  <c r="M105" i="8"/>
  <c r="L105" i="8"/>
  <c r="K105" i="8"/>
  <c r="J105" i="8"/>
  <c r="O104" i="8"/>
  <c r="N104" i="8"/>
  <c r="M104" i="8"/>
  <c r="L104" i="8"/>
  <c r="K104" i="8"/>
  <c r="J104" i="8"/>
  <c r="AJ103" i="8"/>
  <c r="AJ104" i="8" s="1"/>
  <c r="AJ105" i="8" s="1"/>
  <c r="O103" i="8"/>
  <c r="N103" i="8"/>
  <c r="M103" i="8"/>
  <c r="L103" i="8"/>
  <c r="K103" i="8"/>
  <c r="J103" i="8"/>
  <c r="O102" i="8"/>
  <c r="N102" i="8"/>
  <c r="M102" i="8"/>
  <c r="L102" i="8"/>
  <c r="K102" i="8"/>
  <c r="J102" i="8"/>
  <c r="O101" i="8"/>
  <c r="N101" i="8"/>
  <c r="M101" i="8"/>
  <c r="L101" i="8"/>
  <c r="K101" i="8"/>
  <c r="J101" i="8"/>
  <c r="O100" i="8"/>
  <c r="N100" i="8"/>
  <c r="M100" i="8"/>
  <c r="L100" i="8"/>
  <c r="K100" i="8"/>
  <c r="J100" i="8"/>
  <c r="AJ99" i="8"/>
  <c r="AJ100" i="8" s="1"/>
  <c r="AJ101" i="8" s="1"/>
  <c r="AJ102" i="8" s="1"/>
  <c r="O99" i="8"/>
  <c r="N99" i="8"/>
  <c r="M99" i="8"/>
  <c r="L99" i="8"/>
  <c r="K99" i="8"/>
  <c r="J99" i="8"/>
  <c r="AJ98" i="8"/>
  <c r="O98" i="8"/>
  <c r="N98" i="8"/>
  <c r="M98" i="8"/>
  <c r="L98" i="8"/>
  <c r="K98" i="8"/>
  <c r="J98" i="8"/>
  <c r="O97" i="8"/>
  <c r="N97" i="8"/>
  <c r="M97" i="8"/>
  <c r="L97" i="8"/>
  <c r="K97" i="8"/>
  <c r="J97" i="8"/>
  <c r="AJ96" i="8"/>
  <c r="AJ97" i="8" s="1"/>
  <c r="O96" i="8"/>
  <c r="N96" i="8"/>
  <c r="M96" i="8"/>
  <c r="L96" i="8"/>
  <c r="K96" i="8"/>
  <c r="J96" i="8"/>
  <c r="O95" i="8"/>
  <c r="N95" i="8"/>
  <c r="M95" i="8"/>
  <c r="L95" i="8"/>
  <c r="K95" i="8"/>
  <c r="J95" i="8"/>
  <c r="O94" i="8"/>
  <c r="N94" i="8"/>
  <c r="M94" i="8"/>
  <c r="L94" i="8"/>
  <c r="K94" i="8"/>
  <c r="J94" i="8"/>
  <c r="O93" i="8"/>
  <c r="N93" i="8"/>
  <c r="M93" i="8"/>
  <c r="L93" i="8"/>
  <c r="K93" i="8"/>
  <c r="J93" i="8"/>
  <c r="O92" i="8"/>
  <c r="N92" i="8"/>
  <c r="M92" i="8"/>
  <c r="L92" i="8"/>
  <c r="K92" i="8"/>
  <c r="J92" i="8"/>
  <c r="AJ91" i="8"/>
  <c r="AJ92" i="8" s="1"/>
  <c r="AJ93" i="8" s="1"/>
  <c r="AJ94" i="8" s="1"/>
  <c r="AJ95" i="8" s="1"/>
  <c r="O91" i="8"/>
  <c r="N91" i="8"/>
  <c r="M91" i="8"/>
  <c r="L91" i="8"/>
  <c r="K91" i="8"/>
  <c r="J91" i="8"/>
  <c r="AJ90" i="8"/>
  <c r="O90" i="8"/>
  <c r="N90" i="8"/>
  <c r="M90" i="8"/>
  <c r="L90" i="8"/>
  <c r="K90" i="8"/>
  <c r="J90" i="8"/>
  <c r="O89" i="8"/>
  <c r="N89" i="8"/>
  <c r="M89" i="8"/>
  <c r="L89" i="8"/>
  <c r="K89" i="8"/>
  <c r="J89" i="8"/>
  <c r="O88" i="8"/>
  <c r="N88" i="8"/>
  <c r="M88" i="8"/>
  <c r="L88" i="8"/>
  <c r="K88" i="8"/>
  <c r="J88" i="8"/>
  <c r="O87" i="8"/>
  <c r="N87" i="8"/>
  <c r="M87" i="8"/>
  <c r="L87" i="8"/>
  <c r="K87" i="8"/>
  <c r="J87" i="8"/>
  <c r="O86" i="8"/>
  <c r="N86" i="8"/>
  <c r="M86" i="8"/>
  <c r="L86" i="8"/>
  <c r="K86" i="8"/>
  <c r="J86" i="8"/>
  <c r="O85" i="8"/>
  <c r="N85" i="8"/>
  <c r="M85" i="8"/>
  <c r="L85" i="8"/>
  <c r="K85" i="8"/>
  <c r="J85" i="8"/>
  <c r="O84" i="8"/>
  <c r="N84" i="8"/>
  <c r="M84" i="8"/>
  <c r="L84" i="8"/>
  <c r="K84" i="8"/>
  <c r="J84" i="8"/>
  <c r="AJ83" i="8"/>
  <c r="AJ84" i="8" s="1"/>
  <c r="AJ85" i="8" s="1"/>
  <c r="AJ86" i="8" s="1"/>
  <c r="AJ87" i="8" s="1"/>
  <c r="AJ88" i="8" s="1"/>
  <c r="AJ89" i="8" s="1"/>
  <c r="O83" i="8"/>
  <c r="N83" i="8"/>
  <c r="M83" i="8"/>
  <c r="L83" i="8"/>
  <c r="K83" i="8"/>
  <c r="J83" i="8"/>
  <c r="AJ82" i="8"/>
  <c r="O82" i="8"/>
  <c r="N82" i="8"/>
  <c r="M82" i="8"/>
  <c r="L82" i="8"/>
  <c r="K82" i="8"/>
  <c r="J82" i="8"/>
  <c r="O81" i="8"/>
  <c r="N81" i="8"/>
  <c r="M81" i="8"/>
  <c r="L81" i="8"/>
  <c r="K81" i="8"/>
  <c r="J81" i="8"/>
  <c r="O80" i="8"/>
  <c r="N80" i="8"/>
  <c r="M80" i="8"/>
  <c r="L80" i="8"/>
  <c r="K80" i="8"/>
  <c r="J80" i="8"/>
  <c r="AJ79" i="8"/>
  <c r="AJ80" i="8" s="1"/>
  <c r="AJ81" i="8" s="1"/>
  <c r="O79" i="8"/>
  <c r="N79" i="8"/>
  <c r="M79" i="8"/>
  <c r="L79" i="8"/>
  <c r="K79" i="8"/>
  <c r="J79" i="8"/>
  <c r="O78" i="8"/>
  <c r="N78" i="8"/>
  <c r="M78" i="8"/>
  <c r="L78" i="8"/>
  <c r="K78" i="8"/>
  <c r="J78" i="8"/>
  <c r="O77" i="8"/>
  <c r="N77" i="8"/>
  <c r="M77" i="8"/>
  <c r="L77" i="8"/>
  <c r="K77" i="8"/>
  <c r="J77" i="8"/>
  <c r="O76" i="8"/>
  <c r="N76" i="8"/>
  <c r="M76" i="8"/>
  <c r="L76" i="8"/>
  <c r="K76" i="8"/>
  <c r="J76" i="8"/>
  <c r="AJ75" i="8"/>
  <c r="AJ76" i="8" s="1"/>
  <c r="AJ77" i="8" s="1"/>
  <c r="AJ78" i="8" s="1"/>
  <c r="O75" i="8"/>
  <c r="N75" i="8"/>
  <c r="M75" i="8"/>
  <c r="L75" i="8"/>
  <c r="K75" i="8"/>
  <c r="J75" i="8"/>
  <c r="AJ74" i="8"/>
  <c r="O74" i="8"/>
  <c r="N74" i="8"/>
  <c r="M74" i="8"/>
  <c r="L74" i="8"/>
  <c r="K74" i="8"/>
  <c r="J74" i="8"/>
  <c r="O73" i="8"/>
  <c r="N73" i="8"/>
  <c r="M73" i="8"/>
  <c r="L73" i="8"/>
  <c r="K73" i="8"/>
  <c r="J73" i="8"/>
  <c r="O72" i="8"/>
  <c r="N72" i="8"/>
  <c r="M72" i="8"/>
  <c r="L72" i="8"/>
  <c r="K72" i="8"/>
  <c r="J72" i="8"/>
  <c r="O71" i="8"/>
  <c r="N71" i="8"/>
  <c r="M71" i="8"/>
  <c r="L71" i="8"/>
  <c r="K71" i="8"/>
  <c r="J71" i="8"/>
  <c r="O70" i="8"/>
  <c r="N70" i="8"/>
  <c r="M70" i="8"/>
  <c r="L70" i="8"/>
  <c r="K70" i="8"/>
  <c r="J70" i="8"/>
  <c r="O69" i="8"/>
  <c r="N69" i="8"/>
  <c r="M69" i="8"/>
  <c r="L69" i="8"/>
  <c r="K69" i="8"/>
  <c r="J69" i="8"/>
  <c r="O68" i="8"/>
  <c r="N68" i="8"/>
  <c r="M68" i="8"/>
  <c r="L68" i="8"/>
  <c r="K68" i="8"/>
  <c r="J68" i="8"/>
  <c r="O67" i="8"/>
  <c r="N67" i="8"/>
  <c r="M67" i="8"/>
  <c r="L67" i="8"/>
  <c r="K67" i="8"/>
  <c r="J67" i="8"/>
  <c r="AJ66" i="8"/>
  <c r="AJ67" i="8" s="1"/>
  <c r="AJ68" i="8" s="1"/>
  <c r="AJ69" i="8" s="1"/>
  <c r="AJ70" i="8" s="1"/>
  <c r="AJ71" i="8" s="1"/>
  <c r="AJ72" i="8" s="1"/>
  <c r="AJ73" i="8" s="1"/>
  <c r="O66" i="8"/>
  <c r="N66" i="8"/>
  <c r="M66" i="8"/>
  <c r="L66" i="8"/>
  <c r="K66" i="8"/>
  <c r="J66" i="8"/>
  <c r="O65" i="8"/>
  <c r="N65" i="8"/>
  <c r="M65" i="8"/>
  <c r="L65" i="8"/>
  <c r="K65" i="8"/>
  <c r="J65" i="8"/>
  <c r="O64" i="8"/>
  <c r="N64" i="8"/>
  <c r="M64" i="8"/>
  <c r="L64" i="8"/>
  <c r="K64" i="8"/>
  <c r="J64" i="8"/>
  <c r="O63" i="8"/>
  <c r="N63" i="8"/>
  <c r="M63" i="8"/>
  <c r="L63" i="8"/>
  <c r="K63" i="8"/>
  <c r="J63" i="8"/>
  <c r="O62" i="8"/>
  <c r="N62" i="8"/>
  <c r="M62" i="8"/>
  <c r="L62" i="8"/>
  <c r="K62" i="8"/>
  <c r="J62" i="8"/>
  <c r="O61" i="8"/>
  <c r="N61" i="8"/>
  <c r="M61" i="8"/>
  <c r="L61" i="8"/>
  <c r="K61" i="8"/>
  <c r="J61" i="8"/>
  <c r="O60" i="8"/>
  <c r="N60" i="8"/>
  <c r="M60" i="8"/>
  <c r="L60" i="8"/>
  <c r="K60" i="8"/>
  <c r="J60" i="8"/>
  <c r="O59" i="8"/>
  <c r="N59" i="8"/>
  <c r="M59" i="8"/>
  <c r="L59" i="8"/>
  <c r="K59" i="8"/>
  <c r="J59" i="8"/>
  <c r="AJ58" i="8"/>
  <c r="AJ59" i="8" s="1"/>
  <c r="AJ60" i="8" s="1"/>
  <c r="AJ61" i="8" s="1"/>
  <c r="AJ62" i="8" s="1"/>
  <c r="AJ63" i="8" s="1"/>
  <c r="AJ64" i="8" s="1"/>
  <c r="AJ65" i="8" s="1"/>
  <c r="O58" i="8"/>
  <c r="N58" i="8"/>
  <c r="M58" i="8"/>
  <c r="L58" i="8"/>
  <c r="K58" i="8"/>
  <c r="J58" i="8"/>
  <c r="O57" i="8"/>
  <c r="N57" i="8"/>
  <c r="M57" i="8"/>
  <c r="L57" i="8"/>
  <c r="K57" i="8"/>
  <c r="J57" i="8"/>
  <c r="O56" i="8"/>
  <c r="N56" i="8"/>
  <c r="M56" i="8"/>
  <c r="L56" i="8"/>
  <c r="K56" i="8"/>
  <c r="J56" i="8"/>
  <c r="O55" i="8"/>
  <c r="N55" i="8"/>
  <c r="M55" i="8"/>
  <c r="L55" i="8"/>
  <c r="K55" i="8"/>
  <c r="J55" i="8"/>
  <c r="O54" i="8"/>
  <c r="N54" i="8"/>
  <c r="M54" i="8"/>
  <c r="L54" i="8"/>
  <c r="K54" i="8"/>
  <c r="J54" i="8"/>
  <c r="AJ53" i="8"/>
  <c r="AJ54" i="8" s="1"/>
  <c r="AJ55" i="8" s="1"/>
  <c r="AJ56" i="8" s="1"/>
  <c r="AJ57" i="8" s="1"/>
  <c r="O53" i="8"/>
  <c r="N53" i="8"/>
  <c r="M53" i="8"/>
  <c r="L53" i="8"/>
  <c r="K53" i="8"/>
  <c r="J53" i="8"/>
  <c r="O52" i="8"/>
  <c r="N52" i="8"/>
  <c r="M52" i="8"/>
  <c r="L52" i="8"/>
  <c r="K52" i="8"/>
  <c r="J52" i="8"/>
  <c r="O51" i="8"/>
  <c r="N51" i="8"/>
  <c r="M51" i="8"/>
  <c r="L51" i="8"/>
  <c r="K51" i="8"/>
  <c r="J51" i="8"/>
  <c r="AJ50" i="8"/>
  <c r="AJ51" i="8" s="1"/>
  <c r="AJ52" i="8" s="1"/>
  <c r="O50" i="8"/>
  <c r="N50" i="8"/>
  <c r="M50" i="8"/>
  <c r="L50" i="8"/>
  <c r="K50" i="8"/>
  <c r="J50" i="8"/>
  <c r="O49" i="8"/>
  <c r="N49" i="8"/>
  <c r="M49" i="8"/>
  <c r="L49" i="8"/>
  <c r="K49" i="8"/>
  <c r="J49" i="8"/>
  <c r="AJ48" i="8"/>
  <c r="AJ49" i="8" s="1"/>
  <c r="O48" i="8"/>
  <c r="N48" i="8"/>
  <c r="M48" i="8"/>
  <c r="L48" i="8"/>
  <c r="K48" i="8"/>
  <c r="J48" i="8"/>
  <c r="O47" i="8"/>
  <c r="N47" i="8"/>
  <c r="M47" i="8"/>
  <c r="L47" i="8"/>
  <c r="K47" i="8"/>
  <c r="J47" i="8"/>
  <c r="O46" i="8"/>
  <c r="N46" i="8"/>
  <c r="M46" i="8"/>
  <c r="L46" i="8"/>
  <c r="K46" i="8"/>
  <c r="J46" i="8"/>
  <c r="O45" i="8"/>
  <c r="N45" i="8"/>
  <c r="M45" i="8"/>
  <c r="L45" i="8"/>
  <c r="K45" i="8"/>
  <c r="J45" i="8"/>
  <c r="O44" i="8"/>
  <c r="N44" i="8"/>
  <c r="M44" i="8"/>
  <c r="L44" i="8"/>
  <c r="K44" i="8"/>
  <c r="J44" i="8"/>
  <c r="O43" i="8"/>
  <c r="N43" i="8"/>
  <c r="M43" i="8"/>
  <c r="L43" i="8"/>
  <c r="K43" i="8"/>
  <c r="J43" i="8"/>
  <c r="AJ42" i="8"/>
  <c r="AJ43" i="8" s="1"/>
  <c r="AJ44" i="8" s="1"/>
  <c r="AJ45" i="8" s="1"/>
  <c r="AJ46" i="8" s="1"/>
  <c r="AJ47" i="8" s="1"/>
  <c r="O42" i="8"/>
  <c r="N42" i="8"/>
  <c r="M42" i="8"/>
  <c r="L42" i="8"/>
  <c r="K42" i="8"/>
  <c r="J42" i="8"/>
  <c r="O41" i="8"/>
  <c r="N41" i="8"/>
  <c r="M41" i="8"/>
  <c r="L41" i="8"/>
  <c r="K41" i="8"/>
  <c r="J41" i="8"/>
  <c r="O40" i="8"/>
  <c r="N40" i="8"/>
  <c r="M40" i="8"/>
  <c r="L40" i="8"/>
  <c r="K40" i="8"/>
  <c r="J40" i="8"/>
  <c r="O39" i="8"/>
  <c r="N39" i="8"/>
  <c r="M39" i="8"/>
  <c r="L39" i="8"/>
  <c r="K39" i="8"/>
  <c r="J39" i="8"/>
  <c r="O38" i="8"/>
  <c r="N38" i="8"/>
  <c r="M38" i="8"/>
  <c r="L38" i="8"/>
  <c r="K38" i="8"/>
  <c r="J38" i="8"/>
  <c r="O37" i="8"/>
  <c r="N37" i="8"/>
  <c r="M37" i="8"/>
  <c r="L37" i="8"/>
  <c r="K37" i="8"/>
  <c r="J37" i="8"/>
  <c r="O36" i="8"/>
  <c r="N36" i="8"/>
  <c r="M36" i="8"/>
  <c r="L36" i="8"/>
  <c r="K36" i="8"/>
  <c r="J36" i="8"/>
  <c r="AJ35" i="8"/>
  <c r="AJ36" i="8" s="1"/>
  <c r="AJ37" i="8" s="1"/>
  <c r="AJ38" i="8" s="1"/>
  <c r="AJ39" i="8" s="1"/>
  <c r="AJ40" i="8" s="1"/>
  <c r="AJ41" i="8" s="1"/>
  <c r="O35" i="8"/>
  <c r="N35" i="8"/>
  <c r="M35" i="8"/>
  <c r="L35" i="8"/>
  <c r="K35" i="8"/>
  <c r="J35" i="8"/>
  <c r="AJ34" i="8"/>
  <c r="O34" i="8"/>
  <c r="N34" i="8"/>
  <c r="M34" i="8"/>
  <c r="L34" i="8"/>
  <c r="K34" i="8"/>
  <c r="J34" i="8"/>
  <c r="O33" i="8"/>
  <c r="N33" i="8"/>
  <c r="M33" i="8"/>
  <c r="L33" i="8"/>
  <c r="K33" i="8"/>
  <c r="J33" i="8"/>
  <c r="AJ32" i="8"/>
  <c r="AJ33" i="8" s="1"/>
  <c r="O32" i="8"/>
  <c r="N32" i="8"/>
  <c r="M32" i="8"/>
  <c r="L32" i="8"/>
  <c r="K32" i="8"/>
  <c r="J32" i="8"/>
  <c r="AR31" i="8"/>
  <c r="O31" i="8"/>
  <c r="N31" i="8"/>
  <c r="M31" i="8"/>
  <c r="L31" i="8"/>
  <c r="K31" i="8"/>
  <c r="J31" i="8"/>
  <c r="O30" i="8"/>
  <c r="N30" i="8"/>
  <c r="M30" i="8"/>
  <c r="L30" i="8"/>
  <c r="K30" i="8"/>
  <c r="J30" i="8"/>
  <c r="O29" i="8"/>
  <c r="N29" i="8"/>
  <c r="M29" i="8"/>
  <c r="L29" i="8"/>
  <c r="K29" i="8"/>
  <c r="J29" i="8"/>
  <c r="O28" i="8"/>
  <c r="N28" i="8"/>
  <c r="M28" i="8"/>
  <c r="L28" i="8"/>
  <c r="K28" i="8"/>
  <c r="J28" i="8"/>
  <c r="AR27" i="8"/>
  <c r="AJ27" i="8"/>
  <c r="AJ28" i="8" s="1"/>
  <c r="AJ29" i="8" s="1"/>
  <c r="AJ30" i="8" s="1"/>
  <c r="AJ31" i="8" s="1"/>
  <c r="O27" i="8"/>
  <c r="N27" i="8"/>
  <c r="M27" i="8"/>
  <c r="L27" i="8"/>
  <c r="K27" i="8"/>
  <c r="J27" i="8"/>
  <c r="AJ26" i="8"/>
  <c r="O26" i="8"/>
  <c r="N26" i="8"/>
  <c r="M26" i="8"/>
  <c r="L26" i="8"/>
  <c r="K26" i="8"/>
  <c r="J26" i="8"/>
  <c r="AR25" i="8"/>
  <c r="O25" i="8"/>
  <c r="N25" i="8"/>
  <c r="M25" i="8"/>
  <c r="L25" i="8"/>
  <c r="K25" i="8"/>
  <c r="J25" i="8"/>
  <c r="O24" i="8"/>
  <c r="N24" i="8"/>
  <c r="M24" i="8"/>
  <c r="L24" i="8"/>
  <c r="K24" i="8"/>
  <c r="J24" i="8"/>
  <c r="O23" i="8"/>
  <c r="N23" i="8"/>
  <c r="M23" i="8"/>
  <c r="L23" i="8"/>
  <c r="K23" i="8"/>
  <c r="J23" i="8"/>
  <c r="AR22" i="8"/>
  <c r="AR35" i="8" s="1"/>
  <c r="W22" i="8"/>
  <c r="V22" i="8"/>
  <c r="U22" i="8"/>
  <c r="T22" i="8"/>
  <c r="S22" i="8"/>
  <c r="R22" i="8"/>
  <c r="O22" i="8"/>
  <c r="N22" i="8"/>
  <c r="M22" i="8"/>
  <c r="L22" i="8"/>
  <c r="K22" i="8"/>
  <c r="J22" i="8"/>
  <c r="B22" i="8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AR21" i="8"/>
  <c r="AR34" i="8" s="1"/>
  <c r="W21" i="8"/>
  <c r="V21" i="8"/>
  <c r="U21" i="8"/>
  <c r="T21" i="8"/>
  <c r="S21" i="8"/>
  <c r="R21" i="8"/>
  <c r="O21" i="8"/>
  <c r="N21" i="8"/>
  <c r="M21" i="8"/>
  <c r="L21" i="8"/>
  <c r="K21" i="8"/>
  <c r="J21" i="8"/>
  <c r="AR20" i="8"/>
  <c r="AR33" i="8" s="1"/>
  <c r="V20" i="8"/>
  <c r="U20" i="8"/>
  <c r="T20" i="8"/>
  <c r="S20" i="8"/>
  <c r="Q20" i="8"/>
  <c r="R20" i="8" s="1"/>
  <c r="O20" i="8"/>
  <c r="N20" i="8"/>
  <c r="M20" i="8"/>
  <c r="L20" i="8"/>
  <c r="K20" i="8"/>
  <c r="J20" i="8"/>
  <c r="AR19" i="8"/>
  <c r="AR32" i="8" s="1"/>
  <c r="AJ19" i="8"/>
  <c r="AJ20" i="8" s="1"/>
  <c r="AJ21" i="8" s="1"/>
  <c r="AJ22" i="8" s="1"/>
  <c r="AJ23" i="8" s="1"/>
  <c r="AJ24" i="8" s="1"/>
  <c r="AJ25" i="8" s="1"/>
  <c r="W19" i="8"/>
  <c r="U19" i="8"/>
  <c r="T19" i="8"/>
  <c r="S19" i="8"/>
  <c r="R19" i="8"/>
  <c r="Q19" i="8"/>
  <c r="V19" i="8" s="1"/>
  <c r="O19" i="8"/>
  <c r="N19" i="8"/>
  <c r="M19" i="8"/>
  <c r="L19" i="8"/>
  <c r="K19" i="8"/>
  <c r="J19" i="8"/>
  <c r="AR18" i="8"/>
  <c r="AJ18" i="8"/>
  <c r="V18" i="8"/>
  <c r="T18" i="8"/>
  <c r="S18" i="8"/>
  <c r="R18" i="8"/>
  <c r="Q18" i="8"/>
  <c r="W18" i="8" s="1"/>
  <c r="O18" i="8"/>
  <c r="N18" i="8"/>
  <c r="M18" i="8"/>
  <c r="L18" i="8"/>
  <c r="K18" i="8"/>
  <c r="J18" i="8"/>
  <c r="AR17" i="8"/>
  <c r="AR30" i="8" s="1"/>
  <c r="U17" i="8"/>
  <c r="R17" i="8"/>
  <c r="Q17" i="8"/>
  <c r="O17" i="8"/>
  <c r="N17" i="8"/>
  <c r="M17" i="8"/>
  <c r="L17" i="8"/>
  <c r="K17" i="8"/>
  <c r="J17" i="8"/>
  <c r="AR16" i="8"/>
  <c r="AR29" i="8" s="1"/>
  <c r="Q16" i="8"/>
  <c r="W16" i="8" s="1"/>
  <c r="O16" i="8"/>
  <c r="N16" i="8"/>
  <c r="M16" i="8"/>
  <c r="L16" i="8"/>
  <c r="K16" i="8"/>
  <c r="J16" i="8"/>
  <c r="AR15" i="8"/>
  <c r="AR28" i="8" s="1"/>
  <c r="V15" i="8"/>
  <c r="Q15" i="8"/>
  <c r="O15" i="8"/>
  <c r="N15" i="8"/>
  <c r="M15" i="8"/>
  <c r="L15" i="8"/>
  <c r="K15" i="8"/>
  <c r="J15" i="8"/>
  <c r="B15" i="8"/>
  <c r="B16" i="8" s="1"/>
  <c r="B17" i="8" s="1"/>
  <c r="B18" i="8" s="1"/>
  <c r="B19" i="8" s="1"/>
  <c r="B20" i="8" s="1"/>
  <c r="B21" i="8" s="1"/>
  <c r="AR14" i="8"/>
  <c r="W14" i="8"/>
  <c r="V14" i="8"/>
  <c r="U14" i="8"/>
  <c r="T14" i="8"/>
  <c r="S14" i="8"/>
  <c r="R14" i="8"/>
  <c r="Q14" i="8"/>
  <c r="O14" i="8"/>
  <c r="N14" i="8"/>
  <c r="M14" i="8"/>
  <c r="L14" i="8"/>
  <c r="K14" i="8"/>
  <c r="J14" i="8"/>
  <c r="AR13" i="8"/>
  <c r="AR26" i="8" s="1"/>
  <c r="Y13" i="8"/>
  <c r="Y14" i="8" s="1"/>
  <c r="Y15" i="8" s="1"/>
  <c r="Y16" i="8" s="1"/>
  <c r="Y17" i="8" s="1"/>
  <c r="Y18" i="8" s="1"/>
  <c r="Y19" i="8" s="1"/>
  <c r="U13" i="8"/>
  <c r="T13" i="8"/>
  <c r="Q13" i="8"/>
  <c r="O13" i="8"/>
  <c r="N13" i="8"/>
  <c r="M13" i="8"/>
  <c r="L13" i="8"/>
  <c r="K13" i="8"/>
  <c r="J13" i="8"/>
  <c r="AR12" i="8"/>
  <c r="Y12" i="8"/>
  <c r="Q12" i="8"/>
  <c r="U12" i="8" s="1"/>
  <c r="O12" i="8"/>
  <c r="N12" i="8"/>
  <c r="M12" i="8"/>
  <c r="L12" i="8"/>
  <c r="K12" i="8"/>
  <c r="J12" i="8"/>
  <c r="AR11" i="8"/>
  <c r="AR24" i="8" s="1"/>
  <c r="AJ11" i="8"/>
  <c r="AJ12" i="8" s="1"/>
  <c r="AJ13" i="8" s="1"/>
  <c r="Y11" i="8"/>
  <c r="Q11" i="8"/>
  <c r="W11" i="8" s="1"/>
  <c r="O11" i="8"/>
  <c r="N11" i="8"/>
  <c r="M11" i="8"/>
  <c r="L11" i="8"/>
  <c r="K11" i="8"/>
  <c r="J11" i="8"/>
  <c r="B11" i="8"/>
  <c r="B12" i="8" s="1"/>
  <c r="B13" i="8" s="1"/>
  <c r="B14" i="8" s="1"/>
  <c r="AR10" i="8"/>
  <c r="AR23" i="8" s="1"/>
  <c r="AJ10" i="8"/>
  <c r="Y10" i="8"/>
  <c r="V10" i="8"/>
  <c r="Q10" i="8"/>
  <c r="W10" i="8" s="1"/>
  <c r="O10" i="8"/>
  <c r="N10" i="8"/>
  <c r="M10" i="8"/>
  <c r="L10" i="8"/>
  <c r="K10" i="8"/>
  <c r="J10" i="8"/>
  <c r="H9" i="8"/>
  <c r="O9" i="8" s="1"/>
  <c r="B9" i="8"/>
  <c r="G9" i="8" s="1"/>
  <c r="N9" i="8" s="1"/>
  <c r="C8" i="8"/>
  <c r="J8" i="8" s="1"/>
  <c r="B8" i="8"/>
  <c r="H8" i="8" s="1"/>
  <c r="O8" i="8" s="1"/>
  <c r="J9" i="22" l="1"/>
  <c r="Y15" i="22"/>
  <c r="Y16" i="22" s="1"/>
  <c r="AJ39" i="22"/>
  <c r="AJ40" i="22" s="1"/>
  <c r="AJ41" i="22" s="1"/>
  <c r="AJ21" i="22"/>
  <c r="O9" i="22"/>
  <c r="H8" i="22"/>
  <c r="O8" i="22" s="1"/>
  <c r="W10" i="22"/>
  <c r="W23" i="22" s="1"/>
  <c r="R20" i="22"/>
  <c r="S20" i="22"/>
  <c r="R18" i="22"/>
  <c r="T20" i="22"/>
  <c r="R17" i="22"/>
  <c r="S18" i="22"/>
  <c r="U20" i="22"/>
  <c r="R16" i="22"/>
  <c r="S17" i="22"/>
  <c r="T18" i="22"/>
  <c r="V20" i="22"/>
  <c r="S16" i="22"/>
  <c r="T17" i="22"/>
  <c r="U18" i="22"/>
  <c r="AJ11" i="22"/>
  <c r="U17" i="22"/>
  <c r="V18" i="22"/>
  <c r="V17" i="22"/>
  <c r="D9" i="22"/>
  <c r="R12" i="22"/>
  <c r="S13" i="22"/>
  <c r="C8" i="22"/>
  <c r="J8" i="22" s="1"/>
  <c r="F9" i="22"/>
  <c r="M9" i="22" s="1"/>
  <c r="R10" i="22"/>
  <c r="T12" i="22"/>
  <c r="T23" i="22" s="1"/>
  <c r="U13" i="22"/>
  <c r="D8" i="22"/>
  <c r="K8" i="22" s="1"/>
  <c r="G9" i="22"/>
  <c r="N9" i="22" s="1"/>
  <c r="S10" i="22"/>
  <c r="U12" i="22"/>
  <c r="V13" i="22"/>
  <c r="B7" i="22"/>
  <c r="C67" i="19"/>
  <c r="E68" i="19"/>
  <c r="B95" i="19"/>
  <c r="E69" i="19"/>
  <c r="F69" i="19" s="1"/>
  <c r="G97" i="19"/>
  <c r="P52" i="19"/>
  <c r="D99" i="19"/>
  <c r="E53" i="19"/>
  <c r="E99" i="19"/>
  <c r="F102" i="19"/>
  <c r="E73" i="19"/>
  <c r="C104" i="19"/>
  <c r="E107" i="19"/>
  <c r="F58" i="19"/>
  <c r="G58" i="19" s="1"/>
  <c r="B109" i="19"/>
  <c r="C109" i="19"/>
  <c r="G110" i="19"/>
  <c r="Q52" i="19"/>
  <c r="B120" i="19"/>
  <c r="C127" i="19"/>
  <c r="E127" i="19"/>
  <c r="AC20" i="20"/>
  <c r="F59" i="19"/>
  <c r="P42" i="19"/>
  <c r="Q42" i="19" s="1"/>
  <c r="G42" i="19"/>
  <c r="F43" i="19"/>
  <c r="F42" i="19"/>
  <c r="E44" i="19"/>
  <c r="E43" i="19"/>
  <c r="E42" i="19"/>
  <c r="D45" i="19"/>
  <c r="D44" i="19"/>
  <c r="D43" i="19"/>
  <c r="D42" i="19"/>
  <c r="C42" i="19"/>
  <c r="C44" i="19"/>
  <c r="B44" i="19"/>
  <c r="C43" i="19"/>
  <c r="C45" i="19"/>
  <c r="B43" i="19"/>
  <c r="D40" i="19"/>
  <c r="P37" i="19"/>
  <c r="Q37" i="19" s="1"/>
  <c r="G37" i="19"/>
  <c r="E39" i="19"/>
  <c r="F38" i="19"/>
  <c r="F37" i="19"/>
  <c r="C40" i="19"/>
  <c r="D39" i="19"/>
  <c r="E38" i="19"/>
  <c r="E37" i="19"/>
  <c r="C39" i="19"/>
  <c r="D38" i="19"/>
  <c r="D37" i="19"/>
  <c r="B39" i="19"/>
  <c r="C38" i="19"/>
  <c r="C37" i="19"/>
  <c r="B38" i="19"/>
  <c r="D50" i="19"/>
  <c r="E49" i="19"/>
  <c r="F48" i="19"/>
  <c r="F47" i="19"/>
  <c r="C50" i="19"/>
  <c r="D49" i="19"/>
  <c r="E48" i="19"/>
  <c r="E47" i="19"/>
  <c r="C49" i="19"/>
  <c r="D48" i="19"/>
  <c r="D47" i="19"/>
  <c r="B49" i="19"/>
  <c r="C48" i="19"/>
  <c r="C47" i="19"/>
  <c r="G47" i="19"/>
  <c r="B48" i="19"/>
  <c r="P47" i="19"/>
  <c r="Q47" i="19" s="1"/>
  <c r="P32" i="19"/>
  <c r="Q32" i="19" s="1"/>
  <c r="G32" i="19"/>
  <c r="F33" i="19"/>
  <c r="F32" i="19"/>
  <c r="E34" i="19"/>
  <c r="E33" i="19"/>
  <c r="E32" i="19"/>
  <c r="D35" i="19"/>
  <c r="D34" i="19"/>
  <c r="D33" i="19"/>
  <c r="D32" i="19"/>
  <c r="C35" i="19"/>
  <c r="C34" i="19"/>
  <c r="C33" i="19"/>
  <c r="C32" i="19"/>
  <c r="B34" i="19"/>
  <c r="B33" i="19"/>
  <c r="G62" i="19"/>
  <c r="E64" i="19"/>
  <c r="E63" i="19"/>
  <c r="E62" i="19"/>
  <c r="C65" i="19"/>
  <c r="C64" i="19"/>
  <c r="C63" i="19"/>
  <c r="C62" i="19"/>
  <c r="P62" i="19"/>
  <c r="Q62" i="19" s="1"/>
  <c r="F62" i="19"/>
  <c r="D62" i="19"/>
  <c r="B63" i="19"/>
  <c r="D64" i="19"/>
  <c r="B64" i="19"/>
  <c r="F63" i="19"/>
  <c r="D65" i="19"/>
  <c r="D63" i="19"/>
  <c r="F54" i="19"/>
  <c r="AE129" i="20"/>
  <c r="AE124" i="20"/>
  <c r="AE111" i="20"/>
  <c r="AE135" i="20"/>
  <c r="AE119" i="20"/>
  <c r="AE130" i="20"/>
  <c r="AE114" i="20"/>
  <c r="AE125" i="20"/>
  <c r="AE120" i="20"/>
  <c r="AE131" i="20"/>
  <c r="AE115" i="20"/>
  <c r="AE126" i="20"/>
  <c r="AE112" i="20"/>
  <c r="AE121" i="20"/>
  <c r="AE132" i="20"/>
  <c r="AE116" i="20"/>
  <c r="AE127" i="20"/>
  <c r="AE122" i="20"/>
  <c r="AE110" i="20"/>
  <c r="AE133" i="20"/>
  <c r="AE117" i="20"/>
  <c r="AE128" i="20"/>
  <c r="AE113" i="20"/>
  <c r="AE89" i="20"/>
  <c r="AE62" i="20"/>
  <c r="AE47" i="20"/>
  <c r="AE99" i="20"/>
  <c r="AE74" i="20"/>
  <c r="AE68" i="20"/>
  <c r="AE123" i="20"/>
  <c r="AE109" i="20"/>
  <c r="AE88" i="20"/>
  <c r="AE80" i="20"/>
  <c r="AE56" i="20"/>
  <c r="AE50" i="20"/>
  <c r="AE42" i="20"/>
  <c r="AE108" i="20"/>
  <c r="AE98" i="20"/>
  <c r="AE87" i="20"/>
  <c r="AE67" i="20"/>
  <c r="AE61" i="20"/>
  <c r="AE31" i="20"/>
  <c r="AE97" i="20"/>
  <c r="AE86" i="20"/>
  <c r="AE79" i="20"/>
  <c r="AE73" i="20"/>
  <c r="AE53" i="20"/>
  <c r="AE45" i="20"/>
  <c r="AE118" i="20"/>
  <c r="AE107" i="20"/>
  <c r="AE96" i="20"/>
  <c r="AE85" i="20"/>
  <c r="AE78" i="20"/>
  <c r="AE66" i="20"/>
  <c r="AE60" i="20"/>
  <c r="AE55" i="20"/>
  <c r="AE48" i="20"/>
  <c r="AE134" i="20"/>
  <c r="AE106" i="20"/>
  <c r="AE95" i="20"/>
  <c r="AE84" i="20"/>
  <c r="AE72" i="20"/>
  <c r="AE105" i="20"/>
  <c r="AE94" i="20"/>
  <c r="AE59" i="20"/>
  <c r="AE51" i="20"/>
  <c r="AE43" i="20"/>
  <c r="AE83" i="20"/>
  <c r="AE77" i="20"/>
  <c r="AE71" i="20"/>
  <c r="AE65" i="20"/>
  <c r="AE104" i="20"/>
  <c r="AE93" i="20"/>
  <c r="AE46" i="20"/>
  <c r="AE38" i="20"/>
  <c r="AE103" i="20"/>
  <c r="AE92" i="20"/>
  <c r="AE70" i="20"/>
  <c r="AE58" i="20"/>
  <c r="AE54" i="20"/>
  <c r="AE91" i="20"/>
  <c r="AE100" i="20"/>
  <c r="AE90" i="20"/>
  <c r="AE81" i="20"/>
  <c r="AE34" i="20"/>
  <c r="AE69" i="20"/>
  <c r="AE39" i="20"/>
  <c r="AE26" i="20"/>
  <c r="AE22" i="20"/>
  <c r="AE11" i="20"/>
  <c r="AE102" i="20"/>
  <c r="AE63" i="20"/>
  <c r="AE37" i="20"/>
  <c r="AE30" i="20"/>
  <c r="AE25" i="20"/>
  <c r="AE75" i="20"/>
  <c r="AE24" i="20"/>
  <c r="AE13" i="20"/>
  <c r="AE36" i="20"/>
  <c r="AE23" i="20"/>
  <c r="AE14" i="20"/>
  <c r="AE52" i="20"/>
  <c r="AE27" i="20"/>
  <c r="AE15" i="20"/>
  <c r="AE16" i="20"/>
  <c r="AE44" i="20"/>
  <c r="AE33" i="20"/>
  <c r="AE17" i="20"/>
  <c r="AE18" i="20"/>
  <c r="AE64" i="20"/>
  <c r="AE49" i="20"/>
  <c r="AE19" i="20"/>
  <c r="AE35" i="20"/>
  <c r="AE28" i="20"/>
  <c r="AE101" i="20"/>
  <c r="AE76" i="20"/>
  <c r="AE57" i="20"/>
  <c r="AE82" i="20"/>
  <c r="AE12" i="20"/>
  <c r="AE40" i="20"/>
  <c r="AE10" i="20"/>
  <c r="AE29" i="20"/>
  <c r="AE41" i="20"/>
  <c r="AE21" i="20"/>
  <c r="AE32" i="20"/>
  <c r="AE20" i="20"/>
  <c r="P57" i="19"/>
  <c r="Q57" i="19" s="1"/>
  <c r="B92" i="19"/>
  <c r="D95" i="19"/>
  <c r="F99" i="19"/>
  <c r="B106" i="19"/>
  <c r="D109" i="19"/>
  <c r="C120" i="19"/>
  <c r="C132" i="19"/>
  <c r="D127" i="19"/>
  <c r="B121" i="19"/>
  <c r="B127" i="19"/>
  <c r="F123" i="19"/>
  <c r="C122" i="19"/>
  <c r="G118" i="19"/>
  <c r="D117" i="19"/>
  <c r="C129" i="19"/>
  <c r="E119" i="19"/>
  <c r="F114" i="19"/>
  <c r="E130" i="19"/>
  <c r="F125" i="19"/>
  <c r="C124" i="19"/>
  <c r="G120" i="19"/>
  <c r="E131" i="19"/>
  <c r="B130" i="19"/>
  <c r="F126" i="19"/>
  <c r="G121" i="19"/>
  <c r="D120" i="19"/>
  <c r="C118" i="19"/>
  <c r="D110" i="19"/>
  <c r="D93" i="19"/>
  <c r="B125" i="19"/>
  <c r="E123" i="19"/>
  <c r="G114" i="19"/>
  <c r="D132" i="19"/>
  <c r="D123" i="19"/>
  <c r="B116" i="19"/>
  <c r="D114" i="19"/>
  <c r="B110" i="19"/>
  <c r="G101" i="19"/>
  <c r="B132" i="19"/>
  <c r="D130" i="19"/>
  <c r="E106" i="19"/>
  <c r="B105" i="19"/>
  <c r="C100" i="19"/>
  <c r="F128" i="19"/>
  <c r="D121" i="19"/>
  <c r="G119" i="19"/>
  <c r="C111" i="19"/>
  <c r="C128" i="19"/>
  <c r="B128" i="19"/>
  <c r="D126" i="19"/>
  <c r="B119" i="19"/>
  <c r="E117" i="19"/>
  <c r="G115" i="19"/>
  <c r="E102" i="19"/>
  <c r="B101" i="19"/>
  <c r="F97" i="19"/>
  <c r="E124" i="19"/>
  <c r="G122" i="19"/>
  <c r="G113" i="19"/>
  <c r="E108" i="19"/>
  <c r="F103" i="19"/>
  <c r="G98" i="19"/>
  <c r="C115" i="19"/>
  <c r="F113" i="19"/>
  <c r="C131" i="19"/>
  <c r="E113" i="19"/>
  <c r="D103" i="19"/>
  <c r="E98" i="19"/>
  <c r="B131" i="19"/>
  <c r="E129" i="19"/>
  <c r="B122" i="19"/>
  <c r="B108" i="19"/>
  <c r="F104" i="19"/>
  <c r="G99" i="19"/>
  <c r="E92" i="19"/>
  <c r="D58" i="19"/>
  <c r="D60" i="19"/>
  <c r="C92" i="19"/>
  <c r="F95" i="19"/>
  <c r="D106" i="19"/>
  <c r="C84" i="19"/>
  <c r="B88" i="19"/>
  <c r="D92" i="19"/>
  <c r="B103" i="19"/>
  <c r="F115" i="19"/>
  <c r="AB128" i="20"/>
  <c r="AB113" i="20"/>
  <c r="AB105" i="20"/>
  <c r="AB97" i="20"/>
  <c r="AB89" i="20"/>
  <c r="AB81" i="20"/>
  <c r="AB73" i="20"/>
  <c r="AB65" i="20"/>
  <c r="AB57" i="20"/>
  <c r="AB123" i="20"/>
  <c r="AB134" i="20"/>
  <c r="AB118" i="20"/>
  <c r="AB108" i="20"/>
  <c r="AB100" i="20"/>
  <c r="AB92" i="20"/>
  <c r="AB84" i="20"/>
  <c r="AB76" i="20"/>
  <c r="AB68" i="20"/>
  <c r="AB60" i="20"/>
  <c r="AB129" i="20"/>
  <c r="AB124" i="20"/>
  <c r="AB111" i="20"/>
  <c r="AB103" i="20"/>
  <c r="AB95" i="20"/>
  <c r="AB87" i="20"/>
  <c r="AB79" i="20"/>
  <c r="AB71" i="20"/>
  <c r="AB63" i="20"/>
  <c r="AB55" i="20"/>
  <c r="AB135" i="20"/>
  <c r="AB119" i="20"/>
  <c r="AB130" i="20"/>
  <c r="AB114" i="20"/>
  <c r="AB106" i="20"/>
  <c r="AB98" i="20"/>
  <c r="AB90" i="20"/>
  <c r="AB125" i="20"/>
  <c r="AB120" i="20"/>
  <c r="AB109" i="20"/>
  <c r="AB101" i="20"/>
  <c r="AB93" i="20"/>
  <c r="AB85" i="20"/>
  <c r="AB77" i="20"/>
  <c r="AB69" i="20"/>
  <c r="AB61" i="20"/>
  <c r="AB131" i="20"/>
  <c r="AB115" i="20"/>
  <c r="AB126" i="20"/>
  <c r="AB112" i="20"/>
  <c r="AB104" i="20"/>
  <c r="AB96" i="20"/>
  <c r="AB88" i="20"/>
  <c r="AB80" i="20"/>
  <c r="AB72" i="20"/>
  <c r="AB64" i="20"/>
  <c r="AB56" i="20"/>
  <c r="AB121" i="20"/>
  <c r="AB132" i="20"/>
  <c r="AB116" i="20"/>
  <c r="AB107" i="20"/>
  <c r="AB99" i="20"/>
  <c r="AB91" i="20"/>
  <c r="AB83" i="20"/>
  <c r="AB75" i="20"/>
  <c r="AB67" i="20"/>
  <c r="AB59" i="20"/>
  <c r="AB127" i="20"/>
  <c r="AB62" i="20"/>
  <c r="AB35" i="20"/>
  <c r="AB74" i="20"/>
  <c r="AB47" i="20"/>
  <c r="AB39" i="20"/>
  <c r="AB34" i="20"/>
  <c r="AB110" i="20"/>
  <c r="AB50" i="20"/>
  <c r="AB42" i="20"/>
  <c r="AB32" i="20"/>
  <c r="AB86" i="20"/>
  <c r="AB78" i="20"/>
  <c r="AB66" i="20"/>
  <c r="AB48" i="20"/>
  <c r="AB40" i="20"/>
  <c r="AB28" i="20"/>
  <c r="AB122" i="20"/>
  <c r="AB94" i="20"/>
  <c r="AB51" i="20"/>
  <c r="AB43" i="20"/>
  <c r="AB117" i="20"/>
  <c r="AB70" i="20"/>
  <c r="AB58" i="20"/>
  <c r="AB54" i="20"/>
  <c r="AB46" i="20"/>
  <c r="AB38" i="20"/>
  <c r="AB133" i="20"/>
  <c r="AB41" i="20"/>
  <c r="AB29" i="20"/>
  <c r="AB21" i="20"/>
  <c r="AB102" i="20"/>
  <c r="AB10" i="20"/>
  <c r="AB37" i="20"/>
  <c r="AB26" i="20"/>
  <c r="AB22" i="20"/>
  <c r="AB30" i="20"/>
  <c r="AB25" i="20"/>
  <c r="AB12" i="20"/>
  <c r="AB24" i="20"/>
  <c r="AB13" i="20"/>
  <c r="AB52" i="20"/>
  <c r="AB36" i="20"/>
  <c r="AB27" i="20"/>
  <c r="AB23" i="20"/>
  <c r="AB14" i="20"/>
  <c r="AB15" i="20"/>
  <c r="AB53" i="20"/>
  <c r="AB44" i="20"/>
  <c r="AB33" i="20"/>
  <c r="AB16" i="20"/>
  <c r="AB31" i="20"/>
  <c r="AB17" i="20"/>
  <c r="AB49" i="20"/>
  <c r="AB45" i="20"/>
  <c r="AB19" i="20"/>
  <c r="AB20" i="20"/>
  <c r="AB82" i="20"/>
  <c r="AB18" i="20"/>
  <c r="AB11" i="20"/>
  <c r="C79" i="19"/>
  <c r="E84" i="19"/>
  <c r="D88" i="19"/>
  <c r="B100" i="19"/>
  <c r="G128" i="19"/>
  <c r="E122" i="19"/>
  <c r="F117" i="19"/>
  <c r="C116" i="19"/>
  <c r="G111" i="19"/>
  <c r="E128" i="19"/>
  <c r="E111" i="19"/>
  <c r="F130" i="19"/>
  <c r="G125" i="19"/>
  <c r="D124" i="19"/>
  <c r="B118" i="19"/>
  <c r="C113" i="19"/>
  <c r="B129" i="19"/>
  <c r="D119" i="19"/>
  <c r="E114" i="19"/>
  <c r="B113" i="19"/>
  <c r="C125" i="19"/>
  <c r="E115" i="19"/>
  <c r="B114" i="19"/>
  <c r="F132" i="19"/>
  <c r="D125" i="19"/>
  <c r="G123" i="19"/>
  <c r="E116" i="19"/>
  <c r="E105" i="19"/>
  <c r="B104" i="19"/>
  <c r="F100" i="19"/>
  <c r="C99" i="19"/>
  <c r="G94" i="19"/>
  <c r="E132" i="19"/>
  <c r="D116" i="19"/>
  <c r="C110" i="19"/>
  <c r="G106" i="19"/>
  <c r="D105" i="19"/>
  <c r="E100" i="19"/>
  <c r="B99" i="19"/>
  <c r="F94" i="19"/>
  <c r="C93" i="19"/>
  <c r="G88" i="19"/>
  <c r="G130" i="19"/>
  <c r="F121" i="19"/>
  <c r="F106" i="19"/>
  <c r="C105" i="19"/>
  <c r="D100" i="19"/>
  <c r="E94" i="19"/>
  <c r="B93" i="19"/>
  <c r="F88" i="19"/>
  <c r="C123" i="19"/>
  <c r="E121" i="19"/>
  <c r="C114" i="19"/>
  <c r="F111" i="19"/>
  <c r="F101" i="19"/>
  <c r="G95" i="19"/>
  <c r="D94" i="19"/>
  <c r="E88" i="19"/>
  <c r="C130" i="19"/>
  <c r="B123" i="19"/>
  <c r="D128" i="19"/>
  <c r="G126" i="19"/>
  <c r="C121" i="19"/>
  <c r="F119" i="19"/>
  <c r="F107" i="19"/>
  <c r="C106" i="19"/>
  <c r="G102" i="19"/>
  <c r="D101" i="19"/>
  <c r="E95" i="19"/>
  <c r="B94" i="19"/>
  <c r="F90" i="19"/>
  <c r="C88" i="19"/>
  <c r="E126" i="19"/>
  <c r="G124" i="19"/>
  <c r="G108" i="19"/>
  <c r="D107" i="19"/>
  <c r="C95" i="19"/>
  <c r="G91" i="19"/>
  <c r="D90" i="19"/>
  <c r="F131" i="19"/>
  <c r="B126" i="19"/>
  <c r="B117" i="19"/>
  <c r="D115" i="19"/>
  <c r="B107" i="19"/>
  <c r="C102" i="19"/>
  <c r="D97" i="19"/>
  <c r="E91" i="19"/>
  <c r="B90" i="19"/>
  <c r="D131" i="19"/>
  <c r="G129" i="19"/>
  <c r="B124" i="19"/>
  <c r="F122" i="19"/>
  <c r="G109" i="19"/>
  <c r="D108" i="19"/>
  <c r="E103" i="19"/>
  <c r="B102" i="19"/>
  <c r="F98" i="19"/>
  <c r="C97" i="19"/>
  <c r="G92" i="19"/>
  <c r="D91" i="19"/>
  <c r="F129" i="19"/>
  <c r="D122" i="19"/>
  <c r="F120" i="19"/>
  <c r="B115" i="19"/>
  <c r="F109" i="19"/>
  <c r="C108" i="19"/>
  <c r="G104" i="19"/>
  <c r="B97" i="19"/>
  <c r="F92" i="19"/>
  <c r="C91" i="19"/>
  <c r="G127" i="19"/>
  <c r="E120" i="19"/>
  <c r="D113" i="19"/>
  <c r="E109" i="19"/>
  <c r="C103" i="19"/>
  <c r="D98" i="19"/>
  <c r="B91" i="19"/>
  <c r="AC123" i="20"/>
  <c r="AC134" i="20"/>
  <c r="AC118" i="20"/>
  <c r="AC129" i="20"/>
  <c r="AC124" i="20"/>
  <c r="AC135" i="20"/>
  <c r="AC119" i="20"/>
  <c r="AC130" i="20"/>
  <c r="AC114" i="20"/>
  <c r="AC125" i="20"/>
  <c r="AC120" i="20"/>
  <c r="AC131" i="20"/>
  <c r="AC115" i="20"/>
  <c r="AC126" i="20"/>
  <c r="AC112" i="20"/>
  <c r="AC121" i="20"/>
  <c r="AC132" i="20"/>
  <c r="AC116" i="20"/>
  <c r="AC127" i="20"/>
  <c r="AC122" i="20"/>
  <c r="AC110" i="20"/>
  <c r="AC100" i="20"/>
  <c r="AC90" i="20"/>
  <c r="AC69" i="20"/>
  <c r="AC57" i="20"/>
  <c r="AC52" i="20"/>
  <c r="AC44" i="20"/>
  <c r="AC128" i="20"/>
  <c r="AC81" i="20"/>
  <c r="AC62" i="20"/>
  <c r="AC99" i="20"/>
  <c r="AC89" i="20"/>
  <c r="AC74" i="20"/>
  <c r="AC68" i="20"/>
  <c r="AC47" i="20"/>
  <c r="AC39" i="20"/>
  <c r="AC109" i="20"/>
  <c r="AC88" i="20"/>
  <c r="AC80" i="20"/>
  <c r="AC56" i="20"/>
  <c r="AC33" i="20"/>
  <c r="AC108" i="20"/>
  <c r="AC98" i="20"/>
  <c r="AC87" i="20"/>
  <c r="AC67" i="20"/>
  <c r="AC50" i="20"/>
  <c r="AC86" i="20"/>
  <c r="AC79" i="20"/>
  <c r="AC61" i="20"/>
  <c r="AC107" i="20"/>
  <c r="AC97" i="20"/>
  <c r="AC73" i="20"/>
  <c r="AC53" i="20"/>
  <c r="AC45" i="20"/>
  <c r="AC96" i="20"/>
  <c r="AC85" i="20"/>
  <c r="AC78" i="20"/>
  <c r="AC66" i="20"/>
  <c r="AC106" i="20"/>
  <c r="AC95" i="20"/>
  <c r="AC84" i="20"/>
  <c r="AC72" i="20"/>
  <c r="AC55" i="20"/>
  <c r="AC48" i="20"/>
  <c r="AC113" i="20"/>
  <c r="AC94" i="20"/>
  <c r="AC59" i="20"/>
  <c r="AC27" i="20"/>
  <c r="AC111" i="20"/>
  <c r="AC105" i="20"/>
  <c r="AC83" i="20"/>
  <c r="AC71" i="20"/>
  <c r="AC51" i="20"/>
  <c r="AC43" i="20"/>
  <c r="AC104" i="20"/>
  <c r="AC93" i="20"/>
  <c r="AC77" i="20"/>
  <c r="AC65" i="20"/>
  <c r="AC102" i="20"/>
  <c r="AC82" i="20"/>
  <c r="AC76" i="20"/>
  <c r="AC64" i="20"/>
  <c r="AC101" i="20"/>
  <c r="AC75" i="20"/>
  <c r="AC60" i="20"/>
  <c r="AC41" i="20"/>
  <c r="AC32" i="20"/>
  <c r="AC29" i="20"/>
  <c r="AC21" i="20"/>
  <c r="AC42" i="20"/>
  <c r="AC40" i="20"/>
  <c r="AC38" i="20"/>
  <c r="AC34" i="20"/>
  <c r="AC63" i="20"/>
  <c r="AC58" i="20"/>
  <c r="AC37" i="20"/>
  <c r="AC26" i="20"/>
  <c r="AC22" i="20"/>
  <c r="AC11" i="20"/>
  <c r="AC30" i="20"/>
  <c r="AC25" i="20"/>
  <c r="AC24" i="20"/>
  <c r="AC13" i="20"/>
  <c r="AC36" i="20"/>
  <c r="AC23" i="20"/>
  <c r="AC14" i="20"/>
  <c r="AC91" i="20"/>
  <c r="AC15" i="20"/>
  <c r="AC16" i="20"/>
  <c r="AC70" i="20"/>
  <c r="AC31" i="20"/>
  <c r="AC17" i="20"/>
  <c r="AC49" i="20"/>
  <c r="AC18" i="20"/>
  <c r="AC103" i="20"/>
  <c r="AC133" i="20"/>
  <c r="AC35" i="20"/>
  <c r="AC28" i="20"/>
  <c r="AC19" i="20"/>
  <c r="AC12" i="20"/>
  <c r="AC46" i="20"/>
  <c r="AC117" i="20"/>
  <c r="AC92" i="20"/>
  <c r="C74" i="19"/>
  <c r="E79" i="19"/>
  <c r="G100" i="19"/>
  <c r="E110" i="19"/>
  <c r="F116" i="19"/>
  <c r="D129" i="19"/>
  <c r="G82" i="19"/>
  <c r="F83" i="19"/>
  <c r="F82" i="19"/>
  <c r="D85" i="19"/>
  <c r="D84" i="19"/>
  <c r="D83" i="19"/>
  <c r="D82" i="19"/>
  <c r="B84" i="19"/>
  <c r="B83" i="19"/>
  <c r="P82" i="19"/>
  <c r="Q82" i="19" s="1"/>
  <c r="AD134" i="20"/>
  <c r="AD118" i="20"/>
  <c r="AD108" i="20"/>
  <c r="AD100" i="20"/>
  <c r="AD92" i="20"/>
  <c r="AD84" i="20"/>
  <c r="AD76" i="20"/>
  <c r="AD68" i="20"/>
  <c r="AD60" i="20"/>
  <c r="AD129" i="20"/>
  <c r="AD124" i="20"/>
  <c r="AD111" i="20"/>
  <c r="AD103" i="20"/>
  <c r="AD95" i="20"/>
  <c r="AD87" i="20"/>
  <c r="AD79" i="20"/>
  <c r="AD71" i="20"/>
  <c r="AD63" i="20"/>
  <c r="AD135" i="20"/>
  <c r="AD119" i="20"/>
  <c r="AD130" i="20"/>
  <c r="AD114" i="20"/>
  <c r="AD106" i="20"/>
  <c r="AD98" i="20"/>
  <c r="AD90" i="20"/>
  <c r="AD82" i="20"/>
  <c r="AD74" i="20"/>
  <c r="AD66" i="20"/>
  <c r="AD58" i="20"/>
  <c r="AD125" i="20"/>
  <c r="AD120" i="20"/>
  <c r="AD109" i="20"/>
  <c r="AD101" i="20"/>
  <c r="AD93" i="20"/>
  <c r="AD85" i="20"/>
  <c r="AD131" i="20"/>
  <c r="AD115" i="20"/>
  <c r="AD126" i="20"/>
  <c r="AD112" i="20"/>
  <c r="AD104" i="20"/>
  <c r="AD96" i="20"/>
  <c r="AD88" i="20"/>
  <c r="AD80" i="20"/>
  <c r="AD72" i="20"/>
  <c r="AD64" i="20"/>
  <c r="AD56" i="20"/>
  <c r="AD121" i="20"/>
  <c r="AD132" i="20"/>
  <c r="AD116" i="20"/>
  <c r="AD107" i="20"/>
  <c r="AD99" i="20"/>
  <c r="AD91" i="20"/>
  <c r="AD83" i="20"/>
  <c r="AD75" i="20"/>
  <c r="AD67" i="20"/>
  <c r="AD59" i="20"/>
  <c r="AD127" i="20"/>
  <c r="AD122" i="20"/>
  <c r="AD110" i="20"/>
  <c r="AD102" i="20"/>
  <c r="AD94" i="20"/>
  <c r="AD86" i="20"/>
  <c r="AD78" i="20"/>
  <c r="AD70" i="20"/>
  <c r="AD62" i="20"/>
  <c r="AD54" i="20"/>
  <c r="AD133" i="20"/>
  <c r="AD117" i="20"/>
  <c r="AD128" i="20"/>
  <c r="AD81" i="20"/>
  <c r="AD89" i="20"/>
  <c r="AD123" i="20"/>
  <c r="AD50" i="20"/>
  <c r="AD42" i="20"/>
  <c r="AD32" i="20"/>
  <c r="AD61" i="20"/>
  <c r="AD97" i="20"/>
  <c r="AD73" i="20"/>
  <c r="AD53" i="20"/>
  <c r="AD45" i="20"/>
  <c r="AD37" i="20"/>
  <c r="AD113" i="20"/>
  <c r="AD105" i="20"/>
  <c r="AD51" i="20"/>
  <c r="AD43" i="20"/>
  <c r="AD77" i="20"/>
  <c r="AD65" i="20"/>
  <c r="AD46" i="20"/>
  <c r="AD38" i="20"/>
  <c r="AD49" i="20"/>
  <c r="AD41" i="20"/>
  <c r="AD69" i="20"/>
  <c r="AD40" i="20"/>
  <c r="AD34" i="20"/>
  <c r="AD39" i="20"/>
  <c r="AD26" i="20"/>
  <c r="AD22" i="20"/>
  <c r="AD55" i="20"/>
  <c r="AD47" i="20"/>
  <c r="AD30" i="20"/>
  <c r="AD25" i="20"/>
  <c r="AD12" i="20"/>
  <c r="AD24" i="20"/>
  <c r="AD13" i="20"/>
  <c r="AD36" i="20"/>
  <c r="AD23" i="20"/>
  <c r="AD14" i="20"/>
  <c r="AD52" i="20"/>
  <c r="AD27" i="20"/>
  <c r="AD15" i="20"/>
  <c r="AD48" i="20"/>
  <c r="AD16" i="20"/>
  <c r="AD44" i="20"/>
  <c r="AD33" i="20"/>
  <c r="AD31" i="20"/>
  <c r="AD17" i="20"/>
  <c r="AD18" i="20"/>
  <c r="AD19" i="20"/>
  <c r="AD35" i="20"/>
  <c r="AD28" i="20"/>
  <c r="AD20" i="20"/>
  <c r="AD57" i="20"/>
  <c r="AD29" i="20"/>
  <c r="AD11" i="20"/>
  <c r="AD21" i="20"/>
  <c r="E74" i="19"/>
  <c r="E82" i="19"/>
  <c r="E97" i="19"/>
  <c r="C107" i="19"/>
  <c r="F110" i="19"/>
  <c r="G116" i="19"/>
  <c r="G77" i="19"/>
  <c r="F78" i="19"/>
  <c r="F77" i="19"/>
  <c r="D80" i="19"/>
  <c r="D79" i="19"/>
  <c r="D78" i="19"/>
  <c r="D77" i="19"/>
  <c r="B79" i="19"/>
  <c r="B78" i="19"/>
  <c r="P77" i="19"/>
  <c r="Q77" i="19" s="1"/>
  <c r="E77" i="19"/>
  <c r="G72" i="19"/>
  <c r="F73" i="19"/>
  <c r="F72" i="19"/>
  <c r="D75" i="19"/>
  <c r="D74" i="19"/>
  <c r="D73" i="19"/>
  <c r="D72" i="19"/>
  <c r="B74" i="19"/>
  <c r="B73" i="19"/>
  <c r="P72" i="19"/>
  <c r="Q72" i="19" s="1"/>
  <c r="AF124" i="20"/>
  <c r="AF111" i="20"/>
  <c r="AF103" i="20"/>
  <c r="AF95" i="20"/>
  <c r="AF87" i="20"/>
  <c r="AF79" i="20"/>
  <c r="AF71" i="20"/>
  <c r="AF63" i="20"/>
  <c r="AF135" i="20"/>
  <c r="AF119" i="20"/>
  <c r="AF130" i="20"/>
  <c r="AF114" i="20"/>
  <c r="AF106" i="20"/>
  <c r="AF98" i="20"/>
  <c r="AF90" i="20"/>
  <c r="AF82" i="20"/>
  <c r="AF74" i="20"/>
  <c r="AF66" i="20"/>
  <c r="AF58" i="20"/>
  <c r="AF125" i="20"/>
  <c r="AF120" i="20"/>
  <c r="AF109" i="20"/>
  <c r="AF101" i="20"/>
  <c r="AF93" i="20"/>
  <c r="AF85" i="20"/>
  <c r="AF77" i="20"/>
  <c r="AF69" i="20"/>
  <c r="AF61" i="20"/>
  <c r="AF131" i="20"/>
  <c r="AF115" i="20"/>
  <c r="AF126" i="20"/>
  <c r="AF112" i="20"/>
  <c r="AF104" i="20"/>
  <c r="AF96" i="20"/>
  <c r="AF88" i="20"/>
  <c r="AF121" i="20"/>
  <c r="AF132" i="20"/>
  <c r="AF116" i="20"/>
  <c r="AF107" i="20"/>
  <c r="AF99" i="20"/>
  <c r="AF91" i="20"/>
  <c r="AF83" i="20"/>
  <c r="AF75" i="20"/>
  <c r="AF67" i="20"/>
  <c r="AF59" i="20"/>
  <c r="AF127" i="20"/>
  <c r="AF122" i="20"/>
  <c r="AF110" i="20"/>
  <c r="AF102" i="20"/>
  <c r="AF94" i="20"/>
  <c r="AF86" i="20"/>
  <c r="AF78" i="20"/>
  <c r="AF70" i="20"/>
  <c r="AF62" i="20"/>
  <c r="AF54" i="20"/>
  <c r="AF133" i="20"/>
  <c r="AF117" i="20"/>
  <c r="AF128" i="20"/>
  <c r="AF113" i="20"/>
  <c r="AF105" i="20"/>
  <c r="AF97" i="20"/>
  <c r="AF89" i="20"/>
  <c r="AF81" i="20"/>
  <c r="AF73" i="20"/>
  <c r="AF65" i="20"/>
  <c r="AF57" i="20"/>
  <c r="AF123" i="20"/>
  <c r="AF68" i="20"/>
  <c r="AF80" i="20"/>
  <c r="AF108" i="20"/>
  <c r="AF53" i="20"/>
  <c r="AF45" i="20"/>
  <c r="AF37" i="20"/>
  <c r="AF30" i="20"/>
  <c r="AF118" i="20"/>
  <c r="AF60" i="20"/>
  <c r="AF55" i="20"/>
  <c r="AF48" i="20"/>
  <c r="AF40" i="20"/>
  <c r="AF134" i="20"/>
  <c r="AF84" i="20"/>
  <c r="AF72" i="20"/>
  <c r="AF129" i="20"/>
  <c r="AF46" i="20"/>
  <c r="AF38" i="20"/>
  <c r="AF92" i="20"/>
  <c r="AF76" i="20"/>
  <c r="AF64" i="20"/>
  <c r="AF49" i="20"/>
  <c r="AF41" i="20"/>
  <c r="AF52" i="20"/>
  <c r="AF44" i="20"/>
  <c r="AF36" i="20"/>
  <c r="AF42" i="20"/>
  <c r="AF39" i="20"/>
  <c r="AF26" i="20"/>
  <c r="AF22" i="20"/>
  <c r="AF25" i="20"/>
  <c r="AF12" i="20"/>
  <c r="AF51" i="20"/>
  <c r="AF47" i="20"/>
  <c r="AF24" i="20"/>
  <c r="AF100" i="20"/>
  <c r="AF23" i="20"/>
  <c r="AF14" i="20"/>
  <c r="AF43" i="20"/>
  <c r="AF27" i="20"/>
  <c r="AF15" i="20"/>
  <c r="AF16" i="20"/>
  <c r="AF33" i="20"/>
  <c r="AF17" i="20"/>
  <c r="AF31" i="20"/>
  <c r="AF18" i="20"/>
  <c r="AF56" i="20"/>
  <c r="AF19" i="20"/>
  <c r="AF35" i="20"/>
  <c r="AF28" i="20"/>
  <c r="AF20" i="20"/>
  <c r="AF29" i="20"/>
  <c r="AF11" i="20"/>
  <c r="AF50" i="20"/>
  <c r="AF34" i="20"/>
  <c r="AF21" i="20"/>
  <c r="AF32" i="20"/>
  <c r="AF13" i="20"/>
  <c r="E72" i="19"/>
  <c r="C90" i="19"/>
  <c r="F93" i="19"/>
  <c r="D104" i="19"/>
  <c r="G107" i="19"/>
  <c r="C117" i="19"/>
  <c r="G67" i="19"/>
  <c r="F68" i="19"/>
  <c r="F67" i="19"/>
  <c r="D70" i="19"/>
  <c r="D69" i="19"/>
  <c r="D68" i="19"/>
  <c r="D67" i="19"/>
  <c r="B69" i="19"/>
  <c r="B68" i="19"/>
  <c r="P67" i="19"/>
  <c r="Q67" i="19" s="1"/>
  <c r="AG135" i="20"/>
  <c r="AG119" i="20"/>
  <c r="AG130" i="20"/>
  <c r="AG114" i="20"/>
  <c r="AG125" i="20"/>
  <c r="AG120" i="20"/>
  <c r="AG131" i="20"/>
  <c r="AG115" i="20"/>
  <c r="AG126" i="20"/>
  <c r="AG112" i="20"/>
  <c r="AG121" i="20"/>
  <c r="AG132" i="20"/>
  <c r="AG116" i="20"/>
  <c r="AG127" i="20"/>
  <c r="AG122" i="20"/>
  <c r="AG133" i="20"/>
  <c r="AG117" i="20"/>
  <c r="AG128" i="20"/>
  <c r="AG113" i="20"/>
  <c r="AG123" i="20"/>
  <c r="AG134" i="20"/>
  <c r="AG118" i="20"/>
  <c r="AG99" i="20"/>
  <c r="AG80" i="20"/>
  <c r="AG74" i="20"/>
  <c r="AG56" i="20"/>
  <c r="AG50" i="20"/>
  <c r="AG42" i="20"/>
  <c r="AG109" i="20"/>
  <c r="AG108" i="20"/>
  <c r="AG88" i="20"/>
  <c r="AG98" i="20"/>
  <c r="AG87" i="20"/>
  <c r="AG67" i="20"/>
  <c r="AG61" i="20"/>
  <c r="AG53" i="20"/>
  <c r="AG45" i="20"/>
  <c r="AG37" i="20"/>
  <c r="AG97" i="20"/>
  <c r="AG86" i="20"/>
  <c r="AG79" i="20"/>
  <c r="AG73" i="20"/>
  <c r="AG29" i="20"/>
  <c r="AG110" i="20"/>
  <c r="AG107" i="20"/>
  <c r="AG60" i="20"/>
  <c r="AG55" i="20"/>
  <c r="AG48" i="20"/>
  <c r="AG96" i="20"/>
  <c r="AG85" i="20"/>
  <c r="AG84" i="20"/>
  <c r="AG78" i="20"/>
  <c r="AG72" i="20"/>
  <c r="AG66" i="20"/>
  <c r="AG106" i="20"/>
  <c r="AG95" i="20"/>
  <c r="AG51" i="20"/>
  <c r="AG43" i="20"/>
  <c r="AG105" i="20"/>
  <c r="AG94" i="20"/>
  <c r="AG129" i="20"/>
  <c r="AG83" i="20"/>
  <c r="AG77" i="20"/>
  <c r="AG71" i="20"/>
  <c r="AG65" i="20"/>
  <c r="AG46" i="20"/>
  <c r="AG111" i="20"/>
  <c r="AG104" i="20"/>
  <c r="AG93" i="20"/>
  <c r="AG92" i="20"/>
  <c r="AG103" i="20"/>
  <c r="AG76" i="20"/>
  <c r="AG70" i="20"/>
  <c r="AG64" i="20"/>
  <c r="AG58" i="20"/>
  <c r="AG54" i="20"/>
  <c r="AG49" i="20"/>
  <c r="AG41" i="20"/>
  <c r="AG124" i="20"/>
  <c r="AG102" i="20"/>
  <c r="AG82" i="20"/>
  <c r="AG101" i="20"/>
  <c r="AG100" i="20"/>
  <c r="AG75" i="20"/>
  <c r="AG69" i="20"/>
  <c r="AG63" i="20"/>
  <c r="AG57" i="20"/>
  <c r="AG35" i="20"/>
  <c r="AG89" i="20"/>
  <c r="AG68" i="20"/>
  <c r="AG90" i="20"/>
  <c r="AG25" i="20"/>
  <c r="AG47" i="20"/>
  <c r="AG38" i="20"/>
  <c r="AG30" i="20"/>
  <c r="AG24" i="20"/>
  <c r="AG13" i="20"/>
  <c r="AG23" i="20"/>
  <c r="AG14" i="20"/>
  <c r="AG36" i="20"/>
  <c r="AG27" i="20"/>
  <c r="AG15" i="20"/>
  <c r="AG52" i="20"/>
  <c r="AG16" i="20"/>
  <c r="AG33" i="20"/>
  <c r="AG17" i="20"/>
  <c r="AG91" i="20"/>
  <c r="AG81" i="20"/>
  <c r="AG44" i="20"/>
  <c r="AG31" i="20"/>
  <c r="AG18" i="20"/>
  <c r="AG19" i="20"/>
  <c r="AG28" i="20"/>
  <c r="AG20" i="20"/>
  <c r="AG59" i="20"/>
  <c r="AG21" i="20"/>
  <c r="AG12" i="20"/>
  <c r="AG40" i="20"/>
  <c r="AG62" i="20"/>
  <c r="AG26" i="20"/>
  <c r="AG11" i="20"/>
  <c r="AG34" i="20"/>
  <c r="AG22" i="20"/>
  <c r="AG32" i="20"/>
  <c r="AG39" i="20"/>
  <c r="C59" i="19"/>
  <c r="E67" i="19"/>
  <c r="E90" i="19"/>
  <c r="G93" i="19"/>
  <c r="C101" i="19"/>
  <c r="E104" i="19"/>
  <c r="B111" i="19"/>
  <c r="G117" i="19"/>
  <c r="G90" i="19"/>
  <c r="B98" i="19"/>
  <c r="E101" i="19"/>
  <c r="D111" i="19"/>
  <c r="D118" i="19"/>
  <c r="F124" i="19"/>
  <c r="G131" i="19"/>
  <c r="G57" i="19"/>
  <c r="C60" i="19"/>
  <c r="D59" i="19"/>
  <c r="E58" i="19"/>
  <c r="E57" i="19"/>
  <c r="B59" i="19"/>
  <c r="C58" i="19"/>
  <c r="C57" i="19"/>
  <c r="B58" i="19"/>
  <c r="D57" i="19"/>
  <c r="C85" i="19"/>
  <c r="C98" i="19"/>
  <c r="E118" i="19"/>
  <c r="E125" i="19"/>
  <c r="G132" i="19"/>
  <c r="F53" i="19"/>
  <c r="F52" i="19"/>
  <c r="D55" i="19"/>
  <c r="D54" i="19"/>
  <c r="D53" i="19"/>
  <c r="D52" i="19"/>
  <c r="C55" i="19"/>
  <c r="C54" i="19"/>
  <c r="C53" i="19"/>
  <c r="C52" i="19"/>
  <c r="B54" i="19"/>
  <c r="B53" i="19"/>
  <c r="F57" i="19"/>
  <c r="C80" i="19"/>
  <c r="C83" i="19"/>
  <c r="C94" i="19"/>
  <c r="F108" i="19"/>
  <c r="F118" i="19"/>
  <c r="E52" i="19"/>
  <c r="C75" i="19"/>
  <c r="C78" i="19"/>
  <c r="E83" i="19"/>
  <c r="F105" i="19"/>
  <c r="G52" i="19"/>
  <c r="C70" i="19"/>
  <c r="C73" i="19"/>
  <c r="E78" i="19"/>
  <c r="F91" i="19"/>
  <c r="D102" i="19"/>
  <c r="G105" i="19"/>
  <c r="C119" i="19"/>
  <c r="C126" i="19"/>
  <c r="W13" i="20"/>
  <c r="P6" i="19" s="1"/>
  <c r="V13" i="20"/>
  <c r="O6" i="19" s="1"/>
  <c r="U13" i="20"/>
  <c r="N6" i="19" s="1"/>
  <c r="S13" i="20"/>
  <c r="L6" i="19" s="1"/>
  <c r="V10" i="20"/>
  <c r="T10" i="20"/>
  <c r="S10" i="20"/>
  <c r="R10" i="20"/>
  <c r="W14" i="20"/>
  <c r="P7" i="19" s="1"/>
  <c r="V14" i="20"/>
  <c r="O7" i="19" s="1"/>
  <c r="T14" i="20"/>
  <c r="M7" i="19" s="1"/>
  <c r="H9" i="20"/>
  <c r="O9" i="20" s="1"/>
  <c r="G9" i="20"/>
  <c r="N9" i="20" s="1"/>
  <c r="D9" i="20"/>
  <c r="K9" i="20" s="1"/>
  <c r="U10" i="20"/>
  <c r="R14" i="20"/>
  <c r="K7" i="19" s="1"/>
  <c r="E9" i="20"/>
  <c r="L9" i="20" s="1"/>
  <c r="U14" i="20"/>
  <c r="N7" i="19" s="1"/>
  <c r="W15" i="20"/>
  <c r="P8" i="19" s="1"/>
  <c r="U15" i="20"/>
  <c r="N8" i="19" s="1"/>
  <c r="W12" i="20"/>
  <c r="P5" i="19" s="1"/>
  <c r="V12" i="20"/>
  <c r="O5" i="19" s="1"/>
  <c r="U12" i="20"/>
  <c r="N5" i="19" s="1"/>
  <c r="T12" i="20"/>
  <c r="M5" i="19" s="1"/>
  <c r="R12" i="20"/>
  <c r="K5" i="19" s="1"/>
  <c r="S12" i="20"/>
  <c r="L5" i="19" s="1"/>
  <c r="S15" i="20"/>
  <c r="L8" i="19" s="1"/>
  <c r="B8" i="20"/>
  <c r="T15" i="20"/>
  <c r="M8" i="19" s="1"/>
  <c r="W17" i="20"/>
  <c r="P10" i="19" s="1"/>
  <c r="T11" i="20"/>
  <c r="M4" i="19" s="1"/>
  <c r="R20" i="20"/>
  <c r="K13" i="19" s="1"/>
  <c r="R19" i="20"/>
  <c r="K12" i="19" s="1"/>
  <c r="S20" i="20"/>
  <c r="L13" i="19" s="1"/>
  <c r="S19" i="20"/>
  <c r="L12" i="19" s="1"/>
  <c r="T20" i="20"/>
  <c r="M13" i="19" s="1"/>
  <c r="C64" i="17"/>
  <c r="D65" i="17"/>
  <c r="B64" i="17"/>
  <c r="F62" i="17"/>
  <c r="D64" i="17"/>
  <c r="B63" i="17"/>
  <c r="G62" i="17"/>
  <c r="D63" i="17"/>
  <c r="E62" i="17"/>
  <c r="C63" i="17"/>
  <c r="D62" i="17"/>
  <c r="E64" i="17"/>
  <c r="C62" i="17"/>
  <c r="F63" i="17"/>
  <c r="E63" i="17"/>
  <c r="C65" i="17"/>
  <c r="P62" i="17"/>
  <c r="Q62" i="17" s="1"/>
  <c r="F67" i="17"/>
  <c r="E67" i="17"/>
  <c r="E68" i="17"/>
  <c r="C67" i="17"/>
  <c r="E69" i="17"/>
  <c r="C68" i="17"/>
  <c r="C69" i="17"/>
  <c r="C70" i="17"/>
  <c r="P67" i="17"/>
  <c r="Q67" i="17" s="1"/>
  <c r="G67" i="17"/>
  <c r="D69" i="17"/>
  <c r="D67" i="17"/>
  <c r="B69" i="17"/>
  <c r="D70" i="17"/>
  <c r="F68" i="17"/>
  <c r="D68" i="17"/>
  <c r="B68" i="17"/>
  <c r="F84" i="17"/>
  <c r="G73" i="17"/>
  <c r="G52" i="17"/>
  <c r="E54" i="17"/>
  <c r="E53" i="17"/>
  <c r="E52" i="17"/>
  <c r="D55" i="17"/>
  <c r="P52" i="17"/>
  <c r="Q52" i="17" s="1"/>
  <c r="F52" i="17"/>
  <c r="F53" i="17"/>
  <c r="D53" i="17"/>
  <c r="D52" i="17"/>
  <c r="C53" i="17"/>
  <c r="B53" i="17"/>
  <c r="D54" i="17"/>
  <c r="C54" i="17"/>
  <c r="B54" i="17"/>
  <c r="C52" i="17"/>
  <c r="C55" i="17"/>
  <c r="E80" i="17"/>
  <c r="AF124" i="18"/>
  <c r="AF111" i="18"/>
  <c r="AF103" i="18"/>
  <c r="AF95" i="18"/>
  <c r="AF87" i="18"/>
  <c r="AF79" i="18"/>
  <c r="AF71" i="18"/>
  <c r="AF63" i="18"/>
  <c r="AF55" i="18"/>
  <c r="AF130" i="18"/>
  <c r="AF114" i="18"/>
  <c r="AF106" i="18"/>
  <c r="AF98" i="18"/>
  <c r="AF90" i="18"/>
  <c r="AF82" i="18"/>
  <c r="AF74" i="18"/>
  <c r="AF66" i="18"/>
  <c r="AF58" i="18"/>
  <c r="AF120" i="18"/>
  <c r="AF109" i="18"/>
  <c r="AF101" i="18"/>
  <c r="AF93" i="18"/>
  <c r="AF85" i="18"/>
  <c r="AF77" i="18"/>
  <c r="AF69" i="18"/>
  <c r="AF61" i="18"/>
  <c r="AF131" i="18"/>
  <c r="AF115" i="18"/>
  <c r="AF126" i="18"/>
  <c r="AF112" i="18"/>
  <c r="AF104" i="18"/>
  <c r="AF96" i="18"/>
  <c r="AF88" i="18"/>
  <c r="AF80" i="18"/>
  <c r="AF72" i="18"/>
  <c r="AF64" i="18"/>
  <c r="AF56" i="18"/>
  <c r="AF121" i="18"/>
  <c r="AF132" i="18"/>
  <c r="AF116" i="18"/>
  <c r="AF107" i="18"/>
  <c r="AF99" i="18"/>
  <c r="AF91" i="18"/>
  <c r="AF83" i="18"/>
  <c r="AF75" i="18"/>
  <c r="AF67" i="18"/>
  <c r="AF59" i="18"/>
  <c r="AF127" i="18"/>
  <c r="AF122" i="18"/>
  <c r="AF110" i="18"/>
  <c r="AF102" i="18"/>
  <c r="AF94" i="18"/>
  <c r="AF86" i="18"/>
  <c r="AF78" i="18"/>
  <c r="AF70" i="18"/>
  <c r="AF62" i="18"/>
  <c r="AF54" i="18"/>
  <c r="AF133" i="18"/>
  <c r="AF117" i="18"/>
  <c r="AF128" i="18"/>
  <c r="AF113" i="18"/>
  <c r="AF105" i="18"/>
  <c r="AF97" i="18"/>
  <c r="AF89" i="18"/>
  <c r="AF81" i="18"/>
  <c r="AF73" i="18"/>
  <c r="AF65" i="18"/>
  <c r="AF57" i="18"/>
  <c r="AF123" i="18"/>
  <c r="AF134" i="18"/>
  <c r="AF118" i="18"/>
  <c r="AF108" i="18"/>
  <c r="AF100" i="18"/>
  <c r="AF92" i="18"/>
  <c r="AF84" i="18"/>
  <c r="AF76" i="18"/>
  <c r="AF68" i="18"/>
  <c r="AF60" i="18"/>
  <c r="AF129" i="18"/>
  <c r="AF135" i="18"/>
  <c r="AF46" i="18"/>
  <c r="AF38" i="18"/>
  <c r="AF49" i="18"/>
  <c r="AF41" i="18"/>
  <c r="AF52" i="18"/>
  <c r="AF44" i="18"/>
  <c r="AF36" i="18"/>
  <c r="AF125" i="18"/>
  <c r="AF35" i="18"/>
  <c r="AF47" i="18"/>
  <c r="AF39" i="18"/>
  <c r="AF34" i="18"/>
  <c r="AF33" i="18"/>
  <c r="AF50" i="18"/>
  <c r="AF42" i="18"/>
  <c r="AF32" i="18"/>
  <c r="AF31" i="18"/>
  <c r="AF53" i="18"/>
  <c r="AF45" i="18"/>
  <c r="AF37" i="18"/>
  <c r="AF30" i="18"/>
  <c r="AF51" i="18"/>
  <c r="AF119" i="18"/>
  <c r="AF27" i="18"/>
  <c r="AF15" i="18"/>
  <c r="AF17" i="18"/>
  <c r="AF48" i="18"/>
  <c r="AF24" i="18"/>
  <c r="AF20" i="18"/>
  <c r="AF40" i="18"/>
  <c r="AF29" i="18"/>
  <c r="AF43" i="18"/>
  <c r="AF23" i="18"/>
  <c r="AF25" i="18"/>
  <c r="AF11" i="18"/>
  <c r="AF19" i="18"/>
  <c r="AF28" i="18"/>
  <c r="AF13" i="18"/>
  <c r="AF22" i="18"/>
  <c r="AF21" i="18"/>
  <c r="AF16" i="18"/>
  <c r="AF12" i="18"/>
  <c r="AF10" i="18"/>
  <c r="AF18" i="18"/>
  <c r="AF26" i="18"/>
  <c r="D84" i="17"/>
  <c r="AG135" i="18"/>
  <c r="AG119" i="18"/>
  <c r="AG125" i="18"/>
  <c r="AG131" i="18"/>
  <c r="AG115" i="18"/>
  <c r="AG126" i="18"/>
  <c r="AG112" i="18"/>
  <c r="AG104" i="18"/>
  <c r="AG96" i="18"/>
  <c r="AG121" i="18"/>
  <c r="AG132" i="18"/>
  <c r="AG116" i="18"/>
  <c r="AG107" i="18"/>
  <c r="AG99" i="18"/>
  <c r="AG127" i="18"/>
  <c r="AG122" i="18"/>
  <c r="AG110" i="18"/>
  <c r="AG102" i="18"/>
  <c r="AG94" i="18"/>
  <c r="AG86" i="18"/>
  <c r="AG133" i="18"/>
  <c r="AG117" i="18"/>
  <c r="AG128" i="18"/>
  <c r="AG113" i="18"/>
  <c r="AG105" i="18"/>
  <c r="AG97" i="18"/>
  <c r="AG123" i="18"/>
  <c r="AG134" i="18"/>
  <c r="AG118" i="18"/>
  <c r="AG108" i="18"/>
  <c r="AG100" i="18"/>
  <c r="AG92" i="18"/>
  <c r="AG129" i="18"/>
  <c r="AG124" i="18"/>
  <c r="AG111" i="18"/>
  <c r="AG103" i="18"/>
  <c r="AG95" i="18"/>
  <c r="AG87" i="18"/>
  <c r="AG79" i="18"/>
  <c r="AG114" i="18"/>
  <c r="AG101" i="18"/>
  <c r="AG85" i="18"/>
  <c r="AG74" i="18"/>
  <c r="AG73" i="18"/>
  <c r="AG72" i="18"/>
  <c r="AG71" i="18"/>
  <c r="AG70" i="18"/>
  <c r="AG69" i="18"/>
  <c r="AG68" i="18"/>
  <c r="AG67" i="18"/>
  <c r="AG76" i="18"/>
  <c r="AG66" i="18"/>
  <c r="AG65" i="18"/>
  <c r="AG64" i="18"/>
  <c r="AG63" i="18"/>
  <c r="AG62" i="18"/>
  <c r="AG61" i="18"/>
  <c r="AG60" i="18"/>
  <c r="AG59" i="18"/>
  <c r="AG130" i="18"/>
  <c r="AG77" i="18"/>
  <c r="AG58" i="18"/>
  <c r="AG57" i="18"/>
  <c r="AG56" i="18"/>
  <c r="AG55" i="18"/>
  <c r="AG54" i="18"/>
  <c r="AG78" i="18"/>
  <c r="AG52" i="18"/>
  <c r="AG35" i="18"/>
  <c r="AG106" i="18"/>
  <c r="AG80" i="18"/>
  <c r="AG47" i="18"/>
  <c r="AG39" i="18"/>
  <c r="AG34" i="18"/>
  <c r="AG33" i="18"/>
  <c r="AG120" i="18"/>
  <c r="AG93" i="18"/>
  <c r="AG88" i="18"/>
  <c r="AG81" i="18"/>
  <c r="AG50" i="18"/>
  <c r="AG42" i="18"/>
  <c r="AG32" i="18"/>
  <c r="AG20" i="18"/>
  <c r="AG31" i="18"/>
  <c r="AG82" i="18"/>
  <c r="AG53" i="18"/>
  <c r="AG45" i="18"/>
  <c r="AG37" i="18"/>
  <c r="AG30" i="18"/>
  <c r="AG98" i="18"/>
  <c r="AG89" i="18"/>
  <c r="AG29" i="18"/>
  <c r="AG21" i="18"/>
  <c r="AG109" i="18"/>
  <c r="AG83" i="18"/>
  <c r="AG48" i="18"/>
  <c r="AG51" i="18"/>
  <c r="AG16" i="18"/>
  <c r="AG75" i="18"/>
  <c r="AG24" i="18"/>
  <c r="AG38" i="18"/>
  <c r="AG36" i="18"/>
  <c r="AG91" i="18"/>
  <c r="AG40" i="18"/>
  <c r="AG26" i="18"/>
  <c r="AG49" i="18"/>
  <c r="AG43" i="18"/>
  <c r="AG41" i="18"/>
  <c r="AG23" i="18"/>
  <c r="AG28" i="18"/>
  <c r="AG19" i="18"/>
  <c r="AG46" i="18"/>
  <c r="AG44" i="18"/>
  <c r="AG12" i="18"/>
  <c r="AG27" i="18"/>
  <c r="AG90" i="18"/>
  <c r="AG22" i="18"/>
  <c r="AG84" i="18"/>
  <c r="AG25" i="18"/>
  <c r="AG15" i="18"/>
  <c r="AG17" i="18"/>
  <c r="AG14" i="18"/>
  <c r="AG10" i="18"/>
  <c r="AG13" i="18"/>
  <c r="AG11" i="18"/>
  <c r="AG18" i="18"/>
  <c r="F44" i="17"/>
  <c r="D48" i="17"/>
  <c r="D72" i="17"/>
  <c r="F74" i="17"/>
  <c r="C82" i="17"/>
  <c r="C88" i="17"/>
  <c r="E104" i="17"/>
  <c r="F107" i="17"/>
  <c r="F118" i="17"/>
  <c r="G125" i="17"/>
  <c r="B129" i="17"/>
  <c r="AF14" i="18"/>
  <c r="Q57" i="17"/>
  <c r="D85" i="17"/>
  <c r="B84" i="17"/>
  <c r="C85" i="17"/>
  <c r="P82" i="17"/>
  <c r="Q82" i="17" s="1"/>
  <c r="G82" i="17"/>
  <c r="E82" i="17"/>
  <c r="C84" i="17"/>
  <c r="D45" i="17"/>
  <c r="D44" i="17"/>
  <c r="D43" i="17"/>
  <c r="D42" i="17"/>
  <c r="B44" i="17"/>
  <c r="B43" i="17"/>
  <c r="C58" i="17"/>
  <c r="F72" i="17"/>
  <c r="D82" i="17"/>
  <c r="J10" i="17"/>
  <c r="B32" i="17"/>
  <c r="E43" i="17"/>
  <c r="C99" i="17"/>
  <c r="D105" i="17"/>
  <c r="F108" i="17"/>
  <c r="E111" i="17"/>
  <c r="C119" i="17"/>
  <c r="G126" i="17"/>
  <c r="F43" i="17"/>
  <c r="G47" i="17"/>
  <c r="B49" i="17"/>
  <c r="C48" i="17"/>
  <c r="C47" i="17"/>
  <c r="B50" i="17"/>
  <c r="B73" i="17"/>
  <c r="D47" i="17"/>
  <c r="C50" i="17"/>
  <c r="C73" i="17"/>
  <c r="B78" i="17"/>
  <c r="B83" i="17"/>
  <c r="B90" i="17"/>
  <c r="G102" i="17"/>
  <c r="G105" i="17"/>
  <c r="P48" i="17"/>
  <c r="Q48" i="17" s="1"/>
  <c r="D78" i="17"/>
  <c r="C83" i="17"/>
  <c r="E127" i="17"/>
  <c r="B126" i="17"/>
  <c r="F122" i="17"/>
  <c r="C121" i="17"/>
  <c r="D116" i="17"/>
  <c r="E110" i="17"/>
  <c r="B109" i="17"/>
  <c r="E93" i="17"/>
  <c r="B92" i="17"/>
  <c r="G132" i="17"/>
  <c r="G128" i="17"/>
  <c r="C127" i="17"/>
  <c r="B114" i="17"/>
  <c r="G110" i="17"/>
  <c r="G106" i="17"/>
  <c r="C105" i="17"/>
  <c r="D101" i="17"/>
  <c r="E97" i="17"/>
  <c r="F92" i="17"/>
  <c r="B91" i="17"/>
  <c r="G129" i="17"/>
  <c r="D124" i="17"/>
  <c r="E120" i="17"/>
  <c r="B115" i="17"/>
  <c r="F111" i="17"/>
  <c r="G107" i="17"/>
  <c r="C106" i="17"/>
  <c r="D102" i="17"/>
  <c r="F93" i="17"/>
  <c r="B124" i="17"/>
  <c r="C116" i="17"/>
  <c r="D111" i="17"/>
  <c r="B102" i="17"/>
  <c r="C98" i="17"/>
  <c r="G94" i="17"/>
  <c r="C93" i="17"/>
  <c r="G130" i="17"/>
  <c r="D125" i="17"/>
  <c r="E121" i="17"/>
  <c r="G108" i="17"/>
  <c r="B118" i="17"/>
  <c r="E116" i="17"/>
  <c r="D108" i="17"/>
  <c r="B103" i="17"/>
  <c r="D98" i="17"/>
  <c r="G92" i="17"/>
  <c r="E88" i="17"/>
  <c r="C130" i="17"/>
  <c r="C123" i="17"/>
  <c r="F121" i="17"/>
  <c r="C108" i="17"/>
  <c r="F106" i="17"/>
  <c r="F101" i="17"/>
  <c r="B98" i="17"/>
  <c r="G95" i="17"/>
  <c r="D88" i="17"/>
  <c r="D128" i="17"/>
  <c r="G111" i="17"/>
  <c r="C101" i="17"/>
  <c r="E95" i="17"/>
  <c r="C92" i="17"/>
  <c r="B88" i="17"/>
  <c r="E126" i="17"/>
  <c r="F119" i="17"/>
  <c r="C114" i="17"/>
  <c r="G131" i="17"/>
  <c r="G124" i="17"/>
  <c r="D119" i="17"/>
  <c r="F117" i="17"/>
  <c r="G109" i="17"/>
  <c r="D104" i="17"/>
  <c r="E99" i="17"/>
  <c r="C95" i="17"/>
  <c r="E90" i="17"/>
  <c r="F131" i="17"/>
  <c r="C117" i="17"/>
  <c r="E109" i="17"/>
  <c r="B99" i="17"/>
  <c r="C90" i="17"/>
  <c r="D122" i="17"/>
  <c r="E115" i="17"/>
  <c r="D107" i="17"/>
  <c r="C102" i="17"/>
  <c r="G91" i="17"/>
  <c r="C110" i="17"/>
  <c r="C103" i="17"/>
  <c r="F98" i="17"/>
  <c r="B94" i="17"/>
  <c r="F88" i="17"/>
  <c r="D132" i="17"/>
  <c r="G117" i="17"/>
  <c r="F105" i="17"/>
  <c r="C104" i="17"/>
  <c r="G100" i="17"/>
  <c r="D99" i="17"/>
  <c r="C131" i="17"/>
  <c r="D123" i="17"/>
  <c r="E119" i="17"/>
  <c r="F115" i="17"/>
  <c r="C109" i="17"/>
  <c r="B132" i="17"/>
  <c r="C128" i="17"/>
  <c r="F116" i="17"/>
  <c r="B110" i="17"/>
  <c r="E98" i="17"/>
  <c r="E129" i="17"/>
  <c r="F125" i="17"/>
  <c r="G121" i="17"/>
  <c r="C120" i="17"/>
  <c r="E107" i="17"/>
  <c r="F103" i="17"/>
  <c r="G99" i="17"/>
  <c r="C129" i="17"/>
  <c r="E117" i="17"/>
  <c r="F113" i="17"/>
  <c r="B111" i="17"/>
  <c r="C107" i="17"/>
  <c r="D130" i="17"/>
  <c r="E123" i="17"/>
  <c r="G114" i="17"/>
  <c r="G101" i="17"/>
  <c r="F128" i="17"/>
  <c r="B116" i="17"/>
  <c r="F114" i="17"/>
  <c r="E92" i="17"/>
  <c r="F126" i="17"/>
  <c r="B121" i="17"/>
  <c r="G119" i="17"/>
  <c r="D114" i="17"/>
  <c r="D106" i="17"/>
  <c r="F104" i="17"/>
  <c r="G90" i="17"/>
  <c r="B128" i="17"/>
  <c r="D126" i="17"/>
  <c r="C111" i="17"/>
  <c r="C126" i="17"/>
  <c r="E131" i="17"/>
  <c r="E124" i="17"/>
  <c r="G122" i="17"/>
  <c r="B119" i="17"/>
  <c r="F102" i="17"/>
  <c r="D93" i="17"/>
  <c r="B131" i="17"/>
  <c r="D129" i="17"/>
  <c r="G113" i="17"/>
  <c r="F97" i="17"/>
  <c r="C132" i="17"/>
  <c r="E130" i="17"/>
  <c r="B125" i="17"/>
  <c r="F123" i="17"/>
  <c r="C118" i="17"/>
  <c r="G116" i="17"/>
  <c r="E108" i="17"/>
  <c r="C42" i="17"/>
  <c r="F47" i="17"/>
  <c r="E73" i="17"/>
  <c r="F78" i="17"/>
  <c r="D83" i="17"/>
  <c r="F90" i="17"/>
  <c r="B93" i="17"/>
  <c r="C97" i="17"/>
  <c r="C100" i="17"/>
  <c r="C113" i="17"/>
  <c r="D120" i="17"/>
  <c r="F127" i="17"/>
  <c r="D131" i="17"/>
  <c r="B37" i="17"/>
  <c r="E42" i="17"/>
  <c r="C45" i="17"/>
  <c r="C57" i="17"/>
  <c r="B59" i="17"/>
  <c r="E83" i="17"/>
  <c r="G93" i="17"/>
  <c r="D97" i="17"/>
  <c r="D100" i="17"/>
  <c r="D103" i="17"/>
  <c r="B106" i="17"/>
  <c r="D109" i="17"/>
  <c r="D113" i="17"/>
  <c r="F120" i="17"/>
  <c r="G127" i="17"/>
  <c r="F42" i="17"/>
  <c r="C49" i="17"/>
  <c r="E57" i="17"/>
  <c r="D59" i="17"/>
  <c r="F83" i="17"/>
  <c r="G97" i="17"/>
  <c r="E100" i="17"/>
  <c r="E103" i="17"/>
  <c r="E106" i="17"/>
  <c r="F109" i="17"/>
  <c r="E113" i="17"/>
  <c r="G120" i="17"/>
  <c r="E132" i="17"/>
  <c r="H7" i="18"/>
  <c r="O7" i="18" s="1"/>
  <c r="F7" i="18"/>
  <c r="M7" i="18" s="1"/>
  <c r="B6" i="18"/>
  <c r="G7" i="18"/>
  <c r="N7" i="18" s="1"/>
  <c r="E7" i="18"/>
  <c r="L7" i="18" s="1"/>
  <c r="C7" i="18"/>
  <c r="J7" i="18" s="1"/>
  <c r="AB128" i="18"/>
  <c r="AB113" i="18"/>
  <c r="AB105" i="18"/>
  <c r="AB97" i="18"/>
  <c r="AB89" i="18"/>
  <c r="AB81" i="18"/>
  <c r="AB73" i="18"/>
  <c r="AB65" i="18"/>
  <c r="AB57" i="18"/>
  <c r="AB134" i="18"/>
  <c r="AB118" i="18"/>
  <c r="AB108" i="18"/>
  <c r="AB100" i="18"/>
  <c r="AB92" i="18"/>
  <c r="AB84" i="18"/>
  <c r="AB76" i="18"/>
  <c r="AB68" i="18"/>
  <c r="AB60" i="18"/>
  <c r="AB124" i="18"/>
  <c r="AB111" i="18"/>
  <c r="AB103" i="18"/>
  <c r="AB95" i="18"/>
  <c r="AB87" i="18"/>
  <c r="AB79" i="18"/>
  <c r="AB71" i="18"/>
  <c r="AB63" i="18"/>
  <c r="AB55" i="18"/>
  <c r="AB135" i="18"/>
  <c r="AB119" i="18"/>
  <c r="AB130" i="18"/>
  <c r="AB114" i="18"/>
  <c r="AB106" i="18"/>
  <c r="AB98" i="18"/>
  <c r="AB90" i="18"/>
  <c r="AB82" i="18"/>
  <c r="AB74" i="18"/>
  <c r="AB66" i="18"/>
  <c r="AB58" i="18"/>
  <c r="AB125" i="18"/>
  <c r="AB120" i="18"/>
  <c r="AB109" i="18"/>
  <c r="AB101" i="18"/>
  <c r="AB93" i="18"/>
  <c r="AB85" i="18"/>
  <c r="AB77" i="18"/>
  <c r="AB69" i="18"/>
  <c r="AB61" i="18"/>
  <c r="AB131" i="18"/>
  <c r="AB115" i="18"/>
  <c r="AB126" i="18"/>
  <c r="AB112" i="18"/>
  <c r="AB104" i="18"/>
  <c r="AB96" i="18"/>
  <c r="AB88" i="18"/>
  <c r="AB80" i="18"/>
  <c r="AB72" i="18"/>
  <c r="AB64" i="18"/>
  <c r="AB56" i="18"/>
  <c r="AB121" i="18"/>
  <c r="AB132" i="18"/>
  <c r="AB116" i="18"/>
  <c r="AB107" i="18"/>
  <c r="AB99" i="18"/>
  <c r="AB91" i="18"/>
  <c r="AB83" i="18"/>
  <c r="AB75" i="18"/>
  <c r="AB67" i="18"/>
  <c r="AB59" i="18"/>
  <c r="AB127" i="18"/>
  <c r="AB122" i="18"/>
  <c r="AB110" i="18"/>
  <c r="AB102" i="18"/>
  <c r="AB94" i="18"/>
  <c r="AB86" i="18"/>
  <c r="AB78" i="18"/>
  <c r="AB70" i="18"/>
  <c r="AB62" i="18"/>
  <c r="AB54" i="18"/>
  <c r="AB133" i="18"/>
  <c r="AB117" i="18"/>
  <c r="AB48" i="18"/>
  <c r="AB40" i="18"/>
  <c r="AB51" i="18"/>
  <c r="AB43" i="18"/>
  <c r="AB26" i="18"/>
  <c r="AB22" i="18"/>
  <c r="AB123" i="18"/>
  <c r="AB46" i="18"/>
  <c r="AB38" i="18"/>
  <c r="AB24" i="18"/>
  <c r="AB23" i="18"/>
  <c r="AB49" i="18"/>
  <c r="AB41" i="18"/>
  <c r="AB52" i="18"/>
  <c r="AB44" i="18"/>
  <c r="AB36" i="18"/>
  <c r="AB35" i="18"/>
  <c r="AB47" i="18"/>
  <c r="AB39" i="18"/>
  <c r="AB34" i="18"/>
  <c r="AB19" i="18"/>
  <c r="AB129" i="18"/>
  <c r="AB45" i="18"/>
  <c r="AB11" i="18"/>
  <c r="AB13" i="18"/>
  <c r="AB33" i="18"/>
  <c r="AB32" i="18"/>
  <c r="AB27" i="18"/>
  <c r="AB37" i="18"/>
  <c r="AB31" i="18"/>
  <c r="AB30" i="18"/>
  <c r="AB53" i="18"/>
  <c r="AB18" i="18"/>
  <c r="AB28" i="18"/>
  <c r="AB42" i="18"/>
  <c r="AB20" i="18"/>
  <c r="AB50" i="18"/>
  <c r="AB25" i="18"/>
  <c r="AB15" i="18"/>
  <c r="AB29" i="18"/>
  <c r="AB14" i="18"/>
  <c r="AB10" i="18"/>
  <c r="AB21" i="18"/>
  <c r="AB16" i="18"/>
  <c r="AB17" i="18"/>
  <c r="G42" i="17"/>
  <c r="D49" i="17"/>
  <c r="C91" i="17"/>
  <c r="F100" i="17"/>
  <c r="G103" i="17"/>
  <c r="B117" i="17"/>
  <c r="C124" i="17"/>
  <c r="E128" i="17"/>
  <c r="F132" i="17"/>
  <c r="D7" i="18"/>
  <c r="K7" i="18" s="1"/>
  <c r="AC123" i="18"/>
  <c r="AC129" i="18"/>
  <c r="AC135" i="18"/>
  <c r="AC119" i="18"/>
  <c r="AC130" i="18"/>
  <c r="AC114" i="18"/>
  <c r="AC106" i="18"/>
  <c r="AC98" i="18"/>
  <c r="AC125" i="18"/>
  <c r="AC120" i="18"/>
  <c r="AC109" i="18"/>
  <c r="AC101" i="18"/>
  <c r="AC93" i="18"/>
  <c r="AC131" i="18"/>
  <c r="AC115" i="18"/>
  <c r="AC126" i="18"/>
  <c r="AC112" i="18"/>
  <c r="AC104" i="18"/>
  <c r="AC96" i="18"/>
  <c r="AC88" i="18"/>
  <c r="AC121" i="18"/>
  <c r="AC132" i="18"/>
  <c r="AC116" i="18"/>
  <c r="AC107" i="18"/>
  <c r="AC99" i="18"/>
  <c r="AC127" i="18"/>
  <c r="AC122" i="18"/>
  <c r="AC110" i="18"/>
  <c r="AC102" i="18"/>
  <c r="AC94" i="18"/>
  <c r="AC133" i="18"/>
  <c r="AC117" i="18"/>
  <c r="AC128" i="18"/>
  <c r="AC113" i="18"/>
  <c r="AC105" i="18"/>
  <c r="AC97" i="18"/>
  <c r="AC89" i="18"/>
  <c r="AC81" i="18"/>
  <c r="AC103" i="18"/>
  <c r="AC75" i="18"/>
  <c r="AC85" i="18"/>
  <c r="AC76" i="18"/>
  <c r="AC74" i="18"/>
  <c r="AC73" i="18"/>
  <c r="AC72" i="18"/>
  <c r="AC71" i="18"/>
  <c r="AC70" i="18"/>
  <c r="AC69" i="18"/>
  <c r="AC68" i="18"/>
  <c r="AC67" i="18"/>
  <c r="AC25" i="18"/>
  <c r="AC92" i="18"/>
  <c r="AC66" i="18"/>
  <c r="AC65" i="18"/>
  <c r="AC64" i="18"/>
  <c r="AC63" i="18"/>
  <c r="AC62" i="18"/>
  <c r="AC61" i="18"/>
  <c r="AC60" i="18"/>
  <c r="AC59" i="18"/>
  <c r="AC108" i="18"/>
  <c r="AC86" i="18"/>
  <c r="AC77" i="18"/>
  <c r="AC58" i="18"/>
  <c r="AC57" i="18"/>
  <c r="AC56" i="18"/>
  <c r="AC55" i="18"/>
  <c r="AC54" i="18"/>
  <c r="AC95" i="18"/>
  <c r="AC78" i="18"/>
  <c r="AC49" i="18"/>
  <c r="AC41" i="18"/>
  <c r="AC118" i="18"/>
  <c r="AC87" i="18"/>
  <c r="AC79" i="18"/>
  <c r="AC80" i="18"/>
  <c r="AC52" i="18"/>
  <c r="AC44" i="18"/>
  <c r="AC36" i="18"/>
  <c r="AC134" i="18"/>
  <c r="AC35" i="18"/>
  <c r="AC100" i="18"/>
  <c r="AC47" i="18"/>
  <c r="AC39" i="18"/>
  <c r="AC34" i="18"/>
  <c r="AC33" i="18"/>
  <c r="AC111" i="18"/>
  <c r="AC82" i="18"/>
  <c r="AC50" i="18"/>
  <c r="AC124" i="18"/>
  <c r="AC53" i="18"/>
  <c r="AC90" i="18"/>
  <c r="AC12" i="18"/>
  <c r="AC51" i="18"/>
  <c r="AC14" i="18"/>
  <c r="AC83" i="18"/>
  <c r="AC32" i="18"/>
  <c r="AC27" i="18"/>
  <c r="AC38" i="18"/>
  <c r="AC37" i="18"/>
  <c r="AC31" i="18"/>
  <c r="AC24" i="18"/>
  <c r="AC91" i="18"/>
  <c r="AC48" i="18"/>
  <c r="AC30" i="18"/>
  <c r="AC18" i="18"/>
  <c r="AC40" i="18"/>
  <c r="AC26" i="18"/>
  <c r="AC22" i="18"/>
  <c r="AC42" i="18"/>
  <c r="AC29" i="18"/>
  <c r="AC84" i="18"/>
  <c r="AC23" i="18"/>
  <c r="AC45" i="18"/>
  <c r="AC19" i="18"/>
  <c r="AC28" i="18"/>
  <c r="AC13" i="18"/>
  <c r="AC46" i="18"/>
  <c r="AC20" i="18"/>
  <c r="AC15" i="18"/>
  <c r="AC21" i="18"/>
  <c r="AC16" i="18"/>
  <c r="AC17" i="18"/>
  <c r="AC43" i="18"/>
  <c r="AC11" i="18"/>
  <c r="E49" i="17"/>
  <c r="D91" i="17"/>
  <c r="C94" i="17"/>
  <c r="D117" i="17"/>
  <c r="F124" i="17"/>
  <c r="V17" i="18"/>
  <c r="O10" i="17" s="1"/>
  <c r="U17" i="18"/>
  <c r="N10" i="17" s="1"/>
  <c r="S17" i="18"/>
  <c r="L10" i="17" s="1"/>
  <c r="T17" i="18"/>
  <c r="M10" i="17" s="1"/>
  <c r="R17" i="18"/>
  <c r="K10" i="17" s="1"/>
  <c r="W17" i="18"/>
  <c r="P10" i="17" s="1"/>
  <c r="P47" i="17"/>
  <c r="Q47" i="17" s="1"/>
  <c r="M50" i="17"/>
  <c r="E91" i="17"/>
  <c r="D94" i="17"/>
  <c r="D110" i="17"/>
  <c r="E114" i="17"/>
  <c r="D121" i="17"/>
  <c r="F57" i="17"/>
  <c r="F58" i="17"/>
  <c r="D57" i="17"/>
  <c r="E59" i="17"/>
  <c r="D58" i="17"/>
  <c r="D60" i="17"/>
  <c r="C59" i="17"/>
  <c r="B58" i="17"/>
  <c r="AE129" i="18"/>
  <c r="AE135" i="18"/>
  <c r="AE119" i="18"/>
  <c r="AE125" i="18"/>
  <c r="AE120" i="18"/>
  <c r="AE109" i="18"/>
  <c r="AE101" i="18"/>
  <c r="AE131" i="18"/>
  <c r="AE115" i="18"/>
  <c r="AE126" i="18"/>
  <c r="AE112" i="18"/>
  <c r="AE104" i="18"/>
  <c r="AE96" i="18"/>
  <c r="AE121" i="18"/>
  <c r="AE132" i="18"/>
  <c r="AE116" i="18"/>
  <c r="AE107" i="18"/>
  <c r="AE99" i="18"/>
  <c r="AE91" i="18"/>
  <c r="AE83" i="18"/>
  <c r="AE127" i="18"/>
  <c r="AE122" i="18"/>
  <c r="AE110" i="18"/>
  <c r="AE102" i="18"/>
  <c r="AE94" i="18"/>
  <c r="AE133" i="18"/>
  <c r="AE117" i="18"/>
  <c r="AE128" i="18"/>
  <c r="AE113" i="18"/>
  <c r="AE105" i="18"/>
  <c r="AE97" i="18"/>
  <c r="AE123" i="18"/>
  <c r="AE134" i="18"/>
  <c r="AE118" i="18"/>
  <c r="AE108" i="18"/>
  <c r="AE100" i="18"/>
  <c r="AE92" i="18"/>
  <c r="AE84" i="18"/>
  <c r="AE76" i="18"/>
  <c r="AE75" i="18"/>
  <c r="AE114" i="18"/>
  <c r="AE85" i="18"/>
  <c r="AE74" i="18"/>
  <c r="AE73" i="18"/>
  <c r="AE72" i="18"/>
  <c r="AE71" i="18"/>
  <c r="AE70" i="18"/>
  <c r="AE69" i="18"/>
  <c r="AE68" i="18"/>
  <c r="AE67" i="18"/>
  <c r="AE66" i="18"/>
  <c r="AE65" i="18"/>
  <c r="AE64" i="18"/>
  <c r="AE63" i="18"/>
  <c r="AE62" i="18"/>
  <c r="AE61" i="18"/>
  <c r="AE60" i="18"/>
  <c r="AE59" i="18"/>
  <c r="AE23" i="18"/>
  <c r="AE130" i="18"/>
  <c r="AE86" i="18"/>
  <c r="AE77" i="18"/>
  <c r="AE58" i="18"/>
  <c r="AE57" i="18"/>
  <c r="AE56" i="18"/>
  <c r="AE55" i="18"/>
  <c r="AE54" i="18"/>
  <c r="AE49" i="18"/>
  <c r="AE95" i="18"/>
  <c r="AE78" i="18"/>
  <c r="AE87" i="18"/>
  <c r="AE79" i="18"/>
  <c r="AE52" i="18"/>
  <c r="AE44" i="18"/>
  <c r="AE36" i="18"/>
  <c r="AE106" i="18"/>
  <c r="AE80" i="18"/>
  <c r="AE35" i="18"/>
  <c r="AE47" i="18"/>
  <c r="AE39" i="18"/>
  <c r="AE34" i="18"/>
  <c r="AE19" i="18"/>
  <c r="AE93" i="18"/>
  <c r="AE88" i="18"/>
  <c r="AE81" i="18"/>
  <c r="AE33" i="18"/>
  <c r="AE50" i="18"/>
  <c r="AE42" i="18"/>
  <c r="AE32" i="18"/>
  <c r="AE111" i="18"/>
  <c r="AE82" i="18"/>
  <c r="AE31" i="18"/>
  <c r="AE98" i="18"/>
  <c r="AE89" i="18"/>
  <c r="AE53" i="18"/>
  <c r="AE90" i="18"/>
  <c r="AE51" i="18"/>
  <c r="AE14" i="18"/>
  <c r="AE124" i="18"/>
  <c r="AE16" i="18"/>
  <c r="AE37" i="18"/>
  <c r="AE17" i="18"/>
  <c r="AE48" i="18"/>
  <c r="AE38" i="18"/>
  <c r="AE24" i="18"/>
  <c r="AE30" i="18"/>
  <c r="AE103" i="18"/>
  <c r="AE40" i="18"/>
  <c r="AE26" i="18"/>
  <c r="AE22" i="18"/>
  <c r="AE29" i="18"/>
  <c r="AE41" i="18"/>
  <c r="AE43" i="18"/>
  <c r="AE45" i="18"/>
  <c r="AE28" i="18"/>
  <c r="AE21" i="18"/>
  <c r="AE10" i="18"/>
  <c r="AE18" i="18"/>
  <c r="AE27" i="18"/>
  <c r="AE11" i="18"/>
  <c r="AE46" i="18"/>
  <c r="AE20" i="18"/>
  <c r="AE25" i="18"/>
  <c r="AE13" i="18"/>
  <c r="AE15" i="18"/>
  <c r="AE12" i="18"/>
  <c r="D75" i="17"/>
  <c r="B74" i="17"/>
  <c r="C75" i="17"/>
  <c r="P72" i="17"/>
  <c r="Q72" i="17" s="1"/>
  <c r="G72" i="17"/>
  <c r="E72" i="17"/>
  <c r="C74" i="17"/>
  <c r="D74" i="17"/>
  <c r="F77" i="17"/>
  <c r="E77" i="17"/>
  <c r="E78" i="17"/>
  <c r="C77" i="17"/>
  <c r="E79" i="17"/>
  <c r="C78" i="17"/>
  <c r="C79" i="17"/>
  <c r="C80" i="17"/>
  <c r="P77" i="17"/>
  <c r="Q77" i="17" s="1"/>
  <c r="G77" i="17"/>
  <c r="B79" i="17"/>
  <c r="F8" i="18"/>
  <c r="M8" i="18" s="1"/>
  <c r="AD14" i="18"/>
  <c r="W11" i="18"/>
  <c r="P4" i="17" s="1"/>
  <c r="P16" i="17" s="1"/>
  <c r="H29" i="17" s="1"/>
  <c r="M44" i="17" s="1"/>
  <c r="V11" i="18"/>
  <c r="O4" i="17" s="1"/>
  <c r="T11" i="18"/>
  <c r="M4" i="17" s="1"/>
  <c r="R11" i="18"/>
  <c r="K4" i="17" s="1"/>
  <c r="T23" i="18"/>
  <c r="S11" i="18"/>
  <c r="L4" i="17" s="1"/>
  <c r="AD45" i="18"/>
  <c r="AD134" i="18"/>
  <c r="AD118" i="18"/>
  <c r="AD108" i="18"/>
  <c r="AD100" i="18"/>
  <c r="AD92" i="18"/>
  <c r="AD84" i="18"/>
  <c r="AD76" i="18"/>
  <c r="AD68" i="18"/>
  <c r="AD60" i="18"/>
  <c r="AD124" i="18"/>
  <c r="AD111" i="18"/>
  <c r="AD103" i="18"/>
  <c r="AD95" i="18"/>
  <c r="AD87" i="18"/>
  <c r="AD79" i="18"/>
  <c r="AD71" i="18"/>
  <c r="AD63" i="18"/>
  <c r="AD55" i="18"/>
  <c r="AD130" i="18"/>
  <c r="AD114" i="18"/>
  <c r="AD106" i="18"/>
  <c r="AD98" i="18"/>
  <c r="AD90" i="18"/>
  <c r="AD82" i="18"/>
  <c r="AD74" i="18"/>
  <c r="AD66" i="18"/>
  <c r="AD58" i="18"/>
  <c r="AD125" i="18"/>
  <c r="AD120" i="18"/>
  <c r="AD109" i="18"/>
  <c r="AD101" i="18"/>
  <c r="AD93" i="18"/>
  <c r="AD85" i="18"/>
  <c r="AD77" i="18"/>
  <c r="AD69" i="18"/>
  <c r="AD61" i="18"/>
  <c r="AD131" i="18"/>
  <c r="AD115" i="18"/>
  <c r="AD126" i="18"/>
  <c r="AD112" i="18"/>
  <c r="AD104" i="18"/>
  <c r="AD96" i="18"/>
  <c r="AD88" i="18"/>
  <c r="AD80" i="18"/>
  <c r="AD72" i="18"/>
  <c r="AD64" i="18"/>
  <c r="AD56" i="18"/>
  <c r="AD121" i="18"/>
  <c r="AD132" i="18"/>
  <c r="AD116" i="18"/>
  <c r="AD107" i="18"/>
  <c r="AD99" i="18"/>
  <c r="AD91" i="18"/>
  <c r="AD83" i="18"/>
  <c r="AD75" i="18"/>
  <c r="AD67" i="18"/>
  <c r="AD59" i="18"/>
  <c r="AD127" i="18"/>
  <c r="AD122" i="18"/>
  <c r="AD110" i="18"/>
  <c r="AD102" i="18"/>
  <c r="AD94" i="18"/>
  <c r="AD86" i="18"/>
  <c r="AD78" i="18"/>
  <c r="AD70" i="18"/>
  <c r="AD62" i="18"/>
  <c r="AD54" i="18"/>
  <c r="AD133" i="18"/>
  <c r="AD117" i="18"/>
  <c r="AD128" i="18"/>
  <c r="AD113" i="18"/>
  <c r="AD105" i="18"/>
  <c r="AD97" i="18"/>
  <c r="AD89" i="18"/>
  <c r="AD81" i="18"/>
  <c r="AD73" i="18"/>
  <c r="AD65" i="18"/>
  <c r="AD57" i="18"/>
  <c r="AD123" i="18"/>
  <c r="AD51" i="18"/>
  <c r="AD43" i="18"/>
  <c r="AD135" i="18"/>
  <c r="AD46" i="18"/>
  <c r="AD38" i="18"/>
  <c r="AD24" i="18"/>
  <c r="AD49" i="18"/>
  <c r="AD41" i="18"/>
  <c r="AD52" i="18"/>
  <c r="AD44" i="18"/>
  <c r="AD36" i="18"/>
  <c r="AD35" i="18"/>
  <c r="AD18" i="18"/>
  <c r="AD47" i="18"/>
  <c r="AD39" i="18"/>
  <c r="AD34" i="18"/>
  <c r="AD33" i="18"/>
  <c r="AD129" i="18"/>
  <c r="AD50" i="18"/>
  <c r="AD42" i="18"/>
  <c r="AD32" i="18"/>
  <c r="AD20" i="18"/>
  <c r="AD13" i="18"/>
  <c r="AD119" i="18"/>
  <c r="AD27" i="18"/>
  <c r="AD15" i="18"/>
  <c r="AD16" i="18"/>
  <c r="AD37" i="18"/>
  <c r="AD31" i="18"/>
  <c r="AD48" i="18"/>
  <c r="AD30" i="18"/>
  <c r="AD40" i="18"/>
  <c r="AD26" i="18"/>
  <c r="AD22" i="18"/>
  <c r="AD29" i="18"/>
  <c r="AD19" i="18"/>
  <c r="AD23" i="18"/>
  <c r="AD53" i="18"/>
  <c r="AD28" i="18"/>
  <c r="AD25" i="18"/>
  <c r="AD21" i="18"/>
  <c r="AD12" i="18"/>
  <c r="S10" i="18"/>
  <c r="AD11" i="18"/>
  <c r="V23" i="18"/>
  <c r="C8" i="18"/>
  <c r="J8" i="18" s="1"/>
  <c r="AD10" i="18"/>
  <c r="E8" i="18"/>
  <c r="L8" i="18" s="1"/>
  <c r="U12" i="18"/>
  <c r="N5" i="17" s="1"/>
  <c r="S12" i="18"/>
  <c r="L5" i="17" s="1"/>
  <c r="S13" i="18"/>
  <c r="L6" i="17" s="1"/>
  <c r="U13" i="18"/>
  <c r="N6" i="17" s="1"/>
  <c r="D9" i="18"/>
  <c r="K9" i="18" s="1"/>
  <c r="V14" i="18"/>
  <c r="O7" i="17" s="1"/>
  <c r="W16" i="18"/>
  <c r="P9" i="17" s="1"/>
  <c r="U16" i="18"/>
  <c r="N9" i="17" s="1"/>
  <c r="T16" i="18"/>
  <c r="M9" i="17" s="1"/>
  <c r="R16" i="18"/>
  <c r="K9" i="17" s="1"/>
  <c r="U18" i="18"/>
  <c r="N11" i="17" s="1"/>
  <c r="L9" i="9"/>
  <c r="O9" i="14"/>
  <c r="Y12" i="14"/>
  <c r="AJ33" i="14"/>
  <c r="AJ23" i="14"/>
  <c r="AJ24" i="14" s="1"/>
  <c r="AJ12" i="14"/>
  <c r="AJ13" i="14" s="1"/>
  <c r="V16" i="14"/>
  <c r="T16" i="14"/>
  <c r="R16" i="14"/>
  <c r="W16" i="14"/>
  <c r="V14" i="14"/>
  <c r="T14" i="14"/>
  <c r="R14" i="14"/>
  <c r="C9" i="14"/>
  <c r="V12" i="14"/>
  <c r="T12" i="14"/>
  <c r="R12" i="14"/>
  <c r="S14" i="14"/>
  <c r="U14" i="14"/>
  <c r="R20" i="14"/>
  <c r="V20" i="14"/>
  <c r="D8" i="14"/>
  <c r="K8" i="14" s="1"/>
  <c r="S10" i="14"/>
  <c r="T20" i="14"/>
  <c r="S16" i="14"/>
  <c r="B7" i="14"/>
  <c r="E8" i="14"/>
  <c r="L8" i="14" s="1"/>
  <c r="T10" i="14"/>
  <c r="V18" i="14"/>
  <c r="T18" i="14"/>
  <c r="U20" i="14"/>
  <c r="W20" i="14"/>
  <c r="G8" i="14"/>
  <c r="N8" i="14" s="1"/>
  <c r="V10" i="14"/>
  <c r="W17" i="14"/>
  <c r="U17" i="14"/>
  <c r="S17" i="14"/>
  <c r="U19" i="14"/>
  <c r="S15" i="14"/>
  <c r="S13" i="14"/>
  <c r="U15" i="14"/>
  <c r="U13" i="14"/>
  <c r="U11" i="14"/>
  <c r="U23" i="14" s="1"/>
  <c r="K9" i="10"/>
  <c r="Y13" i="10"/>
  <c r="AJ24" i="10"/>
  <c r="AJ25" i="10" s="1"/>
  <c r="D7" i="10"/>
  <c r="K7" i="10" s="1"/>
  <c r="G8" i="10"/>
  <c r="N8" i="10" s="1"/>
  <c r="V10" i="10"/>
  <c r="U16" i="10"/>
  <c r="B6" i="10"/>
  <c r="E7" i="10"/>
  <c r="L7" i="10" s="1"/>
  <c r="H8" i="10"/>
  <c r="O8" i="10" s="1"/>
  <c r="W10" i="10"/>
  <c r="W16" i="10"/>
  <c r="F7" i="10"/>
  <c r="M7" i="10" s="1"/>
  <c r="R15" i="10"/>
  <c r="G7" i="10"/>
  <c r="N7" i="10" s="1"/>
  <c r="S15" i="10"/>
  <c r="H7" i="10"/>
  <c r="O7" i="10" s="1"/>
  <c r="O9" i="10"/>
  <c r="U15" i="10"/>
  <c r="R17" i="10"/>
  <c r="S17" i="10"/>
  <c r="S14" i="10"/>
  <c r="T17" i="10"/>
  <c r="AJ11" i="10"/>
  <c r="U17" i="10"/>
  <c r="W11" i="11"/>
  <c r="T11" i="11"/>
  <c r="R11" i="11"/>
  <c r="V11" i="11"/>
  <c r="U11" i="11"/>
  <c r="S11" i="11"/>
  <c r="V17" i="10"/>
  <c r="R12" i="10"/>
  <c r="S13" i="10"/>
  <c r="V14" i="10"/>
  <c r="S18" i="10"/>
  <c r="S12" i="10"/>
  <c r="S23" i="10" s="1"/>
  <c r="V18" i="10"/>
  <c r="W20" i="10"/>
  <c r="T20" i="10"/>
  <c r="T23" i="10" s="1"/>
  <c r="R20" i="10"/>
  <c r="K9" i="11"/>
  <c r="H9" i="11"/>
  <c r="O9" i="11" s="1"/>
  <c r="G9" i="11"/>
  <c r="N9" i="11" s="1"/>
  <c r="F9" i="11"/>
  <c r="B8" i="11"/>
  <c r="C9" i="11"/>
  <c r="AJ11" i="11"/>
  <c r="W10" i="11"/>
  <c r="U10" i="11"/>
  <c r="T10" i="11"/>
  <c r="S10" i="11"/>
  <c r="R10" i="11"/>
  <c r="V10" i="11"/>
  <c r="W18" i="11"/>
  <c r="V18" i="11"/>
  <c r="U18" i="11"/>
  <c r="T18" i="11"/>
  <c r="S18" i="11"/>
  <c r="R18" i="11"/>
  <c r="R20" i="11"/>
  <c r="S20" i="11"/>
  <c r="S19" i="11"/>
  <c r="T20" i="11"/>
  <c r="R17" i="11"/>
  <c r="T19" i="11"/>
  <c r="U20" i="11"/>
  <c r="R16" i="11"/>
  <c r="S17" i="11"/>
  <c r="U19" i="11"/>
  <c r="V20" i="11"/>
  <c r="R15" i="11"/>
  <c r="S16" i="11"/>
  <c r="T17" i="11"/>
  <c r="V19" i="11"/>
  <c r="S15" i="11"/>
  <c r="T16" i="11"/>
  <c r="U17" i="11"/>
  <c r="Y15" i="12"/>
  <c r="Y16" i="12" s="1"/>
  <c r="Y17" i="12" s="1"/>
  <c r="AJ21" i="12"/>
  <c r="W17" i="12"/>
  <c r="U17" i="12"/>
  <c r="T17" i="12"/>
  <c r="S17" i="12"/>
  <c r="V17" i="12"/>
  <c r="V11" i="12"/>
  <c r="U11" i="12"/>
  <c r="AJ11" i="12"/>
  <c r="E7" i="12"/>
  <c r="L7" i="12" s="1"/>
  <c r="B6" i="12"/>
  <c r="G7" i="12"/>
  <c r="N7" i="12" s="1"/>
  <c r="F7" i="12"/>
  <c r="M7" i="12" s="1"/>
  <c r="C7" i="12"/>
  <c r="J7" i="12" s="1"/>
  <c r="T11" i="12"/>
  <c r="AJ33" i="12"/>
  <c r="W19" i="12"/>
  <c r="V19" i="12"/>
  <c r="U19" i="12"/>
  <c r="W12" i="12"/>
  <c r="R12" i="12"/>
  <c r="R19" i="12"/>
  <c r="S12" i="12"/>
  <c r="S19" i="12"/>
  <c r="R10" i="12"/>
  <c r="S10" i="12"/>
  <c r="V18" i="12"/>
  <c r="U18" i="12"/>
  <c r="U23" i="12" s="1"/>
  <c r="T18" i="12"/>
  <c r="C8" i="12"/>
  <c r="J8" i="12" s="1"/>
  <c r="W16" i="12"/>
  <c r="V16" i="12"/>
  <c r="T16" i="12"/>
  <c r="T23" i="12" s="1"/>
  <c r="S16" i="12"/>
  <c r="R16" i="12"/>
  <c r="D8" i="12"/>
  <c r="K8" i="12" s="1"/>
  <c r="J9" i="12"/>
  <c r="V10" i="12"/>
  <c r="V23" i="12" s="1"/>
  <c r="E8" i="12"/>
  <c r="L8" i="12" s="1"/>
  <c r="F8" i="12"/>
  <c r="M8" i="12" s="1"/>
  <c r="R15" i="12"/>
  <c r="S15" i="12"/>
  <c r="Y13" i="13"/>
  <c r="Y14" i="13" s="1"/>
  <c r="G8" i="13"/>
  <c r="N8" i="13" s="1"/>
  <c r="F8" i="13"/>
  <c r="M8" i="13" s="1"/>
  <c r="B7" i="13"/>
  <c r="E8" i="13"/>
  <c r="L8" i="13" s="1"/>
  <c r="H8" i="13"/>
  <c r="O8" i="13" s="1"/>
  <c r="D8" i="13"/>
  <c r="K8" i="13" s="1"/>
  <c r="C8" i="13"/>
  <c r="J8" i="13" s="1"/>
  <c r="V15" i="13"/>
  <c r="U15" i="13"/>
  <c r="T15" i="13"/>
  <c r="R15" i="13"/>
  <c r="V13" i="13"/>
  <c r="U13" i="13"/>
  <c r="T13" i="13"/>
  <c r="R13" i="13"/>
  <c r="W10" i="13"/>
  <c r="V10" i="13"/>
  <c r="R10" i="13"/>
  <c r="T10" i="13"/>
  <c r="E9" i="13"/>
  <c r="C9" i="13"/>
  <c r="J9" i="13" s="1"/>
  <c r="U10" i="13"/>
  <c r="D9" i="13"/>
  <c r="K9" i="13" s="1"/>
  <c r="W14" i="13"/>
  <c r="V14" i="13"/>
  <c r="U14" i="13"/>
  <c r="T14" i="13"/>
  <c r="R14" i="13"/>
  <c r="W12" i="13"/>
  <c r="V12" i="13"/>
  <c r="U12" i="13"/>
  <c r="T12" i="13"/>
  <c r="S14" i="13"/>
  <c r="R12" i="13"/>
  <c r="S12" i="13"/>
  <c r="T16" i="13"/>
  <c r="R16" i="13"/>
  <c r="V16" i="13"/>
  <c r="W16" i="13"/>
  <c r="W19" i="13"/>
  <c r="U19" i="13"/>
  <c r="T19" i="13"/>
  <c r="S19" i="13"/>
  <c r="R19" i="13"/>
  <c r="R18" i="13"/>
  <c r="T18" i="13"/>
  <c r="AJ14" i="8"/>
  <c r="F8" i="8"/>
  <c r="M8" i="8" s="1"/>
  <c r="R11" i="8"/>
  <c r="R16" i="8"/>
  <c r="G8" i="8"/>
  <c r="N8" i="8" s="1"/>
  <c r="S11" i="8"/>
  <c r="T16" i="8"/>
  <c r="B7" i="8"/>
  <c r="T11" i="8"/>
  <c r="W13" i="8"/>
  <c r="V13" i="8"/>
  <c r="S13" i="8"/>
  <c r="R13" i="8"/>
  <c r="U11" i="8"/>
  <c r="W17" i="8"/>
  <c r="V17" i="8"/>
  <c r="T17" i="8"/>
  <c r="V11" i="8"/>
  <c r="R12" i="8"/>
  <c r="S17" i="8"/>
  <c r="V16" i="8"/>
  <c r="U16" i="8"/>
  <c r="S16" i="8"/>
  <c r="C9" i="8"/>
  <c r="T12" i="8"/>
  <c r="E8" i="8"/>
  <c r="L8" i="8" s="1"/>
  <c r="D9" i="8"/>
  <c r="R10" i="8"/>
  <c r="V12" i="8"/>
  <c r="W15" i="8"/>
  <c r="U15" i="8"/>
  <c r="T15" i="8"/>
  <c r="R15" i="8"/>
  <c r="E9" i="8"/>
  <c r="L9" i="8" s="1"/>
  <c r="S10" i="8"/>
  <c r="W12" i="8"/>
  <c r="S15" i="8"/>
  <c r="S12" i="8"/>
  <c r="F9" i="8"/>
  <c r="M9" i="8" s="1"/>
  <c r="T10" i="8"/>
  <c r="D8" i="8"/>
  <c r="K8" i="8" s="1"/>
  <c r="U10" i="8"/>
  <c r="U18" i="8"/>
  <c r="W20" i="8"/>
  <c r="AJ41" i="9"/>
  <c r="Y13" i="9"/>
  <c r="Y14" i="9" s="1"/>
  <c r="Y15" i="9" s="1"/>
  <c r="W19" i="9"/>
  <c r="V19" i="9"/>
  <c r="T19" i="9"/>
  <c r="S19" i="9"/>
  <c r="H6" i="9"/>
  <c r="O6" i="9" s="1"/>
  <c r="E6" i="9"/>
  <c r="L6" i="9" s="1"/>
  <c r="B5" i="9"/>
  <c r="W20" i="9"/>
  <c r="V20" i="9"/>
  <c r="U20" i="9"/>
  <c r="T20" i="9"/>
  <c r="R20" i="9"/>
  <c r="D6" i="9"/>
  <c r="K6" i="9" s="1"/>
  <c r="S20" i="9"/>
  <c r="F6" i="9"/>
  <c r="M6" i="9" s="1"/>
  <c r="AJ11" i="9"/>
  <c r="G6" i="9"/>
  <c r="N6" i="9" s="1"/>
  <c r="C7" i="9"/>
  <c r="J7" i="9" s="1"/>
  <c r="H7" i="9"/>
  <c r="O7" i="9" s="1"/>
  <c r="D7" i="9"/>
  <c r="K7" i="9" s="1"/>
  <c r="V11" i="9"/>
  <c r="T11" i="9"/>
  <c r="T23" i="9" s="1"/>
  <c r="S11" i="9"/>
  <c r="R11" i="9"/>
  <c r="W15" i="9"/>
  <c r="V15" i="9"/>
  <c r="T15" i="9"/>
  <c r="S15" i="9"/>
  <c r="R15" i="9"/>
  <c r="W18" i="9"/>
  <c r="V18" i="9"/>
  <c r="U18" i="9"/>
  <c r="S18" i="9"/>
  <c r="R18" i="9"/>
  <c r="F7" i="9"/>
  <c r="M7" i="9" s="1"/>
  <c r="W11" i="9"/>
  <c r="U15" i="9"/>
  <c r="T18" i="9"/>
  <c r="S16" i="9"/>
  <c r="T17" i="9"/>
  <c r="R14" i="9"/>
  <c r="T16" i="9"/>
  <c r="U17" i="9"/>
  <c r="S14" i="9"/>
  <c r="U16" i="9"/>
  <c r="S12" i="9"/>
  <c r="T13" i="9"/>
  <c r="U14" i="9"/>
  <c r="T12" i="9"/>
  <c r="V14" i="9"/>
  <c r="D8" i="9"/>
  <c r="K8" i="9" s="1"/>
  <c r="S10" i="9"/>
  <c r="U12" i="9"/>
  <c r="P26" i="5"/>
  <c r="L26" i="5"/>
  <c r="M26" i="5"/>
  <c r="N26" i="5"/>
  <c r="O26" i="5"/>
  <c r="K26" i="5"/>
  <c r="F115" i="5"/>
  <c r="D106" i="5"/>
  <c r="G85" i="5"/>
  <c r="F85" i="5"/>
  <c r="G84" i="5"/>
  <c r="G80" i="5"/>
  <c r="F80" i="5"/>
  <c r="G79" i="5"/>
  <c r="G75" i="5"/>
  <c r="F75" i="5"/>
  <c r="G74" i="5"/>
  <c r="G70" i="5"/>
  <c r="F70" i="5"/>
  <c r="G69" i="5"/>
  <c r="G65" i="5"/>
  <c r="F65" i="5"/>
  <c r="G64" i="5"/>
  <c r="G60" i="5"/>
  <c r="F60" i="5"/>
  <c r="G59" i="5"/>
  <c r="G55" i="5"/>
  <c r="F55" i="5"/>
  <c r="G54" i="5"/>
  <c r="G50" i="5"/>
  <c r="F50" i="5"/>
  <c r="G49" i="5"/>
  <c r="G45" i="5"/>
  <c r="F45" i="5"/>
  <c r="G44" i="5"/>
  <c r="G40" i="5"/>
  <c r="F40" i="5"/>
  <c r="G39" i="5"/>
  <c r="F35" i="5"/>
  <c r="G35" i="5"/>
  <c r="G34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W23" i="6"/>
  <c r="V23" i="6"/>
  <c r="U23" i="6"/>
  <c r="T23" i="6"/>
  <c r="S23" i="6"/>
  <c r="J5" i="5"/>
  <c r="J6" i="5"/>
  <c r="J7" i="5"/>
  <c r="J8" i="5"/>
  <c r="J9" i="5"/>
  <c r="J10" i="5"/>
  <c r="J11" i="5"/>
  <c r="J12" i="5"/>
  <c r="J13" i="5"/>
  <c r="J14" i="5"/>
  <c r="J15" i="5"/>
  <c r="J4" i="5"/>
  <c r="O2" i="5"/>
  <c r="P2" i="5"/>
  <c r="B4" i="5"/>
  <c r="B5" i="5"/>
  <c r="B37" i="5" s="1"/>
  <c r="B6" i="5"/>
  <c r="B42" i="5" s="1"/>
  <c r="B7" i="5"/>
  <c r="B47" i="5" s="1"/>
  <c r="B8" i="5"/>
  <c r="B52" i="5" s="1"/>
  <c r="P52" i="5" s="1"/>
  <c r="B9" i="5"/>
  <c r="B57" i="5" s="1"/>
  <c r="B10" i="5"/>
  <c r="B62" i="5" s="1"/>
  <c r="B11" i="5"/>
  <c r="B67" i="5" s="1"/>
  <c r="E69" i="5" s="1"/>
  <c r="B12" i="5"/>
  <c r="B72" i="5" s="1"/>
  <c r="E74" i="5" s="1"/>
  <c r="B13" i="5"/>
  <c r="B77" i="5" s="1"/>
  <c r="B14" i="5"/>
  <c r="B82" i="5" s="1"/>
  <c r="B15" i="5"/>
  <c r="B88" i="5" s="1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132" i="5" s="1"/>
  <c r="G2" i="5"/>
  <c r="H2" i="5"/>
  <c r="AR34" i="6"/>
  <c r="AR21" i="6"/>
  <c r="AJ106" i="6"/>
  <c r="AJ107" i="6" s="1"/>
  <c r="AJ98" i="6"/>
  <c r="AJ99" i="6" s="1"/>
  <c r="AJ90" i="6"/>
  <c r="AJ82" i="6"/>
  <c r="AJ74" i="6"/>
  <c r="AJ66" i="6"/>
  <c r="AJ67" i="6" s="1"/>
  <c r="AJ58" i="6"/>
  <c r="AJ59" i="6" s="1"/>
  <c r="AJ50" i="6"/>
  <c r="AJ51" i="6" s="1"/>
  <c r="AJ42" i="6"/>
  <c r="AJ43" i="6" s="1"/>
  <c r="AJ34" i="6"/>
  <c r="AJ35" i="6" s="1"/>
  <c r="AJ26" i="6"/>
  <c r="AJ27" i="6" s="1"/>
  <c r="AJ18" i="6"/>
  <c r="AJ19" i="6" s="1"/>
  <c r="AJ91" i="6"/>
  <c r="AJ83" i="6"/>
  <c r="AJ75" i="6"/>
  <c r="AJ10" i="6"/>
  <c r="AJ11" i="6"/>
  <c r="AJ12" i="6" s="1"/>
  <c r="AJ13" i="6" s="1"/>
  <c r="AJ14" i="6" s="1"/>
  <c r="AJ15" i="6" s="1"/>
  <c r="AJ16" i="6" s="1"/>
  <c r="AJ17" i="6" s="1"/>
  <c r="R21" i="6"/>
  <c r="K14" i="5" s="1"/>
  <c r="S21" i="6"/>
  <c r="T21" i="6"/>
  <c r="U21" i="6"/>
  <c r="V21" i="6"/>
  <c r="W21" i="6"/>
  <c r="R22" i="6"/>
  <c r="K15" i="5" s="1"/>
  <c r="S22" i="6"/>
  <c r="T22" i="6"/>
  <c r="U22" i="6"/>
  <c r="V22" i="6"/>
  <c r="W22" i="6"/>
  <c r="O135" i="6"/>
  <c r="N135" i="6"/>
  <c r="M135" i="6"/>
  <c r="L135" i="6"/>
  <c r="K135" i="6"/>
  <c r="J135" i="6"/>
  <c r="O134" i="6"/>
  <c r="N134" i="6"/>
  <c r="M134" i="6"/>
  <c r="L134" i="6"/>
  <c r="K134" i="6"/>
  <c r="J134" i="6"/>
  <c r="O133" i="6"/>
  <c r="N133" i="6"/>
  <c r="M133" i="6"/>
  <c r="L133" i="6"/>
  <c r="K133" i="6"/>
  <c r="J133" i="6"/>
  <c r="O132" i="6"/>
  <c r="N132" i="6"/>
  <c r="M132" i="6"/>
  <c r="L132" i="6"/>
  <c r="K132" i="6"/>
  <c r="J132" i="6"/>
  <c r="O131" i="6"/>
  <c r="N131" i="6"/>
  <c r="M131" i="6"/>
  <c r="L131" i="6"/>
  <c r="K131" i="6"/>
  <c r="J131" i="6"/>
  <c r="O130" i="6"/>
  <c r="N130" i="6"/>
  <c r="M130" i="6"/>
  <c r="L130" i="6"/>
  <c r="K130" i="6"/>
  <c r="J130" i="6"/>
  <c r="O129" i="6"/>
  <c r="N129" i="6"/>
  <c r="M129" i="6"/>
  <c r="L129" i="6"/>
  <c r="K129" i="6"/>
  <c r="J129" i="6"/>
  <c r="O128" i="6"/>
  <c r="N128" i="6"/>
  <c r="M128" i="6"/>
  <c r="L128" i="6"/>
  <c r="K128" i="6"/>
  <c r="J128" i="6"/>
  <c r="O127" i="6"/>
  <c r="N127" i="6"/>
  <c r="M127" i="6"/>
  <c r="L127" i="6"/>
  <c r="K127" i="6"/>
  <c r="J127" i="6"/>
  <c r="O126" i="6"/>
  <c r="N126" i="6"/>
  <c r="M126" i="6"/>
  <c r="L126" i="6"/>
  <c r="K126" i="6"/>
  <c r="J126" i="6"/>
  <c r="O125" i="6"/>
  <c r="N125" i="6"/>
  <c r="M125" i="6"/>
  <c r="L125" i="6"/>
  <c r="K125" i="6"/>
  <c r="J125" i="6"/>
  <c r="O124" i="6"/>
  <c r="N124" i="6"/>
  <c r="M124" i="6"/>
  <c r="L124" i="6"/>
  <c r="K124" i="6"/>
  <c r="J124" i="6"/>
  <c r="O123" i="6"/>
  <c r="N123" i="6"/>
  <c r="M123" i="6"/>
  <c r="L123" i="6"/>
  <c r="K123" i="6"/>
  <c r="J123" i="6"/>
  <c r="O122" i="6"/>
  <c r="N122" i="6"/>
  <c r="M122" i="6"/>
  <c r="L122" i="6"/>
  <c r="K122" i="6"/>
  <c r="J122" i="6"/>
  <c r="O121" i="6"/>
  <c r="N121" i="6"/>
  <c r="M121" i="6"/>
  <c r="L121" i="6"/>
  <c r="K121" i="6"/>
  <c r="J121" i="6"/>
  <c r="O120" i="6"/>
  <c r="N120" i="6"/>
  <c r="M120" i="6"/>
  <c r="L120" i="6"/>
  <c r="K120" i="6"/>
  <c r="J120" i="6"/>
  <c r="O119" i="6"/>
  <c r="N119" i="6"/>
  <c r="M119" i="6"/>
  <c r="L119" i="6"/>
  <c r="K119" i="6"/>
  <c r="J119" i="6"/>
  <c r="O118" i="6"/>
  <c r="N118" i="6"/>
  <c r="M118" i="6"/>
  <c r="L118" i="6"/>
  <c r="K118" i="6"/>
  <c r="J118" i="6"/>
  <c r="O117" i="6"/>
  <c r="N117" i="6"/>
  <c r="M117" i="6"/>
  <c r="L117" i="6"/>
  <c r="K117" i="6"/>
  <c r="J117" i="6"/>
  <c r="O116" i="6"/>
  <c r="N116" i="6"/>
  <c r="M116" i="6"/>
  <c r="L116" i="6"/>
  <c r="K116" i="6"/>
  <c r="J116" i="6"/>
  <c r="O115" i="6"/>
  <c r="N115" i="6"/>
  <c r="M115" i="6"/>
  <c r="L115" i="6"/>
  <c r="K115" i="6"/>
  <c r="J115" i="6"/>
  <c r="O114" i="6"/>
  <c r="N114" i="6"/>
  <c r="M114" i="6"/>
  <c r="L114" i="6"/>
  <c r="K114" i="6"/>
  <c r="J114" i="6"/>
  <c r="O113" i="6"/>
  <c r="N113" i="6"/>
  <c r="M113" i="6"/>
  <c r="L113" i="6"/>
  <c r="K113" i="6"/>
  <c r="J113" i="6"/>
  <c r="O112" i="6"/>
  <c r="N112" i="6"/>
  <c r="M112" i="6"/>
  <c r="L112" i="6"/>
  <c r="K112" i="6"/>
  <c r="J112" i="6"/>
  <c r="O111" i="6"/>
  <c r="N111" i="6"/>
  <c r="M111" i="6"/>
  <c r="L111" i="6"/>
  <c r="K111" i="6"/>
  <c r="J111" i="6"/>
  <c r="O110" i="6"/>
  <c r="N110" i="6"/>
  <c r="M110" i="6"/>
  <c r="L110" i="6"/>
  <c r="K110" i="6"/>
  <c r="J110" i="6"/>
  <c r="O109" i="6"/>
  <c r="N109" i="6"/>
  <c r="M109" i="6"/>
  <c r="L109" i="6"/>
  <c r="K109" i="6"/>
  <c r="J109" i="6"/>
  <c r="O108" i="6"/>
  <c r="N108" i="6"/>
  <c r="M108" i="6"/>
  <c r="L108" i="6"/>
  <c r="K108" i="6"/>
  <c r="J108" i="6"/>
  <c r="O107" i="6"/>
  <c r="N107" i="6"/>
  <c r="M107" i="6"/>
  <c r="L107" i="6"/>
  <c r="K107" i="6"/>
  <c r="J107" i="6"/>
  <c r="O106" i="6"/>
  <c r="N106" i="6"/>
  <c r="M106" i="6"/>
  <c r="L106" i="6"/>
  <c r="K106" i="6"/>
  <c r="J106" i="6"/>
  <c r="O105" i="6"/>
  <c r="N105" i="6"/>
  <c r="M105" i="6"/>
  <c r="L105" i="6"/>
  <c r="K105" i="6"/>
  <c r="J105" i="6"/>
  <c r="O104" i="6"/>
  <c r="N104" i="6"/>
  <c r="M104" i="6"/>
  <c r="L104" i="6"/>
  <c r="K104" i="6"/>
  <c r="J104" i="6"/>
  <c r="O103" i="6"/>
  <c r="N103" i="6"/>
  <c r="M103" i="6"/>
  <c r="L103" i="6"/>
  <c r="K103" i="6"/>
  <c r="J103" i="6"/>
  <c r="O102" i="6"/>
  <c r="N102" i="6"/>
  <c r="M102" i="6"/>
  <c r="L102" i="6"/>
  <c r="K102" i="6"/>
  <c r="J102" i="6"/>
  <c r="O101" i="6"/>
  <c r="N101" i="6"/>
  <c r="M101" i="6"/>
  <c r="L101" i="6"/>
  <c r="K101" i="6"/>
  <c r="J101" i="6"/>
  <c r="O100" i="6"/>
  <c r="N100" i="6"/>
  <c r="M100" i="6"/>
  <c r="L100" i="6"/>
  <c r="K100" i="6"/>
  <c r="J100" i="6"/>
  <c r="O99" i="6"/>
  <c r="N99" i="6"/>
  <c r="M99" i="6"/>
  <c r="L99" i="6"/>
  <c r="K99" i="6"/>
  <c r="J99" i="6"/>
  <c r="O98" i="6"/>
  <c r="N98" i="6"/>
  <c r="M98" i="6"/>
  <c r="L98" i="6"/>
  <c r="K98" i="6"/>
  <c r="J98" i="6"/>
  <c r="O97" i="6"/>
  <c r="N97" i="6"/>
  <c r="M97" i="6"/>
  <c r="L97" i="6"/>
  <c r="K97" i="6"/>
  <c r="J97" i="6"/>
  <c r="O96" i="6"/>
  <c r="N96" i="6"/>
  <c r="M96" i="6"/>
  <c r="L96" i="6"/>
  <c r="K96" i="6"/>
  <c r="J96" i="6"/>
  <c r="O95" i="6"/>
  <c r="N95" i="6"/>
  <c r="M95" i="6"/>
  <c r="L95" i="6"/>
  <c r="K95" i="6"/>
  <c r="J95" i="6"/>
  <c r="O94" i="6"/>
  <c r="N94" i="6"/>
  <c r="M94" i="6"/>
  <c r="L94" i="6"/>
  <c r="K94" i="6"/>
  <c r="J94" i="6"/>
  <c r="O93" i="6"/>
  <c r="N93" i="6"/>
  <c r="M93" i="6"/>
  <c r="L93" i="6"/>
  <c r="K93" i="6"/>
  <c r="J93" i="6"/>
  <c r="O92" i="6"/>
  <c r="N92" i="6"/>
  <c r="M92" i="6"/>
  <c r="L92" i="6"/>
  <c r="K92" i="6"/>
  <c r="J92" i="6"/>
  <c r="O91" i="6"/>
  <c r="N91" i="6"/>
  <c r="M91" i="6"/>
  <c r="L91" i="6"/>
  <c r="K91" i="6"/>
  <c r="J91" i="6"/>
  <c r="O90" i="6"/>
  <c r="N90" i="6"/>
  <c r="M90" i="6"/>
  <c r="L90" i="6"/>
  <c r="K90" i="6"/>
  <c r="J90" i="6"/>
  <c r="O89" i="6"/>
  <c r="N89" i="6"/>
  <c r="M89" i="6"/>
  <c r="L89" i="6"/>
  <c r="K89" i="6"/>
  <c r="J89" i="6"/>
  <c r="O88" i="6"/>
  <c r="N88" i="6"/>
  <c r="M88" i="6"/>
  <c r="L88" i="6"/>
  <c r="K88" i="6"/>
  <c r="J88" i="6"/>
  <c r="O87" i="6"/>
  <c r="N87" i="6"/>
  <c r="M87" i="6"/>
  <c r="L87" i="6"/>
  <c r="K87" i="6"/>
  <c r="J87" i="6"/>
  <c r="O86" i="6"/>
  <c r="N86" i="6"/>
  <c r="M86" i="6"/>
  <c r="L86" i="6"/>
  <c r="K86" i="6"/>
  <c r="J86" i="6"/>
  <c r="O85" i="6"/>
  <c r="N85" i="6"/>
  <c r="M85" i="6"/>
  <c r="L85" i="6"/>
  <c r="K85" i="6"/>
  <c r="J85" i="6"/>
  <c r="O84" i="6"/>
  <c r="N84" i="6"/>
  <c r="M84" i="6"/>
  <c r="L84" i="6"/>
  <c r="K84" i="6"/>
  <c r="J84" i="6"/>
  <c r="O83" i="6"/>
  <c r="N83" i="6"/>
  <c r="M83" i="6"/>
  <c r="L83" i="6"/>
  <c r="K83" i="6"/>
  <c r="J83" i="6"/>
  <c r="O82" i="6"/>
  <c r="N82" i="6"/>
  <c r="M82" i="6"/>
  <c r="L82" i="6"/>
  <c r="K82" i="6"/>
  <c r="J82" i="6"/>
  <c r="O81" i="6"/>
  <c r="N81" i="6"/>
  <c r="M81" i="6"/>
  <c r="L81" i="6"/>
  <c r="K81" i="6"/>
  <c r="J81" i="6"/>
  <c r="O80" i="6"/>
  <c r="N80" i="6"/>
  <c r="M80" i="6"/>
  <c r="L80" i="6"/>
  <c r="K80" i="6"/>
  <c r="J80" i="6"/>
  <c r="O79" i="6"/>
  <c r="N79" i="6"/>
  <c r="M79" i="6"/>
  <c r="L79" i="6"/>
  <c r="K79" i="6"/>
  <c r="J79" i="6"/>
  <c r="O78" i="6"/>
  <c r="N78" i="6"/>
  <c r="M78" i="6"/>
  <c r="L78" i="6"/>
  <c r="K78" i="6"/>
  <c r="J78" i="6"/>
  <c r="O77" i="6"/>
  <c r="N77" i="6"/>
  <c r="M77" i="6"/>
  <c r="L77" i="6"/>
  <c r="K77" i="6"/>
  <c r="J77" i="6"/>
  <c r="O76" i="6"/>
  <c r="N76" i="6"/>
  <c r="M76" i="6"/>
  <c r="L76" i="6"/>
  <c r="K76" i="6"/>
  <c r="J76" i="6"/>
  <c r="O75" i="6"/>
  <c r="N75" i="6"/>
  <c r="M75" i="6"/>
  <c r="L75" i="6"/>
  <c r="K75" i="6"/>
  <c r="J75" i="6"/>
  <c r="O74" i="6"/>
  <c r="N74" i="6"/>
  <c r="M74" i="6"/>
  <c r="L74" i="6"/>
  <c r="K74" i="6"/>
  <c r="J74" i="6"/>
  <c r="O73" i="6"/>
  <c r="N73" i="6"/>
  <c r="M73" i="6"/>
  <c r="L73" i="6"/>
  <c r="K73" i="6"/>
  <c r="J73" i="6"/>
  <c r="O72" i="6"/>
  <c r="N72" i="6"/>
  <c r="M72" i="6"/>
  <c r="L72" i="6"/>
  <c r="K72" i="6"/>
  <c r="J72" i="6"/>
  <c r="O71" i="6"/>
  <c r="N71" i="6"/>
  <c r="M71" i="6"/>
  <c r="L71" i="6"/>
  <c r="K71" i="6"/>
  <c r="J71" i="6"/>
  <c r="O70" i="6"/>
  <c r="N70" i="6"/>
  <c r="M70" i="6"/>
  <c r="L70" i="6"/>
  <c r="K70" i="6"/>
  <c r="J70" i="6"/>
  <c r="O69" i="6"/>
  <c r="N69" i="6"/>
  <c r="M69" i="6"/>
  <c r="L69" i="6"/>
  <c r="K69" i="6"/>
  <c r="J69" i="6"/>
  <c r="O68" i="6"/>
  <c r="N68" i="6"/>
  <c r="M68" i="6"/>
  <c r="L68" i="6"/>
  <c r="K68" i="6"/>
  <c r="J68" i="6"/>
  <c r="O67" i="6"/>
  <c r="N67" i="6"/>
  <c r="M67" i="6"/>
  <c r="L67" i="6"/>
  <c r="K67" i="6"/>
  <c r="J67" i="6"/>
  <c r="O66" i="6"/>
  <c r="N66" i="6"/>
  <c r="M66" i="6"/>
  <c r="L66" i="6"/>
  <c r="K66" i="6"/>
  <c r="J66" i="6"/>
  <c r="O65" i="6"/>
  <c r="N65" i="6"/>
  <c r="M65" i="6"/>
  <c r="L65" i="6"/>
  <c r="K65" i="6"/>
  <c r="J65" i="6"/>
  <c r="O64" i="6"/>
  <c r="N64" i="6"/>
  <c r="M64" i="6"/>
  <c r="L64" i="6"/>
  <c r="K64" i="6"/>
  <c r="J64" i="6"/>
  <c r="O63" i="6"/>
  <c r="N63" i="6"/>
  <c r="M63" i="6"/>
  <c r="L63" i="6"/>
  <c r="K63" i="6"/>
  <c r="J63" i="6"/>
  <c r="O62" i="6"/>
  <c r="N62" i="6"/>
  <c r="M62" i="6"/>
  <c r="L62" i="6"/>
  <c r="K62" i="6"/>
  <c r="J62" i="6"/>
  <c r="O61" i="6"/>
  <c r="N61" i="6"/>
  <c r="M61" i="6"/>
  <c r="L61" i="6"/>
  <c r="K61" i="6"/>
  <c r="J61" i="6"/>
  <c r="O60" i="6"/>
  <c r="N60" i="6"/>
  <c r="M60" i="6"/>
  <c r="L60" i="6"/>
  <c r="K60" i="6"/>
  <c r="J60" i="6"/>
  <c r="O59" i="6"/>
  <c r="N59" i="6"/>
  <c r="M59" i="6"/>
  <c r="L59" i="6"/>
  <c r="K59" i="6"/>
  <c r="J59" i="6"/>
  <c r="O58" i="6"/>
  <c r="N58" i="6"/>
  <c r="M58" i="6"/>
  <c r="L58" i="6"/>
  <c r="K58" i="6"/>
  <c r="J58" i="6"/>
  <c r="O57" i="6"/>
  <c r="N57" i="6"/>
  <c r="M57" i="6"/>
  <c r="L57" i="6"/>
  <c r="K57" i="6"/>
  <c r="J57" i="6"/>
  <c r="O56" i="6"/>
  <c r="N56" i="6"/>
  <c r="M56" i="6"/>
  <c r="L56" i="6"/>
  <c r="K56" i="6"/>
  <c r="J56" i="6"/>
  <c r="O55" i="6"/>
  <c r="N55" i="6"/>
  <c r="M55" i="6"/>
  <c r="L55" i="6"/>
  <c r="K55" i="6"/>
  <c r="J55" i="6"/>
  <c r="O54" i="6"/>
  <c r="N54" i="6"/>
  <c r="M54" i="6"/>
  <c r="L54" i="6"/>
  <c r="K54" i="6"/>
  <c r="J54" i="6"/>
  <c r="O53" i="6"/>
  <c r="N53" i="6"/>
  <c r="M53" i="6"/>
  <c r="L53" i="6"/>
  <c r="K53" i="6"/>
  <c r="J53" i="6"/>
  <c r="O52" i="6"/>
  <c r="N52" i="6"/>
  <c r="M52" i="6"/>
  <c r="L52" i="6"/>
  <c r="K52" i="6"/>
  <c r="J52" i="6"/>
  <c r="O51" i="6"/>
  <c r="N51" i="6"/>
  <c r="M51" i="6"/>
  <c r="L51" i="6"/>
  <c r="K51" i="6"/>
  <c r="J51" i="6"/>
  <c r="O50" i="6"/>
  <c r="N50" i="6"/>
  <c r="M50" i="6"/>
  <c r="L50" i="6"/>
  <c r="K50" i="6"/>
  <c r="J50" i="6"/>
  <c r="O49" i="6"/>
  <c r="N49" i="6"/>
  <c r="M49" i="6"/>
  <c r="L49" i="6"/>
  <c r="K49" i="6"/>
  <c r="J49" i="6"/>
  <c r="O48" i="6"/>
  <c r="N48" i="6"/>
  <c r="M48" i="6"/>
  <c r="L48" i="6"/>
  <c r="K48" i="6"/>
  <c r="J48" i="6"/>
  <c r="O47" i="6"/>
  <c r="N47" i="6"/>
  <c r="M47" i="6"/>
  <c r="L47" i="6"/>
  <c r="K47" i="6"/>
  <c r="J47" i="6"/>
  <c r="O46" i="6"/>
  <c r="N46" i="6"/>
  <c r="M46" i="6"/>
  <c r="L46" i="6"/>
  <c r="K46" i="6"/>
  <c r="J46" i="6"/>
  <c r="O45" i="6"/>
  <c r="N45" i="6"/>
  <c r="M45" i="6"/>
  <c r="L45" i="6"/>
  <c r="K45" i="6"/>
  <c r="J45" i="6"/>
  <c r="O44" i="6"/>
  <c r="N44" i="6"/>
  <c r="M44" i="6"/>
  <c r="L44" i="6"/>
  <c r="K44" i="6"/>
  <c r="J44" i="6"/>
  <c r="O43" i="6"/>
  <c r="N43" i="6"/>
  <c r="M43" i="6"/>
  <c r="L43" i="6"/>
  <c r="K43" i="6"/>
  <c r="J43" i="6"/>
  <c r="O42" i="6"/>
  <c r="N42" i="6"/>
  <c r="M42" i="6"/>
  <c r="L42" i="6"/>
  <c r="K42" i="6"/>
  <c r="J42" i="6"/>
  <c r="O41" i="6"/>
  <c r="N41" i="6"/>
  <c r="M41" i="6"/>
  <c r="L41" i="6"/>
  <c r="K41" i="6"/>
  <c r="J41" i="6"/>
  <c r="O40" i="6"/>
  <c r="N40" i="6"/>
  <c r="M40" i="6"/>
  <c r="L40" i="6"/>
  <c r="K40" i="6"/>
  <c r="J40" i="6"/>
  <c r="O39" i="6"/>
  <c r="N39" i="6"/>
  <c r="M39" i="6"/>
  <c r="L39" i="6"/>
  <c r="K39" i="6"/>
  <c r="J39" i="6"/>
  <c r="O38" i="6"/>
  <c r="N38" i="6"/>
  <c r="M38" i="6"/>
  <c r="L38" i="6"/>
  <c r="K38" i="6"/>
  <c r="J38" i="6"/>
  <c r="O37" i="6"/>
  <c r="N37" i="6"/>
  <c r="M37" i="6"/>
  <c r="L37" i="6"/>
  <c r="K37" i="6"/>
  <c r="J37" i="6"/>
  <c r="O36" i="6"/>
  <c r="N36" i="6"/>
  <c r="M36" i="6"/>
  <c r="L36" i="6"/>
  <c r="K36" i="6"/>
  <c r="J36" i="6"/>
  <c r="O35" i="6"/>
  <c r="N35" i="6"/>
  <c r="M35" i="6"/>
  <c r="L35" i="6"/>
  <c r="K35" i="6"/>
  <c r="J35" i="6"/>
  <c r="O34" i="6"/>
  <c r="N34" i="6"/>
  <c r="M34" i="6"/>
  <c r="L34" i="6"/>
  <c r="K34" i="6"/>
  <c r="J34" i="6"/>
  <c r="O33" i="6"/>
  <c r="N33" i="6"/>
  <c r="M33" i="6"/>
  <c r="L33" i="6"/>
  <c r="K33" i="6"/>
  <c r="J33" i="6"/>
  <c r="O32" i="6"/>
  <c r="N32" i="6"/>
  <c r="M32" i="6"/>
  <c r="L32" i="6"/>
  <c r="K32" i="6"/>
  <c r="J32" i="6"/>
  <c r="O31" i="6"/>
  <c r="N31" i="6"/>
  <c r="M31" i="6"/>
  <c r="L31" i="6"/>
  <c r="K31" i="6"/>
  <c r="J31" i="6"/>
  <c r="O30" i="6"/>
  <c r="N30" i="6"/>
  <c r="M30" i="6"/>
  <c r="L30" i="6"/>
  <c r="K30" i="6"/>
  <c r="J30" i="6"/>
  <c r="O29" i="6"/>
  <c r="N29" i="6"/>
  <c r="M29" i="6"/>
  <c r="L29" i="6"/>
  <c r="K29" i="6"/>
  <c r="J29" i="6"/>
  <c r="O28" i="6"/>
  <c r="N28" i="6"/>
  <c r="M28" i="6"/>
  <c r="L28" i="6"/>
  <c r="K28" i="6"/>
  <c r="J28" i="6"/>
  <c r="O27" i="6"/>
  <c r="N27" i="6"/>
  <c r="M27" i="6"/>
  <c r="L27" i="6"/>
  <c r="K27" i="6"/>
  <c r="J27" i="6"/>
  <c r="O26" i="6"/>
  <c r="N26" i="6"/>
  <c r="M26" i="6"/>
  <c r="L26" i="6"/>
  <c r="K26" i="6"/>
  <c r="J26" i="6"/>
  <c r="O25" i="6"/>
  <c r="N25" i="6"/>
  <c r="M25" i="6"/>
  <c r="L25" i="6"/>
  <c r="K25" i="6"/>
  <c r="J25" i="6"/>
  <c r="O24" i="6"/>
  <c r="N24" i="6"/>
  <c r="M24" i="6"/>
  <c r="L24" i="6"/>
  <c r="K24" i="6"/>
  <c r="J24" i="6"/>
  <c r="O23" i="6"/>
  <c r="N23" i="6"/>
  <c r="M23" i="6"/>
  <c r="L23" i="6"/>
  <c r="K23" i="6"/>
  <c r="J23" i="6"/>
  <c r="O22" i="6"/>
  <c r="N22" i="6"/>
  <c r="M22" i="6"/>
  <c r="L22" i="6"/>
  <c r="K22" i="6"/>
  <c r="J22" i="6"/>
  <c r="O21" i="6"/>
  <c r="N21" i="6"/>
  <c r="M21" i="6"/>
  <c r="L21" i="6"/>
  <c r="K21" i="6"/>
  <c r="J21" i="6"/>
  <c r="O20" i="6"/>
  <c r="N20" i="6"/>
  <c r="M20" i="6"/>
  <c r="L20" i="6"/>
  <c r="K20" i="6"/>
  <c r="J20" i="6"/>
  <c r="O19" i="6"/>
  <c r="N19" i="6"/>
  <c r="M19" i="6"/>
  <c r="L19" i="6"/>
  <c r="K19" i="6"/>
  <c r="J19" i="6"/>
  <c r="O18" i="6"/>
  <c r="N18" i="6"/>
  <c r="M18" i="6"/>
  <c r="L18" i="6"/>
  <c r="K18" i="6"/>
  <c r="J18" i="6"/>
  <c r="O17" i="6"/>
  <c r="N17" i="6"/>
  <c r="M17" i="6"/>
  <c r="L17" i="6"/>
  <c r="K17" i="6"/>
  <c r="J17" i="6"/>
  <c r="O16" i="6"/>
  <c r="N16" i="6"/>
  <c r="M16" i="6"/>
  <c r="L16" i="6"/>
  <c r="K16" i="6"/>
  <c r="J16" i="6"/>
  <c r="O15" i="6"/>
  <c r="N15" i="6"/>
  <c r="M15" i="6"/>
  <c r="L15" i="6"/>
  <c r="K15" i="6"/>
  <c r="J15" i="6"/>
  <c r="O14" i="6"/>
  <c r="N14" i="6"/>
  <c r="M14" i="6"/>
  <c r="L14" i="6"/>
  <c r="K14" i="6"/>
  <c r="J14" i="6"/>
  <c r="O13" i="6"/>
  <c r="N13" i="6"/>
  <c r="M13" i="6"/>
  <c r="L13" i="6"/>
  <c r="K13" i="6"/>
  <c r="J13" i="6"/>
  <c r="O12" i="6"/>
  <c r="N12" i="6"/>
  <c r="M12" i="6"/>
  <c r="L12" i="6"/>
  <c r="K12" i="6"/>
  <c r="J12" i="6"/>
  <c r="O11" i="6"/>
  <c r="N11" i="6"/>
  <c r="M11" i="6"/>
  <c r="L11" i="6"/>
  <c r="K11" i="6"/>
  <c r="J11" i="6"/>
  <c r="O10" i="6"/>
  <c r="N10" i="6"/>
  <c r="M10" i="6"/>
  <c r="L10" i="6"/>
  <c r="K10" i="6"/>
  <c r="J10" i="6"/>
  <c r="B9" i="6"/>
  <c r="C9" i="6" s="1"/>
  <c r="J9" i="6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R3" i="9" l="1"/>
  <c r="R3" i="22"/>
  <c r="R3" i="14"/>
  <c r="R3" i="8"/>
  <c r="R3" i="10"/>
  <c r="R3" i="12"/>
  <c r="R3" i="11"/>
  <c r="R3" i="13"/>
  <c r="V3" i="6"/>
  <c r="AF63" i="6" s="1"/>
  <c r="V3" i="13"/>
  <c r="V3" i="8"/>
  <c r="V3" i="10"/>
  <c r="V3" i="12"/>
  <c r="V3" i="11"/>
  <c r="V3" i="9"/>
  <c r="V3" i="22"/>
  <c r="V3" i="14"/>
  <c r="U3" i="6"/>
  <c r="AE122" i="6" s="1"/>
  <c r="U3" i="22"/>
  <c r="U3" i="14"/>
  <c r="U3" i="13"/>
  <c r="U3" i="8"/>
  <c r="U3" i="12"/>
  <c r="U3" i="11"/>
  <c r="U3" i="10"/>
  <c r="U3" i="9"/>
  <c r="T3" i="6"/>
  <c r="T3" i="22"/>
  <c r="T3" i="14"/>
  <c r="T3" i="13"/>
  <c r="T3" i="8"/>
  <c r="T3" i="10"/>
  <c r="T3" i="12"/>
  <c r="T3" i="11"/>
  <c r="T3" i="9"/>
  <c r="S3" i="6"/>
  <c r="AC50" i="6" s="1"/>
  <c r="S3" i="9"/>
  <c r="S3" i="22"/>
  <c r="S3" i="14"/>
  <c r="S3" i="8"/>
  <c r="S3" i="13"/>
  <c r="S3" i="10"/>
  <c r="S3" i="12"/>
  <c r="S3" i="11"/>
  <c r="W3" i="6"/>
  <c r="W3" i="13"/>
  <c r="W3" i="8"/>
  <c r="W3" i="10"/>
  <c r="W3" i="12"/>
  <c r="W3" i="11"/>
  <c r="W3" i="9"/>
  <c r="W3" i="22"/>
  <c r="W3" i="14"/>
  <c r="V23" i="22"/>
  <c r="U23" i="22"/>
  <c r="R23" i="22"/>
  <c r="AJ12" i="22"/>
  <c r="Y17" i="22"/>
  <c r="AJ22" i="22"/>
  <c r="C7" i="22"/>
  <c r="J7" i="22" s="1"/>
  <c r="H7" i="22"/>
  <c r="O7" i="22" s="1"/>
  <c r="G7" i="22"/>
  <c r="N7" i="22" s="1"/>
  <c r="F7" i="22"/>
  <c r="M7" i="22" s="1"/>
  <c r="D7" i="22"/>
  <c r="K7" i="22" s="1"/>
  <c r="E7" i="22"/>
  <c r="L7" i="22" s="1"/>
  <c r="B6" i="22"/>
  <c r="S23" i="22"/>
  <c r="K9" i="22"/>
  <c r="AC10" i="22"/>
  <c r="AG10" i="20"/>
  <c r="P16" i="19"/>
  <c r="H29" i="19" s="1"/>
  <c r="K16" i="17"/>
  <c r="M16" i="17"/>
  <c r="E29" i="17" s="1"/>
  <c r="M59" i="17"/>
  <c r="U23" i="18"/>
  <c r="M54" i="17"/>
  <c r="M64" i="17"/>
  <c r="M45" i="17"/>
  <c r="M39" i="17"/>
  <c r="N16" i="17"/>
  <c r="F29" i="17" s="1"/>
  <c r="M65" i="17"/>
  <c r="P69" i="19"/>
  <c r="Q69" i="19" s="1"/>
  <c r="B55" i="19"/>
  <c r="P53" i="19"/>
  <c r="Q53" i="19" s="1"/>
  <c r="M80" i="19"/>
  <c r="P64" i="19"/>
  <c r="Q64" i="19" s="1"/>
  <c r="P34" i="19"/>
  <c r="Q34" i="19" s="1"/>
  <c r="M35" i="19"/>
  <c r="G43" i="19"/>
  <c r="AN110" i="20" a="1"/>
  <c r="AN110" i="20" s="1"/>
  <c r="AN113" i="20" a="1"/>
  <c r="AN113" i="20" s="1"/>
  <c r="AV23" i="20" s="1"/>
  <c r="F16" i="19" s="1"/>
  <c r="AN111" i="20" a="1"/>
  <c r="AN111" i="20" s="1"/>
  <c r="AN109" i="20" a="1"/>
  <c r="AN109" i="20" s="1"/>
  <c r="AN112" i="20" a="1"/>
  <c r="AN112" i="20" s="1"/>
  <c r="AN106" i="20" a="1"/>
  <c r="AN106" i="20" s="1"/>
  <c r="AN96" i="20" a="1"/>
  <c r="AN96" i="20" s="1"/>
  <c r="AN85" i="20" a="1"/>
  <c r="AN85" i="20" s="1"/>
  <c r="AN78" i="20" a="1"/>
  <c r="AN78" i="20" s="1"/>
  <c r="AN72" i="20" a="1"/>
  <c r="AN72" i="20" s="1"/>
  <c r="AN46" i="20" a="1"/>
  <c r="AN46" i="20" s="1"/>
  <c r="AN95" i="20" a="1"/>
  <c r="AN95" i="20" s="1"/>
  <c r="AN84" i="20" a="1"/>
  <c r="AN84" i="20" s="1"/>
  <c r="AN59" i="20" a="1"/>
  <c r="AN59" i="20" s="1"/>
  <c r="AN49" i="20" a="1"/>
  <c r="AN49" i="20" s="1"/>
  <c r="AV28" i="20" s="1"/>
  <c r="F21" i="19" s="1"/>
  <c r="AN41" i="20" a="1"/>
  <c r="AN41" i="20" s="1"/>
  <c r="AV27" i="20" s="1"/>
  <c r="F20" i="19" s="1"/>
  <c r="AN105" i="20" a="1"/>
  <c r="AN105" i="20" s="1"/>
  <c r="AV35" i="20" s="1"/>
  <c r="F28" i="19" s="1"/>
  <c r="K107" i="19" s="1"/>
  <c r="AN94" i="20" a="1"/>
  <c r="AN94" i="20" s="1"/>
  <c r="AN83" i="20" a="1"/>
  <c r="AN83" i="20" s="1"/>
  <c r="AN77" i="20" a="1"/>
  <c r="AN77" i="20" s="1"/>
  <c r="AN71" i="20" a="1"/>
  <c r="AN71" i="20" s="1"/>
  <c r="AN65" i="20" a="1"/>
  <c r="AN65" i="20" s="1"/>
  <c r="AV30" i="20" s="1"/>
  <c r="F23" i="19" s="1"/>
  <c r="AN104" i="20" a="1"/>
  <c r="AN104" i="20" s="1"/>
  <c r="AN93" i="20" a="1"/>
  <c r="AN93" i="20" s="1"/>
  <c r="AN58" i="20" a="1"/>
  <c r="AN58" i="20" s="1"/>
  <c r="AN54" i="20" a="1"/>
  <c r="AN54" i="20" s="1"/>
  <c r="AN52" i="20" a="1"/>
  <c r="AN52" i="20" s="1"/>
  <c r="AN44" i="20" a="1"/>
  <c r="AN44" i="20" s="1"/>
  <c r="AN103" i="20" a="1"/>
  <c r="AN103" i="20" s="1"/>
  <c r="AN92" i="20" a="1"/>
  <c r="AN92" i="20" s="1"/>
  <c r="AN82" i="20" a="1"/>
  <c r="AN82" i="20" s="1"/>
  <c r="AN76" i="20" a="1"/>
  <c r="AN76" i="20" s="1"/>
  <c r="AN70" i="20" a="1"/>
  <c r="AN70" i="20" s="1"/>
  <c r="AN64" i="20" a="1"/>
  <c r="AN64" i="20" s="1"/>
  <c r="AN35" i="20" a="1"/>
  <c r="AN35" i="20" s="1"/>
  <c r="AN47" i="20" a="1"/>
  <c r="AN47" i="20" s="1"/>
  <c r="AN102" i="20" a="1"/>
  <c r="AN102" i="20" s="1"/>
  <c r="AN91" i="20" a="1"/>
  <c r="AN91" i="20" s="1"/>
  <c r="AN101" i="20" a="1"/>
  <c r="AN101" i="20" s="1"/>
  <c r="AN90" i="20" a="1"/>
  <c r="AN90" i="20" s="1"/>
  <c r="AN75" i="20" a="1"/>
  <c r="AN75" i="20" s="1"/>
  <c r="AN69" i="20" a="1"/>
  <c r="AN69" i="20" s="1"/>
  <c r="AN63" i="20" a="1"/>
  <c r="AN63" i="20" s="1"/>
  <c r="AN57" i="20" a="1"/>
  <c r="AN57" i="20" s="1"/>
  <c r="AV29" i="20" s="1"/>
  <c r="F22" i="19" s="1"/>
  <c r="AN50" i="20" a="1"/>
  <c r="AN50" i="20" s="1"/>
  <c r="AN42" i="20" a="1"/>
  <c r="AN42" i="20" s="1"/>
  <c r="AN100" i="20" a="1"/>
  <c r="AN100" i="20" s="1"/>
  <c r="AN81" i="20" a="1"/>
  <c r="AN81" i="20" s="1"/>
  <c r="AV32" i="20" s="1"/>
  <c r="F25" i="19" s="1"/>
  <c r="AN31" i="20" a="1"/>
  <c r="AN31" i="20" s="1"/>
  <c r="AN74" i="20" a="1"/>
  <c r="AN74" i="20" s="1"/>
  <c r="AN68" i="20" a="1"/>
  <c r="AN68" i="20" s="1"/>
  <c r="AN62" i="20" a="1"/>
  <c r="AN62" i="20" s="1"/>
  <c r="AN56" i="20" a="1"/>
  <c r="AN56" i="20" s="1"/>
  <c r="AN53" i="20" a="1"/>
  <c r="AN53" i="20" s="1"/>
  <c r="AN45" i="20" a="1"/>
  <c r="AN45" i="20" s="1"/>
  <c r="AN37" i="20" a="1"/>
  <c r="AN37" i="20" s="1"/>
  <c r="AN99" i="20" a="1"/>
  <c r="AN99" i="20" s="1"/>
  <c r="AN89" i="20" a="1"/>
  <c r="AN89" i="20" s="1"/>
  <c r="AV33" i="20" s="1"/>
  <c r="F26" i="19" s="1"/>
  <c r="AN80" i="20" a="1"/>
  <c r="AN80" i="20" s="1"/>
  <c r="AN29" i="20" a="1"/>
  <c r="AN29" i="20" s="1"/>
  <c r="AN108" i="20" a="1"/>
  <c r="AN108" i="20" s="1"/>
  <c r="AN87" i="20" a="1"/>
  <c r="AN87" i="20" s="1"/>
  <c r="AN67" i="20" a="1"/>
  <c r="AN67" i="20" s="1"/>
  <c r="AN61" i="20" a="1"/>
  <c r="AN61" i="20" s="1"/>
  <c r="AN27" i="20" a="1"/>
  <c r="AN27" i="20" s="1"/>
  <c r="AN107" i="20" a="1"/>
  <c r="AN107" i="20" s="1"/>
  <c r="AN97" i="20" a="1"/>
  <c r="AN97" i="20" s="1"/>
  <c r="AV34" i="20" s="1"/>
  <c r="F27" i="19" s="1"/>
  <c r="AN86" i="20" a="1"/>
  <c r="AN86" i="20" s="1"/>
  <c r="AN66" i="20" a="1"/>
  <c r="AN66" i="20" s="1"/>
  <c r="AN55" i="20" a="1"/>
  <c r="AN55" i="20" s="1"/>
  <c r="AN43" i="20" a="1"/>
  <c r="AN43" i="20" s="1"/>
  <c r="AN33" i="20" a="1"/>
  <c r="AN33" i="20" s="1"/>
  <c r="AV26" i="20" s="1"/>
  <c r="F19" i="19" s="1"/>
  <c r="AN20" i="20" a="1"/>
  <c r="AN20" i="20" s="1"/>
  <c r="AN28" i="20" a="1"/>
  <c r="AN28" i="20" s="1"/>
  <c r="AN98" i="20" a="1"/>
  <c r="AN98" i="20" s="1"/>
  <c r="AN48" i="20" a="1"/>
  <c r="AN48" i="20" s="1"/>
  <c r="AN73" i="20" a="1"/>
  <c r="AN73" i="20" s="1"/>
  <c r="AV31" i="20" s="1"/>
  <c r="F24" i="19" s="1"/>
  <c r="AN21" i="20" a="1"/>
  <c r="AN21" i="20" s="1"/>
  <c r="AN79" i="20" a="1"/>
  <c r="AN79" i="20" s="1"/>
  <c r="AN10" i="20" a="1"/>
  <c r="AN10" i="20" s="1"/>
  <c r="AN26" i="20" a="1"/>
  <c r="AN26" i="20" s="1"/>
  <c r="AN22" i="20" a="1"/>
  <c r="AN22" i="20" s="1"/>
  <c r="AN11" i="20" a="1"/>
  <c r="AN11" i="20" s="1"/>
  <c r="AN25" i="20" a="1"/>
  <c r="AN25" i="20" s="1"/>
  <c r="AV25" i="20" s="1"/>
  <c r="F18" i="19" s="1"/>
  <c r="AN12" i="20" a="1"/>
  <c r="AN12" i="20" s="1"/>
  <c r="AN34" i="20" a="1"/>
  <c r="AN34" i="20" s="1"/>
  <c r="AN32" i="20" a="1"/>
  <c r="AN32" i="20" s="1"/>
  <c r="AN24" i="20" a="1"/>
  <c r="AN24" i="20" s="1"/>
  <c r="AN13" i="20" a="1"/>
  <c r="AN13" i="20" s="1"/>
  <c r="AN40" i="20" a="1"/>
  <c r="AN40" i="20" s="1"/>
  <c r="AN23" i="20" a="1"/>
  <c r="AN23" i="20" s="1"/>
  <c r="AN14" i="20" a="1"/>
  <c r="AN14" i="20" s="1"/>
  <c r="AN39" i="20" a="1"/>
  <c r="AN39" i="20" s="1"/>
  <c r="AN30" i="20" a="1"/>
  <c r="AN30" i="20" s="1"/>
  <c r="AN38" i="20" a="1"/>
  <c r="AN38" i="20" s="1"/>
  <c r="AN16" i="20" a="1"/>
  <c r="AN16" i="20" s="1"/>
  <c r="AN51" i="20" a="1"/>
  <c r="AN51" i="20" s="1"/>
  <c r="AN19" i="20" a="1"/>
  <c r="AN19" i="20" s="1"/>
  <c r="AN60" i="20" a="1"/>
  <c r="AN60" i="20" s="1"/>
  <c r="AN18" i="20" a="1"/>
  <c r="AN18" i="20" s="1"/>
  <c r="AN36" i="20" a="1"/>
  <c r="AN36" i="20" s="1"/>
  <c r="AN88" i="20" a="1"/>
  <c r="AN88" i="20" s="1"/>
  <c r="AN15" i="20" a="1"/>
  <c r="AN15" i="20" s="1"/>
  <c r="AN17" i="20" a="1"/>
  <c r="AN17" i="20" s="1"/>
  <c r="AV24" i="20" s="1"/>
  <c r="F17" i="19" s="1"/>
  <c r="P39" i="19"/>
  <c r="Q39" i="19" s="1"/>
  <c r="E8" i="20"/>
  <c r="L8" i="20" s="1"/>
  <c r="B7" i="20"/>
  <c r="D8" i="20"/>
  <c r="K8" i="20" s="1"/>
  <c r="F8" i="20"/>
  <c r="M8" i="20" s="1"/>
  <c r="C8" i="20"/>
  <c r="J8" i="20" s="1"/>
  <c r="H8" i="20"/>
  <c r="O8" i="20" s="1"/>
  <c r="G8" i="20"/>
  <c r="N8" i="20" s="1"/>
  <c r="P54" i="19"/>
  <c r="Q54" i="19" s="1"/>
  <c r="M60" i="19"/>
  <c r="B75" i="19"/>
  <c r="P73" i="19"/>
  <c r="Q73" i="19" s="1"/>
  <c r="M84" i="19"/>
  <c r="E80" i="19"/>
  <c r="M79" i="19"/>
  <c r="P74" i="19"/>
  <c r="Q74" i="19" s="1"/>
  <c r="M85" i="19"/>
  <c r="F74" i="19"/>
  <c r="P63" i="19"/>
  <c r="Q63" i="19" s="1"/>
  <c r="B65" i="19"/>
  <c r="M55" i="19"/>
  <c r="P43" i="19"/>
  <c r="Q43" i="19" s="1"/>
  <c r="B45" i="19"/>
  <c r="E70" i="19"/>
  <c r="G78" i="19"/>
  <c r="M65" i="19"/>
  <c r="K130" i="19"/>
  <c r="S23" i="20"/>
  <c r="L3" i="19"/>
  <c r="L16" i="19" s="1"/>
  <c r="D29" i="19" s="1"/>
  <c r="P58" i="19"/>
  <c r="Q58" i="19" s="1"/>
  <c r="B60" i="19"/>
  <c r="F79" i="19"/>
  <c r="G63" i="19"/>
  <c r="T23" i="20"/>
  <c r="M3" i="19"/>
  <c r="M16" i="19" s="1"/>
  <c r="E29" i="19" s="1"/>
  <c r="G68" i="19"/>
  <c r="M45" i="19"/>
  <c r="AD10" i="20"/>
  <c r="B85" i="19"/>
  <c r="P83" i="19"/>
  <c r="Q83" i="19" s="1"/>
  <c r="M39" i="19"/>
  <c r="G48" i="19"/>
  <c r="P44" i="19"/>
  <c r="Q44" i="19" s="1"/>
  <c r="M50" i="19"/>
  <c r="V23" i="20"/>
  <c r="O3" i="19"/>
  <c r="O16" i="19" s="1"/>
  <c r="G29" i="19" s="1"/>
  <c r="M49" i="19"/>
  <c r="AP111" i="20" a="1"/>
  <c r="AP111" i="20" s="1"/>
  <c r="AP109" i="20" a="1"/>
  <c r="AP109" i="20" s="1"/>
  <c r="AP112" i="20" a="1"/>
  <c r="AP112" i="20" s="1"/>
  <c r="AP110" i="20" a="1"/>
  <c r="AP110" i="20" s="1"/>
  <c r="AP94" i="20" a="1"/>
  <c r="AP94" i="20" s="1"/>
  <c r="AP83" i="20" a="1"/>
  <c r="AP83" i="20" s="1"/>
  <c r="AP71" i="20" a="1"/>
  <c r="AP71" i="20" s="1"/>
  <c r="AP54" i="20" a="1"/>
  <c r="AP54" i="20" s="1"/>
  <c r="AP52" i="20" a="1"/>
  <c r="AP52" i="20" s="1"/>
  <c r="AP44" i="20" a="1"/>
  <c r="AP44" i="20" s="1"/>
  <c r="AP105" i="20" a="1"/>
  <c r="AP105" i="20" s="1"/>
  <c r="AX35" i="20" s="1"/>
  <c r="H28" i="19" s="1"/>
  <c r="M97" i="19" s="1"/>
  <c r="AP77" i="20" a="1"/>
  <c r="AP77" i="20" s="1"/>
  <c r="AP65" i="20" a="1"/>
  <c r="AP65" i="20" s="1"/>
  <c r="AX30" i="20" s="1"/>
  <c r="H23" i="19" s="1"/>
  <c r="AP58" i="20" a="1"/>
  <c r="AP58" i="20" s="1"/>
  <c r="AP104" i="20" a="1"/>
  <c r="AP104" i="20" s="1"/>
  <c r="AP93" i="20" a="1"/>
  <c r="AP93" i="20" s="1"/>
  <c r="AP82" i="20" a="1"/>
  <c r="AP82" i="20" s="1"/>
  <c r="AP70" i="20" a="1"/>
  <c r="AP70" i="20" s="1"/>
  <c r="AP47" i="20" a="1"/>
  <c r="AP47" i="20" s="1"/>
  <c r="AP39" i="20" a="1"/>
  <c r="AP39" i="20" s="1"/>
  <c r="AP34" i="20" a="1"/>
  <c r="AP34" i="20" s="1"/>
  <c r="AP103" i="20" a="1"/>
  <c r="AP103" i="20" s="1"/>
  <c r="AP92" i="20" a="1"/>
  <c r="AP92" i="20" s="1"/>
  <c r="AP76" i="20" a="1"/>
  <c r="AP76" i="20" s="1"/>
  <c r="AP64" i="20" a="1"/>
  <c r="AP64" i="20" s="1"/>
  <c r="AP33" i="20" a="1"/>
  <c r="AP33" i="20" s="1"/>
  <c r="AX26" i="20" s="1"/>
  <c r="H19" i="19" s="1"/>
  <c r="AP102" i="20" a="1"/>
  <c r="AP102" i="20" s="1"/>
  <c r="AP91" i="20" a="1"/>
  <c r="AP91" i="20" s="1"/>
  <c r="AP50" i="20" a="1"/>
  <c r="AP50" i="20" s="1"/>
  <c r="AP75" i="20" a="1"/>
  <c r="AP75" i="20" s="1"/>
  <c r="AP63" i="20" a="1"/>
  <c r="AP63" i="20" s="1"/>
  <c r="AP31" i="20" a="1"/>
  <c r="AP31" i="20" s="1"/>
  <c r="AP101" i="20" a="1"/>
  <c r="AP101" i="20" s="1"/>
  <c r="AP90" i="20" a="1"/>
  <c r="AP90" i="20" s="1"/>
  <c r="AP69" i="20" a="1"/>
  <c r="AP69" i="20" s="1"/>
  <c r="AP57" i="20" a="1"/>
  <c r="AP57" i="20" s="1"/>
  <c r="AX29" i="20" s="1"/>
  <c r="H22" i="19" s="1"/>
  <c r="M58" i="19" s="1"/>
  <c r="AP53" i="20" a="1"/>
  <c r="AP53" i="20" s="1"/>
  <c r="AP45" i="20" a="1"/>
  <c r="AP45" i="20" s="1"/>
  <c r="AP113" i="20" a="1"/>
  <c r="AP113" i="20" s="1"/>
  <c r="AX23" i="20" s="1"/>
  <c r="H16" i="19" s="1"/>
  <c r="AP100" i="20" a="1"/>
  <c r="AP100" i="20" s="1"/>
  <c r="AP81" i="20" a="1"/>
  <c r="AP81" i="20" s="1"/>
  <c r="AX32" i="20" s="1"/>
  <c r="H25" i="19" s="1"/>
  <c r="AP74" i="20" a="1"/>
  <c r="AP74" i="20" s="1"/>
  <c r="AP99" i="20" a="1"/>
  <c r="AP99" i="20" s="1"/>
  <c r="AP68" i="20" a="1"/>
  <c r="AP68" i="20" s="1"/>
  <c r="AP56" i="20" a="1"/>
  <c r="AP56" i="20" s="1"/>
  <c r="AP48" i="20" a="1"/>
  <c r="AP48" i="20" s="1"/>
  <c r="AP40" i="20" a="1"/>
  <c r="AP40" i="20" s="1"/>
  <c r="AP89" i="20" a="1"/>
  <c r="AP89" i="20" s="1"/>
  <c r="AX33" i="20" s="1"/>
  <c r="H26" i="19" s="1"/>
  <c r="AP80" i="20" a="1"/>
  <c r="AP80" i="20" s="1"/>
  <c r="AP27" i="20" a="1"/>
  <c r="AP27" i="20" s="1"/>
  <c r="AP98" i="20" a="1"/>
  <c r="AP98" i="20" s="1"/>
  <c r="AP88" i="20" a="1"/>
  <c r="AP88" i="20" s="1"/>
  <c r="AP67" i="20" a="1"/>
  <c r="AP67" i="20" s="1"/>
  <c r="AP51" i="20" a="1"/>
  <c r="AP51" i="20" s="1"/>
  <c r="AP43" i="20" a="1"/>
  <c r="AP43" i="20" s="1"/>
  <c r="AP108" i="20" a="1"/>
  <c r="AP108" i="20" s="1"/>
  <c r="AP87" i="20" a="1"/>
  <c r="AP87" i="20" s="1"/>
  <c r="AP79" i="20" a="1"/>
  <c r="AP79" i="20" s="1"/>
  <c r="AP61" i="20" a="1"/>
  <c r="AP61" i="20" s="1"/>
  <c r="AP97" i="20" a="1"/>
  <c r="AP97" i="20" s="1"/>
  <c r="AX34" i="20" s="1"/>
  <c r="H27" i="19" s="1"/>
  <c r="AP78" i="20" a="1"/>
  <c r="AP78" i="20" s="1"/>
  <c r="AP60" i="20" a="1"/>
  <c r="AP60" i="20" s="1"/>
  <c r="AP95" i="20" a="1"/>
  <c r="AP95" i="20" s="1"/>
  <c r="AP84" i="20" a="1"/>
  <c r="AP84" i="20" s="1"/>
  <c r="AP28" i="20" a="1"/>
  <c r="AP28" i="20" s="1"/>
  <c r="AP21" i="20" a="1"/>
  <c r="AP21" i="20" s="1"/>
  <c r="AP73" i="20" a="1"/>
  <c r="AP73" i="20" s="1"/>
  <c r="AX31" i="20" s="1"/>
  <c r="H24" i="19" s="1"/>
  <c r="AP35" i="20" a="1"/>
  <c r="AP35" i="20" s="1"/>
  <c r="AP22" i="20" a="1"/>
  <c r="AP22" i="20" s="1"/>
  <c r="AP11" i="20" a="1"/>
  <c r="AP11" i="20" s="1"/>
  <c r="AP96" i="20" a="1"/>
  <c r="AP96" i="20" s="1"/>
  <c r="AP29" i="20" a="1"/>
  <c r="AP29" i="20" s="1"/>
  <c r="AP25" i="20" a="1"/>
  <c r="AP25" i="20" s="1"/>
  <c r="AX25" i="20" s="1"/>
  <c r="H18" i="19" s="1"/>
  <c r="AP12" i="20" a="1"/>
  <c r="AP12" i="20" s="1"/>
  <c r="AP49" i="20" a="1"/>
  <c r="AP49" i="20" s="1"/>
  <c r="AX28" i="20" s="1"/>
  <c r="H21" i="19" s="1"/>
  <c r="AP26" i="20" a="1"/>
  <c r="AP26" i="20" s="1"/>
  <c r="AP24" i="20" a="1"/>
  <c r="AP24" i="20" s="1"/>
  <c r="AP13" i="20" a="1"/>
  <c r="AP13" i="20" s="1"/>
  <c r="AP32" i="20" a="1"/>
  <c r="AP32" i="20" s="1"/>
  <c r="AP23" i="20" a="1"/>
  <c r="AP23" i="20" s="1"/>
  <c r="AP14" i="20" a="1"/>
  <c r="AP14" i="20" s="1"/>
  <c r="AP106" i="20" a="1"/>
  <c r="AP106" i="20" s="1"/>
  <c r="AP85" i="20" a="1"/>
  <c r="AP85" i="20" s="1"/>
  <c r="AP15" i="20" a="1"/>
  <c r="AP15" i="20" s="1"/>
  <c r="AP59" i="20" a="1"/>
  <c r="AP59" i="20" s="1"/>
  <c r="AP30" i="20" a="1"/>
  <c r="AP30" i="20" s="1"/>
  <c r="AP16" i="20" a="1"/>
  <c r="AP16" i="20" s="1"/>
  <c r="AP66" i="20" a="1"/>
  <c r="AP66" i="20" s="1"/>
  <c r="AP41" i="20" a="1"/>
  <c r="AP41" i="20" s="1"/>
  <c r="AX27" i="20" s="1"/>
  <c r="H20" i="19" s="1"/>
  <c r="AP38" i="20" a="1"/>
  <c r="AP38" i="20" s="1"/>
  <c r="AP17" i="20" a="1"/>
  <c r="AP17" i="20" s="1"/>
  <c r="AX24" i="20" s="1"/>
  <c r="H17" i="19" s="1"/>
  <c r="AP62" i="20" a="1"/>
  <c r="AP62" i="20" s="1"/>
  <c r="AP46" i="20" a="1"/>
  <c r="AP46" i="20" s="1"/>
  <c r="AP37" i="20" a="1"/>
  <c r="AP37" i="20" s="1"/>
  <c r="AP18" i="20" a="1"/>
  <c r="AP18" i="20" s="1"/>
  <c r="AP72" i="20" a="1"/>
  <c r="AP72" i="20" s="1"/>
  <c r="AP42" i="20" a="1"/>
  <c r="AP42" i="20" s="1"/>
  <c r="AP86" i="20" a="1"/>
  <c r="AP86" i="20" s="1"/>
  <c r="AP36" i="20" a="1"/>
  <c r="AP36" i="20" s="1"/>
  <c r="AP55" i="20" a="1"/>
  <c r="AP55" i="20" s="1"/>
  <c r="AP107" i="20" a="1"/>
  <c r="AP107" i="20" s="1"/>
  <c r="AP20" i="20" a="1"/>
  <c r="AP20" i="20" s="1"/>
  <c r="AP10" i="20" a="1"/>
  <c r="AP10" i="20" s="1"/>
  <c r="AP19" i="20" a="1"/>
  <c r="AP19" i="20" s="1"/>
  <c r="E75" i="19"/>
  <c r="K75" i="19" s="1"/>
  <c r="P84" i="19"/>
  <c r="Q84" i="19" s="1"/>
  <c r="F49" i="19"/>
  <c r="P79" i="19"/>
  <c r="Q79" i="19" s="1"/>
  <c r="G33" i="19"/>
  <c r="B70" i="19"/>
  <c r="P68" i="19"/>
  <c r="Q68" i="19" s="1"/>
  <c r="P33" i="19"/>
  <c r="Q33" i="19" s="1"/>
  <c r="B35" i="19"/>
  <c r="U23" i="20"/>
  <c r="N3" i="19"/>
  <c r="N16" i="19" s="1"/>
  <c r="F29" i="19" s="1"/>
  <c r="M44" i="19"/>
  <c r="P59" i="19"/>
  <c r="Q59" i="19" s="1"/>
  <c r="E50" i="19"/>
  <c r="K50" i="19" s="1"/>
  <c r="G38" i="19"/>
  <c r="M38" i="19" s="1"/>
  <c r="M34" i="19"/>
  <c r="F44" i="19"/>
  <c r="R23" i="20"/>
  <c r="K3" i="19"/>
  <c r="K16" i="19" s="1"/>
  <c r="G73" i="19"/>
  <c r="M73" i="19" s="1"/>
  <c r="W23" i="20"/>
  <c r="E60" i="19"/>
  <c r="K60" i="19" s="1"/>
  <c r="M59" i="19"/>
  <c r="E35" i="19"/>
  <c r="B50" i="19"/>
  <c r="P48" i="19"/>
  <c r="Q48" i="19" s="1"/>
  <c r="F39" i="19"/>
  <c r="E55" i="19"/>
  <c r="K55" i="19" s="1"/>
  <c r="AF10" i="20"/>
  <c r="K108" i="19"/>
  <c r="M40" i="19"/>
  <c r="E85" i="19"/>
  <c r="K85" i="19" s="1"/>
  <c r="AK112" i="20" a="1"/>
  <c r="AK112" i="20" s="1"/>
  <c r="AK110" i="20" a="1"/>
  <c r="AK110" i="20" s="1"/>
  <c r="AK113" i="20" a="1"/>
  <c r="AK113" i="20" s="1"/>
  <c r="AS23" i="20" s="1"/>
  <c r="C16" i="19" s="1"/>
  <c r="AK111" i="20" a="1"/>
  <c r="AK111" i="20" s="1"/>
  <c r="AK109" i="20" a="1"/>
  <c r="AK109" i="20" s="1"/>
  <c r="AK108" i="20" a="1"/>
  <c r="AK108" i="20" s="1"/>
  <c r="AK98" i="20" a="1"/>
  <c r="AK98" i="20" s="1"/>
  <c r="AK88" i="20" a="1"/>
  <c r="AK88" i="20" s="1"/>
  <c r="AK87" i="20" a="1"/>
  <c r="AK87" i="20" s="1"/>
  <c r="AK67" i="20" a="1"/>
  <c r="AK67" i="20" s="1"/>
  <c r="AK53" i="20" a="1"/>
  <c r="AK53" i="20" s="1"/>
  <c r="AK45" i="20" a="1"/>
  <c r="AK45" i="20" s="1"/>
  <c r="AK79" i="20" a="1"/>
  <c r="AK79" i="20" s="1"/>
  <c r="AK61" i="20" a="1"/>
  <c r="AK61" i="20" s="1"/>
  <c r="AK107" i="20" a="1"/>
  <c r="AK107" i="20" s="1"/>
  <c r="AK97" i="20" a="1"/>
  <c r="AK97" i="20" s="1"/>
  <c r="AS34" i="20" s="1"/>
  <c r="C27" i="19" s="1"/>
  <c r="AK86" i="20" a="1"/>
  <c r="AK86" i="20" s="1"/>
  <c r="AK73" i="20" a="1"/>
  <c r="AK73" i="20" s="1"/>
  <c r="AS31" i="20" s="1"/>
  <c r="C24" i="19" s="1"/>
  <c r="AK55" i="20" a="1"/>
  <c r="AK55" i="20" s="1"/>
  <c r="AK48" i="20" a="1"/>
  <c r="AK48" i="20" s="1"/>
  <c r="AK40" i="20" a="1"/>
  <c r="AK40" i="20" s="1"/>
  <c r="AK66" i="20" a="1"/>
  <c r="AK66" i="20" s="1"/>
  <c r="AK60" i="20" a="1"/>
  <c r="AK60" i="20" s="1"/>
  <c r="AK27" i="20" a="1"/>
  <c r="AK27" i="20" s="1"/>
  <c r="AK106" i="20" a="1"/>
  <c r="AK106" i="20" s="1"/>
  <c r="AK96" i="20" a="1"/>
  <c r="AK96" i="20" s="1"/>
  <c r="AK95" i="20" a="1"/>
  <c r="AK95" i="20" s="1"/>
  <c r="AK85" i="20" a="1"/>
  <c r="AK85" i="20" s="1"/>
  <c r="AK84" i="20" a="1"/>
  <c r="AK84" i="20" s="1"/>
  <c r="AK78" i="20" a="1"/>
  <c r="AK78" i="20" s="1"/>
  <c r="AK72" i="20" a="1"/>
  <c r="AK72" i="20" s="1"/>
  <c r="AK51" i="20" a="1"/>
  <c r="AK51" i="20" s="1"/>
  <c r="AK43" i="20" a="1"/>
  <c r="AK43" i="20" s="1"/>
  <c r="AK59" i="20" a="1"/>
  <c r="AK59" i="20" s="1"/>
  <c r="AK105" i="20" a="1"/>
  <c r="AK105" i="20" s="1"/>
  <c r="AS35" i="20" s="1"/>
  <c r="C28" i="19" s="1"/>
  <c r="H95" i="19" s="1"/>
  <c r="AK94" i="20" a="1"/>
  <c r="AK94" i="20" s="1"/>
  <c r="AK83" i="20" a="1"/>
  <c r="AK83" i="20" s="1"/>
  <c r="AK71" i="20" a="1"/>
  <c r="AK71" i="20" s="1"/>
  <c r="AK46" i="20" a="1"/>
  <c r="AK46" i="20" s="1"/>
  <c r="AK77" i="20" a="1"/>
  <c r="AK77" i="20" s="1"/>
  <c r="AK65" i="20" a="1"/>
  <c r="AK65" i="20" s="1"/>
  <c r="AS30" i="20" s="1"/>
  <c r="C23" i="19" s="1"/>
  <c r="AK104" i="20" a="1"/>
  <c r="AK104" i="20" s="1"/>
  <c r="AK103" i="20" a="1"/>
  <c r="AK103" i="20" s="1"/>
  <c r="AK93" i="20" a="1"/>
  <c r="AK93" i="20" s="1"/>
  <c r="AK92" i="20" a="1"/>
  <c r="AK92" i="20" s="1"/>
  <c r="AK58" i="20" a="1"/>
  <c r="AK58" i="20" s="1"/>
  <c r="AK49" i="20" a="1"/>
  <c r="AK49" i="20" s="1"/>
  <c r="AS28" i="20" s="1"/>
  <c r="C21" i="19" s="1"/>
  <c r="AK41" i="20" a="1"/>
  <c r="AK41" i="20" s="1"/>
  <c r="AS27" i="20" s="1"/>
  <c r="C20" i="19" s="1"/>
  <c r="AK82" i="20" a="1"/>
  <c r="AK82" i="20" s="1"/>
  <c r="AK76" i="20" a="1"/>
  <c r="AK76" i="20" s="1"/>
  <c r="AK70" i="20" a="1"/>
  <c r="AK70" i="20" s="1"/>
  <c r="AK64" i="20" a="1"/>
  <c r="AK64" i="20" s="1"/>
  <c r="AK54" i="20" a="1"/>
  <c r="AK54" i="20" s="1"/>
  <c r="AK102" i="20" a="1"/>
  <c r="AK102" i="20" s="1"/>
  <c r="AK91" i="20" a="1"/>
  <c r="AK91" i="20" s="1"/>
  <c r="AK52" i="20" a="1"/>
  <c r="AK52" i="20" s="1"/>
  <c r="AK44" i="20" a="1"/>
  <c r="AK44" i="20" s="1"/>
  <c r="AK36" i="20" a="1"/>
  <c r="AK36" i="20" s="1"/>
  <c r="AK75" i="20" a="1"/>
  <c r="AK75" i="20" s="1"/>
  <c r="AK63" i="20" a="1"/>
  <c r="AK63" i="20" s="1"/>
  <c r="AK35" i="20" a="1"/>
  <c r="AK35" i="20" s="1"/>
  <c r="AK81" i="20" a="1"/>
  <c r="AK81" i="20" s="1"/>
  <c r="AS32" i="20" s="1"/>
  <c r="C25" i="19" s="1"/>
  <c r="AK33" i="20" a="1"/>
  <c r="AK33" i="20" s="1"/>
  <c r="AS26" i="20" s="1"/>
  <c r="C19" i="19" s="1"/>
  <c r="AK80" i="20" a="1"/>
  <c r="AK80" i="20" s="1"/>
  <c r="AK69" i="20" a="1"/>
  <c r="AK69" i="20" s="1"/>
  <c r="AK47" i="20" a="1"/>
  <c r="AK47" i="20" s="1"/>
  <c r="AK37" i="20" a="1"/>
  <c r="AK37" i="20" s="1"/>
  <c r="AK23" i="20" a="1"/>
  <c r="AK23" i="20" s="1"/>
  <c r="AK15" i="20" a="1"/>
  <c r="AK15" i="20" s="1"/>
  <c r="AK100" i="20" a="1"/>
  <c r="AK100" i="20" s="1"/>
  <c r="AK16" i="20" a="1"/>
  <c r="AK16" i="20" s="1"/>
  <c r="AK17" i="20" a="1"/>
  <c r="AK17" i="20" s="1"/>
  <c r="AS24" i="20" s="1"/>
  <c r="C17" i="19" s="1"/>
  <c r="AK31" i="20" a="1"/>
  <c r="AK31" i="20" s="1"/>
  <c r="AK18" i="20" a="1"/>
  <c r="AK18" i="20" s="1"/>
  <c r="AK19" i="20" a="1"/>
  <c r="AK19" i="20" s="1"/>
  <c r="AK56" i="20" a="1"/>
  <c r="AK56" i="20" s="1"/>
  <c r="AK28" i="20" a="1"/>
  <c r="AK28" i="20" s="1"/>
  <c r="AK20" i="20" a="1"/>
  <c r="AK20" i="20" s="1"/>
  <c r="AK89" i="20" a="1"/>
  <c r="AK89" i="20" s="1"/>
  <c r="AS33" i="20" s="1"/>
  <c r="C26" i="19" s="1"/>
  <c r="AK68" i="20" a="1"/>
  <c r="AK68" i="20" s="1"/>
  <c r="AK101" i="20" a="1"/>
  <c r="AK101" i="20" s="1"/>
  <c r="AK21" i="20" a="1"/>
  <c r="AK21" i="20" s="1"/>
  <c r="AK99" i="20" a="1"/>
  <c r="AK99" i="20" s="1"/>
  <c r="AK74" i="20" a="1"/>
  <c r="AK74" i="20" s="1"/>
  <c r="AK57" i="20" a="1"/>
  <c r="AK57" i="20" s="1"/>
  <c r="AS29" i="20" s="1"/>
  <c r="C22" i="19" s="1"/>
  <c r="AK50" i="20" a="1"/>
  <c r="AK50" i="20" s="1"/>
  <c r="AK32" i="20" a="1"/>
  <c r="AK32" i="20" s="1"/>
  <c r="AK29" i="20" a="1"/>
  <c r="AK29" i="20" s="1"/>
  <c r="AK62" i="20" a="1"/>
  <c r="AK62" i="20" s="1"/>
  <c r="AK34" i="20" a="1"/>
  <c r="AK34" i="20" s="1"/>
  <c r="AK10" i="20" a="1"/>
  <c r="AK10" i="20" s="1"/>
  <c r="AK42" i="20" a="1"/>
  <c r="AK42" i="20" s="1"/>
  <c r="AK25" i="20" a="1"/>
  <c r="AK25" i="20" s="1"/>
  <c r="AS25" i="20" s="1"/>
  <c r="C18" i="19" s="1"/>
  <c r="AK26" i="20" a="1"/>
  <c r="AK26" i="20" s="1"/>
  <c r="AK38" i="20" a="1"/>
  <c r="AK38" i="20" s="1"/>
  <c r="AK11" i="20" a="1"/>
  <c r="AK11" i="20" s="1"/>
  <c r="AK22" i="20" a="1"/>
  <c r="AK22" i="20" s="1"/>
  <c r="AK14" i="20" a="1"/>
  <c r="AK14" i="20" s="1"/>
  <c r="AK90" i="20" a="1"/>
  <c r="AK90" i="20" s="1"/>
  <c r="AK13" i="20" a="1"/>
  <c r="AK13" i="20" s="1"/>
  <c r="AK39" i="20" a="1"/>
  <c r="AK39" i="20" s="1"/>
  <c r="AK24" i="20" a="1"/>
  <c r="AK24" i="20" s="1"/>
  <c r="AK30" i="20" a="1"/>
  <c r="AK30" i="20" s="1"/>
  <c r="AK12" i="20" a="1"/>
  <c r="AK12" i="20" s="1"/>
  <c r="M75" i="19"/>
  <c r="G53" i="19"/>
  <c r="M69" i="19"/>
  <c r="AC10" i="20"/>
  <c r="F84" i="19"/>
  <c r="M122" i="19"/>
  <c r="F34" i="19"/>
  <c r="P38" i="19"/>
  <c r="Q38" i="19" s="1"/>
  <c r="B40" i="19"/>
  <c r="E45" i="19"/>
  <c r="M54" i="19"/>
  <c r="E65" i="19"/>
  <c r="K65" i="19" s="1"/>
  <c r="B80" i="19"/>
  <c r="P78" i="19"/>
  <c r="Q78" i="19" s="1"/>
  <c r="G83" i="19"/>
  <c r="M83" i="19" s="1"/>
  <c r="F64" i="19"/>
  <c r="P49" i="19"/>
  <c r="Q49" i="19" s="1"/>
  <c r="E40" i="19"/>
  <c r="K40" i="19" s="1"/>
  <c r="C29" i="17"/>
  <c r="M79" i="17"/>
  <c r="B45" i="17"/>
  <c r="P43" i="17"/>
  <c r="Q43" i="17" s="1"/>
  <c r="E85" i="17"/>
  <c r="B55" i="17"/>
  <c r="P53" i="17"/>
  <c r="Q53" i="17" s="1"/>
  <c r="M69" i="17"/>
  <c r="M80" i="17"/>
  <c r="P79" i="17"/>
  <c r="Q79" i="17" s="1"/>
  <c r="M85" i="17"/>
  <c r="P44" i="17"/>
  <c r="Q44" i="17" s="1"/>
  <c r="F64" i="17"/>
  <c r="W23" i="18"/>
  <c r="M70" i="17"/>
  <c r="P74" i="17"/>
  <c r="Q74" i="17" s="1"/>
  <c r="B60" i="17"/>
  <c r="P58" i="17"/>
  <c r="Q58" i="17" s="1"/>
  <c r="AK107" i="18" a="1"/>
  <c r="AK107" i="18" s="1"/>
  <c r="AK99" i="18" a="1"/>
  <c r="AK99" i="18" s="1"/>
  <c r="AK110" i="18" a="1"/>
  <c r="AK110" i="18" s="1"/>
  <c r="AK102" i="18" a="1"/>
  <c r="AK102" i="18" s="1"/>
  <c r="AK94" i="18" a="1"/>
  <c r="AK94" i="18" s="1"/>
  <c r="AK113" i="18" a="1"/>
  <c r="AK113" i="18" s="1"/>
  <c r="AS23" i="18" s="1"/>
  <c r="C16" i="17" s="1"/>
  <c r="AK105" i="18" a="1"/>
  <c r="AK105" i="18" s="1"/>
  <c r="AS35" i="18" s="1"/>
  <c r="C28" i="17" s="1"/>
  <c r="H125" i="17" s="1"/>
  <c r="AK97" i="18" a="1"/>
  <c r="AK97" i="18" s="1"/>
  <c r="AS34" i="18" s="1"/>
  <c r="C27" i="17" s="1"/>
  <c r="AK89" i="18" a="1"/>
  <c r="AK89" i="18" s="1"/>
  <c r="AS33" i="18" s="1"/>
  <c r="C26" i="17" s="1"/>
  <c r="AK81" i="18" a="1"/>
  <c r="AK81" i="18" s="1"/>
  <c r="AS32" i="18" s="1"/>
  <c r="C25" i="17" s="1"/>
  <c r="AK108" i="18" a="1"/>
  <c r="AK108" i="18" s="1"/>
  <c r="AK100" i="18" a="1"/>
  <c r="AK100" i="18" s="1"/>
  <c r="AK111" i="18" a="1"/>
  <c r="AK111" i="18" s="1"/>
  <c r="AK103" i="18" a="1"/>
  <c r="AK103" i="18" s="1"/>
  <c r="AK95" i="18" a="1"/>
  <c r="AK95" i="18" s="1"/>
  <c r="AK106" i="18" a="1"/>
  <c r="AK106" i="18" s="1"/>
  <c r="AK98" i="18" a="1"/>
  <c r="AK98" i="18" s="1"/>
  <c r="AK90" i="18" a="1"/>
  <c r="AK90" i="18" s="1"/>
  <c r="AK82" i="18" a="1"/>
  <c r="AK82" i="18" s="1"/>
  <c r="AK76" i="18" a="1"/>
  <c r="AK76" i="18" s="1"/>
  <c r="AK65" i="18" a="1"/>
  <c r="AK65" i="18" s="1"/>
  <c r="AS30" i="18" s="1"/>
  <c r="C23" i="17" s="1"/>
  <c r="AK64" i="18" a="1"/>
  <c r="AK64" i="18" s="1"/>
  <c r="AK63" i="18" a="1"/>
  <c r="AK63" i="18" s="1"/>
  <c r="AK62" i="18" a="1"/>
  <c r="AK62" i="18" s="1"/>
  <c r="AK61" i="18" a="1"/>
  <c r="AK61" i="18" s="1"/>
  <c r="AK60" i="18" a="1"/>
  <c r="AK60" i="18" s="1"/>
  <c r="AK59" i="18" a="1"/>
  <c r="AK59" i="18" s="1"/>
  <c r="AK58" i="18" a="1"/>
  <c r="AK58" i="18" s="1"/>
  <c r="AK112" i="18" a="1"/>
  <c r="AK112" i="18" s="1"/>
  <c r="AK77" i="18" a="1"/>
  <c r="AK77" i="18" s="1"/>
  <c r="AK57" i="18" a="1"/>
  <c r="AK57" i="18" s="1"/>
  <c r="AS29" i="18" s="1"/>
  <c r="C22" i="17" s="1"/>
  <c r="AK56" i="18" a="1"/>
  <c r="AK56" i="18" s="1"/>
  <c r="AK55" i="18" a="1"/>
  <c r="AK55" i="18" s="1"/>
  <c r="AK54" i="18" a="1"/>
  <c r="AK54" i="18" s="1"/>
  <c r="AK52" i="18" a="1"/>
  <c r="AK52" i="18" s="1"/>
  <c r="AK92" i="18" a="1"/>
  <c r="AK92" i="18" s="1"/>
  <c r="AK86" i="18" a="1"/>
  <c r="AK86" i="18" s="1"/>
  <c r="AK78" i="18" a="1"/>
  <c r="AK78" i="18" s="1"/>
  <c r="AK35" i="18" a="1"/>
  <c r="AK35" i="18" s="1"/>
  <c r="AK18" i="18" a="1"/>
  <c r="AK18" i="18" s="1"/>
  <c r="AK47" i="18" a="1"/>
  <c r="AK47" i="18" s="1"/>
  <c r="AK87" i="18" a="1"/>
  <c r="AK87" i="18" s="1"/>
  <c r="AK80" i="18" a="1"/>
  <c r="AK80" i="18" s="1"/>
  <c r="AK79" i="18" a="1"/>
  <c r="AK79" i="18" s="1"/>
  <c r="AK33" i="18" a="1"/>
  <c r="AK33" i="18" s="1"/>
  <c r="AS26" i="18" s="1"/>
  <c r="C19" i="17" s="1"/>
  <c r="AK50" i="18" a="1"/>
  <c r="AK50" i="18" s="1"/>
  <c r="AK42" i="18" a="1"/>
  <c r="AK42" i="18" s="1"/>
  <c r="AK32" i="18" a="1"/>
  <c r="AK32" i="18" s="1"/>
  <c r="AK104" i="18" a="1"/>
  <c r="AK104" i="18" s="1"/>
  <c r="AK93" i="18" a="1"/>
  <c r="AK93" i="18" s="1"/>
  <c r="AK88" i="18" a="1"/>
  <c r="AK88" i="18" s="1"/>
  <c r="AK31" i="18" a="1"/>
  <c r="AK31" i="18" s="1"/>
  <c r="AK53" i="18" a="1"/>
  <c r="AK53" i="18" s="1"/>
  <c r="AK45" i="18" a="1"/>
  <c r="AK45" i="18" s="1"/>
  <c r="AK37" i="18" a="1"/>
  <c r="AK37" i="18" s="1"/>
  <c r="AK30" i="18" a="1"/>
  <c r="AK30" i="18" s="1"/>
  <c r="AK29" i="18" a="1"/>
  <c r="AK29" i="18" s="1"/>
  <c r="AK48" i="18" a="1"/>
  <c r="AK48" i="18" s="1"/>
  <c r="AK40" i="18" a="1"/>
  <c r="AK40" i="18" s="1"/>
  <c r="AK28" i="18" a="1"/>
  <c r="AK28" i="18" s="1"/>
  <c r="AK109" i="18" a="1"/>
  <c r="AK109" i="18" s="1"/>
  <c r="AK83" i="18" a="1"/>
  <c r="AK83" i="18" s="1"/>
  <c r="AK27" i="18" a="1"/>
  <c r="AK27" i="18" s="1"/>
  <c r="AK96" i="18" a="1"/>
  <c r="AK96" i="18" s="1"/>
  <c r="AK51" i="18" a="1"/>
  <c r="AK51" i="18" s="1"/>
  <c r="AK91" i="18" a="1"/>
  <c r="AK91" i="18" s="1"/>
  <c r="AK84" i="18" a="1"/>
  <c r="AK84" i="18" s="1"/>
  <c r="AK70" i="18" a="1"/>
  <c r="AK70" i="18" s="1"/>
  <c r="AK24" i="18" a="1"/>
  <c r="AK24" i="18" s="1"/>
  <c r="AK75" i="18" a="1"/>
  <c r="AK75" i="18" s="1"/>
  <c r="AK68" i="18" a="1"/>
  <c r="AK68" i="18" s="1"/>
  <c r="AK38" i="18" a="1"/>
  <c r="AK38" i="18" s="1"/>
  <c r="AK36" i="18" a="1"/>
  <c r="AK36" i="18" s="1"/>
  <c r="AK34" i="18" a="1"/>
  <c r="AK34" i="18" s="1"/>
  <c r="AK101" i="18" a="1"/>
  <c r="AK101" i="18" s="1"/>
  <c r="AK85" i="18" a="1"/>
  <c r="AK85" i="18" s="1"/>
  <c r="AK66" i="18" a="1"/>
  <c r="AK66" i="18" s="1"/>
  <c r="AK26" i="18" a="1"/>
  <c r="AK26" i="18" s="1"/>
  <c r="AK22" i="18" a="1"/>
  <c r="AK22" i="18" s="1"/>
  <c r="AK73" i="18" a="1"/>
  <c r="AK73" i="18" s="1"/>
  <c r="AS31" i="18" s="1"/>
  <c r="C24" i="17" s="1"/>
  <c r="AK71" i="18" a="1"/>
  <c r="AK71" i="18" s="1"/>
  <c r="AK43" i="18" a="1"/>
  <c r="AK43" i="18" s="1"/>
  <c r="AK39" i="18" a="1"/>
  <c r="AK39" i="18" s="1"/>
  <c r="AK49" i="18" a="1"/>
  <c r="AK49" i="18" s="1"/>
  <c r="AS28" i="18" s="1"/>
  <c r="C21" i="17" s="1"/>
  <c r="AK41" i="18" a="1"/>
  <c r="AK41" i="18" s="1"/>
  <c r="AS27" i="18" s="1"/>
  <c r="C20" i="17" s="1"/>
  <c r="AK23" i="18" a="1"/>
  <c r="AK23" i="18" s="1"/>
  <c r="AK69" i="18" a="1"/>
  <c r="AK69" i="18" s="1"/>
  <c r="AK19" i="18" a="1"/>
  <c r="AK19" i="18" s="1"/>
  <c r="AK25" i="18" a="1"/>
  <c r="AK25" i="18" s="1"/>
  <c r="AS25" i="18" s="1"/>
  <c r="C18" i="17" s="1"/>
  <c r="AK21" i="18" a="1"/>
  <c r="AK21" i="18" s="1"/>
  <c r="AK74" i="18" a="1"/>
  <c r="AK74" i="18" s="1"/>
  <c r="AK67" i="18" a="1"/>
  <c r="AK67" i="18" s="1"/>
  <c r="AK46" i="18" a="1"/>
  <c r="AK46" i="18" s="1"/>
  <c r="AK14" i="18" a="1"/>
  <c r="AK14" i="18" s="1"/>
  <c r="AK13" i="18" a="1"/>
  <c r="AK13" i="18" s="1"/>
  <c r="AK72" i="18" a="1"/>
  <c r="AK72" i="18" s="1"/>
  <c r="AK20" i="18" a="1"/>
  <c r="AK20" i="18" s="1"/>
  <c r="AK15" i="18" a="1"/>
  <c r="AK15" i="18" s="1"/>
  <c r="AK44" i="18" a="1"/>
  <c r="AK44" i="18" s="1"/>
  <c r="AK12" i="18" a="1"/>
  <c r="AK12" i="18" s="1"/>
  <c r="AK17" i="18" a="1"/>
  <c r="AK17" i="18" s="1"/>
  <c r="AS24" i="18" s="1"/>
  <c r="C17" i="17" s="1"/>
  <c r="AK11" i="18" a="1"/>
  <c r="AK11" i="18" s="1"/>
  <c r="AK16" i="18" a="1"/>
  <c r="AK16" i="18" s="1"/>
  <c r="AK10" i="18" a="1"/>
  <c r="AK10" i="18" s="1"/>
  <c r="G83" i="17"/>
  <c r="P73" i="17"/>
  <c r="Q73" i="17" s="1"/>
  <c r="B75" i="17"/>
  <c r="O16" i="17"/>
  <c r="G29" i="17" s="1"/>
  <c r="F59" i="17"/>
  <c r="M75" i="17"/>
  <c r="H131" i="17"/>
  <c r="H121" i="17"/>
  <c r="M84" i="17"/>
  <c r="G53" i="17"/>
  <c r="F69" i="17"/>
  <c r="S23" i="18"/>
  <c r="L3" i="17"/>
  <c r="L16" i="17" s="1"/>
  <c r="D29" i="17" s="1"/>
  <c r="F79" i="17"/>
  <c r="G6" i="18"/>
  <c r="N6" i="18" s="1"/>
  <c r="F6" i="18"/>
  <c r="M6" i="18" s="1"/>
  <c r="B5" i="18"/>
  <c r="D6" i="18"/>
  <c r="K6" i="18" s="1"/>
  <c r="E6" i="18"/>
  <c r="L6" i="18" s="1"/>
  <c r="C6" i="18"/>
  <c r="J6" i="18" s="1"/>
  <c r="H6" i="18"/>
  <c r="O6" i="18" s="1"/>
  <c r="P49" i="17"/>
  <c r="Q49" i="17" s="1"/>
  <c r="R23" i="18"/>
  <c r="E55" i="17"/>
  <c r="B65" i="17"/>
  <c r="P63" i="17"/>
  <c r="Q63" i="17" s="1"/>
  <c r="P59" i="17"/>
  <c r="Q59" i="17" s="1"/>
  <c r="P50" i="17"/>
  <c r="Q50" i="17" s="1"/>
  <c r="G32" i="17"/>
  <c r="E34" i="17"/>
  <c r="E33" i="17"/>
  <c r="E32" i="17"/>
  <c r="P32" i="17"/>
  <c r="Q32" i="17" s="1"/>
  <c r="B34" i="17"/>
  <c r="D33" i="17"/>
  <c r="D35" i="17"/>
  <c r="C35" i="17"/>
  <c r="F32" i="17"/>
  <c r="C33" i="17"/>
  <c r="D32" i="17"/>
  <c r="C32" i="17"/>
  <c r="F33" i="17"/>
  <c r="B33" i="17"/>
  <c r="D34" i="17"/>
  <c r="C34" i="17"/>
  <c r="G58" i="17"/>
  <c r="AC10" i="18"/>
  <c r="P83" i="17"/>
  <c r="Q83" i="17" s="1"/>
  <c r="B85" i="17"/>
  <c r="M40" i="17"/>
  <c r="AO111" i="18" a="1"/>
  <c r="AO111" i="18" s="1"/>
  <c r="AO103" i="18" a="1"/>
  <c r="AO103" i="18" s="1"/>
  <c r="AO95" i="18" a="1"/>
  <c r="AO95" i="18" s="1"/>
  <c r="AO106" i="18" a="1"/>
  <c r="AO106" i="18" s="1"/>
  <c r="AO98" i="18" a="1"/>
  <c r="AO98" i="18" s="1"/>
  <c r="AO109" i="18" a="1"/>
  <c r="AO109" i="18" s="1"/>
  <c r="AO101" i="18" a="1"/>
  <c r="AO101" i="18" s="1"/>
  <c r="AO93" i="18" a="1"/>
  <c r="AO93" i="18" s="1"/>
  <c r="AO85" i="18" a="1"/>
  <c r="AO85" i="18" s="1"/>
  <c r="AO112" i="18" a="1"/>
  <c r="AO112" i="18" s="1"/>
  <c r="AO104" i="18" a="1"/>
  <c r="AO104" i="18" s="1"/>
  <c r="AO96" i="18" a="1"/>
  <c r="AO96" i="18" s="1"/>
  <c r="AO107" i="18" a="1"/>
  <c r="AO107" i="18" s="1"/>
  <c r="AO99" i="18" a="1"/>
  <c r="AO99" i="18" s="1"/>
  <c r="AO91" i="18" a="1"/>
  <c r="AO91" i="18" s="1"/>
  <c r="AO110" i="18" a="1"/>
  <c r="AO110" i="18" s="1"/>
  <c r="AO102" i="18" a="1"/>
  <c r="AO102" i="18" s="1"/>
  <c r="AO94" i="18" a="1"/>
  <c r="AO94" i="18" s="1"/>
  <c r="AO86" i="18" a="1"/>
  <c r="AO86" i="18" s="1"/>
  <c r="AO78" i="18" a="1"/>
  <c r="AO78" i="18" s="1"/>
  <c r="AO92" i="18" a="1"/>
  <c r="AO92" i="18" s="1"/>
  <c r="AO79" i="18" a="1"/>
  <c r="AO79" i="18" s="1"/>
  <c r="AO87" i="18" a="1"/>
  <c r="AO87" i="18" s="1"/>
  <c r="AO80" i="18" a="1"/>
  <c r="AO80" i="18" s="1"/>
  <c r="AO97" i="18" a="1"/>
  <c r="AO97" i="18" s="1"/>
  <c r="AW34" i="18" s="1"/>
  <c r="G27" i="17" s="1"/>
  <c r="L84" i="17" s="1"/>
  <c r="AO27" i="18" a="1"/>
  <c r="AO27" i="18" s="1"/>
  <c r="AO108" i="18" a="1"/>
  <c r="AO108" i="18" s="1"/>
  <c r="AO88" i="18" a="1"/>
  <c r="AO88" i="18" s="1"/>
  <c r="AO81" i="18" a="1"/>
  <c r="AO81" i="18" s="1"/>
  <c r="AW32" i="18" s="1"/>
  <c r="G25" i="17" s="1"/>
  <c r="AO51" i="18" a="1"/>
  <c r="AO51" i="18" s="1"/>
  <c r="AO25" i="18" a="1"/>
  <c r="AO25" i="18" s="1"/>
  <c r="AW25" i="18" s="1"/>
  <c r="G18" i="17" s="1"/>
  <c r="AO82" i="18" a="1"/>
  <c r="AO82" i="18" s="1"/>
  <c r="AO46" i="18" a="1"/>
  <c r="AO46" i="18" s="1"/>
  <c r="AO38" i="18" a="1"/>
  <c r="AO38" i="18" s="1"/>
  <c r="AO24" i="18" a="1"/>
  <c r="AO24" i="18" s="1"/>
  <c r="AO89" i="18" a="1"/>
  <c r="AO89" i="18" s="1"/>
  <c r="AW33" i="18" s="1"/>
  <c r="G26" i="17" s="1"/>
  <c r="AO23" i="18" a="1"/>
  <c r="AO23" i="18" s="1"/>
  <c r="AO83" i="18" a="1"/>
  <c r="AO83" i="18" s="1"/>
  <c r="AO49" i="18" a="1"/>
  <c r="AO49" i="18" s="1"/>
  <c r="AW28" i="18" s="1"/>
  <c r="G21" i="17" s="1"/>
  <c r="AO41" i="18" a="1"/>
  <c r="AO41" i="18" s="1"/>
  <c r="AW27" i="18" s="1"/>
  <c r="G20" i="17" s="1"/>
  <c r="AO113" i="18" a="1"/>
  <c r="AO113" i="18" s="1"/>
  <c r="AW23" i="18" s="1"/>
  <c r="G16" i="17" s="1"/>
  <c r="AO100" i="18" a="1"/>
  <c r="AO100" i="18" s="1"/>
  <c r="AO90" i="18" a="1"/>
  <c r="AO90" i="18" s="1"/>
  <c r="AO52" i="18" a="1"/>
  <c r="AO52" i="18" s="1"/>
  <c r="AO44" i="18" a="1"/>
  <c r="AO44" i="18" s="1"/>
  <c r="AO36" i="18" a="1"/>
  <c r="AO36" i="18" s="1"/>
  <c r="AO84" i="18" a="1"/>
  <c r="AO84" i="18" s="1"/>
  <c r="AO74" i="18" a="1"/>
  <c r="AO74" i="18" s="1"/>
  <c r="AO35" i="18" a="1"/>
  <c r="AO35" i="18" s="1"/>
  <c r="AO75" i="18" a="1"/>
  <c r="AO75" i="18" s="1"/>
  <c r="AO73" i="18" a="1"/>
  <c r="AO73" i="18" s="1"/>
  <c r="AW31" i="18" s="1"/>
  <c r="G24" i="17" s="1"/>
  <c r="AO72" i="18" a="1"/>
  <c r="AO72" i="18" s="1"/>
  <c r="AO71" i="18" a="1"/>
  <c r="AO71" i="18" s="1"/>
  <c r="AO70" i="18" a="1"/>
  <c r="AO70" i="18" s="1"/>
  <c r="AO69" i="18" a="1"/>
  <c r="AO69" i="18" s="1"/>
  <c r="AO68" i="18" a="1"/>
  <c r="AO68" i="18" s="1"/>
  <c r="AO67" i="18" a="1"/>
  <c r="AO67" i="18" s="1"/>
  <c r="AO66" i="18" a="1"/>
  <c r="AO66" i="18" s="1"/>
  <c r="AO47" i="18" a="1"/>
  <c r="AO47" i="18" s="1"/>
  <c r="AO105" i="18" a="1"/>
  <c r="AO105" i="18" s="1"/>
  <c r="AW35" i="18" s="1"/>
  <c r="G28" i="17" s="1"/>
  <c r="L91" i="17" s="1"/>
  <c r="AO57" i="18" a="1"/>
  <c r="AO57" i="18" s="1"/>
  <c r="AW29" i="18" s="1"/>
  <c r="G22" i="17" s="1"/>
  <c r="AO56" i="18" a="1"/>
  <c r="AO56" i="18" s="1"/>
  <c r="AO55" i="18" a="1"/>
  <c r="AO55" i="18" s="1"/>
  <c r="AO54" i="18" a="1"/>
  <c r="AO54" i="18" s="1"/>
  <c r="AO50" i="18" a="1"/>
  <c r="AO50" i="18" s="1"/>
  <c r="AO77" i="18" a="1"/>
  <c r="AO77" i="18" s="1"/>
  <c r="AO61" i="18" a="1"/>
  <c r="AO61" i="18" s="1"/>
  <c r="AO39" i="18" a="1"/>
  <c r="AO39" i="18" s="1"/>
  <c r="AO37" i="18" a="1"/>
  <c r="AO37" i="18" s="1"/>
  <c r="AO10" i="18" a="1"/>
  <c r="AO10" i="18" s="1"/>
  <c r="AO59" i="18" a="1"/>
  <c r="AO59" i="18" s="1"/>
  <c r="AO48" i="18" a="1"/>
  <c r="AO48" i="18" s="1"/>
  <c r="AO26" i="18" a="1"/>
  <c r="AO26" i="18" s="1"/>
  <c r="AO12" i="18" a="1"/>
  <c r="AO12" i="18" s="1"/>
  <c r="AO40" i="18" a="1"/>
  <c r="AO40" i="18" s="1"/>
  <c r="AO21" i="18" a="1"/>
  <c r="AO21" i="18" s="1"/>
  <c r="AO64" i="18" a="1"/>
  <c r="AO64" i="18" s="1"/>
  <c r="AO42" i="18" a="1"/>
  <c r="AO42" i="18" s="1"/>
  <c r="AO29" i="18" a="1"/>
  <c r="AO29" i="18" s="1"/>
  <c r="AO43" i="18" a="1"/>
  <c r="AO43" i="18" s="1"/>
  <c r="AO62" i="18" a="1"/>
  <c r="AO62" i="18" s="1"/>
  <c r="AO76" i="18" a="1"/>
  <c r="AO76" i="18" s="1"/>
  <c r="AO17" i="18" a="1"/>
  <c r="AO17" i="18" s="1"/>
  <c r="AW24" i="18" s="1"/>
  <c r="G17" i="17" s="1"/>
  <c r="AO60" i="18" a="1"/>
  <c r="AO60" i="18" s="1"/>
  <c r="AO28" i="18" a="1"/>
  <c r="AO28" i="18" s="1"/>
  <c r="AO45" i="18" a="1"/>
  <c r="AO45" i="18" s="1"/>
  <c r="AO58" i="18" a="1"/>
  <c r="AO58" i="18" s="1"/>
  <c r="AO53" i="18" a="1"/>
  <c r="AO53" i="18" s="1"/>
  <c r="AO20" i="18" a="1"/>
  <c r="AO20" i="18" s="1"/>
  <c r="AO34" i="18" a="1"/>
  <c r="AO34" i="18" s="1"/>
  <c r="AO63" i="18" a="1"/>
  <c r="AO63" i="18" s="1"/>
  <c r="AO22" i="18" a="1"/>
  <c r="AO22" i="18" s="1"/>
  <c r="AO15" i="18" a="1"/>
  <c r="AO15" i="18" s="1"/>
  <c r="AO30" i="18" a="1"/>
  <c r="AO30" i="18" s="1"/>
  <c r="AO65" i="18" a="1"/>
  <c r="AO65" i="18" s="1"/>
  <c r="AW30" i="18" s="1"/>
  <c r="G23" i="17" s="1"/>
  <c r="AO16" i="18" a="1"/>
  <c r="AO16" i="18" s="1"/>
  <c r="AO14" i="18" a="1"/>
  <c r="AO14" i="18" s="1"/>
  <c r="AO31" i="18" a="1"/>
  <c r="AO31" i="18" s="1"/>
  <c r="AO11" i="18" a="1"/>
  <c r="AO11" i="18" s="1"/>
  <c r="AO32" i="18" a="1"/>
  <c r="AO32" i="18" s="1"/>
  <c r="AO13" i="18" a="1"/>
  <c r="AO13" i="18" s="1"/>
  <c r="AO19" i="18" a="1"/>
  <c r="AO19" i="18" s="1"/>
  <c r="AO18" i="18" a="1"/>
  <c r="AO18" i="18" s="1"/>
  <c r="AO33" i="18" a="1"/>
  <c r="AO33" i="18" s="1"/>
  <c r="AW26" i="18" s="1"/>
  <c r="G19" i="17" s="1"/>
  <c r="L44" i="17" s="1"/>
  <c r="AP106" i="18" a="1"/>
  <c r="AP106" i="18" s="1"/>
  <c r="AP98" i="18" a="1"/>
  <c r="AP98" i="18" s="1"/>
  <c r="AP109" i="18" a="1"/>
  <c r="AP109" i="18" s="1"/>
  <c r="AP101" i="18" a="1"/>
  <c r="AP101" i="18" s="1"/>
  <c r="AP93" i="18" a="1"/>
  <c r="AP93" i="18" s="1"/>
  <c r="AP112" i="18" a="1"/>
  <c r="AP112" i="18" s="1"/>
  <c r="AP104" i="18" a="1"/>
  <c r="AP104" i="18" s="1"/>
  <c r="AP96" i="18" a="1"/>
  <c r="AP96" i="18" s="1"/>
  <c r="AP88" i="18" a="1"/>
  <c r="AP88" i="18" s="1"/>
  <c r="AP107" i="18" a="1"/>
  <c r="AP107" i="18" s="1"/>
  <c r="AP99" i="18" a="1"/>
  <c r="AP99" i="18" s="1"/>
  <c r="AP110" i="18" a="1"/>
  <c r="AP110" i="18" s="1"/>
  <c r="AP102" i="18" a="1"/>
  <c r="AP102" i="18" s="1"/>
  <c r="AP94" i="18" a="1"/>
  <c r="AP94" i="18" s="1"/>
  <c r="AP113" i="18" a="1"/>
  <c r="AP113" i="18" s="1"/>
  <c r="AX23" i="18" s="1"/>
  <c r="H16" i="17" s="1"/>
  <c r="AP105" i="18" a="1"/>
  <c r="AP105" i="18" s="1"/>
  <c r="AX35" i="18" s="1"/>
  <c r="H28" i="17" s="1"/>
  <c r="M90" i="17" s="1"/>
  <c r="AP97" i="18" a="1"/>
  <c r="AP97" i="18" s="1"/>
  <c r="AX34" i="18" s="1"/>
  <c r="H27" i="17" s="1"/>
  <c r="AP89" i="18" a="1"/>
  <c r="AP89" i="18" s="1"/>
  <c r="AX33" i="18" s="1"/>
  <c r="H26" i="17" s="1"/>
  <c r="AP81" i="18" a="1"/>
  <c r="AP81" i="18" s="1"/>
  <c r="AX32" i="18" s="1"/>
  <c r="H25" i="17" s="1"/>
  <c r="AP87" i="18" a="1"/>
  <c r="AP87" i="18" s="1"/>
  <c r="AP80" i="18" a="1"/>
  <c r="AP80" i="18" s="1"/>
  <c r="AP108" i="18" a="1"/>
  <c r="AP108" i="18" s="1"/>
  <c r="AP25" i="18" a="1"/>
  <c r="AP25" i="18" s="1"/>
  <c r="AX25" i="18" s="1"/>
  <c r="H18" i="17" s="1"/>
  <c r="AP95" i="18" a="1"/>
  <c r="AP95" i="18" s="1"/>
  <c r="AP46" i="18" a="1"/>
  <c r="AP46" i="18" s="1"/>
  <c r="AP82" i="18" a="1"/>
  <c r="AP82" i="18" s="1"/>
  <c r="AP23" i="18" a="1"/>
  <c r="AP23" i="18" s="1"/>
  <c r="AP49" i="18" a="1"/>
  <c r="AP49" i="18" s="1"/>
  <c r="AX28" i="18" s="1"/>
  <c r="H21" i="17" s="1"/>
  <c r="AP41" i="18" a="1"/>
  <c r="AP41" i="18" s="1"/>
  <c r="AX27" i="18" s="1"/>
  <c r="H20" i="17" s="1"/>
  <c r="M48" i="17" s="1"/>
  <c r="AP83" i="18" a="1"/>
  <c r="AP83" i="18" s="1"/>
  <c r="AP100" i="18" a="1"/>
  <c r="AP100" i="18" s="1"/>
  <c r="AP90" i="18" a="1"/>
  <c r="AP90" i="18" s="1"/>
  <c r="AP52" i="18" a="1"/>
  <c r="AP52" i="18" s="1"/>
  <c r="AP44" i="18" a="1"/>
  <c r="AP44" i="18" s="1"/>
  <c r="AP36" i="18" a="1"/>
  <c r="AP36" i="18" s="1"/>
  <c r="AP17" i="18" a="1"/>
  <c r="AP17" i="18" s="1"/>
  <c r="AX24" i="18" s="1"/>
  <c r="H17" i="17" s="1"/>
  <c r="AP35" i="18" a="1"/>
  <c r="AP35" i="18" s="1"/>
  <c r="AP111" i="18" a="1"/>
  <c r="AP111" i="18" s="1"/>
  <c r="AP84" i="18" a="1"/>
  <c r="AP84" i="18" s="1"/>
  <c r="AP74" i="18" a="1"/>
  <c r="AP74" i="18" s="1"/>
  <c r="AP47" i="18" a="1"/>
  <c r="AP47" i="18" s="1"/>
  <c r="AP39" i="18" a="1"/>
  <c r="AP39" i="18" s="1"/>
  <c r="AP34" i="18" a="1"/>
  <c r="AP34" i="18" s="1"/>
  <c r="AP91" i="18" a="1"/>
  <c r="AP91" i="18" s="1"/>
  <c r="AP75" i="18" a="1"/>
  <c r="AP75" i="18" s="1"/>
  <c r="AP73" i="18" a="1"/>
  <c r="AP73" i="18" s="1"/>
  <c r="AX31" i="18" s="1"/>
  <c r="H24" i="17" s="1"/>
  <c r="AP72" i="18" a="1"/>
  <c r="AP72" i="18" s="1"/>
  <c r="AP71" i="18" a="1"/>
  <c r="AP71" i="18" s="1"/>
  <c r="AP70" i="18" a="1"/>
  <c r="AP70" i="18" s="1"/>
  <c r="AP69" i="18" a="1"/>
  <c r="AP69" i="18" s="1"/>
  <c r="AP68" i="18" a="1"/>
  <c r="AP68" i="18" s="1"/>
  <c r="AP67" i="18" a="1"/>
  <c r="AP67" i="18" s="1"/>
  <c r="AP66" i="18" a="1"/>
  <c r="AP66" i="18" s="1"/>
  <c r="AP33" i="18" a="1"/>
  <c r="AP33" i="18" s="1"/>
  <c r="AX26" i="18" s="1"/>
  <c r="H19" i="17" s="1"/>
  <c r="AP76" i="18" a="1"/>
  <c r="AP76" i="18" s="1"/>
  <c r="AP65" i="18" a="1"/>
  <c r="AP65" i="18" s="1"/>
  <c r="AX30" i="18" s="1"/>
  <c r="H23" i="17" s="1"/>
  <c r="AP64" i="18" a="1"/>
  <c r="AP64" i="18" s="1"/>
  <c r="AP63" i="18" a="1"/>
  <c r="AP63" i="18" s="1"/>
  <c r="AP62" i="18" a="1"/>
  <c r="AP62" i="18" s="1"/>
  <c r="AP61" i="18" a="1"/>
  <c r="AP61" i="18" s="1"/>
  <c r="AP60" i="18" a="1"/>
  <c r="AP60" i="18" s="1"/>
  <c r="AP59" i="18" a="1"/>
  <c r="AP59" i="18" s="1"/>
  <c r="AP58" i="18" a="1"/>
  <c r="AP58" i="18" s="1"/>
  <c r="AP50" i="18" a="1"/>
  <c r="AP50" i="18" s="1"/>
  <c r="AP77" i="18" a="1"/>
  <c r="AP77" i="18" s="1"/>
  <c r="AP53" i="18" a="1"/>
  <c r="AP53" i="18" s="1"/>
  <c r="AP79" i="18" a="1"/>
  <c r="AP79" i="18" s="1"/>
  <c r="AP54" i="18" a="1"/>
  <c r="AP54" i="18" s="1"/>
  <c r="AP19" i="18" a="1"/>
  <c r="AP19" i="18" s="1"/>
  <c r="AP12" i="18" a="1"/>
  <c r="AP12" i="18" s="1"/>
  <c r="AP85" i="18" a="1"/>
  <c r="AP85" i="18" s="1"/>
  <c r="AP48" i="18" a="1"/>
  <c r="AP48" i="18" s="1"/>
  <c r="AP42" i="18" a="1"/>
  <c r="AP42" i="18" s="1"/>
  <c r="AP40" i="18" a="1"/>
  <c r="AP40" i="18" s="1"/>
  <c r="AP29" i="18" a="1"/>
  <c r="AP29" i="18" s="1"/>
  <c r="AP14" i="18" a="1"/>
  <c r="AP14" i="18" s="1"/>
  <c r="AP15" i="18" a="1"/>
  <c r="AP15" i="18" s="1"/>
  <c r="AP57" i="18" a="1"/>
  <c r="AP57" i="18" s="1"/>
  <c r="AX29" i="18" s="1"/>
  <c r="H22" i="17" s="1"/>
  <c r="AP43" i="18" a="1"/>
  <c r="AP43" i="18" s="1"/>
  <c r="AP103" i="18" a="1"/>
  <c r="AP103" i="18" s="1"/>
  <c r="AP78" i="18" a="1"/>
  <c r="AP78" i="18" s="1"/>
  <c r="AP55" i="18" a="1"/>
  <c r="AP55" i="18" s="1"/>
  <c r="AP28" i="18" a="1"/>
  <c r="AP28" i="18" s="1"/>
  <c r="AP45" i="18" a="1"/>
  <c r="AP45" i="18" s="1"/>
  <c r="AP20" i="18" a="1"/>
  <c r="AP20" i="18" s="1"/>
  <c r="AP86" i="18" a="1"/>
  <c r="AP86" i="18" s="1"/>
  <c r="AP18" i="18" a="1"/>
  <c r="AP18" i="18" s="1"/>
  <c r="AP51" i="18" a="1"/>
  <c r="AP51" i="18" s="1"/>
  <c r="AP22" i="18" a="1"/>
  <c r="AP22" i="18" s="1"/>
  <c r="AP38" i="18" a="1"/>
  <c r="AP38" i="18" s="1"/>
  <c r="AP30" i="18" a="1"/>
  <c r="AP30" i="18" s="1"/>
  <c r="AP24" i="18" a="1"/>
  <c r="AP24" i="18" s="1"/>
  <c r="AP92" i="18" a="1"/>
  <c r="AP92" i="18" s="1"/>
  <c r="AP31" i="18" a="1"/>
  <c r="AP31" i="18" s="1"/>
  <c r="AP21" i="18" a="1"/>
  <c r="AP21" i="18" s="1"/>
  <c r="AP37" i="18" a="1"/>
  <c r="AP37" i="18" s="1"/>
  <c r="AP32" i="18" a="1"/>
  <c r="AP32" i="18" s="1"/>
  <c r="AP13" i="18" a="1"/>
  <c r="AP13" i="18" s="1"/>
  <c r="AP27" i="18" a="1"/>
  <c r="AP27" i="18" s="1"/>
  <c r="AP56" i="18" a="1"/>
  <c r="AP56" i="18" s="1"/>
  <c r="AP16" i="18" a="1"/>
  <c r="AP16" i="18" s="1"/>
  <c r="AP26" i="18" a="1"/>
  <c r="AP26" i="18" s="1"/>
  <c r="AP10" i="18" a="1"/>
  <c r="AP10" i="18" s="1"/>
  <c r="AP11" i="18" a="1"/>
  <c r="AP11" i="18" s="1"/>
  <c r="D40" i="17"/>
  <c r="E39" i="17"/>
  <c r="F38" i="17"/>
  <c r="F37" i="17"/>
  <c r="C39" i="17"/>
  <c r="D38" i="17"/>
  <c r="D37" i="17"/>
  <c r="C40" i="17"/>
  <c r="G37" i="17"/>
  <c r="E37" i="17"/>
  <c r="C37" i="17"/>
  <c r="E38" i="17"/>
  <c r="C38" i="17"/>
  <c r="B38" i="17"/>
  <c r="D39" i="17"/>
  <c r="B39" i="17"/>
  <c r="P37" i="17"/>
  <c r="Q37" i="17" s="1"/>
  <c r="H119" i="17"/>
  <c r="L114" i="17"/>
  <c r="M121" i="17"/>
  <c r="L105" i="17"/>
  <c r="P78" i="17"/>
  <c r="Q78" i="17" s="1"/>
  <c r="B80" i="17"/>
  <c r="G43" i="17"/>
  <c r="M43" i="17" s="1"/>
  <c r="P68" i="17"/>
  <c r="Q68" i="17" s="1"/>
  <c r="B70" i="17"/>
  <c r="M122" i="17"/>
  <c r="H116" i="17"/>
  <c r="L125" i="17"/>
  <c r="M117" i="17"/>
  <c r="M55" i="17"/>
  <c r="F54" i="17"/>
  <c r="L54" i="17" s="1"/>
  <c r="E45" i="17"/>
  <c r="M120" i="17"/>
  <c r="L128" i="17"/>
  <c r="M60" i="17"/>
  <c r="G68" i="17"/>
  <c r="M68" i="17" s="1"/>
  <c r="P64" i="17"/>
  <c r="Q64" i="17" s="1"/>
  <c r="E60" i="17"/>
  <c r="M34" i="17"/>
  <c r="L127" i="17"/>
  <c r="M101" i="17"/>
  <c r="E70" i="17"/>
  <c r="E65" i="17"/>
  <c r="F49" i="17"/>
  <c r="L49" i="17" s="1"/>
  <c r="AN108" i="18" a="1"/>
  <c r="AN108" i="18" s="1"/>
  <c r="AN100" i="18" a="1"/>
  <c r="AN100" i="18" s="1"/>
  <c r="AN111" i="18" a="1"/>
  <c r="AN111" i="18" s="1"/>
  <c r="AN103" i="18" a="1"/>
  <c r="AN103" i="18" s="1"/>
  <c r="AN95" i="18" a="1"/>
  <c r="AN95" i="18" s="1"/>
  <c r="AN106" i="18" a="1"/>
  <c r="AN106" i="18" s="1"/>
  <c r="AN98" i="18" a="1"/>
  <c r="AN98" i="18" s="1"/>
  <c r="AN90" i="18" a="1"/>
  <c r="AN90" i="18" s="1"/>
  <c r="AN82" i="18" a="1"/>
  <c r="AN82" i="18" s="1"/>
  <c r="AN109" i="18" a="1"/>
  <c r="AN109" i="18" s="1"/>
  <c r="AN101" i="18" a="1"/>
  <c r="AN101" i="18" s="1"/>
  <c r="AN93" i="18" a="1"/>
  <c r="AN93" i="18" s="1"/>
  <c r="AN112" i="18" a="1"/>
  <c r="AN112" i="18" s="1"/>
  <c r="AN104" i="18" a="1"/>
  <c r="AN104" i="18" s="1"/>
  <c r="AN96" i="18" a="1"/>
  <c r="AN96" i="18" s="1"/>
  <c r="AN107" i="18" a="1"/>
  <c r="AN107" i="18" s="1"/>
  <c r="AN99" i="18" a="1"/>
  <c r="AN99" i="18" s="1"/>
  <c r="AN91" i="18" a="1"/>
  <c r="AN91" i="18" s="1"/>
  <c r="AN83" i="18" a="1"/>
  <c r="AN83" i="18" s="1"/>
  <c r="AN75" i="18" a="1"/>
  <c r="AN75" i="18" s="1"/>
  <c r="AN92" i="18" a="1"/>
  <c r="AN92" i="18" s="1"/>
  <c r="AN79" i="18" a="1"/>
  <c r="AN79" i="18" s="1"/>
  <c r="AN53" i="18" a="1"/>
  <c r="AN53" i="18" s="1"/>
  <c r="AN110" i="18" a="1"/>
  <c r="AN110" i="18" s="1"/>
  <c r="AN87" i="18" a="1"/>
  <c r="AN87" i="18" s="1"/>
  <c r="AN80" i="18" a="1"/>
  <c r="AN80" i="18" s="1"/>
  <c r="AN29" i="18" a="1"/>
  <c r="AN29" i="18" s="1"/>
  <c r="AN21" i="18" a="1"/>
  <c r="AN21" i="18" s="1"/>
  <c r="AN97" i="18" a="1"/>
  <c r="AN97" i="18" s="1"/>
  <c r="AV34" i="18" s="1"/>
  <c r="F27" i="17" s="1"/>
  <c r="AN48" i="18" a="1"/>
  <c r="AN48" i="18" s="1"/>
  <c r="AN88" i="18" a="1"/>
  <c r="AN88" i="18" s="1"/>
  <c r="AN81" i="18" a="1"/>
  <c r="AN81" i="18" s="1"/>
  <c r="AV32" i="18" s="1"/>
  <c r="F25" i="17" s="1"/>
  <c r="AN27" i="18" a="1"/>
  <c r="AN27" i="18" s="1"/>
  <c r="AN51" i="18" a="1"/>
  <c r="AN51" i="18" s="1"/>
  <c r="AN43" i="18" a="1"/>
  <c r="AN43" i="18" s="1"/>
  <c r="AN26" i="18" a="1"/>
  <c r="AN26" i="18" s="1"/>
  <c r="AN22" i="18" a="1"/>
  <c r="AN22" i="18" s="1"/>
  <c r="AN25" i="18" a="1"/>
  <c r="AN25" i="18" s="1"/>
  <c r="AV25" i="18" s="1"/>
  <c r="F18" i="17" s="1"/>
  <c r="AN102" i="18" a="1"/>
  <c r="AN102" i="18" s="1"/>
  <c r="AN89" i="18" a="1"/>
  <c r="AN89" i="18" s="1"/>
  <c r="AV33" i="18" s="1"/>
  <c r="F26" i="17" s="1"/>
  <c r="K80" i="17" s="1"/>
  <c r="AN46" i="18" a="1"/>
  <c r="AN46" i="18" s="1"/>
  <c r="AN38" i="18" a="1"/>
  <c r="AN38" i="18" s="1"/>
  <c r="AN24" i="18" a="1"/>
  <c r="AN24" i="18" s="1"/>
  <c r="AN23" i="18" a="1"/>
  <c r="AN23" i="18" s="1"/>
  <c r="AN113" i="18" a="1"/>
  <c r="AN113" i="18" s="1"/>
  <c r="AV23" i="18" s="1"/>
  <c r="F16" i="17" s="1"/>
  <c r="AN49" i="18" a="1"/>
  <c r="AN49" i="18" s="1"/>
  <c r="AV28" i="18" s="1"/>
  <c r="F21" i="17" s="1"/>
  <c r="AN41" i="18" a="1"/>
  <c r="AN41" i="18" s="1"/>
  <c r="AV27" i="18" s="1"/>
  <c r="F20" i="17" s="1"/>
  <c r="K50" i="17" s="1"/>
  <c r="AN84" i="18" a="1"/>
  <c r="AN84" i="18" s="1"/>
  <c r="AN74" i="18" a="1"/>
  <c r="AN74" i="18" s="1"/>
  <c r="AN52" i="18" a="1"/>
  <c r="AN52" i="18" s="1"/>
  <c r="AN85" i="18" a="1"/>
  <c r="AN85" i="18" s="1"/>
  <c r="AN76" i="18" a="1"/>
  <c r="AN76" i="18" s="1"/>
  <c r="AN65" i="18" a="1"/>
  <c r="AN65" i="18" s="1"/>
  <c r="AV30" i="18" s="1"/>
  <c r="F23" i="17" s="1"/>
  <c r="AN64" i="18" a="1"/>
  <c r="AN64" i="18" s="1"/>
  <c r="AN63" i="18" a="1"/>
  <c r="AN63" i="18" s="1"/>
  <c r="AN62" i="18" a="1"/>
  <c r="AN62" i="18" s="1"/>
  <c r="AN61" i="18" a="1"/>
  <c r="AN61" i="18" s="1"/>
  <c r="AN60" i="18" a="1"/>
  <c r="AN60" i="18" s="1"/>
  <c r="AN59" i="18" a="1"/>
  <c r="AN59" i="18" s="1"/>
  <c r="AN58" i="18" a="1"/>
  <c r="AN58" i="18" s="1"/>
  <c r="AN94" i="18" a="1"/>
  <c r="AN94" i="18" s="1"/>
  <c r="AN68" i="18" a="1"/>
  <c r="AN68" i="18" s="1"/>
  <c r="AN77" i="18" a="1"/>
  <c r="AN77" i="18" s="1"/>
  <c r="AN54" i="18" a="1"/>
  <c r="AN54" i="18" s="1"/>
  <c r="AN66" i="18" a="1"/>
  <c r="AN66" i="18" s="1"/>
  <c r="AN37" i="18" a="1"/>
  <c r="AN37" i="18" s="1"/>
  <c r="AN73" i="18" a="1"/>
  <c r="AN73" i="18" s="1"/>
  <c r="AV31" i="18" s="1"/>
  <c r="F24" i="17" s="1"/>
  <c r="AN39" i="18" a="1"/>
  <c r="AN39" i="18" s="1"/>
  <c r="AN10" i="18" a="1"/>
  <c r="AN10" i="18" s="1"/>
  <c r="AN30" i="18" a="1"/>
  <c r="AN30" i="18" s="1"/>
  <c r="AN19" i="18" a="1"/>
  <c r="AN19" i="18" s="1"/>
  <c r="AN71" i="18" a="1"/>
  <c r="AN71" i="18" s="1"/>
  <c r="AN40" i="18" a="1"/>
  <c r="AN40" i="18" s="1"/>
  <c r="AN57" i="18" a="1"/>
  <c r="AN57" i="18" s="1"/>
  <c r="AV29" i="18" s="1"/>
  <c r="F22" i="17" s="1"/>
  <c r="AN69" i="18" a="1"/>
  <c r="AN69" i="18" s="1"/>
  <c r="AN44" i="18" a="1"/>
  <c r="AN44" i="18" s="1"/>
  <c r="AN42" i="18" a="1"/>
  <c r="AN42" i="18" s="1"/>
  <c r="AN78" i="18" a="1"/>
  <c r="AN78" i="18" s="1"/>
  <c r="AN55" i="18" a="1"/>
  <c r="AN55" i="18" s="1"/>
  <c r="AN15" i="18" a="1"/>
  <c r="AN15" i="18" s="1"/>
  <c r="AN105" i="18" a="1"/>
  <c r="AN105" i="18" s="1"/>
  <c r="AV35" i="18" s="1"/>
  <c r="F28" i="17" s="1"/>
  <c r="K108" i="17" s="1"/>
  <c r="AN67" i="18" a="1"/>
  <c r="AN67" i="18" s="1"/>
  <c r="AN28" i="18" a="1"/>
  <c r="AN28" i="18" s="1"/>
  <c r="AN17" i="18" a="1"/>
  <c r="AN17" i="18" s="1"/>
  <c r="AV24" i="18" s="1"/>
  <c r="F17" i="17" s="1"/>
  <c r="AN86" i="18" a="1"/>
  <c r="AN86" i="18" s="1"/>
  <c r="AN50" i="18" a="1"/>
  <c r="AN50" i="18" s="1"/>
  <c r="AN45" i="18" a="1"/>
  <c r="AN45" i="18" s="1"/>
  <c r="AN20" i="18" a="1"/>
  <c r="AN20" i="18" s="1"/>
  <c r="AN56" i="18" a="1"/>
  <c r="AN56" i="18" s="1"/>
  <c r="AN36" i="18" a="1"/>
  <c r="AN36" i="18" s="1"/>
  <c r="AN33" i="18" a="1"/>
  <c r="AN33" i="18" s="1"/>
  <c r="AV26" i="18" s="1"/>
  <c r="F19" i="17" s="1"/>
  <c r="AN70" i="18" a="1"/>
  <c r="AN70" i="18" s="1"/>
  <c r="AN12" i="18" a="1"/>
  <c r="AN12" i="18" s="1"/>
  <c r="AN72" i="18" a="1"/>
  <c r="AN72" i="18" s="1"/>
  <c r="AN34" i="18" a="1"/>
  <c r="AN34" i="18" s="1"/>
  <c r="AN16" i="18" a="1"/>
  <c r="AN16" i="18" s="1"/>
  <c r="AN31" i="18" a="1"/>
  <c r="AN31" i="18" s="1"/>
  <c r="AN18" i="18" a="1"/>
  <c r="AN18" i="18" s="1"/>
  <c r="AN35" i="18" a="1"/>
  <c r="AN35" i="18" s="1"/>
  <c r="AN11" i="18" a="1"/>
  <c r="AN11" i="18" s="1"/>
  <c r="AN13" i="18" a="1"/>
  <c r="AN13" i="18" s="1"/>
  <c r="AN47" i="18" a="1"/>
  <c r="AN47" i="18" s="1"/>
  <c r="AN32" i="18" a="1"/>
  <c r="AN32" i="18" s="1"/>
  <c r="AN14" i="18" a="1"/>
  <c r="AN14" i="18" s="1"/>
  <c r="M35" i="17"/>
  <c r="M116" i="17"/>
  <c r="M114" i="17"/>
  <c r="H110" i="17"/>
  <c r="M74" i="17"/>
  <c r="L74" i="17"/>
  <c r="P54" i="17"/>
  <c r="Q54" i="17" s="1"/>
  <c r="P69" i="17"/>
  <c r="Q69" i="17" s="1"/>
  <c r="M73" i="17"/>
  <c r="AM113" i="18" a="1"/>
  <c r="AM113" i="18" s="1"/>
  <c r="AU23" i="18" s="1"/>
  <c r="E16" i="17" s="1"/>
  <c r="AM105" i="18" a="1"/>
  <c r="AM105" i="18" s="1"/>
  <c r="AU35" i="18" s="1"/>
  <c r="E28" i="17" s="1"/>
  <c r="J127" i="17" s="1"/>
  <c r="AM97" i="18" a="1"/>
  <c r="AM97" i="18" s="1"/>
  <c r="AU34" i="18" s="1"/>
  <c r="E27" i="17" s="1"/>
  <c r="AM108" i="18" a="1"/>
  <c r="AM108" i="18" s="1"/>
  <c r="AM100" i="18" a="1"/>
  <c r="AM100" i="18" s="1"/>
  <c r="AM92" i="18" a="1"/>
  <c r="AM92" i="18" s="1"/>
  <c r="AM111" i="18" a="1"/>
  <c r="AM111" i="18" s="1"/>
  <c r="AM103" i="18" a="1"/>
  <c r="AM103" i="18" s="1"/>
  <c r="AM95" i="18" a="1"/>
  <c r="AM95" i="18" s="1"/>
  <c r="AM87" i="18" a="1"/>
  <c r="AM87" i="18" s="1"/>
  <c r="AM106" i="18" a="1"/>
  <c r="AM106" i="18" s="1"/>
  <c r="AM98" i="18" a="1"/>
  <c r="AM98" i="18" s="1"/>
  <c r="AM109" i="18" a="1"/>
  <c r="AM109" i="18" s="1"/>
  <c r="AM101" i="18" a="1"/>
  <c r="AM101" i="18" s="1"/>
  <c r="AM93" i="18" a="1"/>
  <c r="AM93" i="18" s="1"/>
  <c r="AM112" i="18" a="1"/>
  <c r="AM112" i="18" s="1"/>
  <c r="AM104" i="18" a="1"/>
  <c r="AM104" i="18" s="1"/>
  <c r="AM96" i="18" a="1"/>
  <c r="AM96" i="18" s="1"/>
  <c r="AM88" i="18" a="1"/>
  <c r="AM88" i="18" s="1"/>
  <c r="AM80" i="18" a="1"/>
  <c r="AM80" i="18" s="1"/>
  <c r="AM99" i="18" a="1"/>
  <c r="AM99" i="18" s="1"/>
  <c r="AM86" i="18" a="1"/>
  <c r="AM86" i="18" s="1"/>
  <c r="AM78" i="18" a="1"/>
  <c r="AM78" i="18" s="1"/>
  <c r="AM77" i="18" a="1"/>
  <c r="AM77" i="18" s="1"/>
  <c r="AM33" i="18" a="1"/>
  <c r="AM33" i="18" s="1"/>
  <c r="AU26" i="18" s="1"/>
  <c r="E19" i="17" s="1"/>
  <c r="AM79" i="18" a="1"/>
  <c r="AM79" i="18" s="1"/>
  <c r="AM31" i="18" a="1"/>
  <c r="AM31" i="18" s="1"/>
  <c r="AM110" i="18" a="1"/>
  <c r="AM110" i="18" s="1"/>
  <c r="AM53" i="18" a="1"/>
  <c r="AM53" i="18" s="1"/>
  <c r="AM29" i="18" a="1"/>
  <c r="AM29" i="18" s="1"/>
  <c r="AM81" i="18" a="1"/>
  <c r="AM81" i="18" s="1"/>
  <c r="AU32" i="18" s="1"/>
  <c r="E25" i="17" s="1"/>
  <c r="AM48" i="18" a="1"/>
  <c r="AM48" i="18" s="1"/>
  <c r="AM40" i="18" a="1"/>
  <c r="AM40" i="18" s="1"/>
  <c r="AM28" i="18" a="1"/>
  <c r="AM28" i="18" s="1"/>
  <c r="AM82" i="18" a="1"/>
  <c r="AM82" i="18" s="1"/>
  <c r="AM27" i="18" a="1"/>
  <c r="AM27" i="18" s="1"/>
  <c r="AM51" i="18" a="1"/>
  <c r="AM51" i="18" s="1"/>
  <c r="AM43" i="18" a="1"/>
  <c r="AM43" i="18" s="1"/>
  <c r="AM26" i="18" a="1"/>
  <c r="AM26" i="18" s="1"/>
  <c r="AM22" i="18" a="1"/>
  <c r="AM22" i="18" s="1"/>
  <c r="AM102" i="18" a="1"/>
  <c r="AM102" i="18" s="1"/>
  <c r="AM89" i="18" a="1"/>
  <c r="AM89" i="18" s="1"/>
  <c r="AU33" i="18" s="1"/>
  <c r="E26" i="17" s="1"/>
  <c r="AM83" i="18" a="1"/>
  <c r="AM83" i="18" s="1"/>
  <c r="AM25" i="18" a="1"/>
  <c r="AM25" i="18" s="1"/>
  <c r="AU25" i="18" s="1"/>
  <c r="E18" i="17" s="1"/>
  <c r="AM90" i="18" a="1"/>
  <c r="AM90" i="18" s="1"/>
  <c r="AM46" i="18" a="1"/>
  <c r="AM46" i="18" s="1"/>
  <c r="AM38" i="18" a="1"/>
  <c r="AM38" i="18" s="1"/>
  <c r="AM24" i="18" a="1"/>
  <c r="AM24" i="18" s="1"/>
  <c r="AM23" i="18" a="1"/>
  <c r="AM23" i="18" s="1"/>
  <c r="AM107" i="18" a="1"/>
  <c r="AM107" i="18" s="1"/>
  <c r="AM91" i="18" a="1"/>
  <c r="AM91" i="18" s="1"/>
  <c r="AM49" i="18" a="1"/>
  <c r="AM49" i="18" s="1"/>
  <c r="AU28" i="18" s="1"/>
  <c r="E21" i="17" s="1"/>
  <c r="AM94" i="18" a="1"/>
  <c r="AM94" i="18" s="1"/>
  <c r="AM73" i="18" a="1"/>
  <c r="AM73" i="18" s="1"/>
  <c r="AU31" i="18" s="1"/>
  <c r="E24" i="17" s="1"/>
  <c r="AM72" i="18" a="1"/>
  <c r="AM72" i="18" s="1"/>
  <c r="AM71" i="18" a="1"/>
  <c r="AM71" i="18" s="1"/>
  <c r="AM70" i="18" a="1"/>
  <c r="AM70" i="18" s="1"/>
  <c r="AM69" i="18" a="1"/>
  <c r="AM69" i="18" s="1"/>
  <c r="AM68" i="18" a="1"/>
  <c r="AM68" i="18" s="1"/>
  <c r="AM67" i="18" a="1"/>
  <c r="AM67" i="18" s="1"/>
  <c r="AM66" i="18" a="1"/>
  <c r="AM66" i="18" s="1"/>
  <c r="AM52" i="18" a="1"/>
  <c r="AM52" i="18" s="1"/>
  <c r="AM56" i="18" a="1"/>
  <c r="AM56" i="18" s="1"/>
  <c r="AM36" i="18" a="1"/>
  <c r="AM36" i="18" s="1"/>
  <c r="AM75" i="18" a="1"/>
  <c r="AM75" i="18" s="1"/>
  <c r="AM61" i="18" a="1"/>
  <c r="AM61" i="18" s="1"/>
  <c r="AM47" i="18" a="1"/>
  <c r="AM47" i="18" s="1"/>
  <c r="AM35" i="18" a="1"/>
  <c r="AM35" i="18" s="1"/>
  <c r="AM34" i="18" a="1"/>
  <c r="AM34" i="18" s="1"/>
  <c r="AM54" i="18" a="1"/>
  <c r="AM54" i="18" s="1"/>
  <c r="AM85" i="18" a="1"/>
  <c r="AM85" i="18" s="1"/>
  <c r="AM59" i="18" a="1"/>
  <c r="AM59" i="18" s="1"/>
  <c r="AM37" i="18" a="1"/>
  <c r="AM37" i="18" s="1"/>
  <c r="AM41" i="18" a="1"/>
  <c r="AM41" i="18" s="1"/>
  <c r="AU27" i="18" s="1"/>
  <c r="E20" i="17" s="1"/>
  <c r="AM39" i="18" a="1"/>
  <c r="AM39" i="18" s="1"/>
  <c r="AM30" i="18" a="1"/>
  <c r="AM30" i="18" s="1"/>
  <c r="AM64" i="18" a="1"/>
  <c r="AM64" i="18" s="1"/>
  <c r="AM57" i="18" a="1"/>
  <c r="AM57" i="18" s="1"/>
  <c r="AU29" i="18" s="1"/>
  <c r="E22" i="17" s="1"/>
  <c r="AM62" i="18" a="1"/>
  <c r="AM62" i="18" s="1"/>
  <c r="AM42" i="18" a="1"/>
  <c r="AM42" i="18" s="1"/>
  <c r="AM76" i="18" a="1"/>
  <c r="AM76" i="18" s="1"/>
  <c r="AM55" i="18" a="1"/>
  <c r="AM55" i="18" s="1"/>
  <c r="AM44" i="18" a="1"/>
  <c r="AM44" i="18" s="1"/>
  <c r="AM74" i="18" a="1"/>
  <c r="AM74" i="18" s="1"/>
  <c r="AM60" i="18" a="1"/>
  <c r="AM60" i="18" s="1"/>
  <c r="AM15" i="18" a="1"/>
  <c r="AM15" i="18" s="1"/>
  <c r="AM84" i="18" a="1"/>
  <c r="AM84" i="18" s="1"/>
  <c r="AM16" i="18" a="1"/>
  <c r="AM16" i="18" s="1"/>
  <c r="AM65" i="18" a="1"/>
  <c r="AM65" i="18" s="1"/>
  <c r="AU30" i="18" s="1"/>
  <c r="E23" i="17" s="1"/>
  <c r="AM58" i="18" a="1"/>
  <c r="AM58" i="18" s="1"/>
  <c r="AM63" i="18" a="1"/>
  <c r="AM63" i="18" s="1"/>
  <c r="AM20" i="18" a="1"/>
  <c r="AM20" i="18" s="1"/>
  <c r="AM12" i="18" a="1"/>
  <c r="AM12" i="18" s="1"/>
  <c r="AM17" i="18" a="1"/>
  <c r="AM17" i="18" s="1"/>
  <c r="AU24" i="18" s="1"/>
  <c r="E17" i="17" s="1"/>
  <c r="AM50" i="18" a="1"/>
  <c r="AM50" i="18" s="1"/>
  <c r="AM21" i="18" a="1"/>
  <c r="AM21" i="18" s="1"/>
  <c r="AM14" i="18" a="1"/>
  <c r="AM14" i="18" s="1"/>
  <c r="AM18" i="18" a="1"/>
  <c r="AM18" i="18" s="1"/>
  <c r="AM32" i="18" a="1"/>
  <c r="AM32" i="18" s="1"/>
  <c r="AM11" i="18" a="1"/>
  <c r="AM11" i="18" s="1"/>
  <c r="AM13" i="18" a="1"/>
  <c r="AM13" i="18" s="1"/>
  <c r="AM19" i="18" a="1"/>
  <c r="AM19" i="18" s="1"/>
  <c r="AM45" i="18" a="1"/>
  <c r="AM45" i="18" s="1"/>
  <c r="AM10" i="18" a="1"/>
  <c r="AM10" i="18" s="1"/>
  <c r="L116" i="17"/>
  <c r="E75" i="17"/>
  <c r="K75" i="17" s="1"/>
  <c r="L97" i="17"/>
  <c r="G78" i="17"/>
  <c r="M78" i="17" s="1"/>
  <c r="L124" i="17"/>
  <c r="L123" i="17"/>
  <c r="P84" i="17"/>
  <c r="Q84" i="17" s="1"/>
  <c r="M49" i="17"/>
  <c r="G63" i="17"/>
  <c r="R23" i="14"/>
  <c r="W23" i="14"/>
  <c r="AC10" i="13"/>
  <c r="S23" i="13"/>
  <c r="W23" i="12"/>
  <c r="V23" i="10"/>
  <c r="R23" i="10"/>
  <c r="U23" i="10"/>
  <c r="W23" i="9"/>
  <c r="R23" i="9"/>
  <c r="U23" i="9"/>
  <c r="V23" i="9"/>
  <c r="S23" i="9"/>
  <c r="W23" i="8"/>
  <c r="V23" i="8"/>
  <c r="AJ14" i="14"/>
  <c r="J9" i="14"/>
  <c r="AB10" i="14"/>
  <c r="AJ25" i="14"/>
  <c r="E7" i="14"/>
  <c r="L7" i="14" s="1"/>
  <c r="B6" i="14"/>
  <c r="F7" i="14"/>
  <c r="M7" i="14" s="1"/>
  <c r="D7" i="14"/>
  <c r="K7" i="14" s="1"/>
  <c r="C7" i="14"/>
  <c r="J7" i="14" s="1"/>
  <c r="H7" i="14"/>
  <c r="O7" i="14" s="1"/>
  <c r="G7" i="14"/>
  <c r="N7" i="14" s="1"/>
  <c r="V23" i="14"/>
  <c r="Y13" i="14"/>
  <c r="T23" i="14"/>
  <c r="S23" i="14"/>
  <c r="M9" i="11"/>
  <c r="AE10" i="11"/>
  <c r="W23" i="13"/>
  <c r="R23" i="11"/>
  <c r="R24" i="11" s="1"/>
  <c r="Y14" i="10"/>
  <c r="H6" i="12"/>
  <c r="O6" i="12" s="1"/>
  <c r="B5" i="12"/>
  <c r="G6" i="12"/>
  <c r="N6" i="12" s="1"/>
  <c r="F6" i="12"/>
  <c r="M6" i="12" s="1"/>
  <c r="E6" i="12"/>
  <c r="L6" i="12" s="1"/>
  <c r="D6" i="12"/>
  <c r="K6" i="12" s="1"/>
  <c r="C6" i="12"/>
  <c r="J6" i="12" s="1"/>
  <c r="S23" i="11"/>
  <c r="S24" i="11" s="1"/>
  <c r="T23" i="11"/>
  <c r="T24" i="11" s="1"/>
  <c r="S23" i="12"/>
  <c r="V23" i="11"/>
  <c r="U23" i="11"/>
  <c r="U24" i="11" s="1"/>
  <c r="W23" i="11"/>
  <c r="AJ12" i="10"/>
  <c r="AB10" i="13"/>
  <c r="AF10" i="11"/>
  <c r="AJ12" i="11"/>
  <c r="AJ22" i="12"/>
  <c r="W23" i="10"/>
  <c r="AJ12" i="12"/>
  <c r="U23" i="13"/>
  <c r="L9" i="13"/>
  <c r="AD10" i="13"/>
  <c r="Y18" i="12"/>
  <c r="T23" i="13"/>
  <c r="R23" i="12"/>
  <c r="H7" i="13"/>
  <c r="O7" i="13" s="1"/>
  <c r="C7" i="13"/>
  <c r="J7" i="13" s="1"/>
  <c r="G7" i="13"/>
  <c r="N7" i="13" s="1"/>
  <c r="F7" i="13"/>
  <c r="M7" i="13" s="1"/>
  <c r="E7" i="13"/>
  <c r="L7" i="13" s="1"/>
  <c r="D7" i="13"/>
  <c r="K7" i="13" s="1"/>
  <c r="B6" i="13"/>
  <c r="H6" i="10"/>
  <c r="O6" i="10" s="1"/>
  <c r="G6" i="10"/>
  <c r="N6" i="10" s="1"/>
  <c r="F6" i="10"/>
  <c r="M6" i="10" s="1"/>
  <c r="E6" i="10"/>
  <c r="L6" i="10" s="1"/>
  <c r="B5" i="10"/>
  <c r="D6" i="10"/>
  <c r="K6" i="10" s="1"/>
  <c r="C6" i="10"/>
  <c r="J6" i="10" s="1"/>
  <c r="R23" i="13"/>
  <c r="J9" i="11"/>
  <c r="AB10" i="11"/>
  <c r="V23" i="13"/>
  <c r="Y15" i="13"/>
  <c r="H8" i="11"/>
  <c r="O8" i="11" s="1"/>
  <c r="G8" i="11"/>
  <c r="N8" i="11" s="1"/>
  <c r="E8" i="11"/>
  <c r="L8" i="11" s="1"/>
  <c r="D8" i="11"/>
  <c r="K8" i="11" s="1"/>
  <c r="C8" i="11"/>
  <c r="J8" i="11" s="1"/>
  <c r="F8" i="11"/>
  <c r="M8" i="11" s="1"/>
  <c r="B7" i="11"/>
  <c r="R23" i="8"/>
  <c r="AC10" i="8"/>
  <c r="K9" i="8"/>
  <c r="AD10" i="8"/>
  <c r="U23" i="8"/>
  <c r="T23" i="8"/>
  <c r="F7" i="8"/>
  <c r="M7" i="8" s="1"/>
  <c r="E7" i="8"/>
  <c r="L7" i="8" s="1"/>
  <c r="B6" i="8"/>
  <c r="D7" i="8"/>
  <c r="K7" i="8" s="1"/>
  <c r="H7" i="8"/>
  <c r="O7" i="8" s="1"/>
  <c r="G7" i="8"/>
  <c r="N7" i="8" s="1"/>
  <c r="C7" i="8"/>
  <c r="J7" i="8" s="1"/>
  <c r="AJ15" i="8"/>
  <c r="AJ12" i="9"/>
  <c r="Y16" i="9"/>
  <c r="F5" i="9"/>
  <c r="M5" i="9" s="1"/>
  <c r="E5" i="9"/>
  <c r="L5" i="9" s="1"/>
  <c r="B4" i="9"/>
  <c r="C5" i="9"/>
  <c r="J5" i="9" s="1"/>
  <c r="H5" i="9"/>
  <c r="O5" i="9" s="1"/>
  <c r="G5" i="9"/>
  <c r="N5" i="9" s="1"/>
  <c r="D5" i="9"/>
  <c r="K5" i="9" s="1"/>
  <c r="AE10" i="8"/>
  <c r="J9" i="8"/>
  <c r="AB10" i="8"/>
  <c r="S23" i="8"/>
  <c r="R3" i="6"/>
  <c r="AB68" i="6" s="1"/>
  <c r="D117" i="5"/>
  <c r="E93" i="5"/>
  <c r="F105" i="5"/>
  <c r="F104" i="5"/>
  <c r="E106" i="5"/>
  <c r="F116" i="5"/>
  <c r="G115" i="5"/>
  <c r="AC58" i="6"/>
  <c r="AC55" i="6"/>
  <c r="AC60" i="6"/>
  <c r="AC64" i="6"/>
  <c r="AC82" i="6"/>
  <c r="AC13" i="6"/>
  <c r="AC117" i="6"/>
  <c r="AC73" i="6"/>
  <c r="AC77" i="6"/>
  <c r="AC18" i="6"/>
  <c r="AC123" i="6"/>
  <c r="AC95" i="6"/>
  <c r="AC19" i="6"/>
  <c r="AC127" i="6"/>
  <c r="AC23" i="6"/>
  <c r="AC32" i="6"/>
  <c r="AC41" i="6"/>
  <c r="AC45" i="6"/>
  <c r="AG120" i="6"/>
  <c r="AG87" i="6"/>
  <c r="AF90" i="6"/>
  <c r="AE49" i="6"/>
  <c r="AF49" i="6"/>
  <c r="AF122" i="6"/>
  <c r="AG46" i="6"/>
  <c r="AG27" i="6"/>
  <c r="AF28" i="6"/>
  <c r="AG28" i="6"/>
  <c r="AF87" i="6"/>
  <c r="AE120" i="6"/>
  <c r="AE128" i="6"/>
  <c r="AE108" i="6"/>
  <c r="AE36" i="6"/>
  <c r="AE26" i="6"/>
  <c r="AE58" i="6"/>
  <c r="AE41" i="6"/>
  <c r="AE91" i="6"/>
  <c r="AE117" i="6"/>
  <c r="AE60" i="6"/>
  <c r="AE54" i="6"/>
  <c r="AE27" i="6"/>
  <c r="AE19" i="6"/>
  <c r="AE106" i="6"/>
  <c r="AE95" i="6"/>
  <c r="AE85" i="6"/>
  <c r="AE127" i="6"/>
  <c r="AE73" i="6"/>
  <c r="AE67" i="6"/>
  <c r="AE35" i="6"/>
  <c r="AE116" i="6"/>
  <c r="AE50" i="6"/>
  <c r="AE32" i="6"/>
  <c r="AE123" i="6"/>
  <c r="AE64" i="6"/>
  <c r="AE23" i="6"/>
  <c r="AE14" i="6"/>
  <c r="AE81" i="6"/>
  <c r="AE133" i="6"/>
  <c r="AE112" i="6"/>
  <c r="AE71" i="6"/>
  <c r="AD135" i="6"/>
  <c r="AD97" i="6"/>
  <c r="AD68" i="6"/>
  <c r="AD46" i="6"/>
  <c r="AD127" i="6"/>
  <c r="AD82" i="6"/>
  <c r="AD73" i="6"/>
  <c r="AD67" i="6"/>
  <c r="AD58" i="6"/>
  <c r="AD31" i="6"/>
  <c r="AD128" i="6"/>
  <c r="AD108" i="6"/>
  <c r="AD36" i="6"/>
  <c r="AD117" i="6"/>
  <c r="AD60" i="6"/>
  <c r="AD54" i="6"/>
  <c r="AD27" i="6"/>
  <c r="AD19" i="6"/>
  <c r="AD106" i="6"/>
  <c r="AD95" i="6"/>
  <c r="AD85" i="6"/>
  <c r="AD116" i="6"/>
  <c r="AD50" i="6"/>
  <c r="AD41" i="6"/>
  <c r="AD32" i="6"/>
  <c r="AD123" i="6"/>
  <c r="AD91" i="6"/>
  <c r="AD64" i="6"/>
  <c r="AD23" i="6"/>
  <c r="AD14" i="6"/>
  <c r="AD81" i="6"/>
  <c r="AD133" i="6"/>
  <c r="AD112" i="6"/>
  <c r="AE69" i="6"/>
  <c r="AG54" i="6"/>
  <c r="AG69" i="6"/>
  <c r="AF97" i="6"/>
  <c r="AF131" i="6"/>
  <c r="AD13" i="6"/>
  <c r="AD55" i="6"/>
  <c r="AD71" i="6"/>
  <c r="AG97" i="6"/>
  <c r="AG131" i="6"/>
  <c r="AE13" i="6"/>
  <c r="AF36" i="6"/>
  <c r="AE55" i="6"/>
  <c r="AD100" i="6"/>
  <c r="AD132" i="6"/>
  <c r="AF13" i="6"/>
  <c r="AG36" i="6"/>
  <c r="AE56" i="6"/>
  <c r="AE100" i="6"/>
  <c r="AF37" i="6"/>
  <c r="AD77" i="6"/>
  <c r="AF108" i="6"/>
  <c r="AG37" i="6"/>
  <c r="AE77" i="6"/>
  <c r="AD110" i="6"/>
  <c r="AG19" i="6"/>
  <c r="AF40" i="6"/>
  <c r="AG60" i="6"/>
  <c r="AF77" i="6"/>
  <c r="AF111" i="6"/>
  <c r="AD22" i="6"/>
  <c r="AD63" i="6"/>
  <c r="AG77" i="6"/>
  <c r="AG111" i="6"/>
  <c r="AE22" i="6"/>
  <c r="AE63" i="6"/>
  <c r="AF22" i="6"/>
  <c r="AE46" i="6"/>
  <c r="AD87" i="6"/>
  <c r="AE68" i="6"/>
  <c r="AF60" i="6"/>
  <c r="AF54" i="6"/>
  <c r="AF27" i="6"/>
  <c r="AF19" i="6"/>
  <c r="AF95" i="6"/>
  <c r="AF44" i="6"/>
  <c r="AF35" i="6"/>
  <c r="AF116" i="6"/>
  <c r="AF59" i="6"/>
  <c r="AF42" i="6"/>
  <c r="AF41" i="6"/>
  <c r="AF123" i="6"/>
  <c r="AF91" i="6"/>
  <c r="AF72" i="6"/>
  <c r="AF56" i="6"/>
  <c r="AF86" i="6"/>
  <c r="AF76" i="6"/>
  <c r="AF106" i="6"/>
  <c r="AF85" i="6"/>
  <c r="AF127" i="6"/>
  <c r="AF73" i="6"/>
  <c r="AF67" i="6"/>
  <c r="AF51" i="6"/>
  <c r="AF26" i="6"/>
  <c r="AF105" i="6"/>
  <c r="AF50" i="6"/>
  <c r="AF32" i="6"/>
  <c r="AF17" i="6"/>
  <c r="AF64" i="6"/>
  <c r="AF23" i="6"/>
  <c r="AF101" i="6"/>
  <c r="AF81" i="6"/>
  <c r="AF133" i="6"/>
  <c r="AF112" i="6"/>
  <c r="AF71" i="6"/>
  <c r="AF100" i="6"/>
  <c r="AG115" i="6"/>
  <c r="AG118" i="6"/>
  <c r="AG86" i="6"/>
  <c r="AG76" i="6"/>
  <c r="AG51" i="6"/>
  <c r="AG26" i="6"/>
  <c r="AG105" i="6"/>
  <c r="AG50" i="6"/>
  <c r="AG32" i="6"/>
  <c r="AG17" i="6"/>
  <c r="AG64" i="6"/>
  <c r="AG23" i="6"/>
  <c r="AG72" i="6"/>
  <c r="AG15" i="6"/>
  <c r="AG133" i="6"/>
  <c r="AG49" i="6"/>
  <c r="AG40" i="6"/>
  <c r="AG95" i="6"/>
  <c r="AG127" i="6"/>
  <c r="AG73" i="6"/>
  <c r="AG67" i="6"/>
  <c r="AG44" i="6"/>
  <c r="AG35" i="6"/>
  <c r="AG116" i="6"/>
  <c r="AG59" i="6"/>
  <c r="AG42" i="6"/>
  <c r="AG91" i="6"/>
  <c r="AG101" i="6"/>
  <c r="AG81" i="6"/>
  <c r="AG112" i="6"/>
  <c r="AG100" i="6"/>
  <c r="AG56" i="6"/>
  <c r="AG90" i="6"/>
  <c r="AG13" i="6"/>
  <c r="AG122" i="6"/>
  <c r="AF30" i="6"/>
  <c r="AF69" i="6"/>
  <c r="AE97" i="6"/>
  <c r="AF128" i="6"/>
  <c r="AG30" i="6"/>
  <c r="AG22" i="6"/>
  <c r="AF46" i="6"/>
  <c r="AG63" i="6"/>
  <c r="AE87" i="6"/>
  <c r="AD121" i="6"/>
  <c r="AB77" i="6"/>
  <c r="AB64" i="6"/>
  <c r="AB41" i="6"/>
  <c r="AB82" i="6"/>
  <c r="AB46" i="6"/>
  <c r="AB106" i="6"/>
  <c r="AC132" i="6"/>
  <c r="AC133" i="6"/>
  <c r="AC100" i="6"/>
  <c r="AC97" i="6"/>
  <c r="AC83" i="6"/>
  <c r="AC66" i="6"/>
  <c r="AC35" i="6"/>
  <c r="AC69" i="6"/>
  <c r="AC11" i="6"/>
  <c r="AC86" i="6"/>
  <c r="AC72" i="6"/>
  <c r="AC42" i="6"/>
  <c r="AC28" i="6"/>
  <c r="AC75" i="6"/>
  <c r="AD83" i="6"/>
  <c r="AD102" i="6"/>
  <c r="AD33" i="6"/>
  <c r="AD92" i="6"/>
  <c r="AC113" i="6"/>
  <c r="AD119" i="6"/>
  <c r="AC130" i="6"/>
  <c r="AF118" i="6"/>
  <c r="AF93" i="6"/>
  <c r="AF75" i="6"/>
  <c r="AF15" i="6"/>
  <c r="AF96" i="6"/>
  <c r="AF82" i="6"/>
  <c r="AF31" i="6"/>
  <c r="AF24" i="6"/>
  <c r="AF135" i="6"/>
  <c r="AF132" i="6"/>
  <c r="AF121" i="6"/>
  <c r="AF110" i="6"/>
  <c r="AF99" i="6"/>
  <c r="AF68" i="6"/>
  <c r="AF55" i="6"/>
  <c r="AF117" i="6"/>
  <c r="AF92" i="6"/>
  <c r="AF125" i="6"/>
  <c r="AF114" i="6"/>
  <c r="AF107" i="6"/>
  <c r="AF89" i="6"/>
  <c r="AF79" i="6"/>
  <c r="AF62" i="6"/>
  <c r="AF52" i="6"/>
  <c r="AF45" i="6"/>
  <c r="AF38" i="6"/>
  <c r="AF18" i="6"/>
  <c r="AF129" i="6"/>
  <c r="AF103" i="6"/>
  <c r="AF65" i="6"/>
  <c r="AF48" i="6"/>
  <c r="AF34" i="6"/>
  <c r="AF21" i="6"/>
  <c r="AF58" i="6"/>
  <c r="AF14" i="6"/>
  <c r="AE16" i="6"/>
  <c r="AC24" i="6"/>
  <c r="AE33" i="6"/>
  <c r="AD43" i="6"/>
  <c r="AD47" i="6"/>
  <c r="AF83" i="6"/>
  <c r="AB98" i="6"/>
  <c r="AG108" i="6"/>
  <c r="AE119" i="6"/>
  <c r="AD130" i="6"/>
  <c r="AE20" i="6"/>
  <c r="AC38" i="6"/>
  <c r="AB52" i="6"/>
  <c r="AB65" i="6"/>
  <c r="AF78" i="6"/>
  <c r="AG93" i="6"/>
  <c r="AF119" i="6"/>
  <c r="AG16" i="6"/>
  <c r="AC25" i="6"/>
  <c r="AF43" i="6"/>
  <c r="AC53" i="6"/>
  <c r="AC61" i="6"/>
  <c r="AD74" i="6"/>
  <c r="AD84" i="6"/>
  <c r="AB94" i="6"/>
  <c r="AD109" i="6"/>
  <c r="AF113" i="6"/>
  <c r="AG119" i="6"/>
  <c r="AF130" i="6"/>
  <c r="AF134" i="6"/>
  <c r="AB17" i="6"/>
  <c r="AD25" i="6"/>
  <c r="AB34" i="6"/>
  <c r="AD53" i="6"/>
  <c r="AD61" i="6"/>
  <c r="AE70" i="6"/>
  <c r="AD80" i="6"/>
  <c r="AF88" i="6"/>
  <c r="AE98" i="6"/>
  <c r="AF104" i="6"/>
  <c r="AE109" i="6"/>
  <c r="AC120" i="6"/>
  <c r="AF124" i="6"/>
  <c r="AG130" i="6"/>
  <c r="AG134" i="6"/>
  <c r="AG11" i="6"/>
  <c r="AC17" i="6"/>
  <c r="AC21" i="6"/>
  <c r="AE25" i="6"/>
  <c r="AG29" i="6"/>
  <c r="AF39" i="6"/>
  <c r="AC44" i="6"/>
  <c r="AC48" i="6"/>
  <c r="AE53" i="6"/>
  <c r="AF57" i="6"/>
  <c r="AE61" i="6"/>
  <c r="AF66" i="6"/>
  <c r="AF70" i="6"/>
  <c r="AF74" i="6"/>
  <c r="AE80" i="6"/>
  <c r="AF84" i="6"/>
  <c r="AG88" i="6"/>
  <c r="AE94" i="6"/>
  <c r="AF98" i="6"/>
  <c r="AG104" i="6"/>
  <c r="AF109" i="6"/>
  <c r="AD120" i="6"/>
  <c r="AC131" i="6"/>
  <c r="AB131" i="6"/>
  <c r="AB130" i="6"/>
  <c r="AB104" i="6"/>
  <c r="AB49" i="6"/>
  <c r="AB32" i="6"/>
  <c r="AB25" i="6"/>
  <c r="AB22" i="6"/>
  <c r="AB62" i="6"/>
  <c r="AB133" i="6"/>
  <c r="AB122" i="6"/>
  <c r="AB100" i="6"/>
  <c r="AB56" i="6"/>
  <c r="AB28" i="6"/>
  <c r="AB92" i="6"/>
  <c r="AC102" i="6"/>
  <c r="AD129" i="6"/>
  <c r="AD122" i="6"/>
  <c r="AD69" i="6"/>
  <c r="AD56" i="6"/>
  <c r="AD11" i="6"/>
  <c r="AD118" i="6"/>
  <c r="AD75" i="6"/>
  <c r="AD125" i="6"/>
  <c r="AD114" i="6"/>
  <c r="AD107" i="6"/>
  <c r="AD18" i="6"/>
  <c r="AD103" i="6"/>
  <c r="AD96" i="6"/>
  <c r="AD111" i="6"/>
  <c r="AD86" i="6"/>
  <c r="AD72" i="6"/>
  <c r="AD59" i="6"/>
  <c r="AD42" i="6"/>
  <c r="AD28" i="6"/>
  <c r="AD93" i="6"/>
  <c r="AD89" i="6"/>
  <c r="AD52" i="6"/>
  <c r="AD45" i="6"/>
  <c r="AD38" i="6"/>
  <c r="AC47" i="6"/>
  <c r="AE83" i="6"/>
  <c r="AE102" i="6"/>
  <c r="AC134" i="6"/>
  <c r="AD20" i="6"/>
  <c r="AB29" i="6"/>
  <c r="AB38" i="6"/>
  <c r="AE92" i="6"/>
  <c r="AG125" i="6"/>
  <c r="AG114" i="6"/>
  <c r="AG107" i="6"/>
  <c r="AG89" i="6"/>
  <c r="AG79" i="6"/>
  <c r="AG62" i="6"/>
  <c r="AG52" i="6"/>
  <c r="AG45" i="6"/>
  <c r="AG38" i="6"/>
  <c r="AG18" i="6"/>
  <c r="AG68" i="6"/>
  <c r="AG55" i="6"/>
  <c r="AG92" i="6"/>
  <c r="AG85" i="6"/>
  <c r="AG78" i="6"/>
  <c r="AG71" i="6"/>
  <c r="AG61" i="6"/>
  <c r="AG41" i="6"/>
  <c r="AG128" i="6"/>
  <c r="AG124" i="6"/>
  <c r="AG113" i="6"/>
  <c r="AG106" i="6"/>
  <c r="AG129" i="6"/>
  <c r="AG103" i="6"/>
  <c r="AG96" i="6"/>
  <c r="AG82" i="6"/>
  <c r="AG65" i="6"/>
  <c r="AG48" i="6"/>
  <c r="AG34" i="6"/>
  <c r="AG31" i="6"/>
  <c r="AG24" i="6"/>
  <c r="AG21" i="6"/>
  <c r="AG135" i="6"/>
  <c r="AG132" i="6"/>
  <c r="AG121" i="6"/>
  <c r="AG110" i="6"/>
  <c r="AG99" i="6"/>
  <c r="AG58" i="6"/>
  <c r="AG14" i="6"/>
  <c r="AG117" i="6"/>
  <c r="AF16" i="6"/>
  <c r="AD29" i="6"/>
  <c r="AF33" i="6"/>
  <c r="AE47" i="6"/>
  <c r="AC57" i="6"/>
  <c r="AC70" i="6"/>
  <c r="AB74" i="6"/>
  <c r="AD88" i="6"/>
  <c r="AC98" i="6"/>
  <c r="AB109" i="6"/>
  <c r="AE113" i="6"/>
  <c r="AD124" i="6"/>
  <c r="AE134" i="6"/>
  <c r="AE11" i="6"/>
  <c r="AF20" i="6"/>
  <c r="AE29" i="6"/>
  <c r="AD39" i="6"/>
  <c r="AF47" i="6"/>
  <c r="AD57" i="6"/>
  <c r="AD70" i="6"/>
  <c r="AC80" i="6"/>
  <c r="AE88" i="6"/>
  <c r="AE104" i="6"/>
  <c r="AE124" i="6"/>
  <c r="AF11" i="6"/>
  <c r="AG20" i="6"/>
  <c r="AF29" i="6"/>
  <c r="AE39" i="6"/>
  <c r="AG47" i="6"/>
  <c r="AE57" i="6"/>
  <c r="AE66" i="6"/>
  <c r="AE74" i="6"/>
  <c r="AE84" i="6"/>
  <c r="AD94" i="6"/>
  <c r="AF115" i="6"/>
  <c r="AC34" i="6"/>
  <c r="AF12" i="6"/>
  <c r="AD17" i="6"/>
  <c r="AD21" i="6"/>
  <c r="AF25" i="6"/>
  <c r="AD30" i="6"/>
  <c r="AD34" i="6"/>
  <c r="AG39" i="6"/>
  <c r="AD44" i="6"/>
  <c r="AD48" i="6"/>
  <c r="AF53" i="6"/>
  <c r="AG57" i="6"/>
  <c r="AF61" i="6"/>
  <c r="AG66" i="6"/>
  <c r="AG70" i="6"/>
  <c r="AG74" i="6"/>
  <c r="AF80" i="6"/>
  <c r="AG84" i="6"/>
  <c r="AC89" i="6"/>
  <c r="AF94" i="6"/>
  <c r="AG98" i="6"/>
  <c r="AD105" i="6"/>
  <c r="AG109" i="6"/>
  <c r="AB116" i="6"/>
  <c r="AF126" i="6"/>
  <c r="AD131" i="6"/>
  <c r="AC92" i="6"/>
  <c r="AB113" i="6"/>
  <c r="AB134" i="6"/>
  <c r="AE126" i="6"/>
  <c r="AE111" i="6"/>
  <c r="AE86" i="6"/>
  <c r="AE72" i="6"/>
  <c r="AE59" i="6"/>
  <c r="AE42" i="6"/>
  <c r="AE28" i="6"/>
  <c r="AE107" i="6"/>
  <c r="AE89" i="6"/>
  <c r="AE52" i="6"/>
  <c r="AE45" i="6"/>
  <c r="AE38" i="6"/>
  <c r="AE18" i="6"/>
  <c r="AE129" i="6"/>
  <c r="AE48" i="6"/>
  <c r="AE34" i="6"/>
  <c r="AE24" i="6"/>
  <c r="AE135" i="6"/>
  <c r="AE132" i="6"/>
  <c r="AE121" i="6"/>
  <c r="AE110" i="6"/>
  <c r="AE99" i="6"/>
  <c r="AE118" i="6"/>
  <c r="AE93" i="6"/>
  <c r="AE75" i="6"/>
  <c r="AE15" i="6"/>
  <c r="AE125" i="6"/>
  <c r="AE114" i="6"/>
  <c r="AE79" i="6"/>
  <c r="AE103" i="6"/>
  <c r="AE96" i="6"/>
  <c r="AE82" i="6"/>
  <c r="AE65" i="6"/>
  <c r="AE31" i="6"/>
  <c r="AE21" i="6"/>
  <c r="AD16" i="6"/>
  <c r="AC20" i="6"/>
  <c r="AD78" i="6"/>
  <c r="AE78" i="6"/>
  <c r="AB88" i="6"/>
  <c r="AF102" i="6"/>
  <c r="AD113" i="6"/>
  <c r="AG123" i="6"/>
  <c r="AD134" i="6"/>
  <c r="AD24" i="6"/>
  <c r="AE43" i="6"/>
  <c r="AB61" i="6"/>
  <c r="AG83" i="6"/>
  <c r="AG102" i="6"/>
  <c r="AE130" i="6"/>
  <c r="AG33" i="6"/>
  <c r="AD66" i="6"/>
  <c r="AD98" i="6"/>
  <c r="AG43" i="6"/>
  <c r="AG12" i="6"/>
  <c r="AE17" i="6"/>
  <c r="AC22" i="6"/>
  <c r="AG25" i="6"/>
  <c r="AE30" i="6"/>
  <c r="AD35" i="6"/>
  <c r="AE40" i="6"/>
  <c r="AE44" i="6"/>
  <c r="AD49" i="6"/>
  <c r="AG53" i="6"/>
  <c r="AB58" i="6"/>
  <c r="AC63" i="6"/>
  <c r="AC67" i="6"/>
  <c r="AC71" i="6"/>
  <c r="AG75" i="6"/>
  <c r="AG80" i="6"/>
  <c r="AB85" i="6"/>
  <c r="AE90" i="6"/>
  <c r="AG94" i="6"/>
  <c r="AD99" i="6"/>
  <c r="AE105" i="6"/>
  <c r="AC110" i="6"/>
  <c r="AC116" i="6"/>
  <c r="AF120" i="6"/>
  <c r="AG126" i="6"/>
  <c r="AE131" i="6"/>
  <c r="AB26" i="6"/>
  <c r="AB53" i="6"/>
  <c r="AB110" i="6"/>
  <c r="AB40" i="6"/>
  <c r="AB89" i="6"/>
  <c r="AB124" i="6"/>
  <c r="AB86" i="6"/>
  <c r="AB128" i="6"/>
  <c r="AB50" i="6"/>
  <c r="AB18" i="6"/>
  <c r="AB21" i="6"/>
  <c r="AB37" i="6"/>
  <c r="AB44" i="6"/>
  <c r="AB70" i="6"/>
  <c r="AB73" i="6"/>
  <c r="AB76" i="6"/>
  <c r="AB80" i="6"/>
  <c r="AB114" i="6"/>
  <c r="AC39" i="6"/>
  <c r="AC52" i="6"/>
  <c r="AC121" i="6"/>
  <c r="AC124" i="6"/>
  <c r="AC14" i="6"/>
  <c r="AC91" i="6"/>
  <c r="AC94" i="6"/>
  <c r="AC108" i="6"/>
  <c r="AC111" i="6"/>
  <c r="AC114" i="6"/>
  <c r="AC33" i="6"/>
  <c r="AC36" i="6"/>
  <c r="AC27" i="6"/>
  <c r="AC30" i="6"/>
  <c r="AC85" i="6"/>
  <c r="AC88" i="6"/>
  <c r="AC105" i="6"/>
  <c r="AC46" i="6"/>
  <c r="AC49" i="6"/>
  <c r="AC74" i="6"/>
  <c r="AC96" i="6"/>
  <c r="AC99" i="6"/>
  <c r="AC109" i="6"/>
  <c r="AC112" i="6"/>
  <c r="AC128" i="6"/>
  <c r="AC81" i="6"/>
  <c r="AC84" i="6"/>
  <c r="AC106" i="6"/>
  <c r="AC87" i="6"/>
  <c r="AC103" i="6"/>
  <c r="AC119" i="6"/>
  <c r="AC122" i="6"/>
  <c r="AC125" i="6"/>
  <c r="AC16" i="6"/>
  <c r="AC31" i="6"/>
  <c r="AC56" i="6"/>
  <c r="AC59" i="6"/>
  <c r="AC78" i="6"/>
  <c r="AC135" i="6"/>
  <c r="AB14" i="6"/>
  <c r="AB20" i="6"/>
  <c r="AB97" i="6"/>
  <c r="AB112" i="6"/>
  <c r="AB118" i="6"/>
  <c r="AB121" i="6"/>
  <c r="AB33" i="6"/>
  <c r="AB48" i="6"/>
  <c r="AB54" i="6"/>
  <c r="AB57" i="6"/>
  <c r="AB72" i="6"/>
  <c r="AB78" i="6"/>
  <c r="AB84" i="6"/>
  <c r="AB12" i="6"/>
  <c r="AB24" i="6"/>
  <c r="AB30" i="6"/>
  <c r="AB42" i="6"/>
  <c r="AB66" i="6"/>
  <c r="AB81" i="6"/>
  <c r="AB101" i="6"/>
  <c r="AB125" i="6"/>
  <c r="AB16" i="6"/>
  <c r="AB36" i="6"/>
  <c r="AB60" i="6"/>
  <c r="AB105" i="6"/>
  <c r="AB108" i="6"/>
  <c r="AB13" i="6"/>
  <c r="AB93" i="6"/>
  <c r="AB96" i="6"/>
  <c r="AB102" i="6"/>
  <c r="AB117" i="6"/>
  <c r="AB120" i="6"/>
  <c r="AB132" i="6"/>
  <c r="AB45" i="6"/>
  <c r="AB69" i="6"/>
  <c r="AB90" i="6"/>
  <c r="AB129" i="6"/>
  <c r="AC12" i="6"/>
  <c r="AC37" i="6"/>
  <c r="AC51" i="6"/>
  <c r="AC62" i="6"/>
  <c r="AC76" i="6"/>
  <c r="AC101" i="6"/>
  <c r="AC115" i="6"/>
  <c r="AC126" i="6"/>
  <c r="AD12" i="6"/>
  <c r="AC15" i="6"/>
  <c r="AC26" i="6"/>
  <c r="AD37" i="6"/>
  <c r="AC40" i="6"/>
  <c r="AD51" i="6"/>
  <c r="AD62" i="6"/>
  <c r="AC65" i="6"/>
  <c r="AD76" i="6"/>
  <c r="AC79" i="6"/>
  <c r="AC90" i="6"/>
  <c r="AD101" i="6"/>
  <c r="AC104" i="6"/>
  <c r="AD115" i="6"/>
  <c r="AD126" i="6"/>
  <c r="AC129" i="6"/>
  <c r="AE12" i="6"/>
  <c r="AD15" i="6"/>
  <c r="AD26" i="6"/>
  <c r="AC29" i="6"/>
  <c r="AE37" i="6"/>
  <c r="AD40" i="6"/>
  <c r="AC43" i="6"/>
  <c r="AE51" i="6"/>
  <c r="AC54" i="6"/>
  <c r="AE62" i="6"/>
  <c r="AD65" i="6"/>
  <c r="AC68" i="6"/>
  <c r="AE76" i="6"/>
  <c r="AD79" i="6"/>
  <c r="AD90" i="6"/>
  <c r="AC93" i="6"/>
  <c r="AE101" i="6"/>
  <c r="AD104" i="6"/>
  <c r="AC107" i="6"/>
  <c r="AE115" i="6"/>
  <c r="AC118" i="6"/>
  <c r="AB15" i="6"/>
  <c r="AB23" i="6"/>
  <c r="AB31" i="6"/>
  <c r="AB39" i="6"/>
  <c r="AB47" i="6"/>
  <c r="AB55" i="6"/>
  <c r="AB63" i="6"/>
  <c r="AB71" i="6"/>
  <c r="AB79" i="6"/>
  <c r="AB87" i="6"/>
  <c r="AB95" i="6"/>
  <c r="AB103" i="6"/>
  <c r="AB111" i="6"/>
  <c r="AB119" i="6"/>
  <c r="AB127" i="6"/>
  <c r="AB135" i="6"/>
  <c r="AB11" i="6"/>
  <c r="AB19" i="6"/>
  <c r="AB27" i="6"/>
  <c r="AB35" i="6"/>
  <c r="AB43" i="6"/>
  <c r="AB51" i="6"/>
  <c r="AB59" i="6"/>
  <c r="AB67" i="6"/>
  <c r="AB75" i="6"/>
  <c r="AB83" i="6"/>
  <c r="AB91" i="6"/>
  <c r="AB99" i="6"/>
  <c r="AB107" i="6"/>
  <c r="AB115" i="6"/>
  <c r="AB123" i="6"/>
  <c r="C124" i="5"/>
  <c r="D115" i="5"/>
  <c r="G127" i="5"/>
  <c r="E125" i="5"/>
  <c r="B104" i="5"/>
  <c r="B108" i="5"/>
  <c r="E117" i="5"/>
  <c r="D109" i="5"/>
  <c r="E124" i="5"/>
  <c r="B115" i="5"/>
  <c r="G128" i="5"/>
  <c r="G90" i="5"/>
  <c r="D122" i="5"/>
  <c r="B125" i="5"/>
  <c r="B99" i="5"/>
  <c r="C120" i="5"/>
  <c r="E108" i="5"/>
  <c r="E109" i="5"/>
  <c r="G88" i="5"/>
  <c r="D93" i="5"/>
  <c r="F126" i="5"/>
  <c r="B90" i="5"/>
  <c r="D99" i="5"/>
  <c r="C115" i="5"/>
  <c r="B128" i="5"/>
  <c r="B100" i="5"/>
  <c r="C107" i="5"/>
  <c r="G121" i="5"/>
  <c r="F109" i="5"/>
  <c r="F121" i="5"/>
  <c r="C90" i="5"/>
  <c r="C100" i="5"/>
  <c r="B116" i="5"/>
  <c r="G131" i="5"/>
  <c r="F99" i="5"/>
  <c r="E119" i="5"/>
  <c r="D104" i="5"/>
  <c r="B109" i="5"/>
  <c r="B129" i="5"/>
  <c r="C93" i="5"/>
  <c r="D103" i="5"/>
  <c r="G116" i="5"/>
  <c r="F131" i="5"/>
  <c r="D92" i="5"/>
  <c r="D100" i="5"/>
  <c r="G109" i="5"/>
  <c r="E127" i="5"/>
  <c r="F92" i="5"/>
  <c r="E100" i="5"/>
  <c r="C110" i="5"/>
  <c r="C127" i="5"/>
  <c r="G92" i="5"/>
  <c r="B103" i="5"/>
  <c r="E110" i="5"/>
  <c r="G126" i="5"/>
  <c r="B93" i="5"/>
  <c r="G103" i="5"/>
  <c r="D111" i="5"/>
  <c r="E107" i="5"/>
  <c r="B123" i="5"/>
  <c r="G117" i="5"/>
  <c r="G132" i="5"/>
  <c r="Q52" i="5"/>
  <c r="G104" i="5"/>
  <c r="G130" i="5"/>
  <c r="E94" i="5"/>
  <c r="C105" i="5"/>
  <c r="F130" i="5"/>
  <c r="D97" i="5"/>
  <c r="D105" i="5"/>
  <c r="G97" i="5"/>
  <c r="C109" i="5"/>
  <c r="B120" i="5"/>
  <c r="G120" i="5"/>
  <c r="E129" i="5"/>
  <c r="E104" i="5"/>
  <c r="G93" i="5"/>
  <c r="F120" i="5"/>
  <c r="E97" i="5"/>
  <c r="E105" i="5"/>
  <c r="F97" i="5"/>
  <c r="D114" i="5"/>
  <c r="F119" i="5"/>
  <c r="G119" i="5"/>
  <c r="D129" i="5"/>
  <c r="F93" i="5"/>
  <c r="E115" i="5"/>
  <c r="D131" i="5"/>
  <c r="E120" i="5"/>
  <c r="C88" i="5"/>
  <c r="B98" i="5"/>
  <c r="F108" i="5"/>
  <c r="E98" i="5"/>
  <c r="G129" i="5"/>
  <c r="D119" i="5"/>
  <c r="G118" i="5"/>
  <c r="C129" i="5"/>
  <c r="E121" i="5"/>
  <c r="F88" i="5"/>
  <c r="C98" i="5"/>
  <c r="G108" i="5"/>
  <c r="G98" i="5"/>
  <c r="F129" i="5"/>
  <c r="C116" i="5"/>
  <c r="F125" i="5"/>
  <c r="E130" i="5"/>
  <c r="C101" i="5"/>
  <c r="F90" i="5"/>
  <c r="E95" i="5"/>
  <c r="D101" i="5"/>
  <c r="C106" i="5"/>
  <c r="C113" i="5"/>
  <c r="B101" i="5"/>
  <c r="D110" i="5"/>
  <c r="G125" i="5"/>
  <c r="F117" i="5"/>
  <c r="D121" i="5"/>
  <c r="D126" i="5"/>
  <c r="C130" i="5"/>
  <c r="C95" i="5"/>
  <c r="E90" i="5"/>
  <c r="B113" i="5"/>
  <c r="D91" i="5"/>
  <c r="F95" i="5"/>
  <c r="E101" i="5"/>
  <c r="B107" i="5"/>
  <c r="D113" i="5"/>
  <c r="G101" i="5"/>
  <c r="B111" i="5"/>
  <c r="D124" i="5"/>
  <c r="C117" i="5"/>
  <c r="B121" i="5"/>
  <c r="C126" i="5"/>
  <c r="D130" i="5"/>
  <c r="B106" i="5"/>
  <c r="G91" i="5"/>
  <c r="G95" i="5"/>
  <c r="F101" i="5"/>
  <c r="G107" i="5"/>
  <c r="B114" i="5"/>
  <c r="G100" i="5"/>
  <c r="G113" i="5"/>
  <c r="B124" i="5"/>
  <c r="B117" i="5"/>
  <c r="C122" i="5"/>
  <c r="F127" i="5"/>
  <c r="B130" i="5"/>
  <c r="D90" i="5"/>
  <c r="F100" i="5"/>
  <c r="G105" i="5"/>
  <c r="G111" i="5"/>
  <c r="E126" i="5"/>
  <c r="F118" i="5"/>
  <c r="D95" i="5"/>
  <c r="B118" i="5"/>
  <c r="B92" i="5"/>
  <c r="B97" i="5"/>
  <c r="B102" i="5"/>
  <c r="C108" i="5"/>
  <c r="C114" i="5"/>
  <c r="G99" i="5"/>
  <c r="G114" i="5"/>
  <c r="G123" i="5"/>
  <c r="E116" i="5"/>
  <c r="B122" i="5"/>
  <c r="D127" i="5"/>
  <c r="C131" i="5"/>
  <c r="B126" i="5"/>
  <c r="C92" i="5"/>
  <c r="C97" i="5"/>
  <c r="C102" i="5"/>
  <c r="D108" i="5"/>
  <c r="E114" i="5"/>
  <c r="F102" i="5"/>
  <c r="F114" i="5"/>
  <c r="C123" i="5"/>
  <c r="D116" i="5"/>
  <c r="G122" i="5"/>
  <c r="B127" i="5"/>
  <c r="D132" i="5"/>
  <c r="B91" i="5"/>
  <c r="B94" i="5"/>
  <c r="D98" i="5"/>
  <c r="D102" i="5"/>
  <c r="F106" i="5"/>
  <c r="F110" i="5"/>
  <c r="F91" i="5"/>
  <c r="F103" i="5"/>
  <c r="B110" i="5"/>
  <c r="D125" i="5"/>
  <c r="C121" i="5"/>
  <c r="C119" i="5"/>
  <c r="E118" i="5"/>
  <c r="F123" i="5"/>
  <c r="C128" i="5"/>
  <c r="B131" i="5"/>
  <c r="C91" i="5"/>
  <c r="D94" i="5"/>
  <c r="F98" i="5"/>
  <c r="G102" i="5"/>
  <c r="G106" i="5"/>
  <c r="G110" i="5"/>
  <c r="E92" i="5"/>
  <c r="E102" i="5"/>
  <c r="C111" i="5"/>
  <c r="C125" i="5"/>
  <c r="C118" i="5"/>
  <c r="F124" i="5"/>
  <c r="F128" i="5"/>
  <c r="E131" i="5"/>
  <c r="D88" i="5"/>
  <c r="E91" i="5"/>
  <c r="F94" i="5"/>
  <c r="C99" i="5"/>
  <c r="C103" i="5"/>
  <c r="D107" i="5"/>
  <c r="E111" i="5"/>
  <c r="C94" i="5"/>
  <c r="C104" i="5"/>
  <c r="E113" i="5"/>
  <c r="E128" i="5"/>
  <c r="F122" i="5"/>
  <c r="B119" i="5"/>
  <c r="E123" i="5"/>
  <c r="F132" i="5"/>
  <c r="C132" i="5"/>
  <c r="E88" i="5"/>
  <c r="G94" i="5"/>
  <c r="E99" i="5"/>
  <c r="E103" i="5"/>
  <c r="F107" i="5"/>
  <c r="F111" i="5"/>
  <c r="B95" i="5"/>
  <c r="B105" i="5"/>
  <c r="F113" i="5"/>
  <c r="D128" i="5"/>
  <c r="G124" i="5"/>
  <c r="E122" i="5"/>
  <c r="D118" i="5"/>
  <c r="D120" i="5"/>
  <c r="D123" i="5"/>
  <c r="E132" i="5"/>
  <c r="B84" i="5"/>
  <c r="C82" i="5"/>
  <c r="C85" i="5"/>
  <c r="D85" i="5"/>
  <c r="F82" i="5"/>
  <c r="B83" i="5"/>
  <c r="C83" i="5"/>
  <c r="E83" i="5"/>
  <c r="P82" i="5"/>
  <c r="Q82" i="5" s="1"/>
  <c r="D83" i="5"/>
  <c r="E82" i="5"/>
  <c r="F83" i="5"/>
  <c r="G82" i="5"/>
  <c r="C84" i="5"/>
  <c r="D82" i="5"/>
  <c r="D84" i="5"/>
  <c r="E84" i="5"/>
  <c r="P37" i="5"/>
  <c r="Q37" i="5" s="1"/>
  <c r="C77" i="5"/>
  <c r="G42" i="5"/>
  <c r="B68" i="5"/>
  <c r="P68" i="5" s="1"/>
  <c r="Q68" i="5" s="1"/>
  <c r="B74" i="5"/>
  <c r="P74" i="5" s="1"/>
  <c r="Q74" i="5" s="1"/>
  <c r="D57" i="5"/>
  <c r="D80" i="5"/>
  <c r="E77" i="5"/>
  <c r="G77" i="5"/>
  <c r="P77" i="5"/>
  <c r="Q77" i="5" s="1"/>
  <c r="C79" i="5"/>
  <c r="F74" i="5"/>
  <c r="B73" i="5"/>
  <c r="C72" i="5"/>
  <c r="C73" i="5"/>
  <c r="C75" i="5"/>
  <c r="D72" i="5"/>
  <c r="D73" i="5"/>
  <c r="D75" i="5"/>
  <c r="E72" i="5"/>
  <c r="E73" i="5"/>
  <c r="F72" i="5"/>
  <c r="F73" i="5"/>
  <c r="G72" i="5"/>
  <c r="P72" i="5"/>
  <c r="Q72" i="5" s="1"/>
  <c r="C74" i="5"/>
  <c r="D74" i="5"/>
  <c r="F69" i="5"/>
  <c r="B69" i="5"/>
  <c r="C67" i="5"/>
  <c r="C68" i="5"/>
  <c r="C70" i="5"/>
  <c r="D67" i="5"/>
  <c r="D68" i="5"/>
  <c r="D70" i="5"/>
  <c r="E67" i="5"/>
  <c r="E68" i="5"/>
  <c r="F67" i="5"/>
  <c r="F68" i="5"/>
  <c r="G67" i="5"/>
  <c r="P67" i="5"/>
  <c r="Q67" i="5" s="1"/>
  <c r="C69" i="5"/>
  <c r="D69" i="5"/>
  <c r="F48" i="5"/>
  <c r="G48" i="5" s="1"/>
  <c r="B48" i="5"/>
  <c r="B50" i="5" s="1"/>
  <c r="P50" i="5" s="1"/>
  <c r="Q50" i="5" s="1"/>
  <c r="C62" i="5"/>
  <c r="B39" i="5"/>
  <c r="P39" i="5" s="1"/>
  <c r="Q39" i="5" s="1"/>
  <c r="B63" i="5"/>
  <c r="C60" i="5"/>
  <c r="B53" i="5"/>
  <c r="C54" i="5"/>
  <c r="D54" i="5"/>
  <c r="E54" i="5"/>
  <c r="G52" i="5"/>
  <c r="B54" i="5"/>
  <c r="C52" i="5"/>
  <c r="C53" i="5"/>
  <c r="C55" i="5"/>
  <c r="D52" i="5"/>
  <c r="D53" i="5"/>
  <c r="D55" i="5"/>
  <c r="E52" i="5"/>
  <c r="E53" i="5"/>
  <c r="F52" i="5"/>
  <c r="F53" i="5"/>
  <c r="C48" i="5"/>
  <c r="D48" i="5"/>
  <c r="E47" i="5"/>
  <c r="F47" i="5"/>
  <c r="P47" i="5"/>
  <c r="Q47" i="5" s="1"/>
  <c r="B49" i="5"/>
  <c r="C47" i="5"/>
  <c r="C50" i="5"/>
  <c r="D47" i="5"/>
  <c r="D49" i="5"/>
  <c r="E49" i="5"/>
  <c r="G47" i="5"/>
  <c r="C49" i="5"/>
  <c r="D50" i="5"/>
  <c r="E48" i="5"/>
  <c r="C44" i="5"/>
  <c r="D44" i="5"/>
  <c r="E44" i="5"/>
  <c r="P42" i="5"/>
  <c r="Q42" i="5" s="1"/>
  <c r="B43" i="5"/>
  <c r="G37" i="5"/>
  <c r="B38" i="5"/>
  <c r="C37" i="5"/>
  <c r="C38" i="5"/>
  <c r="C40" i="5"/>
  <c r="D37" i="5"/>
  <c r="D38" i="5"/>
  <c r="D40" i="5"/>
  <c r="E37" i="5"/>
  <c r="E38" i="5"/>
  <c r="F37" i="5"/>
  <c r="N16" i="5"/>
  <c r="M16" i="5"/>
  <c r="P16" i="5"/>
  <c r="H29" i="5" s="1"/>
  <c r="L16" i="5"/>
  <c r="O16" i="5"/>
  <c r="AJ108" i="6"/>
  <c r="AJ100" i="6"/>
  <c r="AJ92" i="6"/>
  <c r="AJ84" i="6"/>
  <c r="AJ76" i="6"/>
  <c r="AJ68" i="6"/>
  <c r="AJ60" i="6"/>
  <c r="AJ52" i="6"/>
  <c r="AJ44" i="6"/>
  <c r="AJ36" i="6"/>
  <c r="AJ28" i="6"/>
  <c r="AJ20" i="6"/>
  <c r="AB10" i="6"/>
  <c r="H9" i="6"/>
  <c r="G9" i="6"/>
  <c r="D9" i="6"/>
  <c r="F9" i="6"/>
  <c r="E9" i="6"/>
  <c r="B8" i="6"/>
  <c r="H121" i="19" l="1"/>
  <c r="AB126" i="6"/>
  <c r="AG13" i="10"/>
  <c r="AG10" i="10"/>
  <c r="AG15" i="10"/>
  <c r="AG55" i="10"/>
  <c r="AG123" i="10"/>
  <c r="AG94" i="10"/>
  <c r="AG109" i="10"/>
  <c r="AG34" i="10"/>
  <c r="AG53" i="10"/>
  <c r="AG99" i="10"/>
  <c r="AG12" i="10"/>
  <c r="AG129" i="10"/>
  <c r="AG91" i="10"/>
  <c r="AG93" i="10"/>
  <c r="AG31" i="10"/>
  <c r="AG128" i="10"/>
  <c r="AG56" i="10"/>
  <c r="AG33" i="10"/>
  <c r="AG42" i="10"/>
  <c r="AG98" i="10"/>
  <c r="AG88" i="10"/>
  <c r="AG113" i="10"/>
  <c r="AG124" i="10"/>
  <c r="AG79" i="10"/>
  <c r="AG44" i="10"/>
  <c r="AG74" i="10"/>
  <c r="AG19" i="10"/>
  <c r="AG86" i="10"/>
  <c r="AG83" i="10"/>
  <c r="AG96" i="10"/>
  <c r="AG95" i="10"/>
  <c r="AG69" i="10"/>
  <c r="AG23" i="10"/>
  <c r="AG48" i="10"/>
  <c r="AG14" i="10"/>
  <c r="AG135" i="10"/>
  <c r="AG97" i="10"/>
  <c r="AG118" i="10"/>
  <c r="AG90" i="10"/>
  <c r="AG22" i="10"/>
  <c r="AG64" i="10"/>
  <c r="AG36" i="10"/>
  <c r="AG18" i="10"/>
  <c r="AG17" i="10"/>
  <c r="AG92" i="10"/>
  <c r="AG120" i="10"/>
  <c r="AG78" i="10"/>
  <c r="AG68" i="10"/>
  <c r="AG63" i="10"/>
  <c r="AG45" i="10"/>
  <c r="AG47" i="10"/>
  <c r="AG102" i="10"/>
  <c r="AG24" i="10"/>
  <c r="AG131" i="10"/>
  <c r="AG130" i="10"/>
  <c r="AG133" i="10"/>
  <c r="AG41" i="10"/>
  <c r="AG35" i="10"/>
  <c r="AG40" i="10"/>
  <c r="AG60" i="10"/>
  <c r="AG11" i="10"/>
  <c r="AG115" i="10"/>
  <c r="AG125" i="10"/>
  <c r="AG43" i="10"/>
  <c r="AG112" i="10"/>
  <c r="AG100" i="10"/>
  <c r="AG62" i="10"/>
  <c r="AG70" i="10"/>
  <c r="AG80" i="10"/>
  <c r="AG30" i="10"/>
  <c r="AG66" i="10"/>
  <c r="AG132" i="10"/>
  <c r="AG76" i="10"/>
  <c r="AG126" i="10"/>
  <c r="AG72" i="10"/>
  <c r="AG16" i="10"/>
  <c r="AG116" i="10"/>
  <c r="AG114" i="10"/>
  <c r="AG58" i="10"/>
  <c r="AG71" i="10"/>
  <c r="AG127" i="10"/>
  <c r="AG103" i="10"/>
  <c r="AG50" i="10"/>
  <c r="AG65" i="10"/>
  <c r="AG105" i="10"/>
  <c r="AG81" i="10"/>
  <c r="AG85" i="10"/>
  <c r="AG29" i="10"/>
  <c r="AG52" i="10"/>
  <c r="AG75" i="10"/>
  <c r="AG117" i="10"/>
  <c r="AG21" i="10"/>
  <c r="AG49" i="10"/>
  <c r="AG67" i="10"/>
  <c r="AG87" i="10"/>
  <c r="AG111" i="10"/>
  <c r="AG51" i="10"/>
  <c r="AG101" i="10"/>
  <c r="AG82" i="10"/>
  <c r="AG106" i="10"/>
  <c r="AG46" i="10"/>
  <c r="AG39" i="10"/>
  <c r="AG104" i="10"/>
  <c r="AG134" i="10"/>
  <c r="AG61" i="10"/>
  <c r="AG59" i="10"/>
  <c r="AG119" i="10"/>
  <c r="AG84" i="10"/>
  <c r="AG38" i="10"/>
  <c r="AG37" i="10"/>
  <c r="AG73" i="10"/>
  <c r="AG54" i="10"/>
  <c r="AG25" i="10"/>
  <c r="AG27" i="10"/>
  <c r="AG89" i="10"/>
  <c r="AG122" i="10"/>
  <c r="AG110" i="10"/>
  <c r="AG107" i="10"/>
  <c r="AG108" i="10"/>
  <c r="AG28" i="10"/>
  <c r="AG32" i="10"/>
  <c r="AG77" i="10"/>
  <c r="AG20" i="10"/>
  <c r="AG57" i="10"/>
  <c r="AG26" i="10"/>
  <c r="AG121" i="10"/>
  <c r="AD75" i="10"/>
  <c r="AD14" i="10"/>
  <c r="AD30" i="10"/>
  <c r="AD11" i="10"/>
  <c r="AD96" i="10"/>
  <c r="AD72" i="10"/>
  <c r="AD91" i="10"/>
  <c r="AD109" i="10"/>
  <c r="AD100" i="10"/>
  <c r="AD79" i="10"/>
  <c r="AD88" i="10"/>
  <c r="AD132" i="10"/>
  <c r="AD83" i="10"/>
  <c r="AD93" i="10"/>
  <c r="AD77" i="10"/>
  <c r="AD69" i="10"/>
  <c r="AD25" i="10"/>
  <c r="AD10" i="10"/>
  <c r="AD80" i="10"/>
  <c r="AD124" i="10"/>
  <c r="AD125" i="10"/>
  <c r="AD71" i="10"/>
  <c r="AD48" i="10"/>
  <c r="AD67" i="10"/>
  <c r="AD27" i="10"/>
  <c r="AD135" i="10"/>
  <c r="AD122" i="10"/>
  <c r="AD111" i="10"/>
  <c r="AD73" i="10"/>
  <c r="AD63" i="10"/>
  <c r="AD41" i="10"/>
  <c r="AD61" i="10"/>
  <c r="AD119" i="10"/>
  <c r="AD110" i="10"/>
  <c r="AD95" i="10"/>
  <c r="AD65" i="10"/>
  <c r="AD55" i="10"/>
  <c r="AD39" i="10"/>
  <c r="AD47" i="10"/>
  <c r="AD51" i="10"/>
  <c r="AD106" i="10"/>
  <c r="AD128" i="10"/>
  <c r="AD127" i="10"/>
  <c r="AD85" i="10"/>
  <c r="AD74" i="10"/>
  <c r="AD20" i="10"/>
  <c r="AD99" i="10"/>
  <c r="AD40" i="10"/>
  <c r="AD90" i="10"/>
  <c r="AD105" i="10"/>
  <c r="AD78" i="10"/>
  <c r="AD68" i="10"/>
  <c r="AD58" i="10"/>
  <c r="AD34" i="10"/>
  <c r="AD24" i="10"/>
  <c r="AD19" i="10"/>
  <c r="AD82" i="10"/>
  <c r="AD97" i="10"/>
  <c r="AD70" i="10"/>
  <c r="AD60" i="10"/>
  <c r="AD50" i="10"/>
  <c r="AD45" i="10"/>
  <c r="AD56" i="10"/>
  <c r="AD129" i="10"/>
  <c r="AD131" i="10"/>
  <c r="AD89" i="10"/>
  <c r="AD62" i="10"/>
  <c r="AD52" i="10"/>
  <c r="AD42" i="10"/>
  <c r="AD35" i="10"/>
  <c r="AD49" i="10"/>
  <c r="AD15" i="10"/>
  <c r="AD115" i="10"/>
  <c r="AD81" i="10"/>
  <c r="AD54" i="10"/>
  <c r="AD103" i="10"/>
  <c r="AD84" i="10"/>
  <c r="AD29" i="10"/>
  <c r="AD44" i="10"/>
  <c r="AD112" i="10"/>
  <c r="AD108" i="10"/>
  <c r="AD38" i="10"/>
  <c r="AD120" i="10"/>
  <c r="AD37" i="10"/>
  <c r="AD53" i="10"/>
  <c r="AD57" i="10"/>
  <c r="AD22" i="10"/>
  <c r="AD130" i="10"/>
  <c r="AD133" i="10"/>
  <c r="AD118" i="10"/>
  <c r="AD17" i="10"/>
  <c r="AD114" i="10"/>
  <c r="AD76" i="10"/>
  <c r="AD36" i="10"/>
  <c r="AD98" i="10"/>
  <c r="AD123" i="10"/>
  <c r="AD12" i="10"/>
  <c r="AD126" i="10"/>
  <c r="AD117" i="10"/>
  <c r="AD104" i="10"/>
  <c r="AD134" i="10"/>
  <c r="AD102" i="10"/>
  <c r="AD87" i="10"/>
  <c r="AD31" i="10"/>
  <c r="AD94" i="10"/>
  <c r="AD66" i="10"/>
  <c r="AD113" i="10"/>
  <c r="AD59" i="10"/>
  <c r="AD121" i="10"/>
  <c r="AD18" i="10"/>
  <c r="AD92" i="10"/>
  <c r="AD33" i="10"/>
  <c r="AD101" i="10"/>
  <c r="AD32" i="10"/>
  <c r="AD23" i="10"/>
  <c r="AD107" i="10"/>
  <c r="AD26" i="10"/>
  <c r="AD13" i="10"/>
  <c r="AD86" i="10"/>
  <c r="AD16" i="10"/>
  <c r="AD116" i="10"/>
  <c r="AD64" i="10"/>
  <c r="AD46" i="10"/>
  <c r="AD28" i="10"/>
  <c r="AD43" i="10"/>
  <c r="AD21" i="10"/>
  <c r="AF48" i="22"/>
  <c r="AF18" i="22"/>
  <c r="AF28" i="22"/>
  <c r="AF14" i="22"/>
  <c r="AF13" i="22"/>
  <c r="AF16" i="22"/>
  <c r="AF37" i="22"/>
  <c r="AF25" i="22"/>
  <c r="AF17" i="22"/>
  <c r="AF43" i="22"/>
  <c r="AF135" i="22"/>
  <c r="AF85" i="22"/>
  <c r="AF132" i="22"/>
  <c r="AF70" i="22"/>
  <c r="AF118" i="22"/>
  <c r="AF44" i="22"/>
  <c r="AF119" i="22"/>
  <c r="AF77" i="22"/>
  <c r="AF116" i="22"/>
  <c r="AF62" i="22"/>
  <c r="AF108" i="22"/>
  <c r="AF36" i="22"/>
  <c r="AF130" i="22"/>
  <c r="AF69" i="22"/>
  <c r="AF107" i="22"/>
  <c r="AF54" i="22"/>
  <c r="AF100" i="22"/>
  <c r="AF35" i="22"/>
  <c r="AF114" i="22"/>
  <c r="AF61" i="22"/>
  <c r="AF99" i="22"/>
  <c r="AF133" i="22"/>
  <c r="AF92" i="22"/>
  <c r="AF47" i="22"/>
  <c r="AF19" i="22"/>
  <c r="AF106" i="22"/>
  <c r="AF131" i="22"/>
  <c r="AF91" i="22"/>
  <c r="AF117" i="22"/>
  <c r="AF84" i="22"/>
  <c r="AF39" i="22"/>
  <c r="AF26" i="22"/>
  <c r="AF98" i="22"/>
  <c r="AF115" i="22"/>
  <c r="AF83" i="22"/>
  <c r="AF128" i="22"/>
  <c r="AF76" i="22"/>
  <c r="AF34" i="22"/>
  <c r="AF29" i="22"/>
  <c r="AF90" i="22"/>
  <c r="AF126" i="22"/>
  <c r="AF75" i="22"/>
  <c r="AF113" i="22"/>
  <c r="AF68" i="22"/>
  <c r="AF33" i="22"/>
  <c r="AF124" i="22"/>
  <c r="AF82" i="22"/>
  <c r="AF112" i="22"/>
  <c r="AF67" i="22"/>
  <c r="AF105" i="22"/>
  <c r="AF60" i="22"/>
  <c r="AF50" i="22"/>
  <c r="AF27" i="22"/>
  <c r="AF111" i="22"/>
  <c r="AF74" i="22"/>
  <c r="AF104" i="22"/>
  <c r="AF59" i="22"/>
  <c r="AF97" i="22"/>
  <c r="AF129" i="22"/>
  <c r="AF42" i="22"/>
  <c r="AF40" i="22"/>
  <c r="AF103" i="22"/>
  <c r="AF66" i="22"/>
  <c r="AF96" i="22"/>
  <c r="AF127" i="22"/>
  <c r="AF89" i="22"/>
  <c r="AF46" i="22"/>
  <c r="AF32" i="22"/>
  <c r="AF21" i="22"/>
  <c r="AF20" i="22"/>
  <c r="AF95" i="22"/>
  <c r="AF58" i="22"/>
  <c r="AF88" i="22"/>
  <c r="AF122" i="22"/>
  <c r="AF81" i="22"/>
  <c r="AF38" i="22"/>
  <c r="AF31" i="22"/>
  <c r="AF22" i="22"/>
  <c r="AF87" i="22"/>
  <c r="AF125" i="22"/>
  <c r="AF80" i="22"/>
  <c r="AF110" i="22"/>
  <c r="AF73" i="22"/>
  <c r="AF24" i="22"/>
  <c r="AF30" i="22"/>
  <c r="AF79" i="22"/>
  <c r="AF120" i="22"/>
  <c r="AF72" i="22"/>
  <c r="AF102" i="22"/>
  <c r="AF65" i="22"/>
  <c r="AF23" i="22"/>
  <c r="AF45" i="22"/>
  <c r="AF71" i="22"/>
  <c r="AF109" i="22"/>
  <c r="AF64" i="22"/>
  <c r="AF94" i="22"/>
  <c r="AF57" i="22"/>
  <c r="AF49" i="22"/>
  <c r="AF12" i="22"/>
  <c r="AF51" i="22"/>
  <c r="AF63" i="22"/>
  <c r="AF101" i="22"/>
  <c r="AF56" i="22"/>
  <c r="AF86" i="22"/>
  <c r="AF123" i="22"/>
  <c r="AF41" i="22"/>
  <c r="AF53" i="22"/>
  <c r="AF15" i="22"/>
  <c r="AF11" i="22"/>
  <c r="AF93" i="22"/>
  <c r="AF121" i="22"/>
  <c r="AF78" i="22"/>
  <c r="AF134" i="22"/>
  <c r="AF52" i="22"/>
  <c r="AF55" i="22"/>
  <c r="AG25" i="8"/>
  <c r="AG12" i="8"/>
  <c r="AG14" i="8"/>
  <c r="AG15" i="8"/>
  <c r="AG32" i="8"/>
  <c r="AG131" i="8"/>
  <c r="AG134" i="8"/>
  <c r="AG67" i="8"/>
  <c r="AG85" i="8"/>
  <c r="AG80" i="8"/>
  <c r="AG37" i="8"/>
  <c r="AG30" i="8"/>
  <c r="AG43" i="8"/>
  <c r="AG126" i="8"/>
  <c r="AG113" i="8"/>
  <c r="AG59" i="8"/>
  <c r="AG73" i="8"/>
  <c r="AG66" i="8"/>
  <c r="AG33" i="8"/>
  <c r="AG29" i="8"/>
  <c r="AG92" i="8"/>
  <c r="AG123" i="8"/>
  <c r="AG97" i="8"/>
  <c r="AG74" i="8"/>
  <c r="AG52" i="8"/>
  <c r="AG50" i="8"/>
  <c r="AG103" i="8"/>
  <c r="AG44" i="8"/>
  <c r="AG23" i="8"/>
  <c r="AG112" i="8"/>
  <c r="AG118" i="8"/>
  <c r="AG70" i="8"/>
  <c r="AG93" i="8"/>
  <c r="AG96" i="8"/>
  <c r="AG101" i="8"/>
  <c r="AG40" i="8"/>
  <c r="AG104" i="8"/>
  <c r="AG108" i="8"/>
  <c r="AG82" i="8"/>
  <c r="AG81" i="8"/>
  <c r="AG61" i="8"/>
  <c r="AG71" i="8"/>
  <c r="AG34" i="8"/>
  <c r="AG133" i="8"/>
  <c r="AG100" i="8"/>
  <c r="AG78" i="8"/>
  <c r="AG35" i="8"/>
  <c r="AG47" i="8"/>
  <c r="AG46" i="8"/>
  <c r="AG28" i="8"/>
  <c r="AG121" i="8"/>
  <c r="AG129" i="8"/>
  <c r="AG62" i="8"/>
  <c r="AG124" i="8"/>
  <c r="AG42" i="8"/>
  <c r="AG64" i="8"/>
  <c r="AG27" i="8"/>
  <c r="AG10" i="8"/>
  <c r="AG107" i="8"/>
  <c r="AG119" i="8"/>
  <c r="AG90" i="8"/>
  <c r="AG98" i="8"/>
  <c r="AG88" i="8"/>
  <c r="AG41" i="8"/>
  <c r="AG39" i="8"/>
  <c r="AG135" i="8"/>
  <c r="AG99" i="8"/>
  <c r="AG132" i="8"/>
  <c r="AG86" i="8"/>
  <c r="AG89" i="8"/>
  <c r="AG79" i="8"/>
  <c r="AG20" i="8"/>
  <c r="AG26" i="8"/>
  <c r="AG125" i="8"/>
  <c r="AG91" i="8"/>
  <c r="AG69" i="8"/>
  <c r="AG63" i="8"/>
  <c r="AG17" i="8"/>
  <c r="AG55" i="8"/>
  <c r="AG11" i="8"/>
  <c r="AG122" i="8"/>
  <c r="AG87" i="8"/>
  <c r="AG65" i="8"/>
  <c r="AG76" i="8"/>
  <c r="AG75" i="8"/>
  <c r="AG51" i="8"/>
  <c r="AG48" i="8"/>
  <c r="AG130" i="8"/>
  <c r="AG117" i="8"/>
  <c r="AG95" i="8"/>
  <c r="AG77" i="8"/>
  <c r="AG84" i="8"/>
  <c r="AG53" i="8"/>
  <c r="AG31" i="8"/>
  <c r="AG111" i="8"/>
  <c r="AG45" i="8"/>
  <c r="AG114" i="8"/>
  <c r="AG54" i="8"/>
  <c r="AG109" i="8"/>
  <c r="AG36" i="8"/>
  <c r="AG13" i="8"/>
  <c r="AG106" i="8"/>
  <c r="AG21" i="8"/>
  <c r="AG83" i="8"/>
  <c r="AG102" i="8"/>
  <c r="AG120" i="8"/>
  <c r="AG56" i="8"/>
  <c r="AG94" i="8"/>
  <c r="AG22" i="8"/>
  <c r="AG57" i="8"/>
  <c r="AG60" i="8"/>
  <c r="AG115" i="8"/>
  <c r="AG49" i="8"/>
  <c r="AG68" i="8"/>
  <c r="AG72" i="8"/>
  <c r="AG127" i="8"/>
  <c r="AG58" i="8"/>
  <c r="AG116" i="8"/>
  <c r="AG16" i="8"/>
  <c r="AG128" i="8"/>
  <c r="AG38" i="8"/>
  <c r="AG110" i="8"/>
  <c r="AG18" i="8"/>
  <c r="AG24" i="8"/>
  <c r="AG105" i="8"/>
  <c r="AG19" i="8"/>
  <c r="AD34" i="8"/>
  <c r="AD120" i="8"/>
  <c r="AD83" i="8"/>
  <c r="AD108" i="8"/>
  <c r="AD114" i="8"/>
  <c r="AD54" i="8"/>
  <c r="AD119" i="8"/>
  <c r="AD18" i="8"/>
  <c r="AD39" i="8"/>
  <c r="AD109" i="8"/>
  <c r="AD75" i="8"/>
  <c r="AD100" i="8"/>
  <c r="AD64" i="8"/>
  <c r="AD46" i="8"/>
  <c r="AD97" i="8"/>
  <c r="AD33" i="8"/>
  <c r="AD115" i="8"/>
  <c r="AD131" i="8"/>
  <c r="AD84" i="8"/>
  <c r="AD48" i="8"/>
  <c r="AD69" i="8"/>
  <c r="AD24" i="8"/>
  <c r="AD52" i="8"/>
  <c r="AD133" i="8"/>
  <c r="AD122" i="8"/>
  <c r="AD76" i="8"/>
  <c r="AD40" i="8"/>
  <c r="AD65" i="8"/>
  <c r="AD13" i="8"/>
  <c r="AD20" i="8"/>
  <c r="AD28" i="8"/>
  <c r="AD112" i="8"/>
  <c r="AD110" i="8"/>
  <c r="AD68" i="8"/>
  <c r="AD132" i="8"/>
  <c r="AD57" i="8"/>
  <c r="AD23" i="8"/>
  <c r="AD55" i="8"/>
  <c r="AD104" i="8"/>
  <c r="AD102" i="8"/>
  <c r="AD111" i="8"/>
  <c r="AD105" i="8"/>
  <c r="AD49" i="8"/>
  <c r="AD14" i="8"/>
  <c r="AD36" i="8"/>
  <c r="AD96" i="8"/>
  <c r="AD94" i="8"/>
  <c r="AD103" i="8"/>
  <c r="AD106" i="8"/>
  <c r="AD41" i="8"/>
  <c r="AD66" i="8"/>
  <c r="AD31" i="8"/>
  <c r="AD80" i="8"/>
  <c r="AD78" i="8"/>
  <c r="AD87" i="8"/>
  <c r="AD67" i="8"/>
  <c r="AD73" i="8"/>
  <c r="AD35" i="8"/>
  <c r="AD50" i="8"/>
  <c r="AD129" i="8"/>
  <c r="AD72" i="8"/>
  <c r="AD70" i="8"/>
  <c r="AD79" i="8"/>
  <c r="AD59" i="8"/>
  <c r="AD85" i="8"/>
  <c r="AD15" i="8"/>
  <c r="AD44" i="8"/>
  <c r="AD130" i="8"/>
  <c r="AD116" i="8"/>
  <c r="AD134" i="8"/>
  <c r="AD61" i="8"/>
  <c r="AD43" i="8"/>
  <c r="AD60" i="8"/>
  <c r="AD16" i="8"/>
  <c r="AD21" i="8"/>
  <c r="AD125" i="8"/>
  <c r="AD107" i="8"/>
  <c r="AD113" i="8"/>
  <c r="AD53" i="8"/>
  <c r="AD82" i="8"/>
  <c r="AD98" i="8"/>
  <c r="AD17" i="8"/>
  <c r="AD63" i="8"/>
  <c r="AD124" i="8"/>
  <c r="AD91" i="8"/>
  <c r="AD118" i="8"/>
  <c r="AD37" i="8"/>
  <c r="AD62" i="8"/>
  <c r="AD89" i="8"/>
  <c r="AD58" i="8"/>
  <c r="AD71" i="8"/>
  <c r="AD29" i="8"/>
  <c r="AD11" i="8"/>
  <c r="AD45" i="8"/>
  <c r="AD25" i="8"/>
  <c r="AD56" i="8"/>
  <c r="AD27" i="8"/>
  <c r="AD74" i="8"/>
  <c r="AD135" i="8"/>
  <c r="AD51" i="8"/>
  <c r="AD126" i="8"/>
  <c r="AD90" i="8"/>
  <c r="AD127" i="8"/>
  <c r="AD38" i="8"/>
  <c r="AD88" i="8"/>
  <c r="AD77" i="8"/>
  <c r="AD121" i="8"/>
  <c r="AD81" i="8"/>
  <c r="AD99" i="8"/>
  <c r="AD93" i="8"/>
  <c r="AD128" i="8"/>
  <c r="AD32" i="8"/>
  <c r="AD86" i="8"/>
  <c r="AD47" i="8"/>
  <c r="AD117" i="8"/>
  <c r="AD42" i="8"/>
  <c r="AD123" i="8"/>
  <c r="AD101" i="8"/>
  <c r="AD92" i="8"/>
  <c r="AD19" i="8"/>
  <c r="AD22" i="8"/>
  <c r="AD95" i="8"/>
  <c r="AD30" i="8"/>
  <c r="AD26" i="8"/>
  <c r="AD12" i="8"/>
  <c r="AF11" i="9"/>
  <c r="AF46" i="9"/>
  <c r="AF29" i="9"/>
  <c r="AF52" i="9"/>
  <c r="AF135" i="9"/>
  <c r="AF85" i="9"/>
  <c r="AF99" i="9"/>
  <c r="AF133" i="9"/>
  <c r="AF30" i="9"/>
  <c r="AF49" i="9"/>
  <c r="AF31" i="9"/>
  <c r="AF119" i="9"/>
  <c r="AF77" i="9"/>
  <c r="AF91" i="9"/>
  <c r="AF117" i="9"/>
  <c r="AF68" i="9"/>
  <c r="AF41" i="9"/>
  <c r="AF27" i="9"/>
  <c r="AF35" i="9"/>
  <c r="AF130" i="9"/>
  <c r="AF69" i="9"/>
  <c r="AF83" i="9"/>
  <c r="AF128" i="9"/>
  <c r="AF64" i="9"/>
  <c r="AF129" i="9"/>
  <c r="AF10" i="9"/>
  <c r="AF114" i="9"/>
  <c r="AF61" i="9"/>
  <c r="AF75" i="9"/>
  <c r="AF113" i="9"/>
  <c r="AF48" i="9"/>
  <c r="AF118" i="9"/>
  <c r="AF26" i="9"/>
  <c r="AF106" i="9"/>
  <c r="AF131" i="9"/>
  <c r="AF67" i="9"/>
  <c r="AF105" i="9"/>
  <c r="AF40" i="9"/>
  <c r="AF84" i="9"/>
  <c r="AF22" i="9"/>
  <c r="AF98" i="9"/>
  <c r="AF115" i="9"/>
  <c r="AF59" i="9"/>
  <c r="AF97" i="9"/>
  <c r="AF28" i="9"/>
  <c r="AF42" i="9"/>
  <c r="AF47" i="9"/>
  <c r="AF90" i="9"/>
  <c r="AF126" i="9"/>
  <c r="AF127" i="9"/>
  <c r="AF89" i="9"/>
  <c r="AF100" i="9"/>
  <c r="AF18" i="9"/>
  <c r="AF25" i="9"/>
  <c r="AF82" i="9"/>
  <c r="AF112" i="9"/>
  <c r="AF122" i="9"/>
  <c r="AF81" i="9"/>
  <c r="AF72" i="9"/>
  <c r="AF36" i="9"/>
  <c r="AF12" i="9"/>
  <c r="AF74" i="9"/>
  <c r="AF104" i="9"/>
  <c r="AF110" i="9"/>
  <c r="AF73" i="9"/>
  <c r="AF51" i="9"/>
  <c r="AF19" i="9"/>
  <c r="AF38" i="9"/>
  <c r="AF15" i="9"/>
  <c r="AF66" i="9"/>
  <c r="AF96" i="9"/>
  <c r="AF102" i="9"/>
  <c r="AF65" i="9"/>
  <c r="AF43" i="9"/>
  <c r="AF92" i="9"/>
  <c r="AF24" i="9"/>
  <c r="AF124" i="9"/>
  <c r="AF58" i="9"/>
  <c r="AF88" i="9"/>
  <c r="AF94" i="9"/>
  <c r="AF57" i="9"/>
  <c r="AF123" i="9"/>
  <c r="AF33" i="9"/>
  <c r="AF13" i="9"/>
  <c r="AF111" i="9"/>
  <c r="AF125" i="9"/>
  <c r="AF80" i="9"/>
  <c r="AF86" i="9"/>
  <c r="AF60" i="9"/>
  <c r="AF63" i="9"/>
  <c r="AF20" i="9"/>
  <c r="AF50" i="9"/>
  <c r="AF23" i="9"/>
  <c r="AF103" i="9"/>
  <c r="AF120" i="9"/>
  <c r="AF121" i="9"/>
  <c r="AF78" i="9"/>
  <c r="AF56" i="9"/>
  <c r="AF134" i="9"/>
  <c r="AF21" i="9"/>
  <c r="AF44" i="9"/>
  <c r="AF71" i="9"/>
  <c r="AF95" i="9"/>
  <c r="AF109" i="9"/>
  <c r="AF132" i="9"/>
  <c r="AF70" i="9"/>
  <c r="AF53" i="9"/>
  <c r="AF76" i="9"/>
  <c r="AF39" i="9"/>
  <c r="AF32" i="9"/>
  <c r="AF14" i="9"/>
  <c r="AF87" i="9"/>
  <c r="AF101" i="9"/>
  <c r="AF116" i="9"/>
  <c r="AF62" i="9"/>
  <c r="AF45" i="9"/>
  <c r="AF34" i="9"/>
  <c r="AF16" i="9"/>
  <c r="AF17" i="9"/>
  <c r="AF79" i="9"/>
  <c r="AF93" i="9"/>
  <c r="AF107" i="9"/>
  <c r="AF54" i="9"/>
  <c r="AF37" i="9"/>
  <c r="AF108" i="9"/>
  <c r="AF55" i="9"/>
  <c r="AG41" i="13"/>
  <c r="AG12" i="13"/>
  <c r="AG49" i="13"/>
  <c r="AG126" i="13"/>
  <c r="AG33" i="13"/>
  <c r="AG121" i="13"/>
  <c r="AG108" i="13"/>
  <c r="AG132" i="13"/>
  <c r="AG83" i="13"/>
  <c r="AG127" i="13"/>
  <c r="AG71" i="13"/>
  <c r="AG122" i="13"/>
  <c r="AG65" i="13"/>
  <c r="AG130" i="13"/>
  <c r="AG113" i="13"/>
  <c r="AG117" i="13"/>
  <c r="AG110" i="13"/>
  <c r="AG58" i="13"/>
  <c r="AG37" i="13"/>
  <c r="AG25" i="13"/>
  <c r="AG32" i="13"/>
  <c r="AG128" i="13"/>
  <c r="AG107" i="13"/>
  <c r="AG111" i="13"/>
  <c r="AG84" i="13"/>
  <c r="AG24" i="13"/>
  <c r="AG19" i="13"/>
  <c r="AG13" i="13"/>
  <c r="AG134" i="13"/>
  <c r="AG82" i="13"/>
  <c r="AG93" i="13"/>
  <c r="AG51" i="13"/>
  <c r="AG29" i="13"/>
  <c r="AG46" i="13"/>
  <c r="AG118" i="13"/>
  <c r="AG48" i="13"/>
  <c r="AG92" i="13"/>
  <c r="AG45" i="13"/>
  <c r="AG23" i="13"/>
  <c r="AG43" i="13"/>
  <c r="AG90" i="13"/>
  <c r="AG96" i="13"/>
  <c r="AG86" i="13"/>
  <c r="AG22" i="13"/>
  <c r="AG14" i="13"/>
  <c r="AG79" i="13"/>
  <c r="AG135" i="13"/>
  <c r="AG56" i="13"/>
  <c r="AG106" i="13"/>
  <c r="AG80" i="13"/>
  <c r="AG100" i="13"/>
  <c r="AG85" i="13"/>
  <c r="AG15" i="13"/>
  <c r="AG119" i="13"/>
  <c r="AG99" i="13"/>
  <c r="AG95" i="13"/>
  <c r="AG74" i="13"/>
  <c r="AG62" i="13"/>
  <c r="AG36" i="13"/>
  <c r="AG11" i="13"/>
  <c r="AG102" i="13"/>
  <c r="AG125" i="13"/>
  <c r="AG109" i="13"/>
  <c r="AG69" i="13"/>
  <c r="AG103" i="13"/>
  <c r="AG54" i="13"/>
  <c r="AG68" i="13"/>
  <c r="AG40" i="13"/>
  <c r="AG120" i="13"/>
  <c r="AG98" i="13"/>
  <c r="AG63" i="13"/>
  <c r="AG91" i="13"/>
  <c r="AG35" i="13"/>
  <c r="AG50" i="13"/>
  <c r="AG18" i="13"/>
  <c r="AG115" i="13"/>
  <c r="AG97" i="13"/>
  <c r="AG105" i="13"/>
  <c r="AG34" i="13"/>
  <c r="AG39" i="13"/>
  <c r="AG101" i="13"/>
  <c r="AG31" i="13"/>
  <c r="AG112" i="13"/>
  <c r="AG76" i="13"/>
  <c r="AG94" i="13"/>
  <c r="AG60" i="13"/>
  <c r="AG28" i="13"/>
  <c r="AG72" i="13"/>
  <c r="AG57" i="13"/>
  <c r="AG133" i="13"/>
  <c r="AG64" i="13"/>
  <c r="AG81" i="13"/>
  <c r="AG42" i="13"/>
  <c r="AG26" i="13"/>
  <c r="AG38" i="13"/>
  <c r="AG16" i="13"/>
  <c r="AG70" i="13"/>
  <c r="AG53" i="13"/>
  <c r="AG88" i="13"/>
  <c r="AG78" i="13"/>
  <c r="AG52" i="13"/>
  <c r="AG75" i="13"/>
  <c r="AG21" i="13"/>
  <c r="AG129" i="13"/>
  <c r="AG47" i="13"/>
  <c r="AG73" i="13"/>
  <c r="AG87" i="13"/>
  <c r="AG20" i="13"/>
  <c r="AG104" i="13"/>
  <c r="AG124" i="13"/>
  <c r="AG61" i="13"/>
  <c r="AG59" i="13"/>
  <c r="AG66" i="13"/>
  <c r="AG114" i="13"/>
  <c r="AG55" i="13"/>
  <c r="AG131" i="13"/>
  <c r="AG67" i="13"/>
  <c r="AG116" i="13"/>
  <c r="AG27" i="13"/>
  <c r="AG123" i="13"/>
  <c r="AG44" i="13"/>
  <c r="AG77" i="13"/>
  <c r="AG30" i="13"/>
  <c r="AG89" i="13"/>
  <c r="AG17" i="13"/>
  <c r="AG10" i="13"/>
  <c r="AD43" i="13"/>
  <c r="AD28" i="13"/>
  <c r="AD13" i="13"/>
  <c r="AD27" i="13"/>
  <c r="AD38" i="13"/>
  <c r="AD12" i="13"/>
  <c r="AD15" i="13"/>
  <c r="AD103" i="13"/>
  <c r="AD58" i="13"/>
  <c r="AD56" i="13"/>
  <c r="AD78" i="13"/>
  <c r="AD59" i="13"/>
  <c r="AD22" i="13"/>
  <c r="AD69" i="13"/>
  <c r="AD95" i="13"/>
  <c r="AD125" i="13"/>
  <c r="AD121" i="13"/>
  <c r="AD70" i="13"/>
  <c r="AD97" i="13"/>
  <c r="AD11" i="13"/>
  <c r="AD17" i="13"/>
  <c r="AD73" i="13"/>
  <c r="AD79" i="13"/>
  <c r="AD109" i="13"/>
  <c r="AD116" i="13"/>
  <c r="AD54" i="13"/>
  <c r="AD55" i="13"/>
  <c r="AD85" i="13"/>
  <c r="AD18" i="13"/>
  <c r="AD134" i="13"/>
  <c r="AD71" i="13"/>
  <c r="AD101" i="13"/>
  <c r="AD107" i="13"/>
  <c r="AD133" i="13"/>
  <c r="AD48" i="13"/>
  <c r="AD29" i="13"/>
  <c r="AD118" i="13"/>
  <c r="AD63" i="13"/>
  <c r="AD93" i="13"/>
  <c r="AD99" i="13"/>
  <c r="AD117" i="13"/>
  <c r="AD40" i="13"/>
  <c r="AD23" i="13"/>
  <c r="AD25" i="13"/>
  <c r="AD108" i="13"/>
  <c r="AD135" i="13"/>
  <c r="AD131" i="13"/>
  <c r="AD91" i="13"/>
  <c r="AD128" i="13"/>
  <c r="AD105" i="13"/>
  <c r="AD14" i="13"/>
  <c r="AD100" i="13"/>
  <c r="AD119" i="13"/>
  <c r="AD115" i="13"/>
  <c r="AD83" i="13"/>
  <c r="AD52" i="13"/>
  <c r="AD81" i="13"/>
  <c r="AD47" i="13"/>
  <c r="AD24" i="13"/>
  <c r="AD20" i="13"/>
  <c r="AD84" i="13"/>
  <c r="AD114" i="13"/>
  <c r="AD112" i="13"/>
  <c r="AD67" i="13"/>
  <c r="AD36" i="13"/>
  <c r="AD61" i="13"/>
  <c r="AD53" i="13"/>
  <c r="AD76" i="13"/>
  <c r="AD106" i="13"/>
  <c r="AD104" i="13"/>
  <c r="AD127" i="13"/>
  <c r="AD123" i="13"/>
  <c r="AD34" i="13"/>
  <c r="AD41" i="13"/>
  <c r="AD60" i="13"/>
  <c r="AD90" i="13"/>
  <c r="AD88" i="13"/>
  <c r="AD110" i="13"/>
  <c r="AD65" i="13"/>
  <c r="AD45" i="13"/>
  <c r="AD16" i="13"/>
  <c r="AD129" i="13"/>
  <c r="AD82" i="13"/>
  <c r="AD80" i="13"/>
  <c r="AD102" i="13"/>
  <c r="AD50" i="13"/>
  <c r="AD37" i="13"/>
  <c r="AD19" i="13"/>
  <c r="AD111" i="13"/>
  <c r="AD66" i="13"/>
  <c r="AD64" i="13"/>
  <c r="AD86" i="13"/>
  <c r="AD89" i="13"/>
  <c r="AD35" i="13"/>
  <c r="AD32" i="13"/>
  <c r="AD49" i="13"/>
  <c r="AD122" i="13"/>
  <c r="AD46" i="13"/>
  <c r="AD94" i="13"/>
  <c r="AD62" i="13"/>
  <c r="AD92" i="13"/>
  <c r="AD44" i="13"/>
  <c r="AD68" i="13"/>
  <c r="AD77" i="13"/>
  <c r="AD124" i="13"/>
  <c r="AD42" i="13"/>
  <c r="AD87" i="13"/>
  <c r="AD113" i="13"/>
  <c r="AD130" i="13"/>
  <c r="AD57" i="13"/>
  <c r="AD98" i="13"/>
  <c r="AD21" i="13"/>
  <c r="AD74" i="13"/>
  <c r="AD51" i="13"/>
  <c r="AD26" i="13"/>
  <c r="AD120" i="13"/>
  <c r="AD39" i="13"/>
  <c r="AD126" i="13"/>
  <c r="AD30" i="13"/>
  <c r="AD96" i="13"/>
  <c r="AD31" i="13"/>
  <c r="AD72" i="13"/>
  <c r="AD33" i="13"/>
  <c r="AD132" i="13"/>
  <c r="AD75" i="13"/>
  <c r="AF20" i="11"/>
  <c r="AF119" i="11"/>
  <c r="AF134" i="11"/>
  <c r="AF125" i="11"/>
  <c r="AF116" i="11"/>
  <c r="AF60" i="11"/>
  <c r="AF92" i="11"/>
  <c r="AF129" i="11"/>
  <c r="AF57" i="11"/>
  <c r="AF18" i="11"/>
  <c r="AF120" i="11"/>
  <c r="AF107" i="11"/>
  <c r="AF52" i="11"/>
  <c r="AF77" i="11"/>
  <c r="AF123" i="11"/>
  <c r="AF25" i="11"/>
  <c r="AF78" i="11"/>
  <c r="AF109" i="11"/>
  <c r="AF99" i="11"/>
  <c r="AF44" i="11"/>
  <c r="AF132" i="11"/>
  <c r="AF54" i="11"/>
  <c r="AF38" i="11"/>
  <c r="AF33" i="11"/>
  <c r="AF101" i="11"/>
  <c r="AF91" i="11"/>
  <c r="AF71" i="11"/>
  <c r="AF118" i="11"/>
  <c r="AF37" i="11"/>
  <c r="AF24" i="11"/>
  <c r="AF14" i="11"/>
  <c r="AF93" i="11"/>
  <c r="AF83" i="11"/>
  <c r="AF63" i="11"/>
  <c r="AF72" i="11"/>
  <c r="AF30" i="11"/>
  <c r="AF87" i="11"/>
  <c r="AF11" i="11"/>
  <c r="AF85" i="11"/>
  <c r="AF122" i="11"/>
  <c r="AF55" i="11"/>
  <c r="AF64" i="11"/>
  <c r="AF29" i="11"/>
  <c r="AF73" i="11"/>
  <c r="AF34" i="11"/>
  <c r="AF124" i="11"/>
  <c r="AF135" i="11"/>
  <c r="AF110" i="11"/>
  <c r="AF47" i="11"/>
  <c r="AF56" i="11"/>
  <c r="AF21" i="11"/>
  <c r="AF69" i="11"/>
  <c r="AF15" i="11"/>
  <c r="AF111" i="11"/>
  <c r="AF131" i="11"/>
  <c r="AF102" i="11"/>
  <c r="AF113" i="11"/>
  <c r="AF48" i="11"/>
  <c r="AF40" i="11"/>
  <c r="AF23" i="11"/>
  <c r="AF13" i="11"/>
  <c r="AF103" i="11"/>
  <c r="AF115" i="11"/>
  <c r="AF94" i="11"/>
  <c r="AF108" i="11"/>
  <c r="AF97" i="11"/>
  <c r="AF28" i="11"/>
  <c r="AF41" i="11"/>
  <c r="AF31" i="11"/>
  <c r="AF95" i="11"/>
  <c r="AF126" i="11"/>
  <c r="AF130" i="11"/>
  <c r="AF112" i="11"/>
  <c r="AF117" i="11"/>
  <c r="AF79" i="11"/>
  <c r="AF67" i="11"/>
  <c r="AF27" i="11"/>
  <c r="AF70" i="11"/>
  <c r="AF32" i="11"/>
  <c r="AF114" i="11"/>
  <c r="AF104" i="11"/>
  <c r="AF127" i="11"/>
  <c r="AF74" i="11"/>
  <c r="AF59" i="11"/>
  <c r="AF89" i="11"/>
  <c r="AF36" i="11"/>
  <c r="AF12" i="11"/>
  <c r="AF82" i="11"/>
  <c r="AF121" i="11"/>
  <c r="AF68" i="11"/>
  <c r="AF42" i="11"/>
  <c r="AF133" i="11"/>
  <c r="AF22" i="11"/>
  <c r="AF35" i="11"/>
  <c r="AF65" i="11"/>
  <c r="AF96" i="11"/>
  <c r="AF53" i="11"/>
  <c r="AF88" i="11"/>
  <c r="AF49" i="11"/>
  <c r="AF80" i="11"/>
  <c r="AF26" i="11"/>
  <c r="AF86" i="11"/>
  <c r="AF128" i="11"/>
  <c r="AF100" i="11"/>
  <c r="AF17" i="11"/>
  <c r="AF84" i="11"/>
  <c r="AF62" i="11"/>
  <c r="AF76" i="11"/>
  <c r="AF61" i="11"/>
  <c r="AF105" i="11"/>
  <c r="AF39" i="11"/>
  <c r="AF66" i="11"/>
  <c r="AF19" i="11"/>
  <c r="AF58" i="11"/>
  <c r="AF46" i="11"/>
  <c r="AF50" i="11"/>
  <c r="AF16" i="11"/>
  <c r="AF75" i="11"/>
  <c r="AF51" i="11"/>
  <c r="AF90" i="11"/>
  <c r="AF45" i="11"/>
  <c r="AF106" i="11"/>
  <c r="AF98" i="11"/>
  <c r="AF81" i="11"/>
  <c r="AF43" i="11"/>
  <c r="AF10" i="22"/>
  <c r="AD31" i="14"/>
  <c r="AD10" i="14"/>
  <c r="AD18" i="14"/>
  <c r="AD85" i="14"/>
  <c r="AD127" i="14"/>
  <c r="AD77" i="14"/>
  <c r="AD91" i="14"/>
  <c r="AD89" i="14"/>
  <c r="AD13" i="14"/>
  <c r="AD47" i="14"/>
  <c r="AD61" i="14"/>
  <c r="AD25" i="14"/>
  <c r="AD29" i="14"/>
  <c r="AD67" i="14"/>
  <c r="AD128" i="14"/>
  <c r="AD69" i="14"/>
  <c r="AD83" i="14"/>
  <c r="AD81" i="14"/>
  <c r="AD95" i="14"/>
  <c r="AD39" i="14"/>
  <c r="AD53" i="14"/>
  <c r="AD59" i="14"/>
  <c r="AD106" i="14"/>
  <c r="AD74" i="14"/>
  <c r="AD80" i="14"/>
  <c r="AD86" i="14"/>
  <c r="AD84" i="14"/>
  <c r="AD124" i="14"/>
  <c r="AD66" i="14"/>
  <c r="AD48" i="14"/>
  <c r="AD14" i="14"/>
  <c r="AD125" i="14"/>
  <c r="AD72" i="14"/>
  <c r="AD78" i="14"/>
  <c r="AD76" i="14"/>
  <c r="AD60" i="14"/>
  <c r="AD58" i="14"/>
  <c r="AD40" i="14"/>
  <c r="AD16" i="14"/>
  <c r="AD35" i="14"/>
  <c r="AD115" i="14"/>
  <c r="AD102" i="14"/>
  <c r="AD54" i="14"/>
  <c r="AD34" i="14"/>
  <c r="AD64" i="14"/>
  <c r="AD126" i="14"/>
  <c r="AD94" i="14"/>
  <c r="AD46" i="14"/>
  <c r="AD19" i="14"/>
  <c r="AD56" i="14"/>
  <c r="AD112" i="14"/>
  <c r="AD70" i="14"/>
  <c r="AD38" i="14"/>
  <c r="AD79" i="14"/>
  <c r="AD28" i="14"/>
  <c r="AD104" i="14"/>
  <c r="AD117" i="14"/>
  <c r="AD24" i="14"/>
  <c r="AD33" i="14"/>
  <c r="AD51" i="14"/>
  <c r="AD26" i="14"/>
  <c r="AD96" i="14"/>
  <c r="AD135" i="14"/>
  <c r="AD71" i="14"/>
  <c r="AD119" i="14"/>
  <c r="AD129" i="14"/>
  <c r="AD130" i="14"/>
  <c r="AD105" i="14"/>
  <c r="AD57" i="14"/>
  <c r="AD50" i="14"/>
  <c r="AD11" i="14"/>
  <c r="AD114" i="14"/>
  <c r="AD121" i="14"/>
  <c r="AD97" i="14"/>
  <c r="AD49" i="14"/>
  <c r="AD42" i="14"/>
  <c r="AD21" i="14"/>
  <c r="AD90" i="14"/>
  <c r="AD116" i="14"/>
  <c r="AD123" i="14"/>
  <c r="AD15" i="14"/>
  <c r="AD20" i="14"/>
  <c r="AD82" i="14"/>
  <c r="AD107" i="14"/>
  <c r="AD118" i="14"/>
  <c r="AD52" i="14"/>
  <c r="AD132" i="14"/>
  <c r="AD133" i="14"/>
  <c r="AD99" i="14"/>
  <c r="AD108" i="14"/>
  <c r="AD44" i="14"/>
  <c r="AD111" i="14"/>
  <c r="AD23" i="14"/>
  <c r="AD120" i="14"/>
  <c r="AD75" i="14"/>
  <c r="AD100" i="14"/>
  <c r="AD36" i="14"/>
  <c r="AD45" i="14"/>
  <c r="AD43" i="14"/>
  <c r="AD109" i="14"/>
  <c r="AD131" i="14"/>
  <c r="AD92" i="14"/>
  <c r="AD101" i="14"/>
  <c r="AD122" i="14"/>
  <c r="AD68" i="14"/>
  <c r="AD63" i="14"/>
  <c r="AD30" i="14"/>
  <c r="AD17" i="14"/>
  <c r="AD55" i="14"/>
  <c r="AD103" i="14"/>
  <c r="AD32" i="14"/>
  <c r="AD37" i="14"/>
  <c r="AD87" i="14"/>
  <c r="AD12" i="14"/>
  <c r="AD98" i="14"/>
  <c r="AD93" i="14"/>
  <c r="AD22" i="14"/>
  <c r="AD88" i="14"/>
  <c r="AD134" i="14"/>
  <c r="AD110" i="14"/>
  <c r="AD113" i="14"/>
  <c r="AD41" i="14"/>
  <c r="AD73" i="14"/>
  <c r="AD27" i="14"/>
  <c r="AD62" i="14"/>
  <c r="AD65" i="14"/>
  <c r="AF35" i="12"/>
  <c r="AF127" i="12"/>
  <c r="AF108" i="12"/>
  <c r="AF100" i="12"/>
  <c r="AF52" i="12"/>
  <c r="AF32" i="12"/>
  <c r="AF18" i="12"/>
  <c r="AF26" i="12"/>
  <c r="AF41" i="12"/>
  <c r="AF133" i="12"/>
  <c r="AF97" i="12"/>
  <c r="AF89" i="12"/>
  <c r="AF44" i="12"/>
  <c r="AF91" i="12"/>
  <c r="AF68" i="12"/>
  <c r="AF22" i="12"/>
  <c r="AF28" i="12"/>
  <c r="AF117" i="12"/>
  <c r="AF128" i="12"/>
  <c r="AF109" i="12"/>
  <c r="AF36" i="12"/>
  <c r="AF71" i="12"/>
  <c r="AF132" i="12"/>
  <c r="AF55" i="12"/>
  <c r="AF123" i="12"/>
  <c r="AF112" i="12"/>
  <c r="AF129" i="12"/>
  <c r="AF85" i="12"/>
  <c r="AF66" i="12"/>
  <c r="AF49" i="12"/>
  <c r="AF24" i="12"/>
  <c r="AF103" i="12"/>
  <c r="AF81" i="12"/>
  <c r="AF107" i="12"/>
  <c r="AF76" i="12"/>
  <c r="AF64" i="12"/>
  <c r="AF33" i="12"/>
  <c r="AF21" i="12"/>
  <c r="AF92" i="12"/>
  <c r="AF73" i="12"/>
  <c r="AF87" i="12"/>
  <c r="AF72" i="12"/>
  <c r="AF53" i="12"/>
  <c r="AF77" i="12"/>
  <c r="AF14" i="12"/>
  <c r="AF122" i="12"/>
  <c r="AF65" i="12"/>
  <c r="AF61" i="12"/>
  <c r="AF102" i="12"/>
  <c r="AF45" i="12"/>
  <c r="AF20" i="12"/>
  <c r="AF13" i="12"/>
  <c r="AF119" i="12"/>
  <c r="AF113" i="12"/>
  <c r="AF115" i="12"/>
  <c r="AF54" i="12"/>
  <c r="AF83" i="12"/>
  <c r="AF30" i="12"/>
  <c r="AF39" i="12"/>
  <c r="AF23" i="12"/>
  <c r="AF70" i="12"/>
  <c r="AF124" i="12"/>
  <c r="AF40" i="12"/>
  <c r="AF79" i="12"/>
  <c r="AF17" i="12"/>
  <c r="AF62" i="12"/>
  <c r="AF69" i="12"/>
  <c r="AF43" i="12"/>
  <c r="AF19" i="12"/>
  <c r="AF120" i="12"/>
  <c r="AF67" i="12"/>
  <c r="AF29" i="12"/>
  <c r="AF15" i="12"/>
  <c r="AF135" i="12"/>
  <c r="AF95" i="12"/>
  <c r="AF86" i="12"/>
  <c r="AF74" i="12"/>
  <c r="AF130" i="12"/>
  <c r="AF114" i="12"/>
  <c r="AF93" i="12"/>
  <c r="AF105" i="12"/>
  <c r="AF48" i="12"/>
  <c r="AF106" i="12"/>
  <c r="AF84" i="12"/>
  <c r="AF96" i="12"/>
  <c r="AF56" i="12"/>
  <c r="AF98" i="12"/>
  <c r="AF118" i="12"/>
  <c r="AF60" i="12"/>
  <c r="AF51" i="12"/>
  <c r="AF90" i="12"/>
  <c r="AF134" i="12"/>
  <c r="AF58" i="12"/>
  <c r="AF34" i="12"/>
  <c r="AF125" i="12"/>
  <c r="AF126" i="12"/>
  <c r="AF50" i="12"/>
  <c r="AF10" i="12"/>
  <c r="AF121" i="12"/>
  <c r="AF111" i="12"/>
  <c r="AF42" i="12"/>
  <c r="AF31" i="12"/>
  <c r="AF47" i="12"/>
  <c r="AF101" i="12"/>
  <c r="AF59" i="12"/>
  <c r="AF37" i="12"/>
  <c r="AF25" i="12"/>
  <c r="AF110" i="12"/>
  <c r="AF46" i="12"/>
  <c r="AF116" i="12"/>
  <c r="AF12" i="12"/>
  <c r="AF78" i="12"/>
  <c r="AF131" i="12"/>
  <c r="AF16" i="12"/>
  <c r="AF27" i="12"/>
  <c r="AF63" i="12"/>
  <c r="AF82" i="12"/>
  <c r="AF80" i="12"/>
  <c r="AF75" i="12"/>
  <c r="AF57" i="12"/>
  <c r="AF94" i="12"/>
  <c r="AF11" i="12"/>
  <c r="AF99" i="12"/>
  <c r="AF88" i="12"/>
  <c r="AF38" i="12"/>
  <c r="AF104" i="12"/>
  <c r="AC12" i="11"/>
  <c r="AC55" i="11"/>
  <c r="AC16" i="11"/>
  <c r="AC13" i="11"/>
  <c r="AC18" i="11"/>
  <c r="AC15" i="11"/>
  <c r="AC39" i="11"/>
  <c r="AC102" i="11"/>
  <c r="AC106" i="11"/>
  <c r="AC101" i="11"/>
  <c r="AC83" i="11"/>
  <c r="AC86" i="11"/>
  <c r="AC37" i="11"/>
  <c r="AC25" i="11"/>
  <c r="AC17" i="11"/>
  <c r="AC19" i="11"/>
  <c r="AC10" i="11"/>
  <c r="AC125" i="11"/>
  <c r="AC95" i="11"/>
  <c r="AC87" i="11"/>
  <c r="AC72" i="11"/>
  <c r="AC30" i="11"/>
  <c r="AC52" i="11"/>
  <c r="AC120" i="11"/>
  <c r="AC89" i="11"/>
  <c r="AC74" i="11"/>
  <c r="AC64" i="11"/>
  <c r="AC68" i="11"/>
  <c r="AC48" i="11"/>
  <c r="AC59" i="11"/>
  <c r="AC109" i="11"/>
  <c r="AC73" i="11"/>
  <c r="AC66" i="11"/>
  <c r="AC96" i="11"/>
  <c r="AC58" i="11"/>
  <c r="AC38" i="11"/>
  <c r="AC61" i="11"/>
  <c r="AC71" i="11"/>
  <c r="AC135" i="11"/>
  <c r="AC65" i="11"/>
  <c r="AC128" i="11"/>
  <c r="AC81" i="11"/>
  <c r="AC29" i="11"/>
  <c r="AC24" i="11"/>
  <c r="AC133" i="11"/>
  <c r="AC131" i="11"/>
  <c r="AC117" i="11"/>
  <c r="AC126" i="11"/>
  <c r="AC75" i="11"/>
  <c r="AC21" i="11"/>
  <c r="AC99" i="11"/>
  <c r="AC123" i="11"/>
  <c r="AC115" i="11"/>
  <c r="AC112" i="11"/>
  <c r="AC104" i="11"/>
  <c r="AC33" i="11"/>
  <c r="AC45" i="11"/>
  <c r="AC90" i="11"/>
  <c r="AC35" i="11"/>
  <c r="AC108" i="11"/>
  <c r="AC132" i="11"/>
  <c r="AC80" i="11"/>
  <c r="AC122" i="11"/>
  <c r="AC20" i="11"/>
  <c r="AC28" i="11"/>
  <c r="AC23" i="11"/>
  <c r="AC78" i="11"/>
  <c r="AC110" i="11"/>
  <c r="AC57" i="11"/>
  <c r="AC70" i="11"/>
  <c r="AC103" i="11"/>
  <c r="AC26" i="11"/>
  <c r="AC62" i="11"/>
  <c r="AC91" i="11"/>
  <c r="AC22" i="11"/>
  <c r="AC127" i="11"/>
  <c r="AC82" i="11"/>
  <c r="AC44" i="11"/>
  <c r="AC118" i="11"/>
  <c r="AC100" i="11"/>
  <c r="AC32" i="11"/>
  <c r="AC56" i="11"/>
  <c r="AC43" i="11"/>
  <c r="AC129" i="11"/>
  <c r="AC94" i="11"/>
  <c r="AC46" i="11"/>
  <c r="AC14" i="11"/>
  <c r="AL12" i="11" s="1" a="1"/>
  <c r="AL12" i="11" s="1"/>
  <c r="AC11" i="11"/>
  <c r="AC124" i="11"/>
  <c r="AC84" i="11"/>
  <c r="AC42" i="11"/>
  <c r="AC97" i="11"/>
  <c r="AC34" i="11"/>
  <c r="AC111" i="11"/>
  <c r="AC76" i="11"/>
  <c r="AC31" i="11"/>
  <c r="AC41" i="11"/>
  <c r="AC134" i="11"/>
  <c r="AC88" i="11"/>
  <c r="AC79" i="11"/>
  <c r="AC63" i="11"/>
  <c r="AC119" i="11"/>
  <c r="AC113" i="11"/>
  <c r="AC67" i="11"/>
  <c r="AC51" i="11"/>
  <c r="AC130" i="11"/>
  <c r="AC105" i="11"/>
  <c r="AC54" i="11"/>
  <c r="AC47" i="11"/>
  <c r="AC60" i="11"/>
  <c r="AC114" i="11"/>
  <c r="AC93" i="11"/>
  <c r="AC50" i="11"/>
  <c r="AC36" i="11"/>
  <c r="AC121" i="11"/>
  <c r="AC92" i="11"/>
  <c r="AC40" i="11"/>
  <c r="AC85" i="11"/>
  <c r="AC69" i="11"/>
  <c r="AC27" i="11"/>
  <c r="AC116" i="11"/>
  <c r="AC107" i="11"/>
  <c r="AC77" i="11"/>
  <c r="AC53" i="11"/>
  <c r="AC49" i="11"/>
  <c r="AC98" i="11"/>
  <c r="AD48" i="22"/>
  <c r="AD15" i="22"/>
  <c r="AD16" i="22"/>
  <c r="AD95" i="22"/>
  <c r="AD58" i="22"/>
  <c r="AD88" i="22"/>
  <c r="AD122" i="22"/>
  <c r="AD81" i="22"/>
  <c r="AD36" i="22"/>
  <c r="AD87" i="22"/>
  <c r="AD125" i="22"/>
  <c r="AD80" i="22"/>
  <c r="AD110" i="22"/>
  <c r="AD73" i="22"/>
  <c r="AD35" i="22"/>
  <c r="AD31" i="22"/>
  <c r="AD17" i="22"/>
  <c r="AD79" i="22"/>
  <c r="AD120" i="22"/>
  <c r="AD72" i="22"/>
  <c r="AD102" i="22"/>
  <c r="AD65" i="22"/>
  <c r="AD47" i="22"/>
  <c r="AD32" i="22"/>
  <c r="AD134" i="22"/>
  <c r="AD71" i="22"/>
  <c r="AD109" i="22"/>
  <c r="AD64" i="22"/>
  <c r="AD94" i="22"/>
  <c r="AD57" i="22"/>
  <c r="AD39" i="22"/>
  <c r="AD23" i="22"/>
  <c r="AD21" i="22"/>
  <c r="AD20" i="22"/>
  <c r="AD118" i="22"/>
  <c r="AD63" i="22"/>
  <c r="AD101" i="22"/>
  <c r="AD56" i="22"/>
  <c r="AD86" i="22"/>
  <c r="AD123" i="22"/>
  <c r="AD34" i="22"/>
  <c r="AD30" i="22"/>
  <c r="AD28" i="22"/>
  <c r="AD42" i="22"/>
  <c r="AD108" i="22"/>
  <c r="AD55" i="22"/>
  <c r="AD93" i="22"/>
  <c r="AD121" i="22"/>
  <c r="AD78" i="22"/>
  <c r="AD51" i="22"/>
  <c r="AD33" i="22"/>
  <c r="AD22" i="22"/>
  <c r="AD100" i="22"/>
  <c r="AD135" i="22"/>
  <c r="AD85" i="22"/>
  <c r="AD132" i="22"/>
  <c r="AD70" i="22"/>
  <c r="AD43" i="22"/>
  <c r="AD12" i="22"/>
  <c r="AD18" i="22"/>
  <c r="AD50" i="22"/>
  <c r="AD92" i="22"/>
  <c r="AD119" i="22"/>
  <c r="AD77" i="22"/>
  <c r="AD116" i="22"/>
  <c r="AD62" i="22"/>
  <c r="AD26" i="22"/>
  <c r="AD84" i="22"/>
  <c r="AD130" i="22"/>
  <c r="AD69" i="22"/>
  <c r="AD107" i="22"/>
  <c r="AD54" i="22"/>
  <c r="AD25" i="22"/>
  <c r="AD40" i="22"/>
  <c r="AD45" i="22"/>
  <c r="AD19" i="22"/>
  <c r="AD76" i="22"/>
  <c r="AD114" i="22"/>
  <c r="AD61" i="22"/>
  <c r="AD99" i="22"/>
  <c r="AD133" i="22"/>
  <c r="AD46" i="22"/>
  <c r="AD29" i="22"/>
  <c r="AD53" i="22"/>
  <c r="AD68" i="22"/>
  <c r="AD106" i="22"/>
  <c r="AD131" i="22"/>
  <c r="AD91" i="22"/>
  <c r="AD117" i="22"/>
  <c r="AD38" i="22"/>
  <c r="AD60" i="22"/>
  <c r="AD98" i="22"/>
  <c r="AD115" i="22"/>
  <c r="AD83" i="22"/>
  <c r="AD128" i="22"/>
  <c r="AD24" i="22"/>
  <c r="AD10" i="22"/>
  <c r="AD37" i="22"/>
  <c r="AD129" i="22"/>
  <c r="AD90" i="22"/>
  <c r="AD126" i="22"/>
  <c r="AD75" i="22"/>
  <c r="AD113" i="22"/>
  <c r="AD49" i="22"/>
  <c r="AD13" i="22"/>
  <c r="AD124" i="22"/>
  <c r="AD82" i="22"/>
  <c r="AD112" i="22"/>
  <c r="AD67" i="22"/>
  <c r="AD105" i="22"/>
  <c r="AD41" i="22"/>
  <c r="AD111" i="22"/>
  <c r="AD74" i="22"/>
  <c r="AD104" i="22"/>
  <c r="AD59" i="22"/>
  <c r="AD97" i="22"/>
  <c r="AD52" i="22"/>
  <c r="AD27" i="22"/>
  <c r="AD11" i="22"/>
  <c r="AD103" i="22"/>
  <c r="AD66" i="22"/>
  <c r="AD96" i="22"/>
  <c r="AD127" i="22"/>
  <c r="AD89" i="22"/>
  <c r="AD44" i="22"/>
  <c r="AD14" i="22"/>
  <c r="AF46" i="10"/>
  <c r="AF23" i="10"/>
  <c r="AF17" i="10"/>
  <c r="AF13" i="10"/>
  <c r="AF29" i="10"/>
  <c r="AF14" i="10"/>
  <c r="AF21" i="10"/>
  <c r="AF121" i="10"/>
  <c r="AF84" i="10"/>
  <c r="AF94" i="10"/>
  <c r="AF55" i="10"/>
  <c r="AF77" i="10"/>
  <c r="AF62" i="10"/>
  <c r="AF64" i="10"/>
  <c r="AF132" i="10"/>
  <c r="AF124" i="10"/>
  <c r="AF88" i="10"/>
  <c r="AF47" i="10"/>
  <c r="AF69" i="10"/>
  <c r="AF30" i="10"/>
  <c r="AF16" i="10"/>
  <c r="AF18" i="10"/>
  <c r="AF116" i="10"/>
  <c r="AF111" i="10"/>
  <c r="AF73" i="10"/>
  <c r="AF131" i="10"/>
  <c r="AF61" i="10"/>
  <c r="AF133" i="10"/>
  <c r="AF59" i="10"/>
  <c r="AF40" i="10"/>
  <c r="AF107" i="10"/>
  <c r="AF95" i="10"/>
  <c r="AF65" i="10"/>
  <c r="AF123" i="10"/>
  <c r="AF53" i="10"/>
  <c r="AF50" i="10"/>
  <c r="AF12" i="10"/>
  <c r="AF99" i="10"/>
  <c r="AF98" i="10"/>
  <c r="AF57" i="10"/>
  <c r="AF117" i="10"/>
  <c r="AF45" i="10"/>
  <c r="AF35" i="10"/>
  <c r="AF19" i="10"/>
  <c r="AF128" i="10"/>
  <c r="AF75" i="10"/>
  <c r="AF80" i="10"/>
  <c r="AF82" i="10"/>
  <c r="AF39" i="10"/>
  <c r="AF38" i="10"/>
  <c r="AF25" i="10"/>
  <c r="AF22" i="10"/>
  <c r="AF120" i="10"/>
  <c r="AF97" i="10"/>
  <c r="AF127" i="10"/>
  <c r="AF60" i="10"/>
  <c r="AF58" i="10"/>
  <c r="AF54" i="10"/>
  <c r="AF70" i="10"/>
  <c r="AF10" i="10"/>
  <c r="AF109" i="10"/>
  <c r="AF134" i="10"/>
  <c r="AF104" i="10"/>
  <c r="AF52" i="10"/>
  <c r="AF129" i="10"/>
  <c r="AF43" i="10"/>
  <c r="AF42" i="10"/>
  <c r="AF101" i="10"/>
  <c r="AF118" i="10"/>
  <c r="AF130" i="10"/>
  <c r="AF106" i="10"/>
  <c r="AF115" i="10"/>
  <c r="AF34" i="10"/>
  <c r="AF24" i="10"/>
  <c r="AF51" i="10"/>
  <c r="AF125" i="10"/>
  <c r="AF122" i="10"/>
  <c r="AF37" i="10"/>
  <c r="AF93" i="10"/>
  <c r="AF110" i="10"/>
  <c r="AF48" i="10"/>
  <c r="AF85" i="10"/>
  <c r="AF49" i="10"/>
  <c r="AF33" i="10"/>
  <c r="AF126" i="10"/>
  <c r="AF41" i="10"/>
  <c r="AF32" i="10"/>
  <c r="AF28" i="10"/>
  <c r="AF91" i="10"/>
  <c r="AF76" i="10"/>
  <c r="AF31" i="10"/>
  <c r="AF89" i="10"/>
  <c r="AF83" i="10"/>
  <c r="AF68" i="10"/>
  <c r="AF103" i="10"/>
  <c r="AF15" i="10"/>
  <c r="AF113" i="10"/>
  <c r="AF90" i="10"/>
  <c r="AF78" i="10"/>
  <c r="AF105" i="10"/>
  <c r="AF71" i="10"/>
  <c r="AF36" i="10"/>
  <c r="AF108" i="10"/>
  <c r="AF63" i="10"/>
  <c r="AF27" i="10"/>
  <c r="AF100" i="10"/>
  <c r="AF96" i="10"/>
  <c r="AF26" i="10"/>
  <c r="AF92" i="10"/>
  <c r="AF87" i="10"/>
  <c r="AF114" i="10"/>
  <c r="AF86" i="10"/>
  <c r="AF74" i="10"/>
  <c r="AF56" i="10"/>
  <c r="AF11" i="10"/>
  <c r="AF119" i="10"/>
  <c r="AF79" i="10"/>
  <c r="AF66" i="10"/>
  <c r="AF112" i="10"/>
  <c r="AF102" i="10"/>
  <c r="AF44" i="10"/>
  <c r="AF72" i="10"/>
  <c r="AF20" i="10"/>
  <c r="AF135" i="10"/>
  <c r="AF67" i="10"/>
  <c r="AF81" i="10"/>
  <c r="AC14" i="12"/>
  <c r="AC10" i="12"/>
  <c r="AC20" i="12"/>
  <c r="AC41" i="12"/>
  <c r="AC22" i="12"/>
  <c r="AC105" i="12"/>
  <c r="AC128" i="12"/>
  <c r="AC107" i="12"/>
  <c r="AC91" i="12"/>
  <c r="AC28" i="12"/>
  <c r="AC36" i="12"/>
  <c r="AC100" i="12"/>
  <c r="AC25" i="12"/>
  <c r="AC134" i="12"/>
  <c r="AC114" i="12"/>
  <c r="AC112" i="12"/>
  <c r="AC98" i="12"/>
  <c r="AC90" i="12"/>
  <c r="AC15" i="12"/>
  <c r="AC57" i="12"/>
  <c r="AC118" i="12"/>
  <c r="AC103" i="12"/>
  <c r="AC108" i="12"/>
  <c r="AC73" i="12"/>
  <c r="AC81" i="12"/>
  <c r="AC106" i="12"/>
  <c r="AC42" i="12"/>
  <c r="AC34" i="12"/>
  <c r="AC129" i="12"/>
  <c r="AC80" i="12"/>
  <c r="AC97" i="12"/>
  <c r="AC63" i="12"/>
  <c r="AC62" i="12"/>
  <c r="AC53" i="12"/>
  <c r="AC30" i="12"/>
  <c r="AC120" i="12"/>
  <c r="AC92" i="12"/>
  <c r="AC123" i="12"/>
  <c r="AC67" i="12"/>
  <c r="AC58" i="12"/>
  <c r="AC40" i="12"/>
  <c r="AC61" i="12"/>
  <c r="AC126" i="12"/>
  <c r="AC117" i="12"/>
  <c r="AC115" i="12"/>
  <c r="AC69" i="12"/>
  <c r="AC47" i="12"/>
  <c r="AC17" i="12"/>
  <c r="AC45" i="12"/>
  <c r="AC26" i="12"/>
  <c r="AC71" i="12"/>
  <c r="AC132" i="12"/>
  <c r="AC113" i="12"/>
  <c r="AC131" i="12"/>
  <c r="AC87" i="12"/>
  <c r="AC44" i="12"/>
  <c r="AC46" i="12"/>
  <c r="AC75" i="12"/>
  <c r="AC116" i="12"/>
  <c r="AC101" i="12"/>
  <c r="AC104" i="12"/>
  <c r="AC83" i="12"/>
  <c r="AC24" i="12"/>
  <c r="AC29" i="12"/>
  <c r="AC21" i="12"/>
  <c r="AC38" i="12"/>
  <c r="AC48" i="12"/>
  <c r="AC122" i="12"/>
  <c r="AC133" i="12"/>
  <c r="AC93" i="12"/>
  <c r="AC72" i="12"/>
  <c r="AC13" i="12"/>
  <c r="AC18" i="12"/>
  <c r="AC27" i="12"/>
  <c r="AC119" i="12"/>
  <c r="AC125" i="12"/>
  <c r="AC84" i="12"/>
  <c r="AC35" i="12"/>
  <c r="AC65" i="12"/>
  <c r="AC68" i="12"/>
  <c r="AC16" i="12"/>
  <c r="AC64" i="12"/>
  <c r="AC31" i="12"/>
  <c r="AC96" i="12"/>
  <c r="AC110" i="12"/>
  <c r="AC102" i="12"/>
  <c r="AC121" i="12"/>
  <c r="AC54" i="12"/>
  <c r="AC49" i="12"/>
  <c r="AC51" i="12"/>
  <c r="AC12" i="12"/>
  <c r="AC85" i="12"/>
  <c r="AC99" i="12"/>
  <c r="AC111" i="12"/>
  <c r="AC82" i="12"/>
  <c r="AC50" i="12"/>
  <c r="AC19" i="12"/>
  <c r="AC11" i="12"/>
  <c r="AC127" i="12"/>
  <c r="AC70" i="12"/>
  <c r="AC94" i="12"/>
  <c r="AC33" i="12"/>
  <c r="AC37" i="12"/>
  <c r="AC39" i="12"/>
  <c r="AC130" i="12"/>
  <c r="AC88" i="12"/>
  <c r="AC86" i="12"/>
  <c r="AC55" i="12"/>
  <c r="AC79" i="12"/>
  <c r="AC23" i="12"/>
  <c r="AC74" i="12"/>
  <c r="AC95" i="12"/>
  <c r="AC76" i="12"/>
  <c r="AC60" i="12"/>
  <c r="AC32" i="12"/>
  <c r="AC66" i="12"/>
  <c r="AC43" i="12"/>
  <c r="AC56" i="12"/>
  <c r="AC124" i="12"/>
  <c r="AC59" i="12"/>
  <c r="AC135" i="12"/>
  <c r="AC109" i="12"/>
  <c r="AC77" i="12"/>
  <c r="AC78" i="12"/>
  <c r="AC89" i="12"/>
  <c r="AC52" i="12"/>
  <c r="AF13" i="8"/>
  <c r="AF25" i="8"/>
  <c r="AF12" i="8"/>
  <c r="AF32" i="8"/>
  <c r="AF130" i="8"/>
  <c r="AF86" i="8"/>
  <c r="AF111" i="8"/>
  <c r="AF104" i="8"/>
  <c r="AF77" i="8"/>
  <c r="AF35" i="8"/>
  <c r="AF45" i="8"/>
  <c r="AF127" i="8"/>
  <c r="AF14" i="8"/>
  <c r="AF112" i="8"/>
  <c r="AF117" i="8"/>
  <c r="AF133" i="8"/>
  <c r="AF24" i="8"/>
  <c r="AF121" i="8"/>
  <c r="AF116" i="8"/>
  <c r="AF105" i="8"/>
  <c r="AF114" i="8"/>
  <c r="AF62" i="8"/>
  <c r="AF93" i="8"/>
  <c r="AF16" i="8"/>
  <c r="AF50" i="8"/>
  <c r="AF107" i="8"/>
  <c r="AF125" i="8"/>
  <c r="AF131" i="8"/>
  <c r="AF110" i="8"/>
  <c r="AF108" i="8"/>
  <c r="AF56" i="8"/>
  <c r="AF57" i="8"/>
  <c r="AF101" i="8"/>
  <c r="AF39" i="8"/>
  <c r="AF128" i="8"/>
  <c r="AF134" i="8"/>
  <c r="AF98" i="8"/>
  <c r="AF69" i="8"/>
  <c r="AF88" i="8"/>
  <c r="AF80" i="8"/>
  <c r="AF22" i="8"/>
  <c r="AF113" i="8"/>
  <c r="AF90" i="8"/>
  <c r="AF65" i="8"/>
  <c r="AF15" i="8"/>
  <c r="AF55" i="8"/>
  <c r="AF26" i="8"/>
  <c r="AF97" i="8"/>
  <c r="AF82" i="8"/>
  <c r="AF49" i="8"/>
  <c r="AF119" i="8"/>
  <c r="AF31" i="8"/>
  <c r="AF89" i="8"/>
  <c r="AF74" i="8"/>
  <c r="AF41" i="8"/>
  <c r="AF66" i="8"/>
  <c r="AF30" i="8"/>
  <c r="AF11" i="8"/>
  <c r="AF135" i="8"/>
  <c r="AF81" i="8"/>
  <c r="AF64" i="8"/>
  <c r="AF85" i="8"/>
  <c r="AF47" i="8"/>
  <c r="AF29" i="8"/>
  <c r="AF132" i="8"/>
  <c r="AF73" i="8"/>
  <c r="AF48" i="8"/>
  <c r="AF60" i="8"/>
  <c r="AF42" i="8"/>
  <c r="AF21" i="8"/>
  <c r="AF115" i="8"/>
  <c r="AF123" i="8"/>
  <c r="AF40" i="8"/>
  <c r="AF52" i="8"/>
  <c r="AF61" i="8"/>
  <c r="AF34" i="8"/>
  <c r="AF99" i="8"/>
  <c r="AF118" i="8"/>
  <c r="AF109" i="8"/>
  <c r="AF44" i="8"/>
  <c r="AF17" i="8"/>
  <c r="AF28" i="8"/>
  <c r="AF91" i="8"/>
  <c r="AF129" i="8"/>
  <c r="AF67" i="8"/>
  <c r="AF36" i="8"/>
  <c r="AF18" i="8"/>
  <c r="AF96" i="8"/>
  <c r="AF83" i="8"/>
  <c r="AF126" i="8"/>
  <c r="AF59" i="8"/>
  <c r="AF124" i="8"/>
  <c r="AF84" i="8"/>
  <c r="AF27" i="8"/>
  <c r="AF75" i="8"/>
  <c r="AF103" i="8"/>
  <c r="AF51" i="8"/>
  <c r="AF68" i="8"/>
  <c r="AF58" i="8"/>
  <c r="AF10" i="8"/>
  <c r="AF122" i="8"/>
  <c r="AF95" i="8"/>
  <c r="AF43" i="8"/>
  <c r="AF63" i="8"/>
  <c r="AF53" i="8"/>
  <c r="AF23" i="8"/>
  <c r="AF102" i="8"/>
  <c r="AF87" i="8"/>
  <c r="AF54" i="8"/>
  <c r="AF100" i="8"/>
  <c r="AF37" i="8"/>
  <c r="AF94" i="8"/>
  <c r="AF79" i="8"/>
  <c r="AF46" i="8"/>
  <c r="AF76" i="8"/>
  <c r="AF33" i="8"/>
  <c r="AF78" i="8"/>
  <c r="AF71" i="8"/>
  <c r="AF38" i="8"/>
  <c r="AF72" i="8"/>
  <c r="AF19" i="8"/>
  <c r="AF70" i="8"/>
  <c r="AF106" i="8"/>
  <c r="AF120" i="8"/>
  <c r="AF92" i="8"/>
  <c r="AF20" i="8"/>
  <c r="AC20" i="10"/>
  <c r="AC15" i="10"/>
  <c r="AC14" i="10"/>
  <c r="AC11" i="10"/>
  <c r="AC18" i="10"/>
  <c r="AC13" i="10"/>
  <c r="AC124" i="10"/>
  <c r="AC121" i="10"/>
  <c r="AC122" i="10"/>
  <c r="AC96" i="10"/>
  <c r="AC33" i="10"/>
  <c r="AC67" i="10"/>
  <c r="AC71" i="10"/>
  <c r="AC32" i="10"/>
  <c r="AC28" i="10"/>
  <c r="AC135" i="10"/>
  <c r="AC108" i="10"/>
  <c r="AC110" i="10"/>
  <c r="AC82" i="10"/>
  <c r="AC54" i="10"/>
  <c r="AC61" i="10"/>
  <c r="AC52" i="10"/>
  <c r="AC119" i="10"/>
  <c r="AC92" i="10"/>
  <c r="AC107" i="10"/>
  <c r="AC113" i="10"/>
  <c r="AC93" i="10"/>
  <c r="AC57" i="10"/>
  <c r="AC97" i="10"/>
  <c r="AC16" i="10"/>
  <c r="AC22" i="10"/>
  <c r="AC120" i="10"/>
  <c r="AC89" i="10"/>
  <c r="AC94" i="10"/>
  <c r="AC76" i="10"/>
  <c r="AC62" i="10"/>
  <c r="AC38" i="10"/>
  <c r="AC26" i="10"/>
  <c r="AC24" i="10"/>
  <c r="AC131" i="10"/>
  <c r="AC132" i="10"/>
  <c r="AC91" i="10"/>
  <c r="AC51" i="10"/>
  <c r="AC58" i="10"/>
  <c r="AC36" i="10"/>
  <c r="AC12" i="10"/>
  <c r="AC133" i="10"/>
  <c r="AC95" i="10"/>
  <c r="AC114" i="10"/>
  <c r="AC55" i="10"/>
  <c r="AC45" i="10"/>
  <c r="AC47" i="10"/>
  <c r="AC73" i="10"/>
  <c r="AC129" i="10"/>
  <c r="AC86" i="10"/>
  <c r="AC80" i="10"/>
  <c r="AC87" i="10"/>
  <c r="AC109" i="10"/>
  <c r="AC99" i="10"/>
  <c r="AC21" i="10"/>
  <c r="AC64" i="10"/>
  <c r="AC118" i="10"/>
  <c r="AC75" i="10"/>
  <c r="AC128" i="10"/>
  <c r="AC81" i="10"/>
  <c r="AC35" i="10"/>
  <c r="AC65" i="10"/>
  <c r="AC74" i="10"/>
  <c r="AC105" i="10"/>
  <c r="AC130" i="10"/>
  <c r="AC85" i="10"/>
  <c r="AC63" i="10"/>
  <c r="AC29" i="10"/>
  <c r="AC42" i="10"/>
  <c r="AC49" i="10"/>
  <c r="AC84" i="10"/>
  <c r="AC104" i="10"/>
  <c r="AC106" i="10"/>
  <c r="AC19" i="10"/>
  <c r="AC68" i="10"/>
  <c r="AC40" i="10"/>
  <c r="AC31" i="10"/>
  <c r="AC77" i="10"/>
  <c r="AC78" i="10"/>
  <c r="AC90" i="10"/>
  <c r="AC41" i="10"/>
  <c r="AC123" i="10"/>
  <c r="AC134" i="10"/>
  <c r="AC46" i="10"/>
  <c r="AC79" i="10"/>
  <c r="AC39" i="10"/>
  <c r="AC69" i="10"/>
  <c r="AC43" i="10"/>
  <c r="AC102" i="10"/>
  <c r="AC111" i="10"/>
  <c r="AC50" i="10"/>
  <c r="AC23" i="10"/>
  <c r="AC44" i="10"/>
  <c r="AC98" i="10"/>
  <c r="AC30" i="10"/>
  <c r="AC60" i="10"/>
  <c r="AC101" i="10"/>
  <c r="AC53" i="10"/>
  <c r="AC116" i="10"/>
  <c r="AC112" i="10"/>
  <c r="AC70" i="10"/>
  <c r="AC27" i="10"/>
  <c r="AC88" i="10"/>
  <c r="AC66" i="10"/>
  <c r="AC83" i="10"/>
  <c r="AC125" i="10"/>
  <c r="AC10" i="10"/>
  <c r="AC100" i="10"/>
  <c r="AC25" i="10"/>
  <c r="AC103" i="10"/>
  <c r="AC72" i="10"/>
  <c r="AC126" i="10"/>
  <c r="AC117" i="10"/>
  <c r="AC48" i="10"/>
  <c r="AC56" i="10"/>
  <c r="AC115" i="10"/>
  <c r="AC127" i="10"/>
  <c r="AC34" i="10"/>
  <c r="AC17" i="10"/>
  <c r="AC59" i="10"/>
  <c r="AC37" i="10"/>
  <c r="AE83" i="9"/>
  <c r="AE74" i="9"/>
  <c r="AE32" i="9"/>
  <c r="AE11" i="9"/>
  <c r="AE104" i="9"/>
  <c r="AE48" i="9"/>
  <c r="AE15" i="9"/>
  <c r="AE10" i="9"/>
  <c r="AE14" i="9"/>
  <c r="AE94" i="9"/>
  <c r="AE50" i="9"/>
  <c r="AE16" i="9"/>
  <c r="AE24" i="9"/>
  <c r="AE57" i="9"/>
  <c r="AE13" i="9"/>
  <c r="AE38" i="9"/>
  <c r="AE44" i="9"/>
  <c r="AE115" i="9"/>
  <c r="AE128" i="9"/>
  <c r="AE55" i="9"/>
  <c r="AE46" i="9"/>
  <c r="AE118" i="9"/>
  <c r="AE34" i="9"/>
  <c r="AE30" i="9"/>
  <c r="AE69" i="9"/>
  <c r="AE126" i="9"/>
  <c r="AE102" i="9"/>
  <c r="AE89" i="9"/>
  <c r="AE109" i="9"/>
  <c r="AE96" i="9"/>
  <c r="AE39" i="9"/>
  <c r="AE33" i="9"/>
  <c r="AE112" i="9"/>
  <c r="AE81" i="9"/>
  <c r="AE78" i="9"/>
  <c r="AE98" i="9"/>
  <c r="AE85" i="9"/>
  <c r="AE64" i="9"/>
  <c r="AE121" i="9"/>
  <c r="AE60" i="9"/>
  <c r="AE72" i="9"/>
  <c r="AE87" i="9"/>
  <c r="AE70" i="9"/>
  <c r="AE84" i="9"/>
  <c r="AE132" i="9"/>
  <c r="AE56" i="9"/>
  <c r="AE59" i="9"/>
  <c r="AE76" i="9"/>
  <c r="AE106" i="9"/>
  <c r="AE23" i="9"/>
  <c r="AE116" i="9"/>
  <c r="AE53" i="9"/>
  <c r="AE51" i="9"/>
  <c r="AE71" i="9"/>
  <c r="AE95" i="9"/>
  <c r="AE21" i="9"/>
  <c r="AE35" i="9"/>
  <c r="AE127" i="9"/>
  <c r="AE45" i="9"/>
  <c r="AE43" i="9"/>
  <c r="AE58" i="9"/>
  <c r="AE12" i="9"/>
  <c r="AE65" i="9"/>
  <c r="AE129" i="9"/>
  <c r="AE122" i="9"/>
  <c r="AE37" i="9"/>
  <c r="AE123" i="9"/>
  <c r="AE108" i="9"/>
  <c r="AE25" i="9"/>
  <c r="AE19" i="9"/>
  <c r="AE124" i="9"/>
  <c r="AE133" i="9"/>
  <c r="AE91" i="9"/>
  <c r="AE110" i="9"/>
  <c r="AE97" i="9"/>
  <c r="AE47" i="9"/>
  <c r="AE36" i="9"/>
  <c r="AE135" i="9"/>
  <c r="AE117" i="9"/>
  <c r="AE29" i="9"/>
  <c r="AE99" i="9"/>
  <c r="AE86" i="9"/>
  <c r="AE22" i="9"/>
  <c r="AE40" i="9"/>
  <c r="AE18" i="9"/>
  <c r="AE119" i="9"/>
  <c r="AE113" i="9"/>
  <c r="AE101" i="9"/>
  <c r="AE63" i="9"/>
  <c r="AE62" i="9"/>
  <c r="AE26" i="9"/>
  <c r="AE41" i="9"/>
  <c r="AE130" i="9"/>
  <c r="AE103" i="9"/>
  <c r="AE80" i="9"/>
  <c r="AE134" i="9"/>
  <c r="AE54" i="9"/>
  <c r="AE27" i="9"/>
  <c r="AE42" i="9"/>
  <c r="AE114" i="9"/>
  <c r="AE92" i="9"/>
  <c r="AE68" i="9"/>
  <c r="AE111" i="9"/>
  <c r="AE49" i="9"/>
  <c r="AE28" i="9"/>
  <c r="AE105" i="9"/>
  <c r="AE73" i="9"/>
  <c r="AE90" i="9"/>
  <c r="AE125" i="9"/>
  <c r="AE82" i="9"/>
  <c r="AE100" i="9"/>
  <c r="AE88" i="9"/>
  <c r="AE107" i="9"/>
  <c r="AE93" i="9"/>
  <c r="AE20" i="9"/>
  <c r="AE17" i="9"/>
  <c r="AE120" i="9"/>
  <c r="AE67" i="9"/>
  <c r="AE75" i="9"/>
  <c r="AE66" i="9"/>
  <c r="AE52" i="9"/>
  <c r="AE61" i="9"/>
  <c r="AE131" i="9"/>
  <c r="AE77" i="9"/>
  <c r="AE31" i="9"/>
  <c r="AE79" i="9"/>
  <c r="AF12" i="13"/>
  <c r="AF40" i="13"/>
  <c r="AF11" i="13"/>
  <c r="AF14" i="13"/>
  <c r="AF15" i="13"/>
  <c r="AF52" i="13"/>
  <c r="AF20" i="13"/>
  <c r="AF111" i="13"/>
  <c r="AF74" i="13"/>
  <c r="AF104" i="13"/>
  <c r="AF94" i="13"/>
  <c r="AF123" i="13"/>
  <c r="AF51" i="13"/>
  <c r="AF25" i="13"/>
  <c r="AF33" i="13"/>
  <c r="AF103" i="13"/>
  <c r="AF66" i="13"/>
  <c r="AF96" i="13"/>
  <c r="AF86" i="13"/>
  <c r="AF84" i="13"/>
  <c r="AF43" i="13"/>
  <c r="AF24" i="13"/>
  <c r="AF87" i="13"/>
  <c r="AF125" i="13"/>
  <c r="AF132" i="13"/>
  <c r="AF70" i="13"/>
  <c r="AF60" i="13"/>
  <c r="AF68" i="13"/>
  <c r="AF44" i="13"/>
  <c r="AF79" i="13"/>
  <c r="AF120" i="13"/>
  <c r="AF116" i="13"/>
  <c r="AF62" i="13"/>
  <c r="AF47" i="13"/>
  <c r="AF92" i="13"/>
  <c r="AF29" i="13"/>
  <c r="AF19" i="13"/>
  <c r="AF71" i="13"/>
  <c r="AF109" i="13"/>
  <c r="AF107" i="13"/>
  <c r="AF133" i="13"/>
  <c r="AF39" i="13"/>
  <c r="AF80" i="13"/>
  <c r="AF23" i="13"/>
  <c r="AF63" i="13"/>
  <c r="AF101" i="13"/>
  <c r="AF99" i="13"/>
  <c r="AF117" i="13"/>
  <c r="AF34" i="13"/>
  <c r="AF56" i="13"/>
  <c r="AF41" i="13"/>
  <c r="AF21" i="13"/>
  <c r="AF55" i="13"/>
  <c r="AF93" i="13"/>
  <c r="AF91" i="13"/>
  <c r="AF128" i="13"/>
  <c r="AF108" i="13"/>
  <c r="AF48" i="13"/>
  <c r="AF31" i="13"/>
  <c r="AF119" i="13"/>
  <c r="AF77" i="13"/>
  <c r="AF75" i="13"/>
  <c r="AF105" i="13"/>
  <c r="AF53" i="13"/>
  <c r="AF22" i="13"/>
  <c r="AF50" i="13"/>
  <c r="AF49" i="13"/>
  <c r="AF130" i="13"/>
  <c r="AF69" i="13"/>
  <c r="AF67" i="13"/>
  <c r="AF97" i="13"/>
  <c r="AF45" i="13"/>
  <c r="AF100" i="13"/>
  <c r="AF38" i="13"/>
  <c r="AF30" i="13"/>
  <c r="AF106" i="13"/>
  <c r="AF131" i="13"/>
  <c r="AF127" i="13"/>
  <c r="AF81" i="13"/>
  <c r="AF76" i="13"/>
  <c r="AF35" i="13"/>
  <c r="AF18" i="13"/>
  <c r="AF10" i="13"/>
  <c r="AF98" i="13"/>
  <c r="AF115" i="13"/>
  <c r="AF122" i="13"/>
  <c r="AF73" i="13"/>
  <c r="AF64" i="13"/>
  <c r="AF28" i="13"/>
  <c r="AF124" i="13"/>
  <c r="AF82" i="13"/>
  <c r="AF112" i="13"/>
  <c r="AF102" i="13"/>
  <c r="AF57" i="13"/>
  <c r="AF88" i="13"/>
  <c r="AF26" i="13"/>
  <c r="AF114" i="13"/>
  <c r="AF37" i="13"/>
  <c r="AF90" i="13"/>
  <c r="AF134" i="13"/>
  <c r="AF58" i="13"/>
  <c r="AF129" i="13"/>
  <c r="AF85" i="13"/>
  <c r="AF42" i="13"/>
  <c r="AF61" i="13"/>
  <c r="AF54" i="13"/>
  <c r="AF126" i="13"/>
  <c r="AF27" i="13"/>
  <c r="AF121" i="13"/>
  <c r="AF13" i="13"/>
  <c r="AF46" i="13"/>
  <c r="AF83" i="13"/>
  <c r="AF16" i="13"/>
  <c r="AF59" i="13"/>
  <c r="AF32" i="13"/>
  <c r="AF110" i="13"/>
  <c r="AF78" i="13"/>
  <c r="AF17" i="13"/>
  <c r="AF113" i="13"/>
  <c r="AF89" i="13"/>
  <c r="AF65" i="13"/>
  <c r="AF36" i="13"/>
  <c r="AF95" i="13"/>
  <c r="AF72" i="13"/>
  <c r="AF135" i="13"/>
  <c r="AF118" i="13"/>
  <c r="AC12" i="13"/>
  <c r="AC120" i="13"/>
  <c r="AC78" i="13"/>
  <c r="AC107" i="13"/>
  <c r="AC105" i="13"/>
  <c r="AC48" i="13"/>
  <c r="AC25" i="13"/>
  <c r="AC20" i="13"/>
  <c r="AC117" i="13"/>
  <c r="AC131" i="13"/>
  <c r="AC90" i="13"/>
  <c r="AC97" i="13"/>
  <c r="AC81" i="13"/>
  <c r="AC45" i="13"/>
  <c r="AC24" i="13"/>
  <c r="AC104" i="13"/>
  <c r="AC33" i="13"/>
  <c r="AC115" i="13"/>
  <c r="AC84" i="13"/>
  <c r="AC82" i="13"/>
  <c r="AC93" i="13"/>
  <c r="AC42" i="13"/>
  <c r="AC13" i="13"/>
  <c r="AC46" i="13"/>
  <c r="AC126" i="13"/>
  <c r="AC72" i="13"/>
  <c r="AC76" i="13"/>
  <c r="AC49" i="13"/>
  <c r="AC37" i="13"/>
  <c r="AC68" i="13"/>
  <c r="AC39" i="13"/>
  <c r="AC121" i="13"/>
  <c r="AC99" i="13"/>
  <c r="AC96" i="13"/>
  <c r="AC79" i="13"/>
  <c r="AC51" i="13"/>
  <c r="AC36" i="13"/>
  <c r="AC18" i="13"/>
  <c r="AC123" i="13"/>
  <c r="AC132" i="13"/>
  <c r="AC83" i="13"/>
  <c r="AC88" i="13"/>
  <c r="AC91" i="13"/>
  <c r="AC103" i="13"/>
  <c r="AC29" i="13"/>
  <c r="AC80" i="13"/>
  <c r="AC124" i="13"/>
  <c r="AC110" i="13"/>
  <c r="AC98" i="13"/>
  <c r="AC75" i="13"/>
  <c r="AC66" i="13"/>
  <c r="AC22" i="13"/>
  <c r="AC15" i="13"/>
  <c r="AC19" i="13"/>
  <c r="AC135" i="13"/>
  <c r="AC101" i="13"/>
  <c r="AC77" i="13"/>
  <c r="AC94" i="13"/>
  <c r="AC61" i="13"/>
  <c r="AC92" i="13"/>
  <c r="AC53" i="13"/>
  <c r="AC14" i="13"/>
  <c r="AC130" i="13"/>
  <c r="AC50" i="13"/>
  <c r="AC21" i="13"/>
  <c r="AC31" i="13"/>
  <c r="AC114" i="13"/>
  <c r="AC89" i="13"/>
  <c r="AC62" i="13"/>
  <c r="AC102" i="13"/>
  <c r="AC112" i="13"/>
  <c r="AC64" i="13"/>
  <c r="AC55" i="13"/>
  <c r="AC43" i="13"/>
  <c r="AC116" i="13"/>
  <c r="AC113" i="13"/>
  <c r="AC67" i="13"/>
  <c r="AC17" i="13"/>
  <c r="AC127" i="13"/>
  <c r="AC106" i="13"/>
  <c r="AC54" i="13"/>
  <c r="AC133" i="13"/>
  <c r="AC122" i="13"/>
  <c r="AC95" i="13"/>
  <c r="AC35" i="13"/>
  <c r="AC86" i="13"/>
  <c r="AC85" i="13"/>
  <c r="AC87" i="13"/>
  <c r="AC44" i="13"/>
  <c r="AC38" i="13"/>
  <c r="AC128" i="13"/>
  <c r="AC58" i="13"/>
  <c r="AC27" i="13"/>
  <c r="AC11" i="13"/>
  <c r="AC100" i="13"/>
  <c r="AC111" i="13"/>
  <c r="AC26" i="13"/>
  <c r="AC16" i="13"/>
  <c r="AC134" i="13"/>
  <c r="AC71" i="13"/>
  <c r="AC59" i="13"/>
  <c r="AC23" i="13"/>
  <c r="AC118" i="13"/>
  <c r="AC109" i="13"/>
  <c r="AC57" i="13"/>
  <c r="AC47" i="13"/>
  <c r="AC119" i="13"/>
  <c r="AC65" i="13"/>
  <c r="AC34" i="13"/>
  <c r="AC41" i="13"/>
  <c r="AC108" i="13"/>
  <c r="AC70" i="13"/>
  <c r="AC69" i="13"/>
  <c r="AC40" i="13"/>
  <c r="AC74" i="13"/>
  <c r="AC56" i="13"/>
  <c r="AC28" i="13"/>
  <c r="AC63" i="13"/>
  <c r="AC30" i="13"/>
  <c r="AC52" i="13"/>
  <c r="AC32" i="13"/>
  <c r="AC129" i="13"/>
  <c r="AC125" i="13"/>
  <c r="AC73" i="13"/>
  <c r="AC60" i="13"/>
  <c r="AE75" i="10"/>
  <c r="AE14" i="10"/>
  <c r="AE38" i="10"/>
  <c r="AE18" i="10"/>
  <c r="AE92" i="10"/>
  <c r="AE29" i="10"/>
  <c r="AE13" i="10"/>
  <c r="AE112" i="10"/>
  <c r="AE127" i="10"/>
  <c r="AE97" i="10"/>
  <c r="AE87" i="10"/>
  <c r="AE85" i="10"/>
  <c r="AE25" i="10"/>
  <c r="AE121" i="10"/>
  <c r="AE116" i="10"/>
  <c r="AE128" i="10"/>
  <c r="AE63" i="10"/>
  <c r="AE82" i="10"/>
  <c r="AE118" i="10"/>
  <c r="AE133" i="10"/>
  <c r="AE104" i="10"/>
  <c r="AE103" i="10"/>
  <c r="AE48" i="10"/>
  <c r="AE53" i="10"/>
  <c r="AE134" i="10"/>
  <c r="AE11" i="10"/>
  <c r="AE117" i="10"/>
  <c r="AE78" i="10"/>
  <c r="AE120" i="10"/>
  <c r="AE41" i="10"/>
  <c r="AE28" i="10"/>
  <c r="AE71" i="10"/>
  <c r="AE84" i="10"/>
  <c r="AE42" i="10"/>
  <c r="AE21" i="10"/>
  <c r="AE123" i="10"/>
  <c r="AE70" i="10"/>
  <c r="AE109" i="10"/>
  <c r="AE39" i="10"/>
  <c r="AE96" i="10"/>
  <c r="AE56" i="10"/>
  <c r="AE132" i="10"/>
  <c r="AE91" i="10"/>
  <c r="AE90" i="10"/>
  <c r="AE20" i="10"/>
  <c r="AE68" i="10"/>
  <c r="AE44" i="10"/>
  <c r="AE129" i="10"/>
  <c r="AE111" i="10"/>
  <c r="AE122" i="10"/>
  <c r="AE99" i="10"/>
  <c r="AE43" i="10"/>
  <c r="AE61" i="10"/>
  <c r="AE102" i="10"/>
  <c r="AE95" i="10"/>
  <c r="AE110" i="10"/>
  <c r="AE115" i="10"/>
  <c r="AE34" i="10"/>
  <c r="AE36" i="10"/>
  <c r="AE64" i="10"/>
  <c r="AE130" i="10"/>
  <c r="AE101" i="10"/>
  <c r="AE94" i="10"/>
  <c r="AE105" i="10"/>
  <c r="AE31" i="10"/>
  <c r="AE27" i="10"/>
  <c r="AE60" i="10"/>
  <c r="AE76" i="10"/>
  <c r="AE22" i="10"/>
  <c r="AE114" i="10"/>
  <c r="AE98" i="10"/>
  <c r="AE88" i="10"/>
  <c r="AE77" i="10"/>
  <c r="AE62" i="10"/>
  <c r="AE57" i="10"/>
  <c r="AE37" i="10"/>
  <c r="AE131" i="10"/>
  <c r="AE81" i="10"/>
  <c r="AE65" i="10"/>
  <c r="AE107" i="10"/>
  <c r="AE79" i="10"/>
  <c r="AE59" i="10"/>
  <c r="AE15" i="10"/>
  <c r="AE83" i="10"/>
  <c r="AE69" i="10"/>
  <c r="AE30" i="10"/>
  <c r="AE73" i="10"/>
  <c r="AE67" i="10"/>
  <c r="AE100" i="10"/>
  <c r="AE47" i="10"/>
  <c r="AE74" i="10"/>
  <c r="AE106" i="10"/>
  <c r="AE66" i="10"/>
  <c r="AE93" i="10"/>
  <c r="AE40" i="10"/>
  <c r="AE26" i="10"/>
  <c r="AE113" i="10"/>
  <c r="AE52" i="10"/>
  <c r="AE17" i="10"/>
  <c r="AE46" i="10"/>
  <c r="AE55" i="10"/>
  <c r="AE49" i="10"/>
  <c r="AE125" i="10"/>
  <c r="AE19" i="10"/>
  <c r="AE23" i="10"/>
  <c r="AE126" i="10"/>
  <c r="AE108" i="10"/>
  <c r="AE89" i="10"/>
  <c r="AE33" i="10"/>
  <c r="AE10" i="10"/>
  <c r="AE24" i="10"/>
  <c r="AE72" i="10"/>
  <c r="AE32" i="10"/>
  <c r="AE12" i="10"/>
  <c r="AE119" i="10"/>
  <c r="AE50" i="10"/>
  <c r="AE16" i="10"/>
  <c r="AE35" i="10"/>
  <c r="AE51" i="10"/>
  <c r="AE124" i="10"/>
  <c r="AE86" i="10"/>
  <c r="AE80" i="10"/>
  <c r="AE135" i="10"/>
  <c r="AE54" i="10"/>
  <c r="AE58" i="10"/>
  <c r="AE45" i="10"/>
  <c r="AC57" i="8"/>
  <c r="AC11" i="8"/>
  <c r="AC56" i="8"/>
  <c r="AC34" i="8"/>
  <c r="AC29" i="8"/>
  <c r="AC44" i="8"/>
  <c r="AC49" i="8"/>
  <c r="AC27" i="8"/>
  <c r="AC28" i="8"/>
  <c r="AC21" i="8"/>
  <c r="AC50" i="8"/>
  <c r="AC15" i="8"/>
  <c r="AC68" i="8"/>
  <c r="AC108" i="8"/>
  <c r="AC16" i="8"/>
  <c r="AC124" i="8"/>
  <c r="AC116" i="8"/>
  <c r="AC79" i="8"/>
  <c r="AC82" i="8"/>
  <c r="AC72" i="8"/>
  <c r="AC45" i="8"/>
  <c r="AC42" i="8"/>
  <c r="AC135" i="8"/>
  <c r="AC107" i="8"/>
  <c r="AC61" i="8"/>
  <c r="AC94" i="8"/>
  <c r="AC63" i="8"/>
  <c r="AC80" i="8"/>
  <c r="AC35" i="8"/>
  <c r="AC130" i="8"/>
  <c r="AC99" i="8"/>
  <c r="AC104" i="8"/>
  <c r="AC90" i="8"/>
  <c r="AC55" i="8"/>
  <c r="AC19" i="8"/>
  <c r="AC38" i="8"/>
  <c r="AC131" i="8"/>
  <c r="AC128" i="8"/>
  <c r="AC91" i="8"/>
  <c r="AC62" i="8"/>
  <c r="AC12" i="8"/>
  <c r="AC22" i="8"/>
  <c r="AC33" i="8"/>
  <c r="AC47" i="8"/>
  <c r="AC127" i="8"/>
  <c r="AC122" i="8"/>
  <c r="AC87" i="8"/>
  <c r="AC54" i="8"/>
  <c r="AC25" i="8"/>
  <c r="AC26" i="8"/>
  <c r="AC41" i="8"/>
  <c r="AC66" i="8"/>
  <c r="AC114" i="8"/>
  <c r="AC110" i="8"/>
  <c r="AC95" i="8"/>
  <c r="AC129" i="8"/>
  <c r="AC43" i="8"/>
  <c r="AC39" i="8"/>
  <c r="AC18" i="8"/>
  <c r="AC88" i="8"/>
  <c r="AC106" i="8"/>
  <c r="AC102" i="8"/>
  <c r="AC64" i="8"/>
  <c r="AC69" i="8"/>
  <c r="AC92" i="8"/>
  <c r="AC37" i="8"/>
  <c r="AC97" i="8"/>
  <c r="AC98" i="8"/>
  <c r="AC117" i="8"/>
  <c r="AC132" i="8"/>
  <c r="AC65" i="8"/>
  <c r="AC46" i="8"/>
  <c r="AC14" i="8"/>
  <c r="AC120" i="8"/>
  <c r="AC113" i="8"/>
  <c r="AC105" i="8"/>
  <c r="AC77" i="8"/>
  <c r="AC53" i="8"/>
  <c r="AC23" i="8"/>
  <c r="AC109" i="8"/>
  <c r="AC123" i="8"/>
  <c r="AC70" i="8"/>
  <c r="AC73" i="8"/>
  <c r="AC30" i="8"/>
  <c r="AC58" i="8"/>
  <c r="AC119" i="8"/>
  <c r="AC101" i="8"/>
  <c r="AC96" i="8"/>
  <c r="AC118" i="8"/>
  <c r="AC85" i="8"/>
  <c r="AC40" i="8"/>
  <c r="AC93" i="8"/>
  <c r="AC13" i="8"/>
  <c r="AC115" i="8"/>
  <c r="AC75" i="8"/>
  <c r="AC78" i="8"/>
  <c r="AC81" i="8"/>
  <c r="AC36" i="8"/>
  <c r="AC111" i="8"/>
  <c r="AC24" i="8"/>
  <c r="AC133" i="8"/>
  <c r="AC71" i="8"/>
  <c r="AC74" i="8"/>
  <c r="AC60" i="8"/>
  <c r="AC89" i="8"/>
  <c r="AC126" i="8"/>
  <c r="AC32" i="8"/>
  <c r="AC112" i="8"/>
  <c r="AC31" i="8"/>
  <c r="AC67" i="8"/>
  <c r="AC52" i="8"/>
  <c r="AC48" i="8"/>
  <c r="AC125" i="8"/>
  <c r="AC103" i="8"/>
  <c r="AC59" i="8"/>
  <c r="AC100" i="8"/>
  <c r="AC51" i="8"/>
  <c r="AC84" i="8"/>
  <c r="AC134" i="8"/>
  <c r="AC121" i="8"/>
  <c r="AC83" i="8"/>
  <c r="AC86" i="8"/>
  <c r="AC76" i="8"/>
  <c r="AC17" i="8"/>
  <c r="AL109" i="8" s="1" a="1"/>
  <c r="AL109" i="8" s="1"/>
  <c r="AC20" i="8"/>
  <c r="AE63" i="11"/>
  <c r="AE11" i="11"/>
  <c r="AE32" i="11"/>
  <c r="AE93" i="11"/>
  <c r="AE81" i="11"/>
  <c r="AE14" i="11"/>
  <c r="AE18" i="11"/>
  <c r="AE131" i="11"/>
  <c r="AE100" i="11"/>
  <c r="AE87" i="11"/>
  <c r="AE75" i="11"/>
  <c r="AE45" i="11"/>
  <c r="AE41" i="11"/>
  <c r="AE12" i="11"/>
  <c r="AE115" i="11"/>
  <c r="AE94" i="11"/>
  <c r="AE104" i="11"/>
  <c r="AE67" i="11"/>
  <c r="AE27" i="11"/>
  <c r="AE85" i="11"/>
  <c r="AE59" i="11"/>
  <c r="AE126" i="11"/>
  <c r="AE84" i="11"/>
  <c r="AE92" i="11"/>
  <c r="AE46" i="11"/>
  <c r="AE53" i="11"/>
  <c r="AE43" i="11"/>
  <c r="AE20" i="11"/>
  <c r="AE112" i="11"/>
  <c r="AE80" i="11"/>
  <c r="AE77" i="11"/>
  <c r="AE42" i="11"/>
  <c r="AE49" i="11"/>
  <c r="AE16" i="11"/>
  <c r="AE33" i="11"/>
  <c r="AE134" i="11"/>
  <c r="AE121" i="11"/>
  <c r="AE76" i="11"/>
  <c r="AE69" i="11"/>
  <c r="AE31" i="11"/>
  <c r="AE26" i="11"/>
  <c r="AE70" i="11"/>
  <c r="AE13" i="11"/>
  <c r="AE132" i="11"/>
  <c r="AE127" i="11"/>
  <c r="AE68" i="11"/>
  <c r="AE61" i="11"/>
  <c r="AE54" i="11"/>
  <c r="AE22" i="11"/>
  <c r="AE60" i="11"/>
  <c r="AE15" i="11"/>
  <c r="AE129" i="11"/>
  <c r="AE122" i="11"/>
  <c r="AE107" i="11"/>
  <c r="AE118" i="11"/>
  <c r="AE50" i="11"/>
  <c r="AE57" i="11"/>
  <c r="AE51" i="11"/>
  <c r="AE111" i="11"/>
  <c r="AE133" i="11"/>
  <c r="AE71" i="11"/>
  <c r="AE103" i="11"/>
  <c r="AE30" i="11"/>
  <c r="AE44" i="11"/>
  <c r="AE17" i="11"/>
  <c r="AE35" i="11"/>
  <c r="AE125" i="11"/>
  <c r="AE105" i="11"/>
  <c r="AE21" i="11"/>
  <c r="AE55" i="11"/>
  <c r="AE120" i="11"/>
  <c r="AE99" i="11"/>
  <c r="AE40" i="11"/>
  <c r="AE39" i="11"/>
  <c r="AE109" i="11"/>
  <c r="AE79" i="11"/>
  <c r="AE28" i="11"/>
  <c r="AE34" i="11"/>
  <c r="AE135" i="11"/>
  <c r="AE128" i="11"/>
  <c r="AE96" i="11"/>
  <c r="AE19" i="11"/>
  <c r="AE110" i="11"/>
  <c r="AE98" i="11"/>
  <c r="AE25" i="11"/>
  <c r="AE123" i="11"/>
  <c r="AE91" i="11"/>
  <c r="AE38" i="11"/>
  <c r="AE101" i="11"/>
  <c r="AE86" i="11"/>
  <c r="AE24" i="11"/>
  <c r="AE95" i="11"/>
  <c r="AE82" i="11"/>
  <c r="AE52" i="11"/>
  <c r="AE62" i="11"/>
  <c r="AE89" i="11"/>
  <c r="AE72" i="11"/>
  <c r="AE48" i="11"/>
  <c r="AE78" i="11"/>
  <c r="AE73" i="11"/>
  <c r="AE116" i="11"/>
  <c r="AE23" i="11"/>
  <c r="AE47" i="11"/>
  <c r="AE65" i="11"/>
  <c r="AE97" i="11"/>
  <c r="AE90" i="11"/>
  <c r="AE117" i="11"/>
  <c r="AE102" i="11"/>
  <c r="AE56" i="11"/>
  <c r="AE124" i="11"/>
  <c r="AE88" i="11"/>
  <c r="AE37" i="11"/>
  <c r="AE36" i="11"/>
  <c r="AE114" i="11"/>
  <c r="AE106" i="11"/>
  <c r="AE29" i="11"/>
  <c r="AE64" i="11"/>
  <c r="AE66" i="11"/>
  <c r="AE58" i="11"/>
  <c r="AE83" i="11"/>
  <c r="AE74" i="11"/>
  <c r="AE119" i="11"/>
  <c r="AE130" i="11"/>
  <c r="AE108" i="11"/>
  <c r="AE113" i="11"/>
  <c r="AB65" i="13"/>
  <c r="AB95" i="13"/>
  <c r="AB93" i="13"/>
  <c r="AB132" i="13"/>
  <c r="AB47" i="13"/>
  <c r="AB40" i="13"/>
  <c r="AB36" i="13"/>
  <c r="AB32" i="13"/>
  <c r="AB57" i="13"/>
  <c r="AB87" i="13"/>
  <c r="AB85" i="13"/>
  <c r="AB116" i="13"/>
  <c r="AB39" i="13"/>
  <c r="AB20" i="13"/>
  <c r="AB29" i="13"/>
  <c r="AB19" i="13"/>
  <c r="AB123" i="13"/>
  <c r="AB79" i="13"/>
  <c r="AB77" i="13"/>
  <c r="AB107" i="13"/>
  <c r="AB34" i="13"/>
  <c r="AB58" i="13"/>
  <c r="AB23" i="13"/>
  <c r="AB86" i="13"/>
  <c r="AB134" i="13"/>
  <c r="AB71" i="13"/>
  <c r="AB69" i="13"/>
  <c r="AB99" i="13"/>
  <c r="AB110" i="13"/>
  <c r="AB74" i="13"/>
  <c r="AB14" i="13"/>
  <c r="AB17" i="13"/>
  <c r="AB108" i="13"/>
  <c r="AB55" i="13"/>
  <c r="AB131" i="13"/>
  <c r="AB83" i="13"/>
  <c r="AB82" i="13"/>
  <c r="AB62" i="13"/>
  <c r="AB30" i="13"/>
  <c r="AB22" i="13"/>
  <c r="AB100" i="13"/>
  <c r="AB135" i="13"/>
  <c r="AB115" i="13"/>
  <c r="AB75" i="13"/>
  <c r="AB53" i="13"/>
  <c r="AB48" i="13"/>
  <c r="AB38" i="13"/>
  <c r="AB92" i="13"/>
  <c r="AB119" i="13"/>
  <c r="AB126" i="13"/>
  <c r="AB67" i="13"/>
  <c r="AB113" i="13"/>
  <c r="AB68" i="13"/>
  <c r="AB106" i="13"/>
  <c r="AB96" i="13"/>
  <c r="AB49" i="13"/>
  <c r="AB94" i="13"/>
  <c r="AB44" i="13"/>
  <c r="AB43" i="13"/>
  <c r="AB105" i="13"/>
  <c r="AB60" i="13"/>
  <c r="AB98" i="13"/>
  <c r="AB88" i="13"/>
  <c r="AB41" i="13"/>
  <c r="AB117" i="13"/>
  <c r="AB28" i="13"/>
  <c r="AB13" i="13"/>
  <c r="AB114" i="13"/>
  <c r="AB66" i="13"/>
  <c r="AB26" i="13"/>
  <c r="AB125" i="13"/>
  <c r="AB90" i="13"/>
  <c r="AB25" i="13"/>
  <c r="AB97" i="13"/>
  <c r="AB109" i="13"/>
  <c r="AB70" i="13"/>
  <c r="AB50" i="13"/>
  <c r="AB89" i="13"/>
  <c r="AB101" i="13"/>
  <c r="AB45" i="13"/>
  <c r="AB16" i="13"/>
  <c r="AB81" i="13"/>
  <c r="AB61" i="13"/>
  <c r="AB37" i="13"/>
  <c r="AB35" i="13"/>
  <c r="AB73" i="13"/>
  <c r="AB112" i="13"/>
  <c r="AB122" i="13"/>
  <c r="AB15" i="13"/>
  <c r="AB118" i="13"/>
  <c r="AB104" i="13"/>
  <c r="AB102" i="13"/>
  <c r="AB11" i="13"/>
  <c r="AB76" i="13"/>
  <c r="AB72" i="13"/>
  <c r="AB46" i="13"/>
  <c r="AB18" i="13"/>
  <c r="AB129" i="13"/>
  <c r="AB64" i="13"/>
  <c r="AB33" i="13"/>
  <c r="AB133" i="13"/>
  <c r="AB124" i="13"/>
  <c r="AB111" i="13"/>
  <c r="AB91" i="13"/>
  <c r="AB42" i="13"/>
  <c r="AB103" i="13"/>
  <c r="AB59" i="13"/>
  <c r="AB51" i="13"/>
  <c r="AB130" i="13"/>
  <c r="AB78" i="13"/>
  <c r="AB27" i="13"/>
  <c r="AB63" i="13"/>
  <c r="AB120" i="13"/>
  <c r="AB80" i="13"/>
  <c r="AB121" i="13"/>
  <c r="AB127" i="13"/>
  <c r="AB56" i="13"/>
  <c r="AB52" i="13"/>
  <c r="AB21" i="13"/>
  <c r="AB12" i="13"/>
  <c r="AB24" i="13"/>
  <c r="AB31" i="13"/>
  <c r="AB54" i="13"/>
  <c r="AB128" i="13"/>
  <c r="AB84" i="13"/>
  <c r="AC20" i="14"/>
  <c r="AC48" i="14"/>
  <c r="AC17" i="14"/>
  <c r="AC74" i="14"/>
  <c r="AC43" i="14"/>
  <c r="AC36" i="14"/>
  <c r="AC67" i="14"/>
  <c r="AC37" i="14"/>
  <c r="AC40" i="14"/>
  <c r="AC51" i="14"/>
  <c r="AC59" i="14"/>
  <c r="AC11" i="14"/>
  <c r="AC15" i="14"/>
  <c r="AC87" i="14"/>
  <c r="AC75" i="14"/>
  <c r="AC22" i="14"/>
  <c r="AC98" i="14"/>
  <c r="AC131" i="14"/>
  <c r="AC62" i="14"/>
  <c r="AC82" i="14"/>
  <c r="AC55" i="14"/>
  <c r="AC77" i="14"/>
  <c r="AC125" i="14"/>
  <c r="AC122" i="14"/>
  <c r="AC54" i="14"/>
  <c r="AC70" i="14"/>
  <c r="AC47" i="14"/>
  <c r="AC31" i="14"/>
  <c r="AC32" i="14"/>
  <c r="AC120" i="14"/>
  <c r="AC110" i="14"/>
  <c r="AC46" i="14"/>
  <c r="AC16" i="14"/>
  <c r="AC39" i="14"/>
  <c r="AC88" i="14"/>
  <c r="AC28" i="14"/>
  <c r="AC86" i="14"/>
  <c r="AC109" i="14"/>
  <c r="AC102" i="14"/>
  <c r="AC38" i="14"/>
  <c r="AC92" i="14"/>
  <c r="AC34" i="14"/>
  <c r="AC76" i="14"/>
  <c r="AC101" i="14"/>
  <c r="AC117" i="14"/>
  <c r="AC95" i="14"/>
  <c r="AC81" i="14"/>
  <c r="AC100" i="14"/>
  <c r="AC61" i="14"/>
  <c r="AC112" i="14"/>
  <c r="AC105" i="14"/>
  <c r="AC14" i="14"/>
  <c r="AC52" i="14"/>
  <c r="AC103" i="14"/>
  <c r="AC29" i="14"/>
  <c r="AC56" i="14"/>
  <c r="AC12" i="14"/>
  <c r="AC24" i="14"/>
  <c r="AC130" i="14"/>
  <c r="AC123" i="14"/>
  <c r="AC71" i="14"/>
  <c r="AC108" i="14"/>
  <c r="AC78" i="14"/>
  <c r="AC118" i="14"/>
  <c r="AC13" i="14"/>
  <c r="AC27" i="14"/>
  <c r="AC132" i="14"/>
  <c r="AC121" i="14"/>
  <c r="AC96" i="14"/>
  <c r="AC65" i="14"/>
  <c r="AC80" i="14"/>
  <c r="AC66" i="14"/>
  <c r="AC133" i="14"/>
  <c r="AC134" i="14"/>
  <c r="AC84" i="14"/>
  <c r="AC57" i="14"/>
  <c r="AC68" i="14"/>
  <c r="AC58" i="14"/>
  <c r="AC30" i="14"/>
  <c r="AC119" i="14"/>
  <c r="AC116" i="14"/>
  <c r="AC73" i="14"/>
  <c r="AC49" i="14"/>
  <c r="AC35" i="14"/>
  <c r="AC50" i="14"/>
  <c r="AC26" i="14"/>
  <c r="AC64" i="14"/>
  <c r="AC19" i="14"/>
  <c r="AC114" i="14"/>
  <c r="AC99" i="14"/>
  <c r="AC97" i="14"/>
  <c r="AC124" i="14"/>
  <c r="AC91" i="14"/>
  <c r="AC111" i="14"/>
  <c r="AC115" i="14"/>
  <c r="AC60" i="14"/>
  <c r="AC126" i="14"/>
  <c r="AC44" i="14"/>
  <c r="AC104" i="14"/>
  <c r="AC18" i="14"/>
  <c r="AC107" i="14"/>
  <c r="AC63" i="14"/>
  <c r="AC127" i="14"/>
  <c r="AC79" i="14"/>
  <c r="AC135" i="14"/>
  <c r="AC33" i="14"/>
  <c r="AC85" i="14"/>
  <c r="AC113" i="14"/>
  <c r="AC90" i="14"/>
  <c r="AC128" i="14"/>
  <c r="AC42" i="14"/>
  <c r="AC25" i="14"/>
  <c r="AC89" i="14"/>
  <c r="AC72" i="14"/>
  <c r="AC53" i="14"/>
  <c r="AC10" i="14"/>
  <c r="AC83" i="14"/>
  <c r="AC45" i="14"/>
  <c r="AC23" i="14"/>
  <c r="AC21" i="14"/>
  <c r="AC106" i="14"/>
  <c r="AC69" i="14"/>
  <c r="AC129" i="14"/>
  <c r="AC94" i="14"/>
  <c r="AC41" i="14"/>
  <c r="AC93" i="14"/>
  <c r="AE55" i="12"/>
  <c r="AE44" i="12"/>
  <c r="AE13" i="12"/>
  <c r="AE12" i="12"/>
  <c r="AE14" i="12"/>
  <c r="AE10" i="12"/>
  <c r="AE22" i="12"/>
  <c r="AE25" i="12"/>
  <c r="AE114" i="12"/>
  <c r="AE125" i="12"/>
  <c r="AE118" i="12"/>
  <c r="AE104" i="12"/>
  <c r="AE92" i="12"/>
  <c r="AE29" i="12"/>
  <c r="AE42" i="12"/>
  <c r="AE126" i="12"/>
  <c r="AE117" i="12"/>
  <c r="AE134" i="12"/>
  <c r="AE77" i="12"/>
  <c r="AE71" i="12"/>
  <c r="AE68" i="12"/>
  <c r="AE21" i="12"/>
  <c r="AE112" i="12"/>
  <c r="AE110" i="12"/>
  <c r="AE111" i="12"/>
  <c r="AE65" i="12"/>
  <c r="AE66" i="12"/>
  <c r="AE19" i="12"/>
  <c r="AE48" i="12"/>
  <c r="AE132" i="12"/>
  <c r="AE99" i="12"/>
  <c r="AE100" i="12"/>
  <c r="AE115" i="12"/>
  <c r="AE64" i="12"/>
  <c r="AE93" i="12"/>
  <c r="AE56" i="12"/>
  <c r="AE41" i="12"/>
  <c r="AE122" i="12"/>
  <c r="AE120" i="12"/>
  <c r="AE109" i="12"/>
  <c r="AE87" i="12"/>
  <c r="AE50" i="12"/>
  <c r="AE52" i="12"/>
  <c r="AE38" i="12"/>
  <c r="AE26" i="12"/>
  <c r="AE128" i="12"/>
  <c r="AE108" i="12"/>
  <c r="AE98" i="12"/>
  <c r="AE84" i="12"/>
  <c r="AE37" i="12"/>
  <c r="AE36" i="12"/>
  <c r="AE34" i="12"/>
  <c r="AE113" i="12"/>
  <c r="AE97" i="12"/>
  <c r="AE82" i="12"/>
  <c r="AE76" i="12"/>
  <c r="AE35" i="12"/>
  <c r="AE20" i="12"/>
  <c r="AE27" i="12"/>
  <c r="AE127" i="12"/>
  <c r="AE86" i="12"/>
  <c r="AE94" i="12"/>
  <c r="AE72" i="12"/>
  <c r="AE81" i="12"/>
  <c r="AE129" i="12"/>
  <c r="AE96" i="12"/>
  <c r="AE15" i="12"/>
  <c r="AE39" i="12"/>
  <c r="AE11" i="12"/>
  <c r="AE18" i="12"/>
  <c r="AE103" i="12"/>
  <c r="AE73" i="12"/>
  <c r="AE107" i="12"/>
  <c r="AE89" i="12"/>
  <c r="AE40" i="12"/>
  <c r="AE30" i="12"/>
  <c r="AE24" i="12"/>
  <c r="AE130" i="12"/>
  <c r="AE75" i="12"/>
  <c r="AE102" i="12"/>
  <c r="AE54" i="12"/>
  <c r="AE83" i="12"/>
  <c r="AE62" i="12"/>
  <c r="AE51" i="12"/>
  <c r="AE133" i="12"/>
  <c r="AE31" i="12"/>
  <c r="AE123" i="12"/>
  <c r="AE32" i="12"/>
  <c r="AE47" i="12"/>
  <c r="AE95" i="12"/>
  <c r="AE28" i="12"/>
  <c r="AE131" i="12"/>
  <c r="AE17" i="12"/>
  <c r="AE121" i="12"/>
  <c r="AE67" i="12"/>
  <c r="AE78" i="12"/>
  <c r="AE46" i="12"/>
  <c r="AE124" i="12"/>
  <c r="AE61" i="12"/>
  <c r="AE49" i="12"/>
  <c r="AE135" i="12"/>
  <c r="AE59" i="12"/>
  <c r="AE74" i="12"/>
  <c r="AE119" i="12"/>
  <c r="AE85" i="12"/>
  <c r="AE58" i="12"/>
  <c r="AE23" i="12"/>
  <c r="AE116" i="12"/>
  <c r="AE33" i="12"/>
  <c r="AE69" i="12"/>
  <c r="AE80" i="12"/>
  <c r="AE105" i="12"/>
  <c r="AE60" i="12"/>
  <c r="AE63" i="12"/>
  <c r="AE90" i="12"/>
  <c r="AE91" i="12"/>
  <c r="AE45" i="12"/>
  <c r="AE106" i="12"/>
  <c r="AE70" i="12"/>
  <c r="AE88" i="12"/>
  <c r="AE53" i="12"/>
  <c r="AE43" i="12"/>
  <c r="AE57" i="12"/>
  <c r="AE16" i="12"/>
  <c r="AE79" i="12"/>
  <c r="AE101" i="12"/>
  <c r="AB63" i="11"/>
  <c r="AB12" i="11"/>
  <c r="AB35" i="11"/>
  <c r="AB118" i="11"/>
  <c r="AB98" i="11"/>
  <c r="AB131" i="11"/>
  <c r="AB94" i="11"/>
  <c r="AB77" i="11"/>
  <c r="AB20" i="11"/>
  <c r="AB13" i="11"/>
  <c r="AB59" i="11"/>
  <c r="AB108" i="11"/>
  <c r="AB90" i="11"/>
  <c r="AB81" i="11"/>
  <c r="AB76" i="11"/>
  <c r="AB69" i="11"/>
  <c r="AB31" i="11"/>
  <c r="AB56" i="11"/>
  <c r="AB55" i="11"/>
  <c r="AB100" i="11"/>
  <c r="AB82" i="11"/>
  <c r="AB135" i="11"/>
  <c r="AB68" i="11"/>
  <c r="AB61" i="11"/>
  <c r="AB67" i="11"/>
  <c r="AB23" i="11"/>
  <c r="AB18" i="11"/>
  <c r="AB92" i="11"/>
  <c r="AB125" i="11"/>
  <c r="AB78" i="11"/>
  <c r="AB60" i="11"/>
  <c r="AB53" i="11"/>
  <c r="AB37" i="11"/>
  <c r="AB43" i="11"/>
  <c r="AB84" i="11"/>
  <c r="AB120" i="11"/>
  <c r="AB70" i="11"/>
  <c r="AB52" i="11"/>
  <c r="AB45" i="11"/>
  <c r="AB30" i="11"/>
  <c r="AB16" i="11"/>
  <c r="AB129" i="11"/>
  <c r="AB109" i="11"/>
  <c r="AB62" i="11"/>
  <c r="AB44" i="11"/>
  <c r="AB116" i="11"/>
  <c r="AB29" i="11"/>
  <c r="AB51" i="11"/>
  <c r="AB124" i="11"/>
  <c r="AB101" i="11"/>
  <c r="AB54" i="11"/>
  <c r="AB99" i="11"/>
  <c r="AB110" i="11"/>
  <c r="AB21" i="11"/>
  <c r="AB47" i="11"/>
  <c r="AB111" i="11"/>
  <c r="AB93" i="11"/>
  <c r="AB46" i="11"/>
  <c r="AB79" i="11"/>
  <c r="AB103" i="11"/>
  <c r="AB85" i="11"/>
  <c r="AB127" i="11"/>
  <c r="AB83" i="11"/>
  <c r="AB102" i="11"/>
  <c r="AB28" i="11"/>
  <c r="AB14" i="11"/>
  <c r="AB128" i="11"/>
  <c r="AB87" i="11"/>
  <c r="AB112" i="11"/>
  <c r="AB73" i="11"/>
  <c r="AB74" i="11"/>
  <c r="AB113" i="11"/>
  <c r="AB134" i="11"/>
  <c r="AB104" i="11"/>
  <c r="AB65" i="11"/>
  <c r="AB66" i="11"/>
  <c r="AB123" i="11"/>
  <c r="AB106" i="11"/>
  <c r="AB121" i="11"/>
  <c r="AB107" i="11"/>
  <c r="AB88" i="11"/>
  <c r="AB33" i="11"/>
  <c r="AB41" i="11"/>
  <c r="AB80" i="11"/>
  <c r="AB72" i="11"/>
  <c r="AB36" i="11"/>
  <c r="AB115" i="11"/>
  <c r="AB32" i="11"/>
  <c r="AB19" i="11"/>
  <c r="AB57" i="11"/>
  <c r="AB40" i="11"/>
  <c r="AB49" i="11"/>
  <c r="AB27" i="11"/>
  <c r="AB117" i="11"/>
  <c r="AB26" i="11"/>
  <c r="AB133" i="11"/>
  <c r="AB132" i="11"/>
  <c r="AB22" i="11"/>
  <c r="AB105" i="11"/>
  <c r="AB58" i="11"/>
  <c r="AB25" i="11"/>
  <c r="AB97" i="11"/>
  <c r="AB50" i="11"/>
  <c r="AB48" i="11"/>
  <c r="AB89" i="11"/>
  <c r="AB42" i="11"/>
  <c r="AB38" i="11"/>
  <c r="AB95" i="11"/>
  <c r="AB122" i="11"/>
  <c r="AB24" i="11"/>
  <c r="AB119" i="11"/>
  <c r="AB91" i="11"/>
  <c r="AB64" i="11"/>
  <c r="AB130" i="11"/>
  <c r="AB86" i="11"/>
  <c r="AB11" i="11"/>
  <c r="AB96" i="11"/>
  <c r="AB75" i="11"/>
  <c r="AB71" i="11"/>
  <c r="AB126" i="11"/>
  <c r="AB39" i="11"/>
  <c r="AB34" i="11"/>
  <c r="AB17" i="11"/>
  <c r="AB15" i="11"/>
  <c r="AB114" i="11"/>
  <c r="AC48" i="22"/>
  <c r="AC19" i="22"/>
  <c r="AC15" i="22"/>
  <c r="AC14" i="22"/>
  <c r="AC13" i="22"/>
  <c r="AC42" i="22"/>
  <c r="AC11" i="22"/>
  <c r="AC130" i="22"/>
  <c r="AC122" i="22"/>
  <c r="AC85" i="22"/>
  <c r="AC22" i="22"/>
  <c r="AC60" i="22"/>
  <c r="AC52" i="22"/>
  <c r="AC16" i="22"/>
  <c r="AC114" i="22"/>
  <c r="AC110" i="22"/>
  <c r="AC84" i="22"/>
  <c r="AC74" i="22"/>
  <c r="AC59" i="22"/>
  <c r="AC44" i="22"/>
  <c r="AC106" i="22"/>
  <c r="AC102" i="22"/>
  <c r="AC83" i="22"/>
  <c r="AC73" i="22"/>
  <c r="AC46" i="22"/>
  <c r="AC36" i="22"/>
  <c r="AC29" i="22"/>
  <c r="AC125" i="22"/>
  <c r="AC94" i="22"/>
  <c r="AC27" i="22"/>
  <c r="AC72" i="22"/>
  <c r="AC38" i="22"/>
  <c r="AC35" i="22"/>
  <c r="AC120" i="22"/>
  <c r="AC133" i="22"/>
  <c r="AC93" i="22"/>
  <c r="AC71" i="22"/>
  <c r="AC95" i="22"/>
  <c r="AC97" i="22"/>
  <c r="AC131" i="22"/>
  <c r="AC117" i="22"/>
  <c r="AC82" i="22"/>
  <c r="AC70" i="22"/>
  <c r="AC58" i="22"/>
  <c r="AC47" i="22"/>
  <c r="AC40" i="22"/>
  <c r="AC21" i="22"/>
  <c r="AC31" i="22"/>
  <c r="AC17" i="22"/>
  <c r="AC115" i="22"/>
  <c r="AC128" i="22"/>
  <c r="AC81" i="22"/>
  <c r="AC69" i="22"/>
  <c r="AC57" i="22"/>
  <c r="AC39" i="22"/>
  <c r="AC32" i="22"/>
  <c r="AC24" i="22"/>
  <c r="AC123" i="22"/>
  <c r="AC126" i="22"/>
  <c r="AC113" i="22"/>
  <c r="AC80" i="22"/>
  <c r="AC68" i="22"/>
  <c r="AC56" i="22"/>
  <c r="AC34" i="22"/>
  <c r="AC18" i="22"/>
  <c r="AC134" i="22"/>
  <c r="AC112" i="22"/>
  <c r="AC105" i="22"/>
  <c r="AC79" i="22"/>
  <c r="AC67" i="22"/>
  <c r="AC55" i="22"/>
  <c r="AC101" i="22"/>
  <c r="AC20" i="22"/>
  <c r="AC118" i="22"/>
  <c r="AC104" i="22"/>
  <c r="AC91" i="22"/>
  <c r="AC78" i="22"/>
  <c r="AC25" i="22"/>
  <c r="AC54" i="22"/>
  <c r="AC98" i="22"/>
  <c r="AC30" i="22"/>
  <c r="AC129" i="22"/>
  <c r="AC121" i="22"/>
  <c r="AC92" i="22"/>
  <c r="AC77" i="22"/>
  <c r="AC66" i="22"/>
  <c r="AC23" i="22"/>
  <c r="AC108" i="22"/>
  <c r="AC28" i="22"/>
  <c r="AC124" i="22"/>
  <c r="AC132" i="22"/>
  <c r="AC90" i="22"/>
  <c r="AC76" i="22"/>
  <c r="AC65" i="22"/>
  <c r="AC109" i="22"/>
  <c r="AC37" i="22"/>
  <c r="AC111" i="22"/>
  <c r="AC116" i="22"/>
  <c r="AC89" i="22"/>
  <c r="AC75" i="22"/>
  <c r="AC64" i="22"/>
  <c r="AC100" i="22"/>
  <c r="AC12" i="22"/>
  <c r="AC33" i="22"/>
  <c r="AC50" i="22"/>
  <c r="AC103" i="22"/>
  <c r="AC107" i="22"/>
  <c r="AC88" i="22"/>
  <c r="AC51" i="22"/>
  <c r="AC63" i="22"/>
  <c r="AC49" i="22"/>
  <c r="AC45" i="22"/>
  <c r="AC135" i="22"/>
  <c r="AC99" i="22"/>
  <c r="AC87" i="22"/>
  <c r="AC43" i="22"/>
  <c r="AC62" i="22"/>
  <c r="AC41" i="22"/>
  <c r="AC53" i="22"/>
  <c r="AC86" i="22"/>
  <c r="AC26" i="22"/>
  <c r="AC61" i="22"/>
  <c r="AC96" i="22"/>
  <c r="AC119" i="22"/>
  <c r="AC127" i="22"/>
  <c r="AE92" i="8"/>
  <c r="AE25" i="8"/>
  <c r="AE115" i="8"/>
  <c r="AE118" i="8"/>
  <c r="AE70" i="8"/>
  <c r="AE81" i="8"/>
  <c r="AE35" i="8"/>
  <c r="AE33" i="8"/>
  <c r="AE34" i="8"/>
  <c r="AE112" i="8"/>
  <c r="AE108" i="8"/>
  <c r="AE67" i="8"/>
  <c r="AE98" i="8"/>
  <c r="AE15" i="8"/>
  <c r="AE19" i="8"/>
  <c r="AE28" i="8"/>
  <c r="AE121" i="8"/>
  <c r="AE126" i="8"/>
  <c r="AE82" i="8"/>
  <c r="AE89" i="8"/>
  <c r="AE88" i="8"/>
  <c r="AE41" i="8"/>
  <c r="AE43" i="8"/>
  <c r="AE116" i="8"/>
  <c r="AE119" i="8"/>
  <c r="AE78" i="8"/>
  <c r="AE99" i="8"/>
  <c r="AE42" i="8"/>
  <c r="AE45" i="8"/>
  <c r="AE32" i="8"/>
  <c r="AE107" i="8"/>
  <c r="AE103" i="8"/>
  <c r="AE90" i="8"/>
  <c r="AE68" i="8"/>
  <c r="AE38" i="8"/>
  <c r="AE20" i="8"/>
  <c r="AE24" i="8"/>
  <c r="AE39" i="8"/>
  <c r="AE128" i="8"/>
  <c r="AE83" i="8"/>
  <c r="AE86" i="8"/>
  <c r="AE63" i="8"/>
  <c r="AE16" i="8"/>
  <c r="AE51" i="8"/>
  <c r="AE124" i="8"/>
  <c r="AE131" i="8"/>
  <c r="AE79" i="8"/>
  <c r="AE62" i="8"/>
  <c r="AE55" i="8"/>
  <c r="AE75" i="8"/>
  <c r="AE36" i="8"/>
  <c r="AE125" i="8"/>
  <c r="AE110" i="8"/>
  <c r="AE91" i="8"/>
  <c r="AE94" i="8"/>
  <c r="AE84" i="8"/>
  <c r="AE17" i="8"/>
  <c r="AE31" i="8"/>
  <c r="AE49" i="8"/>
  <c r="AE132" i="8"/>
  <c r="AE102" i="8"/>
  <c r="AE87" i="8"/>
  <c r="AE69" i="8"/>
  <c r="AE80" i="8"/>
  <c r="AE18" i="8"/>
  <c r="AE30" i="8"/>
  <c r="AE120" i="8"/>
  <c r="AE134" i="8"/>
  <c r="AE56" i="8"/>
  <c r="AE57" i="8"/>
  <c r="AE58" i="8"/>
  <c r="AE71" i="8"/>
  <c r="AE44" i="8"/>
  <c r="AE12" i="8"/>
  <c r="AE109" i="8"/>
  <c r="AE113" i="8"/>
  <c r="AE95" i="8"/>
  <c r="AE77" i="8"/>
  <c r="AE48" i="8"/>
  <c r="AE53" i="8"/>
  <c r="AE40" i="8"/>
  <c r="AE127" i="8"/>
  <c r="AE123" i="8"/>
  <c r="AE74" i="8"/>
  <c r="AE85" i="8"/>
  <c r="AE14" i="8"/>
  <c r="AE37" i="8"/>
  <c r="AE21" i="8"/>
  <c r="AE122" i="8"/>
  <c r="AE61" i="8"/>
  <c r="AE117" i="8"/>
  <c r="AE111" i="8"/>
  <c r="AE105" i="8"/>
  <c r="AE46" i="8"/>
  <c r="AE129" i="8"/>
  <c r="AE52" i="8"/>
  <c r="AE72" i="8"/>
  <c r="AE114" i="8"/>
  <c r="AE76" i="8"/>
  <c r="AE22" i="8"/>
  <c r="AE64" i="8"/>
  <c r="AE50" i="8"/>
  <c r="AE26" i="8"/>
  <c r="AE106" i="8"/>
  <c r="AE29" i="8"/>
  <c r="AE100" i="8"/>
  <c r="AE59" i="8"/>
  <c r="AE135" i="8"/>
  <c r="AE27" i="8"/>
  <c r="AE54" i="8"/>
  <c r="AE65" i="8"/>
  <c r="AE96" i="8"/>
  <c r="AE73" i="8"/>
  <c r="AE93" i="8"/>
  <c r="AE11" i="8"/>
  <c r="AE130" i="8"/>
  <c r="AE47" i="8"/>
  <c r="AE60" i="8"/>
  <c r="AE133" i="8"/>
  <c r="AE66" i="8"/>
  <c r="AE13" i="8"/>
  <c r="AE101" i="8"/>
  <c r="AE23" i="8"/>
  <c r="AE104" i="8"/>
  <c r="AE97" i="8"/>
  <c r="AB24" i="12"/>
  <c r="AB26" i="12"/>
  <c r="AB31" i="12"/>
  <c r="AB15" i="12"/>
  <c r="AB71" i="12"/>
  <c r="AB63" i="12"/>
  <c r="AB41" i="12"/>
  <c r="AB10" i="12"/>
  <c r="AB11" i="12"/>
  <c r="AB21" i="12"/>
  <c r="AB13" i="12"/>
  <c r="AB22" i="12"/>
  <c r="AB81" i="12"/>
  <c r="AB51" i="12"/>
  <c r="AB30" i="12"/>
  <c r="AB17" i="12"/>
  <c r="AB134" i="12"/>
  <c r="AB105" i="12"/>
  <c r="AB59" i="12"/>
  <c r="AB78" i="12"/>
  <c r="AB36" i="12"/>
  <c r="AB42" i="12"/>
  <c r="AB43" i="12"/>
  <c r="AB118" i="12"/>
  <c r="AB94" i="12"/>
  <c r="AB133" i="12"/>
  <c r="AB74" i="12"/>
  <c r="AB87" i="12"/>
  <c r="AB57" i="12"/>
  <c r="AB73" i="12"/>
  <c r="AB108" i="12"/>
  <c r="AB122" i="12"/>
  <c r="AB110" i="12"/>
  <c r="AB98" i="12"/>
  <c r="AB84" i="12"/>
  <c r="AB116" i="12"/>
  <c r="AB16" i="12"/>
  <c r="AB100" i="12"/>
  <c r="AB114" i="12"/>
  <c r="AB99" i="12"/>
  <c r="AB61" i="12"/>
  <c r="AB82" i="12"/>
  <c r="AB20" i="12"/>
  <c r="AB112" i="12"/>
  <c r="AB129" i="12"/>
  <c r="AB80" i="12"/>
  <c r="AB88" i="12"/>
  <c r="AB46" i="12"/>
  <c r="AB55" i="12"/>
  <c r="AB60" i="12"/>
  <c r="AB28" i="12"/>
  <c r="AB125" i="12"/>
  <c r="AB72" i="12"/>
  <c r="AB106" i="12"/>
  <c r="AB38" i="12"/>
  <c r="AB47" i="12"/>
  <c r="AB58" i="12"/>
  <c r="AB37" i="12"/>
  <c r="AB131" i="12"/>
  <c r="AB64" i="12"/>
  <c r="AB95" i="12"/>
  <c r="AB124" i="12"/>
  <c r="AB39" i="12"/>
  <c r="AB97" i="12"/>
  <c r="AB23" i="12"/>
  <c r="AB127" i="12"/>
  <c r="AB113" i="12"/>
  <c r="AB102" i="12"/>
  <c r="AB128" i="12"/>
  <c r="AB12" i="12"/>
  <c r="AB45" i="12"/>
  <c r="AB18" i="12"/>
  <c r="AB32" i="12"/>
  <c r="AB132" i="12"/>
  <c r="AB101" i="12"/>
  <c r="AB91" i="12"/>
  <c r="AB86" i="12"/>
  <c r="AB25" i="12"/>
  <c r="AB66" i="12"/>
  <c r="AB90" i="12"/>
  <c r="AB52" i="12"/>
  <c r="AB14" i="12"/>
  <c r="AB83" i="12"/>
  <c r="AB44" i="12"/>
  <c r="AB50" i="12"/>
  <c r="AB67" i="12"/>
  <c r="AB34" i="12"/>
  <c r="AB62" i="12"/>
  <c r="AB120" i="12"/>
  <c r="AB89" i="12"/>
  <c r="AB70" i="12"/>
  <c r="AB123" i="12"/>
  <c r="AB104" i="12"/>
  <c r="AB27" i="12"/>
  <c r="AB109" i="12"/>
  <c r="AB92" i="12"/>
  <c r="AB126" i="12"/>
  <c r="AB79" i="12"/>
  <c r="AB115" i="12"/>
  <c r="AB68" i="12"/>
  <c r="AB19" i="12"/>
  <c r="AB107" i="12"/>
  <c r="AB48" i="12"/>
  <c r="AB49" i="12"/>
  <c r="AB119" i="12"/>
  <c r="AB40" i="12"/>
  <c r="AB29" i="12"/>
  <c r="AB96" i="12"/>
  <c r="AB54" i="12"/>
  <c r="AB33" i="12"/>
  <c r="AB135" i="12"/>
  <c r="AB111" i="12"/>
  <c r="AB77" i="12"/>
  <c r="AB103" i="12"/>
  <c r="AB65" i="12"/>
  <c r="AB53" i="12"/>
  <c r="AB117" i="12"/>
  <c r="AB69" i="12"/>
  <c r="AB56" i="12"/>
  <c r="AB85" i="12"/>
  <c r="AB76" i="12"/>
  <c r="AB93" i="12"/>
  <c r="AB35" i="12"/>
  <c r="AB121" i="12"/>
  <c r="AB130" i="12"/>
  <c r="AB75" i="12"/>
  <c r="AG95" i="14"/>
  <c r="AG122" i="14"/>
  <c r="AG119" i="14"/>
  <c r="AG69" i="14"/>
  <c r="AG78" i="14"/>
  <c r="AG40" i="14"/>
  <c r="AG36" i="14"/>
  <c r="AG10" i="14"/>
  <c r="AG110" i="14"/>
  <c r="AG98" i="14"/>
  <c r="AG63" i="14"/>
  <c r="AG61" i="14"/>
  <c r="AG125" i="14"/>
  <c r="AG12" i="14"/>
  <c r="AG11" i="14"/>
  <c r="AG19" i="14"/>
  <c r="AG128" i="14"/>
  <c r="AG102" i="14"/>
  <c r="AG83" i="14"/>
  <c r="AG55" i="14"/>
  <c r="AG53" i="14"/>
  <c r="AG114" i="14"/>
  <c r="AG62" i="14"/>
  <c r="AG23" i="14"/>
  <c r="AG14" i="14"/>
  <c r="AG129" i="14"/>
  <c r="AG131" i="14"/>
  <c r="AG71" i="14"/>
  <c r="AG47" i="14"/>
  <c r="AG45" i="14"/>
  <c r="AG87" i="14"/>
  <c r="AG54" i="14"/>
  <c r="AG49" i="14"/>
  <c r="AG28" i="14"/>
  <c r="AG133" i="14"/>
  <c r="AG117" i="14"/>
  <c r="AG16" i="14"/>
  <c r="AG39" i="14"/>
  <c r="AG37" i="14"/>
  <c r="AG27" i="14"/>
  <c r="AG115" i="14"/>
  <c r="AG135" i="14"/>
  <c r="AG94" i="14"/>
  <c r="AG80" i="14"/>
  <c r="AG30" i="14"/>
  <c r="AG75" i="14"/>
  <c r="AG126" i="14"/>
  <c r="AG113" i="14"/>
  <c r="AG82" i="14"/>
  <c r="AG68" i="14"/>
  <c r="AG89" i="14"/>
  <c r="AG67" i="14"/>
  <c r="AG112" i="14"/>
  <c r="AG105" i="14"/>
  <c r="AG60" i="14"/>
  <c r="AG33" i="14"/>
  <c r="AG77" i="14"/>
  <c r="AG59" i="14"/>
  <c r="AG46" i="14"/>
  <c r="AG72" i="14"/>
  <c r="AG130" i="14"/>
  <c r="AG118" i="14"/>
  <c r="AG44" i="14"/>
  <c r="AG79" i="14"/>
  <c r="AG21" i="14"/>
  <c r="AG43" i="14"/>
  <c r="AG24" i="14"/>
  <c r="AG121" i="14"/>
  <c r="AG108" i="14"/>
  <c r="AG93" i="14"/>
  <c r="AG66" i="14"/>
  <c r="AG106" i="14"/>
  <c r="AG109" i="14"/>
  <c r="AG116" i="14"/>
  <c r="AG100" i="14"/>
  <c r="AG70" i="14"/>
  <c r="AG58" i="14"/>
  <c r="AG88" i="14"/>
  <c r="AG101" i="14"/>
  <c r="AG65" i="14"/>
  <c r="AG57" i="14"/>
  <c r="AG107" i="14"/>
  <c r="AG132" i="14"/>
  <c r="AG35" i="14"/>
  <c r="AG50" i="14"/>
  <c r="AG76" i="14"/>
  <c r="AG86" i="14"/>
  <c r="AG85" i="14"/>
  <c r="AG99" i="14"/>
  <c r="AG124" i="14"/>
  <c r="AG18" i="14"/>
  <c r="AG42" i="14"/>
  <c r="AG64" i="14"/>
  <c r="AG74" i="14"/>
  <c r="AG51" i="14"/>
  <c r="AG41" i="14"/>
  <c r="AG104" i="14"/>
  <c r="AG25" i="14"/>
  <c r="AG26" i="14"/>
  <c r="AG32" i="14"/>
  <c r="AG73" i="14"/>
  <c r="AG134" i="14"/>
  <c r="AG127" i="14"/>
  <c r="AG123" i="14"/>
  <c r="AG96" i="14"/>
  <c r="AG103" i="14"/>
  <c r="AG52" i="14"/>
  <c r="AG97" i="14"/>
  <c r="AG34" i="14"/>
  <c r="AG13" i="14"/>
  <c r="AG81" i="14"/>
  <c r="AG84" i="14"/>
  <c r="AG91" i="14"/>
  <c r="AG90" i="14"/>
  <c r="AG17" i="14"/>
  <c r="AG31" i="14"/>
  <c r="AG22" i="14"/>
  <c r="AG29" i="14"/>
  <c r="AG20" i="14"/>
  <c r="AG56" i="14"/>
  <c r="AG38" i="14"/>
  <c r="AG120" i="14"/>
  <c r="AG15" i="14"/>
  <c r="AG111" i="14"/>
  <c r="AG92" i="14"/>
  <c r="AG48" i="14"/>
  <c r="AC133" i="9"/>
  <c r="AC131" i="9"/>
  <c r="AC50" i="9"/>
  <c r="AC79" i="9"/>
  <c r="AC67" i="9"/>
  <c r="AC57" i="9"/>
  <c r="AC30" i="9"/>
  <c r="AC38" i="9"/>
  <c r="AC11" i="9"/>
  <c r="AC115" i="9"/>
  <c r="AC42" i="9"/>
  <c r="AC68" i="9"/>
  <c r="AC109" i="9"/>
  <c r="AC44" i="9"/>
  <c r="AC19" i="9"/>
  <c r="AC25" i="9"/>
  <c r="AC83" i="9"/>
  <c r="AC112" i="9"/>
  <c r="AC102" i="9"/>
  <c r="AC78" i="9"/>
  <c r="AC87" i="9"/>
  <c r="AC15" i="9"/>
  <c r="AC40" i="9"/>
  <c r="AC29" i="9"/>
  <c r="AC121" i="9"/>
  <c r="AC73" i="9"/>
  <c r="AC72" i="9"/>
  <c r="AC76" i="9"/>
  <c r="AC16" i="9"/>
  <c r="AC20" i="9"/>
  <c r="AC26" i="9"/>
  <c r="AC123" i="9"/>
  <c r="AC132" i="9"/>
  <c r="AC56" i="9"/>
  <c r="AC59" i="9"/>
  <c r="AC71" i="9"/>
  <c r="AC122" i="9"/>
  <c r="AC95" i="9"/>
  <c r="AC22" i="9"/>
  <c r="AC134" i="9"/>
  <c r="AC116" i="9"/>
  <c r="AC31" i="9"/>
  <c r="AC55" i="9"/>
  <c r="AC58" i="9"/>
  <c r="AC61" i="9"/>
  <c r="AC21" i="9"/>
  <c r="AC60" i="9"/>
  <c r="AC118" i="9"/>
  <c r="AC127" i="9"/>
  <c r="AC128" i="9"/>
  <c r="AC110" i="9"/>
  <c r="AC108" i="9"/>
  <c r="AC53" i="9"/>
  <c r="AC106" i="9"/>
  <c r="AC35" i="9"/>
  <c r="AC124" i="9"/>
  <c r="AC93" i="9"/>
  <c r="AC91" i="9"/>
  <c r="AC89" i="9"/>
  <c r="AC62" i="9"/>
  <c r="AC17" i="9"/>
  <c r="AC34" i="9"/>
  <c r="AC12" i="9"/>
  <c r="AC135" i="9"/>
  <c r="AC130" i="9"/>
  <c r="AC103" i="9"/>
  <c r="AC80" i="9"/>
  <c r="AC43" i="9"/>
  <c r="AC75" i="9"/>
  <c r="AC41" i="9"/>
  <c r="AC10" i="9"/>
  <c r="AC23" i="9"/>
  <c r="AC114" i="9"/>
  <c r="AC92" i="9"/>
  <c r="AC64" i="9"/>
  <c r="AC111" i="9"/>
  <c r="AC66" i="9"/>
  <c r="AC18" i="9"/>
  <c r="AC49" i="9"/>
  <c r="AC45" i="9"/>
  <c r="AC120" i="9"/>
  <c r="AC69" i="9"/>
  <c r="AC90" i="9"/>
  <c r="AC77" i="9"/>
  <c r="AC74" i="9"/>
  <c r="AC36" i="9"/>
  <c r="AC46" i="9"/>
  <c r="AC13" i="9"/>
  <c r="AC81" i="9"/>
  <c r="AC54" i="9"/>
  <c r="AC101" i="9"/>
  <c r="AC84" i="9"/>
  <c r="AC100" i="9"/>
  <c r="AC70" i="9"/>
  <c r="AC48" i="9"/>
  <c r="AC39" i="9"/>
  <c r="AC99" i="9"/>
  <c r="AC28" i="9"/>
  <c r="AC63" i="9"/>
  <c r="AC27" i="9"/>
  <c r="AC129" i="9"/>
  <c r="AC51" i="9"/>
  <c r="AC47" i="9"/>
  <c r="AC119" i="9"/>
  <c r="AC88" i="9"/>
  <c r="AC85" i="9"/>
  <c r="AC125" i="9"/>
  <c r="AC98" i="9"/>
  <c r="AC32" i="9"/>
  <c r="AC126" i="9"/>
  <c r="AC86" i="9"/>
  <c r="AC14" i="9"/>
  <c r="AC104" i="9"/>
  <c r="AC107" i="9"/>
  <c r="AC94" i="9"/>
  <c r="AC65" i="9"/>
  <c r="AC97" i="9"/>
  <c r="AC24" i="9"/>
  <c r="AC33" i="9"/>
  <c r="AC96" i="9"/>
  <c r="AC82" i="9"/>
  <c r="AC37" i="9"/>
  <c r="AC113" i="9"/>
  <c r="AC52" i="9"/>
  <c r="AC117" i="9"/>
  <c r="AC105" i="9"/>
  <c r="AE20" i="13"/>
  <c r="AE132" i="13"/>
  <c r="AE99" i="13"/>
  <c r="AE134" i="13"/>
  <c r="AE74" i="13"/>
  <c r="AE55" i="13"/>
  <c r="AE15" i="13"/>
  <c r="AE92" i="13"/>
  <c r="AE116" i="13"/>
  <c r="AE83" i="13"/>
  <c r="AE96" i="13"/>
  <c r="AE68" i="13"/>
  <c r="AE22" i="13"/>
  <c r="AE41" i="13"/>
  <c r="AE129" i="13"/>
  <c r="AE127" i="13"/>
  <c r="AE77" i="13"/>
  <c r="AE88" i="13"/>
  <c r="AE79" i="13"/>
  <c r="AE103" i="13"/>
  <c r="AE31" i="13"/>
  <c r="AE85" i="13"/>
  <c r="AE124" i="13"/>
  <c r="AE122" i="13"/>
  <c r="AE109" i="13"/>
  <c r="AE106" i="13"/>
  <c r="AE65" i="13"/>
  <c r="AE67" i="13"/>
  <c r="AE101" i="13"/>
  <c r="AE40" i="13"/>
  <c r="AE135" i="13"/>
  <c r="AE133" i="13"/>
  <c r="AE98" i="13"/>
  <c r="AE75" i="13"/>
  <c r="AE91" i="13"/>
  <c r="AE39" i="13"/>
  <c r="AE50" i="13"/>
  <c r="AE44" i="13"/>
  <c r="AE119" i="13"/>
  <c r="AE117" i="13"/>
  <c r="AE89" i="13"/>
  <c r="AE69" i="13"/>
  <c r="AE61" i="13"/>
  <c r="AE12" i="13"/>
  <c r="AE17" i="13"/>
  <c r="AE14" i="13"/>
  <c r="AE120" i="13"/>
  <c r="AE78" i="13"/>
  <c r="AE70" i="13"/>
  <c r="AE87" i="13"/>
  <c r="AE60" i="13"/>
  <c r="AE26" i="13"/>
  <c r="AE73" i="13"/>
  <c r="AE131" i="13"/>
  <c r="AE66" i="13"/>
  <c r="AE53" i="13"/>
  <c r="AE81" i="13"/>
  <c r="AE37" i="13"/>
  <c r="AE25" i="13"/>
  <c r="AE71" i="13"/>
  <c r="AE126" i="13"/>
  <c r="AE107" i="13"/>
  <c r="AE51" i="13"/>
  <c r="AE49" i="13"/>
  <c r="AE11" i="13"/>
  <c r="AE18" i="13"/>
  <c r="AE112" i="13"/>
  <c r="AE82" i="13"/>
  <c r="AE48" i="13"/>
  <c r="AE46" i="13"/>
  <c r="AE110" i="13"/>
  <c r="AE95" i="13"/>
  <c r="AE54" i="13"/>
  <c r="AE43" i="13"/>
  <c r="AE64" i="13"/>
  <c r="AE128" i="13"/>
  <c r="AE63" i="13"/>
  <c r="AE80" i="13"/>
  <c r="AE19" i="13"/>
  <c r="AE113" i="13"/>
  <c r="AE105" i="13"/>
  <c r="AE28" i="13"/>
  <c r="AE33" i="13"/>
  <c r="AE100" i="13"/>
  <c r="AE94" i="13"/>
  <c r="AE27" i="13"/>
  <c r="AE35" i="13"/>
  <c r="AE62" i="13"/>
  <c r="AE24" i="13"/>
  <c r="AE84" i="13"/>
  <c r="AE93" i="13"/>
  <c r="AE36" i="13"/>
  <c r="AE123" i="13"/>
  <c r="AE86" i="13"/>
  <c r="AE30" i="13"/>
  <c r="AE130" i="13"/>
  <c r="AE59" i="13"/>
  <c r="AE58" i="13"/>
  <c r="AE38" i="13"/>
  <c r="AE114" i="13"/>
  <c r="AE118" i="13"/>
  <c r="AE34" i="13"/>
  <c r="AE32" i="13"/>
  <c r="AE13" i="13"/>
  <c r="AE115" i="13"/>
  <c r="AE45" i="13"/>
  <c r="AE56" i="13"/>
  <c r="AE52" i="13"/>
  <c r="AE97" i="13"/>
  <c r="AE76" i="13"/>
  <c r="AE104" i="13"/>
  <c r="AE23" i="13"/>
  <c r="AE57" i="13"/>
  <c r="AE21" i="13"/>
  <c r="AE42" i="13"/>
  <c r="AE47" i="13"/>
  <c r="AE72" i="13"/>
  <c r="AE102" i="13"/>
  <c r="AE29" i="13"/>
  <c r="AE10" i="13"/>
  <c r="AN57" i="13" s="1" a="1"/>
  <c r="AN57" i="13" s="1"/>
  <c r="AV29" i="13" s="1"/>
  <c r="AE111" i="13"/>
  <c r="AE125" i="13"/>
  <c r="AE16" i="13"/>
  <c r="AE121" i="13"/>
  <c r="AE90" i="13"/>
  <c r="AE108" i="13"/>
  <c r="AB20" i="10"/>
  <c r="AB24" i="10"/>
  <c r="AB44" i="10"/>
  <c r="AB87" i="10"/>
  <c r="AB102" i="10"/>
  <c r="AB75" i="10"/>
  <c r="AB133" i="10"/>
  <c r="AB39" i="10"/>
  <c r="AB58" i="10"/>
  <c r="AB42" i="10"/>
  <c r="AB79" i="10"/>
  <c r="AB94" i="10"/>
  <c r="AB67" i="10"/>
  <c r="AB114" i="10"/>
  <c r="AB34" i="10"/>
  <c r="AB31" i="10"/>
  <c r="AB40" i="10"/>
  <c r="AB64" i="10"/>
  <c r="AB130" i="10"/>
  <c r="AB86" i="10"/>
  <c r="AB59" i="10"/>
  <c r="AB100" i="10"/>
  <c r="AB74" i="10"/>
  <c r="AB82" i="10"/>
  <c r="AB36" i="10"/>
  <c r="AB125" i="10"/>
  <c r="AB118" i="10"/>
  <c r="AB51" i="10"/>
  <c r="AB80" i="10"/>
  <c r="AB46" i="10"/>
  <c r="AB50" i="10"/>
  <c r="AB11" i="10"/>
  <c r="AB120" i="10"/>
  <c r="AB105" i="10"/>
  <c r="AB43" i="10"/>
  <c r="AB131" i="10"/>
  <c r="AB16" i="10"/>
  <c r="AB45" i="10"/>
  <c r="AB93" i="10"/>
  <c r="AB69" i="10"/>
  <c r="AB78" i="10"/>
  <c r="AB68" i="10"/>
  <c r="AB18" i="10"/>
  <c r="AB88" i="10"/>
  <c r="AB27" i="10"/>
  <c r="AB132" i="10"/>
  <c r="AB108" i="10"/>
  <c r="AB62" i="10"/>
  <c r="AB52" i="10"/>
  <c r="AB19" i="10"/>
  <c r="AB28" i="10"/>
  <c r="AB116" i="10"/>
  <c r="AB92" i="10"/>
  <c r="AB54" i="10"/>
  <c r="AB123" i="10"/>
  <c r="AB126" i="10"/>
  <c r="AB112" i="10"/>
  <c r="AB56" i="10"/>
  <c r="AB129" i="10"/>
  <c r="AB107" i="10"/>
  <c r="AB89" i="10"/>
  <c r="AB97" i="10"/>
  <c r="AB113" i="10"/>
  <c r="AB90" i="10"/>
  <c r="AB61" i="10"/>
  <c r="AB21" i="10"/>
  <c r="AB124" i="10"/>
  <c r="AB99" i="10"/>
  <c r="AB135" i="10"/>
  <c r="AB73" i="10"/>
  <c r="AB71" i="10"/>
  <c r="AB48" i="10"/>
  <c r="AB66" i="10"/>
  <c r="AB103" i="10"/>
  <c r="AB122" i="10"/>
  <c r="AB81" i="10"/>
  <c r="AB57" i="10"/>
  <c r="AB55" i="10"/>
  <c r="AB33" i="10"/>
  <c r="AB22" i="10"/>
  <c r="AB10" i="10"/>
  <c r="AB13" i="10"/>
  <c r="AB127" i="10"/>
  <c r="AB30" i="10"/>
  <c r="AB119" i="10"/>
  <c r="AB96" i="10"/>
  <c r="AB35" i="10"/>
  <c r="AB104" i="10"/>
  <c r="AB53" i="10"/>
  <c r="AB72" i="10"/>
  <c r="AB70" i="10"/>
  <c r="AB26" i="10"/>
  <c r="AB65" i="10"/>
  <c r="AB83" i="10"/>
  <c r="AB14" i="10"/>
  <c r="AB111" i="10"/>
  <c r="AB49" i="10"/>
  <c r="AB25" i="10"/>
  <c r="AB95" i="10"/>
  <c r="AB128" i="10"/>
  <c r="AB109" i="10"/>
  <c r="AB76" i="10"/>
  <c r="AB15" i="10"/>
  <c r="AB101" i="10"/>
  <c r="AB60" i="10"/>
  <c r="AB85" i="10"/>
  <c r="AB63" i="10"/>
  <c r="AB12" i="10"/>
  <c r="AB17" i="10"/>
  <c r="AB91" i="10"/>
  <c r="AB47" i="10"/>
  <c r="AB110" i="10"/>
  <c r="AB115" i="10"/>
  <c r="AB23" i="10"/>
  <c r="AB98" i="10"/>
  <c r="AB106" i="10"/>
  <c r="AB134" i="10"/>
  <c r="AB32" i="10"/>
  <c r="AB84" i="10"/>
  <c r="AB77" i="10"/>
  <c r="AB121" i="10"/>
  <c r="AB37" i="10"/>
  <c r="AB117" i="10"/>
  <c r="AB41" i="10"/>
  <c r="AB29" i="10"/>
  <c r="AB38" i="10"/>
  <c r="AG48" i="22"/>
  <c r="AG19" i="22"/>
  <c r="AG18" i="22"/>
  <c r="AG15" i="22"/>
  <c r="AG14" i="22"/>
  <c r="AG16" i="22"/>
  <c r="AG109" i="22"/>
  <c r="AG128" i="22"/>
  <c r="AG93" i="22"/>
  <c r="AG67" i="22"/>
  <c r="AG55" i="22"/>
  <c r="AG53" i="22"/>
  <c r="AG12" i="22"/>
  <c r="AG17" i="22"/>
  <c r="AG101" i="22"/>
  <c r="AG113" i="22"/>
  <c r="AG82" i="22"/>
  <c r="AG94" i="22"/>
  <c r="AG54" i="22"/>
  <c r="AG45" i="22"/>
  <c r="AG25" i="22"/>
  <c r="AG131" i="22"/>
  <c r="AG105" i="22"/>
  <c r="AG81" i="22"/>
  <c r="AG66" i="22"/>
  <c r="AG52" i="22"/>
  <c r="AG37" i="22"/>
  <c r="AG28" i="22"/>
  <c r="AG115" i="22"/>
  <c r="AG97" i="22"/>
  <c r="AG80" i="22"/>
  <c r="AG65" i="22"/>
  <c r="AG44" i="22"/>
  <c r="AG30" i="22"/>
  <c r="AG40" i="22"/>
  <c r="AG126" i="22"/>
  <c r="AG123" i="22"/>
  <c r="AG79" i="22"/>
  <c r="AG64" i="22"/>
  <c r="AG36" i="22"/>
  <c r="AG98" i="22"/>
  <c r="AG21" i="22"/>
  <c r="AG112" i="22"/>
  <c r="AG134" i="22"/>
  <c r="AG78" i="22"/>
  <c r="AG63" i="22"/>
  <c r="AG96" i="22"/>
  <c r="AG91" i="22"/>
  <c r="AG46" i="22"/>
  <c r="AG10" i="22"/>
  <c r="AG43" i="22"/>
  <c r="AG104" i="22"/>
  <c r="AG118" i="22"/>
  <c r="AG77" i="22"/>
  <c r="AG62" i="22"/>
  <c r="AG35" i="22"/>
  <c r="AG90" i="22"/>
  <c r="AG23" i="22"/>
  <c r="AG121" i="22"/>
  <c r="AG108" i="22"/>
  <c r="AG76" i="22"/>
  <c r="AG61" i="22"/>
  <c r="AG47" i="22"/>
  <c r="AG89" i="22"/>
  <c r="AG26" i="22"/>
  <c r="AG51" i="22"/>
  <c r="AG132" i="22"/>
  <c r="AG100" i="22"/>
  <c r="AG75" i="22"/>
  <c r="AG60" i="22"/>
  <c r="AG39" i="22"/>
  <c r="AG88" i="22"/>
  <c r="AG29" i="22"/>
  <c r="AG20" i="22"/>
  <c r="AG116" i="22"/>
  <c r="AG92" i="22"/>
  <c r="AG74" i="22"/>
  <c r="AG59" i="22"/>
  <c r="AG34" i="22"/>
  <c r="AG87" i="22"/>
  <c r="AG22" i="22"/>
  <c r="AG135" i="22"/>
  <c r="AG127" i="22"/>
  <c r="AG129" i="22"/>
  <c r="AG73" i="22"/>
  <c r="AG49" i="22"/>
  <c r="AG107" i="22"/>
  <c r="AG86" i="22"/>
  <c r="AG119" i="22"/>
  <c r="AG122" i="22"/>
  <c r="AG124" i="22"/>
  <c r="AG72" i="22"/>
  <c r="AG41" i="22"/>
  <c r="AG33" i="22"/>
  <c r="AG85" i="22"/>
  <c r="AG130" i="22"/>
  <c r="AG110" i="22"/>
  <c r="AG111" i="22"/>
  <c r="AG71" i="22"/>
  <c r="AG95" i="22"/>
  <c r="AG50" i="22"/>
  <c r="AG84" i="22"/>
  <c r="AG24" i="22"/>
  <c r="AG114" i="22"/>
  <c r="AG102" i="22"/>
  <c r="AG103" i="22"/>
  <c r="AG70" i="22"/>
  <c r="AG58" i="22"/>
  <c r="AG42" i="22"/>
  <c r="AG83" i="22"/>
  <c r="AG27" i="22"/>
  <c r="AG13" i="22"/>
  <c r="AG125" i="22"/>
  <c r="AG133" i="22"/>
  <c r="AG106" i="22"/>
  <c r="AG69" i="22"/>
  <c r="AG57" i="22"/>
  <c r="AG32" i="22"/>
  <c r="AG117" i="22"/>
  <c r="AG99" i="22"/>
  <c r="AG68" i="22"/>
  <c r="AG56" i="22"/>
  <c r="AG31" i="22"/>
  <c r="AG11" i="22"/>
  <c r="AP72" i="22" s="1" a="1"/>
  <c r="AP72" i="22" s="1"/>
  <c r="AG120" i="22"/>
  <c r="AG38" i="22"/>
  <c r="AE59" i="14"/>
  <c r="AE130" i="14"/>
  <c r="AE108" i="14"/>
  <c r="AE16" i="14"/>
  <c r="AE55" i="14"/>
  <c r="AE78" i="14"/>
  <c r="AE121" i="14"/>
  <c r="AE132" i="14"/>
  <c r="AE93" i="14"/>
  <c r="AE47" i="14"/>
  <c r="AE31" i="14"/>
  <c r="AE114" i="14"/>
  <c r="AE67" i="14"/>
  <c r="AE84" i="14"/>
  <c r="AE25" i="14"/>
  <c r="AE51" i="14"/>
  <c r="AE134" i="14"/>
  <c r="AE97" i="14"/>
  <c r="AE82" i="14"/>
  <c r="AE39" i="14"/>
  <c r="AE89" i="14"/>
  <c r="AE75" i="14"/>
  <c r="AE13" i="14"/>
  <c r="AE116" i="14"/>
  <c r="AE95" i="14"/>
  <c r="AE70" i="14"/>
  <c r="AE91" i="14"/>
  <c r="AE77" i="14"/>
  <c r="AE27" i="14"/>
  <c r="AE36" i="14"/>
  <c r="AE40" i="14"/>
  <c r="AE131" i="14"/>
  <c r="AE127" i="14"/>
  <c r="AE23" i="14"/>
  <c r="AE52" i="14"/>
  <c r="AE33" i="14"/>
  <c r="AE53" i="14"/>
  <c r="AE43" i="14"/>
  <c r="AE125" i="14"/>
  <c r="AE122" i="14"/>
  <c r="AE14" i="14"/>
  <c r="AE44" i="14"/>
  <c r="AE119" i="14"/>
  <c r="AE45" i="14"/>
  <c r="AE133" i="14"/>
  <c r="AE129" i="14"/>
  <c r="AE109" i="14"/>
  <c r="AE117" i="14"/>
  <c r="AE65" i="14"/>
  <c r="AE69" i="14"/>
  <c r="AE101" i="14"/>
  <c r="AE135" i="14"/>
  <c r="AE57" i="14"/>
  <c r="AE35" i="14"/>
  <c r="AE58" i="14"/>
  <c r="AE29" i="14"/>
  <c r="AE54" i="14"/>
  <c r="AE62" i="14"/>
  <c r="AE115" i="14"/>
  <c r="AE113" i="14"/>
  <c r="AE49" i="14"/>
  <c r="AE18" i="14"/>
  <c r="AE50" i="14"/>
  <c r="AE21" i="14"/>
  <c r="AE85" i="14"/>
  <c r="AE126" i="14"/>
  <c r="AE105" i="14"/>
  <c r="AE41" i="14"/>
  <c r="AE99" i="14"/>
  <c r="AE42" i="14"/>
  <c r="AE17" i="14"/>
  <c r="AE112" i="14"/>
  <c r="AE123" i="14"/>
  <c r="AE124" i="14"/>
  <c r="AE80" i="14"/>
  <c r="AE107" i="14"/>
  <c r="AE103" i="14"/>
  <c r="AE19" i="14"/>
  <c r="AE110" i="14"/>
  <c r="AE100" i="14"/>
  <c r="AE12" i="14"/>
  <c r="AE10" i="14"/>
  <c r="AE102" i="14"/>
  <c r="AE66" i="14"/>
  <c r="AE128" i="14"/>
  <c r="AE32" i="14"/>
  <c r="AE86" i="14"/>
  <c r="AE118" i="14"/>
  <c r="AE111" i="14"/>
  <c r="AE46" i="14"/>
  <c r="AE22" i="14"/>
  <c r="AE83" i="14"/>
  <c r="AE61" i="14"/>
  <c r="AE71" i="14"/>
  <c r="AE37" i="14"/>
  <c r="AE15" i="14"/>
  <c r="AE94" i="14"/>
  <c r="AE76" i="14"/>
  <c r="AE73" i="14"/>
  <c r="AE60" i="14"/>
  <c r="AE106" i="14"/>
  <c r="AE92" i="14"/>
  <c r="AE87" i="14"/>
  <c r="AE28" i="14"/>
  <c r="AE34" i="14"/>
  <c r="AE20" i="14"/>
  <c r="AE81" i="14"/>
  <c r="AE64" i="14"/>
  <c r="AE38" i="14"/>
  <c r="AE120" i="14"/>
  <c r="AE68" i="14"/>
  <c r="AE56" i="14"/>
  <c r="AE104" i="14"/>
  <c r="AE63" i="14"/>
  <c r="AE48" i="14"/>
  <c r="AE11" i="14"/>
  <c r="AE30" i="14"/>
  <c r="AE74" i="14"/>
  <c r="AE96" i="14"/>
  <c r="AE72" i="14"/>
  <c r="AE98" i="14"/>
  <c r="AE79" i="14"/>
  <c r="AE26" i="14"/>
  <c r="AE90" i="14"/>
  <c r="AE88" i="14"/>
  <c r="AE24" i="14"/>
  <c r="AB30" i="8"/>
  <c r="AB34" i="8"/>
  <c r="AB29" i="8"/>
  <c r="AB28" i="8"/>
  <c r="AB14" i="8"/>
  <c r="AB120" i="8"/>
  <c r="AB121" i="8"/>
  <c r="AB89" i="8"/>
  <c r="AB42" i="8"/>
  <c r="AB106" i="8"/>
  <c r="AB65" i="8"/>
  <c r="AB17" i="8"/>
  <c r="AB109" i="8"/>
  <c r="AB116" i="8"/>
  <c r="AB81" i="8"/>
  <c r="AB32" i="8"/>
  <c r="AB70" i="8"/>
  <c r="AB57" i="8"/>
  <c r="AB18" i="8"/>
  <c r="AB101" i="8"/>
  <c r="AB107" i="8"/>
  <c r="AB73" i="8"/>
  <c r="AB123" i="8"/>
  <c r="AB78" i="8"/>
  <c r="AB63" i="8"/>
  <c r="AB52" i="8"/>
  <c r="AB44" i="8"/>
  <c r="AB93" i="8"/>
  <c r="AB99" i="8"/>
  <c r="AB126" i="8"/>
  <c r="AB71" i="8"/>
  <c r="AB74" i="8"/>
  <c r="AB39" i="8"/>
  <c r="AB41" i="8"/>
  <c r="AB85" i="8"/>
  <c r="AB91" i="8"/>
  <c r="AB118" i="8"/>
  <c r="AB103" i="8"/>
  <c r="AB67" i="8"/>
  <c r="AB26" i="8"/>
  <c r="AB33" i="8"/>
  <c r="AB21" i="8"/>
  <c r="AB77" i="8"/>
  <c r="AB83" i="8"/>
  <c r="AB108" i="8"/>
  <c r="AB79" i="8"/>
  <c r="AB59" i="8"/>
  <c r="AB22" i="8"/>
  <c r="AB19" i="8"/>
  <c r="AB69" i="8"/>
  <c r="AB75" i="8"/>
  <c r="AB100" i="8"/>
  <c r="AB61" i="8"/>
  <c r="AB51" i="8"/>
  <c r="AB11" i="8"/>
  <c r="AB55" i="8"/>
  <c r="AB115" i="8"/>
  <c r="AB131" i="8"/>
  <c r="AB92" i="8"/>
  <c r="AB53" i="8"/>
  <c r="AB43" i="8"/>
  <c r="AB25" i="8"/>
  <c r="AB20" i="8"/>
  <c r="AB129" i="8"/>
  <c r="AB133" i="8"/>
  <c r="AB128" i="8"/>
  <c r="AB84" i="8"/>
  <c r="AB45" i="8"/>
  <c r="AB86" i="8"/>
  <c r="AB12" i="8"/>
  <c r="AB98" i="8"/>
  <c r="AB124" i="8"/>
  <c r="AB112" i="8"/>
  <c r="AB122" i="8"/>
  <c r="AB76" i="8"/>
  <c r="AB37" i="8"/>
  <c r="AB82" i="8"/>
  <c r="AB24" i="8"/>
  <c r="AB36" i="8"/>
  <c r="AB135" i="8"/>
  <c r="AB104" i="8"/>
  <c r="AB110" i="8"/>
  <c r="AB68" i="8"/>
  <c r="AB87" i="8"/>
  <c r="AB94" i="8"/>
  <c r="AB13" i="8"/>
  <c r="AB31" i="8"/>
  <c r="AB132" i="8"/>
  <c r="AB96" i="8"/>
  <c r="AB134" i="8"/>
  <c r="AB111" i="8"/>
  <c r="AB95" i="8"/>
  <c r="AB90" i="8"/>
  <c r="AB23" i="8"/>
  <c r="AB60" i="8"/>
  <c r="AB119" i="8"/>
  <c r="AB88" i="8"/>
  <c r="AB117" i="8"/>
  <c r="AB102" i="8"/>
  <c r="AB64" i="8"/>
  <c r="AB62" i="8"/>
  <c r="AB47" i="8"/>
  <c r="AB49" i="8"/>
  <c r="AB15" i="8"/>
  <c r="AB130" i="8"/>
  <c r="AB80" i="8"/>
  <c r="AB113" i="8"/>
  <c r="AB66" i="8"/>
  <c r="AB56" i="8"/>
  <c r="AB54" i="8"/>
  <c r="AB35" i="8"/>
  <c r="AB27" i="8"/>
  <c r="AK78" i="8" s="1" a="1"/>
  <c r="AK78" i="8" s="1"/>
  <c r="AB48" i="8"/>
  <c r="AB114" i="8"/>
  <c r="AB72" i="8"/>
  <c r="AB105" i="8"/>
  <c r="AB58" i="8"/>
  <c r="AB127" i="8"/>
  <c r="AB125" i="8"/>
  <c r="AB97" i="8"/>
  <c r="AB50" i="8"/>
  <c r="AB40" i="8"/>
  <c r="AB38" i="8"/>
  <c r="AB16" i="8"/>
  <c r="AB46" i="8"/>
  <c r="AG61" i="9"/>
  <c r="AG18" i="9"/>
  <c r="AG74" i="9"/>
  <c r="AG44" i="9"/>
  <c r="AG83" i="9"/>
  <c r="AG15" i="9"/>
  <c r="AG122" i="9"/>
  <c r="AG100" i="9"/>
  <c r="AG76" i="9"/>
  <c r="AG107" i="9"/>
  <c r="AG92" i="9"/>
  <c r="AG28" i="9"/>
  <c r="AG45" i="9"/>
  <c r="AG32" i="9"/>
  <c r="AG133" i="9"/>
  <c r="AG80" i="9"/>
  <c r="AG71" i="9"/>
  <c r="AG75" i="9"/>
  <c r="AG53" i="9"/>
  <c r="AG26" i="9"/>
  <c r="AG135" i="9"/>
  <c r="AG117" i="9"/>
  <c r="AG55" i="9"/>
  <c r="AG67" i="9"/>
  <c r="AG66" i="9"/>
  <c r="AG33" i="9"/>
  <c r="AG22" i="9"/>
  <c r="AG119" i="9"/>
  <c r="AG128" i="9"/>
  <c r="AG90" i="9"/>
  <c r="AG109" i="9"/>
  <c r="AG52" i="9"/>
  <c r="AG30" i="9"/>
  <c r="AG11" i="9"/>
  <c r="AG16" i="9"/>
  <c r="AG17" i="9"/>
  <c r="AG50" i="9"/>
  <c r="AG130" i="9"/>
  <c r="AG113" i="9"/>
  <c r="AG79" i="9"/>
  <c r="AG108" i="9"/>
  <c r="AG96" i="9"/>
  <c r="AG20" i="9"/>
  <c r="AG47" i="9"/>
  <c r="AG56" i="9"/>
  <c r="AG114" i="9"/>
  <c r="AG123" i="9"/>
  <c r="AG72" i="9"/>
  <c r="AG98" i="9"/>
  <c r="AG85" i="9"/>
  <c r="AG124" i="9"/>
  <c r="AG25" i="9"/>
  <c r="AG125" i="9"/>
  <c r="AG134" i="9"/>
  <c r="AG89" i="9"/>
  <c r="AG87" i="9"/>
  <c r="AG84" i="9"/>
  <c r="AG103" i="9"/>
  <c r="AG38" i="9"/>
  <c r="AG120" i="9"/>
  <c r="AG102" i="9"/>
  <c r="AG78" i="9"/>
  <c r="AG58" i="9"/>
  <c r="AG70" i="9"/>
  <c r="AG21" i="9"/>
  <c r="AG24" i="9"/>
  <c r="AG131" i="9"/>
  <c r="AG81" i="9"/>
  <c r="AG63" i="9"/>
  <c r="AG49" i="9"/>
  <c r="AG106" i="9"/>
  <c r="AG65" i="9"/>
  <c r="AG13" i="9"/>
  <c r="AG115" i="9"/>
  <c r="AG29" i="9"/>
  <c r="AG59" i="9"/>
  <c r="AG41" i="9"/>
  <c r="AG95" i="9"/>
  <c r="AG39" i="9"/>
  <c r="AG104" i="9"/>
  <c r="AG69" i="9"/>
  <c r="AG126" i="9"/>
  <c r="AG91" i="9"/>
  <c r="AG110" i="9"/>
  <c r="AG97" i="9"/>
  <c r="AG105" i="9"/>
  <c r="AG34" i="9"/>
  <c r="AG73" i="9"/>
  <c r="AG112" i="9"/>
  <c r="AG68" i="9"/>
  <c r="AG99" i="9"/>
  <c r="AG86" i="9"/>
  <c r="AG94" i="9"/>
  <c r="AG31" i="9"/>
  <c r="AG35" i="9"/>
  <c r="AG121" i="9"/>
  <c r="AG64" i="9"/>
  <c r="AG46" i="9"/>
  <c r="AG62" i="9"/>
  <c r="AG51" i="9"/>
  <c r="AG27" i="9"/>
  <c r="AG23" i="9"/>
  <c r="AG42" i="9"/>
  <c r="AG12" i="9"/>
  <c r="AG40" i="9"/>
  <c r="AG36" i="9"/>
  <c r="AG60" i="9"/>
  <c r="AG132" i="9"/>
  <c r="AG48" i="9"/>
  <c r="AG111" i="9"/>
  <c r="AG54" i="9"/>
  <c r="AG43" i="9"/>
  <c r="AG10" i="9"/>
  <c r="AG14" i="9"/>
  <c r="AG37" i="9"/>
  <c r="AG116" i="9"/>
  <c r="AG88" i="9"/>
  <c r="AG129" i="9"/>
  <c r="AG93" i="9"/>
  <c r="AG127" i="9"/>
  <c r="AG101" i="9"/>
  <c r="AG77" i="9"/>
  <c r="AG118" i="9"/>
  <c r="AG19" i="9"/>
  <c r="AG57" i="9"/>
  <c r="AG82" i="9"/>
  <c r="AD15" i="9"/>
  <c r="AD10" i="9"/>
  <c r="AD12" i="9"/>
  <c r="AD118" i="9"/>
  <c r="AD119" i="9"/>
  <c r="AD77" i="9"/>
  <c r="AD99" i="9"/>
  <c r="AD133" i="9"/>
  <c r="AD48" i="9"/>
  <c r="AD18" i="9"/>
  <c r="AD24" i="9"/>
  <c r="AD108" i="9"/>
  <c r="AD130" i="9"/>
  <c r="AD131" i="9"/>
  <c r="AD91" i="9"/>
  <c r="AD69" i="9"/>
  <c r="AD40" i="9"/>
  <c r="AD36" i="9"/>
  <c r="AD25" i="9"/>
  <c r="AD57" i="9"/>
  <c r="AD100" i="9"/>
  <c r="AD114" i="9"/>
  <c r="AD115" i="9"/>
  <c r="AD83" i="9"/>
  <c r="AD50" i="9"/>
  <c r="AD55" i="9"/>
  <c r="AD19" i="9"/>
  <c r="AD44" i="9"/>
  <c r="AD92" i="9"/>
  <c r="AD106" i="9"/>
  <c r="AD126" i="9"/>
  <c r="AD75" i="9"/>
  <c r="AD42" i="9"/>
  <c r="AD89" i="9"/>
  <c r="AD33" i="9"/>
  <c r="AD84" i="9"/>
  <c r="AD98" i="9"/>
  <c r="AD112" i="9"/>
  <c r="AD67" i="9"/>
  <c r="AD32" i="9"/>
  <c r="AD51" i="9"/>
  <c r="AD20" i="9"/>
  <c r="AD23" i="9"/>
  <c r="AD76" i="9"/>
  <c r="AD90" i="9"/>
  <c r="AD104" i="9"/>
  <c r="AD59" i="9"/>
  <c r="AD113" i="9"/>
  <c r="AD123" i="9"/>
  <c r="AD65" i="9"/>
  <c r="AD129" i="9"/>
  <c r="AD82" i="9"/>
  <c r="AD96" i="9"/>
  <c r="AD127" i="9"/>
  <c r="AD73" i="9"/>
  <c r="AD46" i="9"/>
  <c r="AD21" i="9"/>
  <c r="AD49" i="9"/>
  <c r="AD124" i="9"/>
  <c r="AD74" i="9"/>
  <c r="AD88" i="9"/>
  <c r="AD122" i="9"/>
  <c r="AD128" i="9"/>
  <c r="AD38" i="9"/>
  <c r="AD39" i="9"/>
  <c r="AD111" i="9"/>
  <c r="AD66" i="9"/>
  <c r="AD80" i="9"/>
  <c r="AD110" i="9"/>
  <c r="AD117" i="9"/>
  <c r="AD97" i="9"/>
  <c r="AD34" i="9"/>
  <c r="AD35" i="9"/>
  <c r="AD103" i="9"/>
  <c r="AD58" i="9"/>
  <c r="AD72" i="9"/>
  <c r="AD102" i="9"/>
  <c r="AD81" i="9"/>
  <c r="AD16" i="9"/>
  <c r="AD31" i="9"/>
  <c r="AD47" i="9"/>
  <c r="AD95" i="9"/>
  <c r="AD125" i="9"/>
  <c r="AD64" i="9"/>
  <c r="AD94" i="9"/>
  <c r="AD60" i="9"/>
  <c r="AD61" i="9"/>
  <c r="AD28" i="9"/>
  <c r="AD14" i="9"/>
  <c r="AD87" i="9"/>
  <c r="AD120" i="9"/>
  <c r="AD56" i="9"/>
  <c r="AD86" i="9"/>
  <c r="AD53" i="9"/>
  <c r="AD52" i="9"/>
  <c r="AD27" i="9"/>
  <c r="AD79" i="9"/>
  <c r="AD109" i="9"/>
  <c r="AD121" i="9"/>
  <c r="AD78" i="9"/>
  <c r="AD45" i="9"/>
  <c r="AD43" i="9"/>
  <c r="AD26" i="9"/>
  <c r="AD13" i="9"/>
  <c r="AD11" i="9"/>
  <c r="AD71" i="9"/>
  <c r="AD101" i="9"/>
  <c r="AD132" i="9"/>
  <c r="AD70" i="9"/>
  <c r="AD37" i="9"/>
  <c r="AD17" i="9"/>
  <c r="AD22" i="9"/>
  <c r="AD63" i="9"/>
  <c r="AD116" i="9"/>
  <c r="AD62" i="9"/>
  <c r="AD30" i="9"/>
  <c r="AD105" i="9"/>
  <c r="AD134" i="9"/>
  <c r="AD135" i="9"/>
  <c r="AD85" i="9"/>
  <c r="AD107" i="9"/>
  <c r="AD54" i="9"/>
  <c r="AD68" i="9"/>
  <c r="AD41" i="9"/>
  <c r="AD29" i="9"/>
  <c r="AD93" i="9"/>
  <c r="AE48" i="22"/>
  <c r="AE43" i="22"/>
  <c r="AE28" i="22"/>
  <c r="AE16" i="22"/>
  <c r="AE17" i="22"/>
  <c r="AE15" i="22"/>
  <c r="AE114" i="22"/>
  <c r="AE110" i="22"/>
  <c r="AE87" i="22"/>
  <c r="AE74" i="22"/>
  <c r="AE62" i="22"/>
  <c r="AE52" i="22"/>
  <c r="AE12" i="22"/>
  <c r="AE30" i="22"/>
  <c r="AE45" i="22"/>
  <c r="AE106" i="22"/>
  <c r="AE102" i="22"/>
  <c r="AE86" i="22"/>
  <c r="AE73" i="22"/>
  <c r="AE61" i="22"/>
  <c r="AE44" i="22"/>
  <c r="AE125" i="22"/>
  <c r="AE133" i="22"/>
  <c r="AE85" i="22"/>
  <c r="AE72" i="22"/>
  <c r="AE60" i="22"/>
  <c r="AE36" i="22"/>
  <c r="AE18" i="22"/>
  <c r="AE120" i="22"/>
  <c r="AE117" i="22"/>
  <c r="AE84" i="22"/>
  <c r="AE71" i="22"/>
  <c r="AE59" i="22"/>
  <c r="AE35" i="22"/>
  <c r="AE26" i="22"/>
  <c r="AE109" i="22"/>
  <c r="AE128" i="22"/>
  <c r="AE83" i="22"/>
  <c r="AE70" i="22"/>
  <c r="AE23" i="22"/>
  <c r="AE47" i="22"/>
  <c r="AE29" i="22"/>
  <c r="AE101" i="22"/>
  <c r="AE113" i="22"/>
  <c r="AE104" i="22"/>
  <c r="AE69" i="22"/>
  <c r="AE95" i="22"/>
  <c r="AE39" i="22"/>
  <c r="AE37" i="22"/>
  <c r="AE131" i="22"/>
  <c r="AE105" i="22"/>
  <c r="AE93" i="22"/>
  <c r="AE68" i="22"/>
  <c r="AE58" i="22"/>
  <c r="AE34" i="22"/>
  <c r="AE53" i="22"/>
  <c r="AE13" i="22"/>
  <c r="AE115" i="22"/>
  <c r="AE97" i="22"/>
  <c r="AE82" i="22"/>
  <c r="AE67" i="22"/>
  <c r="AE57" i="22"/>
  <c r="AE33" i="22"/>
  <c r="AE19" i="22"/>
  <c r="AE126" i="22"/>
  <c r="AE123" i="22"/>
  <c r="AE81" i="22"/>
  <c r="AE46" i="22"/>
  <c r="AE56" i="22"/>
  <c r="AE103" i="22"/>
  <c r="AE121" i="22"/>
  <c r="AE134" i="22"/>
  <c r="AE80" i="22"/>
  <c r="AE38" i="22"/>
  <c r="AE55" i="22"/>
  <c r="AE50" i="22"/>
  <c r="AE132" i="22"/>
  <c r="AE118" i="22"/>
  <c r="AE79" i="22"/>
  <c r="AE24" i="22"/>
  <c r="AE54" i="22"/>
  <c r="AE42" i="22"/>
  <c r="AE27" i="22"/>
  <c r="AE20" i="22"/>
  <c r="AE129" i="22"/>
  <c r="AE116" i="22"/>
  <c r="AE108" i="22"/>
  <c r="AE78" i="22"/>
  <c r="AE94" i="22"/>
  <c r="AE49" i="22"/>
  <c r="AE32" i="22"/>
  <c r="AE22" i="22"/>
  <c r="AE124" i="22"/>
  <c r="AE107" i="22"/>
  <c r="AE92" i="22"/>
  <c r="AE77" i="22"/>
  <c r="AE66" i="22"/>
  <c r="AE41" i="22"/>
  <c r="AE112" i="22"/>
  <c r="AE11" i="22"/>
  <c r="AE31" i="22"/>
  <c r="AE135" i="22"/>
  <c r="AE99" i="22"/>
  <c r="AE90" i="22"/>
  <c r="AE76" i="22"/>
  <c r="AE65" i="22"/>
  <c r="AE111" i="22"/>
  <c r="AE98" i="22"/>
  <c r="AE40" i="22"/>
  <c r="AE14" i="22"/>
  <c r="AE119" i="22"/>
  <c r="AE127" i="22"/>
  <c r="AE89" i="22"/>
  <c r="AE75" i="22"/>
  <c r="AE64" i="22"/>
  <c r="AE100" i="22"/>
  <c r="AE91" i="22"/>
  <c r="AE10" i="22"/>
  <c r="AE21" i="22"/>
  <c r="AN70" i="22" s="1" a="1"/>
  <c r="AN70" i="22" s="1"/>
  <c r="AE51" i="22"/>
  <c r="AE25" i="22"/>
  <c r="AE63" i="22"/>
  <c r="AE96" i="22"/>
  <c r="AE130" i="22"/>
  <c r="AE122" i="22"/>
  <c r="AE88" i="22"/>
  <c r="AB27" i="14"/>
  <c r="AB48" i="14"/>
  <c r="AB56" i="14"/>
  <c r="AB18" i="14"/>
  <c r="AB25" i="14"/>
  <c r="AB29" i="14"/>
  <c r="AB31" i="14"/>
  <c r="AB11" i="14"/>
  <c r="AB14" i="14"/>
  <c r="AB28" i="14"/>
  <c r="AB12" i="14"/>
  <c r="AB40" i="14"/>
  <c r="AB16" i="14"/>
  <c r="AB71" i="14"/>
  <c r="AB77" i="14"/>
  <c r="AB83" i="14"/>
  <c r="AB89" i="14"/>
  <c r="AB13" i="14"/>
  <c r="AB63" i="14"/>
  <c r="AB76" i="14"/>
  <c r="AB119" i="14"/>
  <c r="AB69" i="14"/>
  <c r="AB75" i="14"/>
  <c r="AB81" i="14"/>
  <c r="AB65" i="14"/>
  <c r="AB55" i="14"/>
  <c r="AB61" i="14"/>
  <c r="AB129" i="14"/>
  <c r="AB115" i="14"/>
  <c r="AB127" i="14"/>
  <c r="AB73" i="14"/>
  <c r="AB57" i="14"/>
  <c r="AB47" i="14"/>
  <c r="AB53" i="14"/>
  <c r="AB114" i="14"/>
  <c r="AB126" i="14"/>
  <c r="AB131" i="14"/>
  <c r="AB118" i="14"/>
  <c r="AB49" i="14"/>
  <c r="AB39" i="14"/>
  <c r="AB45" i="14"/>
  <c r="AB106" i="14"/>
  <c r="AB112" i="14"/>
  <c r="AB122" i="14"/>
  <c r="AB67" i="14"/>
  <c r="AB41" i="14"/>
  <c r="AB34" i="14"/>
  <c r="AB37" i="14"/>
  <c r="AB23" i="14"/>
  <c r="AB82" i="14"/>
  <c r="AB88" i="14"/>
  <c r="AB94" i="14"/>
  <c r="AB43" i="14"/>
  <c r="AB92" i="14"/>
  <c r="AB33" i="14"/>
  <c r="AB130" i="14"/>
  <c r="AB133" i="14"/>
  <c r="AB72" i="14"/>
  <c r="AB78" i="14"/>
  <c r="AB22" i="14"/>
  <c r="AB52" i="14"/>
  <c r="AB66" i="14"/>
  <c r="AB64" i="14"/>
  <c r="AB124" i="14"/>
  <c r="AB125" i="14"/>
  <c r="AB121" i="14"/>
  <c r="AB70" i="14"/>
  <c r="AB84" i="14"/>
  <c r="AB44" i="14"/>
  <c r="AB58" i="14"/>
  <c r="AB111" i="14"/>
  <c r="AB120" i="14"/>
  <c r="AB134" i="14"/>
  <c r="AB117" i="14"/>
  <c r="AB62" i="14"/>
  <c r="AB36" i="14"/>
  <c r="AB50" i="14"/>
  <c r="AB103" i="14"/>
  <c r="AB109" i="14"/>
  <c r="AB116" i="14"/>
  <c r="AB135" i="14"/>
  <c r="AB54" i="14"/>
  <c r="AB17" i="14"/>
  <c r="AB42" i="14"/>
  <c r="AB87" i="14"/>
  <c r="AB93" i="14"/>
  <c r="AB99" i="14"/>
  <c r="AB105" i="14"/>
  <c r="AB38" i="14"/>
  <c r="AB68" i="14"/>
  <c r="AB20" i="14"/>
  <c r="AB74" i="14"/>
  <c r="AB46" i="14"/>
  <c r="AB101" i="14"/>
  <c r="AB24" i="14"/>
  <c r="AB85" i="14"/>
  <c r="AB15" i="14"/>
  <c r="AB104" i="14"/>
  <c r="AB128" i="14"/>
  <c r="AB21" i="14"/>
  <c r="AB96" i="14"/>
  <c r="AB60" i="14"/>
  <c r="AB80" i="14"/>
  <c r="AB108" i="14"/>
  <c r="AB107" i="14"/>
  <c r="AB35" i="14"/>
  <c r="AB91" i="14"/>
  <c r="AB19" i="14"/>
  <c r="AB110" i="14"/>
  <c r="AB100" i="14"/>
  <c r="AB102" i="14"/>
  <c r="AB132" i="14"/>
  <c r="AB86" i="14"/>
  <c r="AB32" i="14"/>
  <c r="AB113" i="14"/>
  <c r="AB123" i="14"/>
  <c r="AB90" i="14"/>
  <c r="AB26" i="14"/>
  <c r="AB97" i="14"/>
  <c r="AB59" i="14"/>
  <c r="AB51" i="14"/>
  <c r="AB30" i="14"/>
  <c r="AB98" i="14"/>
  <c r="AB95" i="14"/>
  <c r="AB79" i="14"/>
  <c r="AG121" i="11"/>
  <c r="AG108" i="11"/>
  <c r="AG98" i="11"/>
  <c r="AG101" i="11"/>
  <c r="AG22" i="11"/>
  <c r="AG92" i="11"/>
  <c r="AG19" i="11"/>
  <c r="AG33" i="11"/>
  <c r="AG116" i="11"/>
  <c r="AG107" i="11"/>
  <c r="AG72" i="11"/>
  <c r="AG95" i="11"/>
  <c r="AG11" i="11"/>
  <c r="AG90" i="11"/>
  <c r="AG32" i="11"/>
  <c r="AG132" i="11"/>
  <c r="AG105" i="11"/>
  <c r="AG64" i="11"/>
  <c r="AG50" i="11"/>
  <c r="AG57" i="11"/>
  <c r="AG56" i="11"/>
  <c r="AG20" i="11"/>
  <c r="AG16" i="11"/>
  <c r="AG127" i="11"/>
  <c r="AG88" i="11"/>
  <c r="AG110" i="11"/>
  <c r="AG29" i="11"/>
  <c r="AG25" i="11"/>
  <c r="AG123" i="11"/>
  <c r="AG30" i="11"/>
  <c r="AG117" i="11"/>
  <c r="AG79" i="11"/>
  <c r="AG103" i="11"/>
  <c r="AG66" i="11"/>
  <c r="AG38" i="11"/>
  <c r="AG85" i="11"/>
  <c r="AG17" i="11"/>
  <c r="AG119" i="11"/>
  <c r="AG128" i="11"/>
  <c r="AG106" i="11"/>
  <c r="AG97" i="11"/>
  <c r="AG58" i="11"/>
  <c r="AG24" i="11"/>
  <c r="AG77" i="11"/>
  <c r="AG15" i="11"/>
  <c r="AG134" i="11"/>
  <c r="AG113" i="11"/>
  <c r="AG99" i="11"/>
  <c r="AG91" i="11"/>
  <c r="AG40" i="11"/>
  <c r="AG111" i="11"/>
  <c r="AG43" i="11"/>
  <c r="AG13" i="11"/>
  <c r="AG130" i="11"/>
  <c r="AG100" i="11"/>
  <c r="AG74" i="11"/>
  <c r="AG86" i="11"/>
  <c r="AG28" i="11"/>
  <c r="AG73" i="11"/>
  <c r="AG36" i="11"/>
  <c r="AG21" i="11"/>
  <c r="AG114" i="11"/>
  <c r="AG84" i="11"/>
  <c r="AG93" i="11"/>
  <c r="AG82" i="11"/>
  <c r="AG129" i="11"/>
  <c r="AG69" i="11"/>
  <c r="AG61" i="11"/>
  <c r="AG54" i="11"/>
  <c r="AG55" i="11"/>
  <c r="AG120" i="11"/>
  <c r="AG68" i="11"/>
  <c r="AG83" i="11"/>
  <c r="AG67" i="11"/>
  <c r="AG27" i="11"/>
  <c r="AG23" i="11"/>
  <c r="AG35" i="11"/>
  <c r="AG65" i="11"/>
  <c r="AG135" i="11"/>
  <c r="AG60" i="11"/>
  <c r="AG124" i="11"/>
  <c r="AG102" i="11"/>
  <c r="AG96" i="11"/>
  <c r="AG14" i="11"/>
  <c r="AG18" i="11"/>
  <c r="AG46" i="11"/>
  <c r="AG112" i="11"/>
  <c r="AG63" i="11"/>
  <c r="AG109" i="11"/>
  <c r="AG62" i="11"/>
  <c r="AG26" i="11"/>
  <c r="AG133" i="11"/>
  <c r="AG34" i="11"/>
  <c r="AG31" i="11"/>
  <c r="AG125" i="11"/>
  <c r="AG45" i="11"/>
  <c r="AG131" i="11"/>
  <c r="AG89" i="11"/>
  <c r="AG115" i="11"/>
  <c r="AG53" i="11"/>
  <c r="AG126" i="11"/>
  <c r="AG49" i="11"/>
  <c r="AG76" i="11"/>
  <c r="AG44" i="11"/>
  <c r="AG94" i="11"/>
  <c r="AG52" i="11"/>
  <c r="AG80" i="11"/>
  <c r="AG48" i="11"/>
  <c r="AG71" i="11"/>
  <c r="AG41" i="11"/>
  <c r="AG87" i="11"/>
  <c r="AG51" i="11"/>
  <c r="AG118" i="11"/>
  <c r="AG59" i="11"/>
  <c r="AG104" i="11"/>
  <c r="AG47" i="11"/>
  <c r="AG122" i="11"/>
  <c r="AG39" i="11"/>
  <c r="AG75" i="11"/>
  <c r="AG12" i="11"/>
  <c r="AG70" i="11"/>
  <c r="AG37" i="11"/>
  <c r="AG81" i="11"/>
  <c r="AG78" i="11"/>
  <c r="AG10" i="11"/>
  <c r="AG42" i="11"/>
  <c r="AD13" i="11"/>
  <c r="AD111" i="11"/>
  <c r="AD101" i="11"/>
  <c r="AD91" i="11"/>
  <c r="AD60" i="11"/>
  <c r="AD86" i="11"/>
  <c r="AD58" i="11"/>
  <c r="AD43" i="11"/>
  <c r="AD36" i="11"/>
  <c r="AD103" i="11"/>
  <c r="AD93" i="11"/>
  <c r="AD83" i="11"/>
  <c r="AD52" i="11"/>
  <c r="AD72" i="11"/>
  <c r="AD29" i="11"/>
  <c r="AD16" i="11"/>
  <c r="AD20" i="11"/>
  <c r="AD10" i="11"/>
  <c r="AD95" i="11"/>
  <c r="AD85" i="11"/>
  <c r="AD127" i="11"/>
  <c r="AD44" i="11"/>
  <c r="AD64" i="11"/>
  <c r="AD21" i="11"/>
  <c r="AD102" i="11"/>
  <c r="AD75" i="11"/>
  <c r="AD118" i="11"/>
  <c r="AD98" i="11"/>
  <c r="AD88" i="11"/>
  <c r="AD121" i="11"/>
  <c r="AD77" i="11"/>
  <c r="AD67" i="11"/>
  <c r="AD25" i="11"/>
  <c r="AD34" i="11"/>
  <c r="AD108" i="11"/>
  <c r="AD90" i="11"/>
  <c r="AD80" i="11"/>
  <c r="AD117" i="11"/>
  <c r="AD69" i="11"/>
  <c r="AD54" i="11"/>
  <c r="AD38" i="11"/>
  <c r="AD14" i="11"/>
  <c r="AD109" i="11"/>
  <c r="AD65" i="11"/>
  <c r="AD45" i="11"/>
  <c r="AD105" i="11"/>
  <c r="AD78" i="11"/>
  <c r="AD135" i="11"/>
  <c r="AD57" i="11"/>
  <c r="AD110" i="11"/>
  <c r="AD26" i="11"/>
  <c r="AD17" i="11"/>
  <c r="AD100" i="11"/>
  <c r="AD131" i="11"/>
  <c r="AD49" i="11"/>
  <c r="AD56" i="11"/>
  <c r="AD22" i="11"/>
  <c r="AD19" i="11"/>
  <c r="AD92" i="11"/>
  <c r="AD115" i="11"/>
  <c r="AD94" i="11"/>
  <c r="AD48" i="11"/>
  <c r="AD113" i="11"/>
  <c r="AD81" i="11"/>
  <c r="AD129" i="11"/>
  <c r="AD126" i="11"/>
  <c r="AD84" i="11"/>
  <c r="AD97" i="11"/>
  <c r="AD24" i="11"/>
  <c r="AD12" i="11"/>
  <c r="AD124" i="11"/>
  <c r="AD112" i="11"/>
  <c r="AD76" i="11"/>
  <c r="AD32" i="11"/>
  <c r="AD23" i="11"/>
  <c r="AD39" i="11"/>
  <c r="AD87" i="11"/>
  <c r="AD104" i="11"/>
  <c r="AD68" i="11"/>
  <c r="AD46" i="11"/>
  <c r="AD41" i="11"/>
  <c r="AD79" i="11"/>
  <c r="AD96" i="11"/>
  <c r="AD71" i="11"/>
  <c r="AD42" i="11"/>
  <c r="AD15" i="11"/>
  <c r="AD134" i="11"/>
  <c r="AD132" i="11"/>
  <c r="AD63" i="11"/>
  <c r="AD31" i="11"/>
  <c r="AD62" i="11"/>
  <c r="AD119" i="11"/>
  <c r="AD116" i="11"/>
  <c r="AD55" i="11"/>
  <c r="AD50" i="11"/>
  <c r="AD59" i="11"/>
  <c r="AD130" i="11"/>
  <c r="AD107" i="11"/>
  <c r="AD47" i="11"/>
  <c r="AD37" i="11"/>
  <c r="AD35" i="11"/>
  <c r="AD114" i="11"/>
  <c r="AD99" i="11"/>
  <c r="AD74" i="11"/>
  <c r="AD30" i="11"/>
  <c r="AD18" i="11"/>
  <c r="AD120" i="11"/>
  <c r="AD73" i="11"/>
  <c r="AD53" i="11"/>
  <c r="AD27" i="11"/>
  <c r="AD11" i="11"/>
  <c r="AD125" i="11"/>
  <c r="AD133" i="11"/>
  <c r="AD123" i="11"/>
  <c r="AD89" i="11"/>
  <c r="AD128" i="11"/>
  <c r="AD122" i="11"/>
  <c r="AD61" i="11"/>
  <c r="AD66" i="11"/>
  <c r="AD40" i="11"/>
  <c r="AD28" i="11"/>
  <c r="AD70" i="11"/>
  <c r="AD51" i="11"/>
  <c r="AD33" i="11"/>
  <c r="AD82" i="11"/>
  <c r="AD106" i="11"/>
  <c r="AB14" i="22"/>
  <c r="AB13" i="22"/>
  <c r="AB42" i="22"/>
  <c r="AB25" i="22"/>
  <c r="AB57" i="22"/>
  <c r="AB87" i="22"/>
  <c r="AB125" i="22"/>
  <c r="AB80" i="22"/>
  <c r="AB110" i="22"/>
  <c r="AB26" i="22"/>
  <c r="AB10" i="22"/>
  <c r="AB123" i="22"/>
  <c r="AB79" i="22"/>
  <c r="AB120" i="22"/>
  <c r="AB72" i="22"/>
  <c r="AB102" i="22"/>
  <c r="AB22" i="22"/>
  <c r="AB134" i="22"/>
  <c r="AB71" i="22"/>
  <c r="AB109" i="22"/>
  <c r="AB64" i="22"/>
  <c r="AB94" i="22"/>
  <c r="AB46" i="22"/>
  <c r="AB21" i="22"/>
  <c r="AB19" i="22"/>
  <c r="AB118" i="22"/>
  <c r="AB63" i="22"/>
  <c r="AB101" i="22"/>
  <c r="AB56" i="22"/>
  <c r="AB86" i="22"/>
  <c r="AB38" i="22"/>
  <c r="AB108" i="22"/>
  <c r="AB55" i="22"/>
  <c r="AB93" i="22"/>
  <c r="AB121" i="22"/>
  <c r="AB78" i="22"/>
  <c r="AB24" i="22"/>
  <c r="AB29" i="22"/>
  <c r="AB45" i="22"/>
  <c r="AB16" i="22"/>
  <c r="AB100" i="22"/>
  <c r="AB135" i="22"/>
  <c r="AB85" i="22"/>
  <c r="AB132" i="22"/>
  <c r="AB70" i="22"/>
  <c r="AB23" i="22"/>
  <c r="AB92" i="22"/>
  <c r="AB119" i="22"/>
  <c r="AB77" i="22"/>
  <c r="AB116" i="22"/>
  <c r="AB62" i="22"/>
  <c r="AB49" i="22"/>
  <c r="AB47" i="22"/>
  <c r="AB30" i="22"/>
  <c r="AB17" i="22"/>
  <c r="AB84" i="22"/>
  <c r="AB130" i="22"/>
  <c r="AB69" i="22"/>
  <c r="AB107" i="22"/>
  <c r="AB54" i="22"/>
  <c r="AB41" i="22"/>
  <c r="AB33" i="22"/>
  <c r="AB39" i="22"/>
  <c r="AB128" i="22"/>
  <c r="AB76" i="22"/>
  <c r="AB114" i="22"/>
  <c r="AB61" i="22"/>
  <c r="AB99" i="22"/>
  <c r="AB133" i="22"/>
  <c r="AB52" i="22"/>
  <c r="AB113" i="22"/>
  <c r="AB68" i="22"/>
  <c r="AB106" i="22"/>
  <c r="AB131" i="22"/>
  <c r="AB91" i="22"/>
  <c r="AB117" i="22"/>
  <c r="AB44" i="22"/>
  <c r="AB53" i="22"/>
  <c r="AB18" i="22"/>
  <c r="AB105" i="22"/>
  <c r="AB60" i="22"/>
  <c r="AB98" i="22"/>
  <c r="AB115" i="22"/>
  <c r="AB83" i="22"/>
  <c r="AB48" i="22"/>
  <c r="AB36" i="22"/>
  <c r="AB34" i="22"/>
  <c r="AB31" i="22"/>
  <c r="AB97" i="22"/>
  <c r="AB129" i="22"/>
  <c r="AB90" i="22"/>
  <c r="AB126" i="22"/>
  <c r="AB75" i="22"/>
  <c r="AB40" i="22"/>
  <c r="AB35" i="22"/>
  <c r="AB11" i="22"/>
  <c r="AB32" i="22"/>
  <c r="AB89" i="22"/>
  <c r="AB124" i="22"/>
  <c r="AB82" i="22"/>
  <c r="AB112" i="22"/>
  <c r="AB67" i="22"/>
  <c r="AB28" i="22"/>
  <c r="AB81" i="22"/>
  <c r="AB111" i="22"/>
  <c r="AB74" i="22"/>
  <c r="AB104" i="22"/>
  <c r="AB59" i="22"/>
  <c r="AB27" i="22"/>
  <c r="AB20" i="22"/>
  <c r="AB50" i="22"/>
  <c r="AB73" i="22"/>
  <c r="AB103" i="22"/>
  <c r="AB66" i="22"/>
  <c r="AB96" i="22"/>
  <c r="AB127" i="22"/>
  <c r="AB51" i="22"/>
  <c r="AB12" i="22"/>
  <c r="AB37" i="22"/>
  <c r="AB15" i="22"/>
  <c r="AB65" i="22"/>
  <c r="AB95" i="22"/>
  <c r="AB58" i="22"/>
  <c r="AB88" i="22"/>
  <c r="AB122" i="22"/>
  <c r="AB43" i="22"/>
  <c r="AG55" i="12"/>
  <c r="AG83" i="12"/>
  <c r="AG104" i="12"/>
  <c r="AG96" i="12"/>
  <c r="AG31" i="12"/>
  <c r="AG46" i="12"/>
  <c r="AG21" i="12"/>
  <c r="AG24" i="12"/>
  <c r="AG75" i="12"/>
  <c r="AG93" i="12"/>
  <c r="AG85" i="12"/>
  <c r="AG110" i="12"/>
  <c r="AG84" i="12"/>
  <c r="AG70" i="12"/>
  <c r="AG92" i="12"/>
  <c r="AG49" i="12"/>
  <c r="AG48" i="12"/>
  <c r="AG14" i="12"/>
  <c r="AG130" i="12"/>
  <c r="AG99" i="12"/>
  <c r="AG76" i="12"/>
  <c r="AG63" i="12"/>
  <c r="AG90" i="12"/>
  <c r="AG33" i="12"/>
  <c r="AG51" i="12"/>
  <c r="AG13" i="12"/>
  <c r="AG47" i="12"/>
  <c r="AG114" i="12"/>
  <c r="AG117" i="12"/>
  <c r="AG131" i="12"/>
  <c r="AG125" i="12"/>
  <c r="AG88" i="12"/>
  <c r="AG102" i="12"/>
  <c r="AG57" i="12"/>
  <c r="AG29" i="12"/>
  <c r="AG73" i="12"/>
  <c r="AG10" i="12"/>
  <c r="AG94" i="12"/>
  <c r="AG120" i="12"/>
  <c r="AG78" i="12"/>
  <c r="AG91" i="12"/>
  <c r="AG124" i="12"/>
  <c r="AG79" i="12"/>
  <c r="AG20" i="12"/>
  <c r="AG62" i="12"/>
  <c r="AG50" i="12"/>
  <c r="AG116" i="12"/>
  <c r="AG108" i="12"/>
  <c r="AG111" i="12"/>
  <c r="AG67" i="12"/>
  <c r="AG56" i="12"/>
  <c r="AG52" i="12"/>
  <c r="AG26" i="12"/>
  <c r="AG15" i="12"/>
  <c r="AG106" i="12"/>
  <c r="AG119" i="12"/>
  <c r="AG127" i="12"/>
  <c r="AG27" i="12"/>
  <c r="AG95" i="12"/>
  <c r="AG105" i="12"/>
  <c r="AG74" i="12"/>
  <c r="AG25" i="12"/>
  <c r="AG64" i="12"/>
  <c r="AG123" i="12"/>
  <c r="AG60" i="12"/>
  <c r="AG39" i="12"/>
  <c r="AG12" i="12"/>
  <c r="AG115" i="12"/>
  <c r="AG58" i="12"/>
  <c r="AG36" i="12"/>
  <c r="AG18" i="12"/>
  <c r="AG122" i="12"/>
  <c r="AG100" i="12"/>
  <c r="AG81" i="12"/>
  <c r="AG30" i="12"/>
  <c r="AG37" i="12"/>
  <c r="AG16" i="12"/>
  <c r="AG128" i="12"/>
  <c r="AG109" i="12"/>
  <c r="AG80" i="12"/>
  <c r="AG103" i="12"/>
  <c r="AG54" i="12"/>
  <c r="AG28" i="12"/>
  <c r="AG113" i="12"/>
  <c r="AG82" i="12"/>
  <c r="AG68" i="12"/>
  <c r="AG45" i="12"/>
  <c r="AG44" i="12"/>
  <c r="AG134" i="12"/>
  <c r="AG129" i="12"/>
  <c r="AG66" i="12"/>
  <c r="AG42" i="12"/>
  <c r="AG32" i="12"/>
  <c r="AG118" i="12"/>
  <c r="AG121" i="12"/>
  <c r="AG65" i="12"/>
  <c r="AG61" i="12"/>
  <c r="AG135" i="12"/>
  <c r="AG107" i="12"/>
  <c r="AG40" i="12"/>
  <c r="AG34" i="12"/>
  <c r="AG101" i="12"/>
  <c r="AG98" i="12"/>
  <c r="AG17" i="12"/>
  <c r="AG38" i="12"/>
  <c r="AG133" i="12"/>
  <c r="AG77" i="12"/>
  <c r="AG72" i="12"/>
  <c r="AG22" i="12"/>
  <c r="AG112" i="12"/>
  <c r="AG87" i="12"/>
  <c r="AG19" i="12"/>
  <c r="AG41" i="12"/>
  <c r="AG43" i="12"/>
  <c r="AG59" i="12"/>
  <c r="AG71" i="12"/>
  <c r="AG23" i="12"/>
  <c r="AG97" i="12"/>
  <c r="AG86" i="12"/>
  <c r="AG126" i="12"/>
  <c r="AG69" i="12"/>
  <c r="AG35" i="12"/>
  <c r="AG53" i="12"/>
  <c r="AG132" i="12"/>
  <c r="AG89" i="12"/>
  <c r="AG11" i="12"/>
  <c r="AD71" i="12"/>
  <c r="AD123" i="12"/>
  <c r="AD11" i="12"/>
  <c r="AD38" i="12"/>
  <c r="AD44" i="12"/>
  <c r="AD12" i="12"/>
  <c r="AD13" i="12"/>
  <c r="AD64" i="12"/>
  <c r="AD15" i="12"/>
  <c r="AD79" i="12"/>
  <c r="AD10" i="12"/>
  <c r="AD111" i="12"/>
  <c r="AD122" i="12"/>
  <c r="AD128" i="12"/>
  <c r="AD51" i="12"/>
  <c r="AD76" i="12"/>
  <c r="AD66" i="12"/>
  <c r="AD36" i="12"/>
  <c r="AD27" i="12"/>
  <c r="AD103" i="12"/>
  <c r="AD92" i="12"/>
  <c r="AD120" i="12"/>
  <c r="AD43" i="12"/>
  <c r="AD55" i="12"/>
  <c r="AD37" i="12"/>
  <c r="AD20" i="12"/>
  <c r="AD31" i="12"/>
  <c r="AD26" i="12"/>
  <c r="AD95" i="12"/>
  <c r="AD113" i="12"/>
  <c r="AD112" i="12"/>
  <c r="AD107" i="12"/>
  <c r="AD47" i="12"/>
  <c r="AD35" i="12"/>
  <c r="AD74" i="12"/>
  <c r="AD56" i="12"/>
  <c r="AD87" i="12"/>
  <c r="AD101" i="12"/>
  <c r="AD108" i="12"/>
  <c r="AD98" i="12"/>
  <c r="AD39" i="12"/>
  <c r="AD28" i="12"/>
  <c r="AD30" i="12"/>
  <c r="AD25" i="12"/>
  <c r="AD119" i="12"/>
  <c r="AD83" i="12"/>
  <c r="AD86" i="12"/>
  <c r="AD63" i="12"/>
  <c r="AD96" i="12"/>
  <c r="AD16" i="12"/>
  <c r="AD61" i="12"/>
  <c r="AD22" i="12"/>
  <c r="AD131" i="12"/>
  <c r="AD75" i="12"/>
  <c r="AD106" i="12"/>
  <c r="AD77" i="12"/>
  <c r="AD81" i="12"/>
  <c r="AD40" i="12"/>
  <c r="AD45" i="12"/>
  <c r="AD17" i="12"/>
  <c r="AD115" i="12"/>
  <c r="AD67" i="12"/>
  <c r="AD104" i="12"/>
  <c r="AD65" i="12"/>
  <c r="AD60" i="12"/>
  <c r="AD46" i="12"/>
  <c r="AD21" i="12"/>
  <c r="AD121" i="12"/>
  <c r="AD59" i="12"/>
  <c r="AD93" i="12"/>
  <c r="AD57" i="12"/>
  <c r="AD58" i="12"/>
  <c r="AD29" i="12"/>
  <c r="AD48" i="12"/>
  <c r="AD127" i="12"/>
  <c r="AD125" i="12"/>
  <c r="AD102" i="12"/>
  <c r="AD49" i="12"/>
  <c r="AD50" i="12"/>
  <c r="AD18" i="12"/>
  <c r="AD133" i="12"/>
  <c r="AD110" i="12"/>
  <c r="AD91" i="12"/>
  <c r="AD41" i="12"/>
  <c r="AD42" i="12"/>
  <c r="AD132" i="12"/>
  <c r="AD117" i="12"/>
  <c r="AD99" i="12"/>
  <c r="AD126" i="12"/>
  <c r="AD69" i="12"/>
  <c r="AD32" i="12"/>
  <c r="AD80" i="12"/>
  <c r="AD105" i="12"/>
  <c r="AD88" i="12"/>
  <c r="AD118" i="12"/>
  <c r="AD85" i="12"/>
  <c r="AD109" i="12"/>
  <c r="AD68" i="12"/>
  <c r="AD24" i="12"/>
  <c r="AD124" i="12"/>
  <c r="AD130" i="12"/>
  <c r="AD62" i="12"/>
  <c r="AD89" i="12"/>
  <c r="AD82" i="12"/>
  <c r="AD14" i="12"/>
  <c r="AD52" i="12"/>
  <c r="AD84" i="12"/>
  <c r="AD34" i="12"/>
  <c r="AD23" i="12"/>
  <c r="AD129" i="12"/>
  <c r="AD53" i="12"/>
  <c r="AD135" i="12"/>
  <c r="AD33" i="12"/>
  <c r="AD94" i="12"/>
  <c r="AD19" i="12"/>
  <c r="AD114" i="12"/>
  <c r="AD116" i="12"/>
  <c r="AD78" i="12"/>
  <c r="AD70" i="12"/>
  <c r="AD97" i="12"/>
  <c r="AD134" i="12"/>
  <c r="AD100" i="12"/>
  <c r="AD72" i="12"/>
  <c r="AD90" i="12"/>
  <c r="AD73" i="12"/>
  <c r="AD54" i="12"/>
  <c r="AF35" i="14"/>
  <c r="AF69" i="14"/>
  <c r="AF115" i="14"/>
  <c r="AF127" i="14"/>
  <c r="AF73" i="14"/>
  <c r="AF79" i="14"/>
  <c r="AF47" i="14"/>
  <c r="AF37" i="14"/>
  <c r="AF10" i="14"/>
  <c r="AF126" i="14"/>
  <c r="AF122" i="14"/>
  <c r="AF123" i="14"/>
  <c r="AF71" i="14"/>
  <c r="AF39" i="14"/>
  <c r="AF30" i="14"/>
  <c r="AF18" i="14"/>
  <c r="AF112" i="14"/>
  <c r="AF110" i="14"/>
  <c r="AF128" i="14"/>
  <c r="AF65" i="14"/>
  <c r="AF34" i="14"/>
  <c r="AF106" i="14"/>
  <c r="AF104" i="14"/>
  <c r="AF102" i="14"/>
  <c r="AF118" i="14"/>
  <c r="AF57" i="14"/>
  <c r="AF19" i="14"/>
  <c r="AF64" i="14"/>
  <c r="AF96" i="14"/>
  <c r="AF94" i="14"/>
  <c r="AF108" i="14"/>
  <c r="AF49" i="14"/>
  <c r="AF119" i="14"/>
  <c r="AF56" i="14"/>
  <c r="AF129" i="14"/>
  <c r="AF88" i="14"/>
  <c r="AF86" i="14"/>
  <c r="AF100" i="14"/>
  <c r="AF41" i="14"/>
  <c r="AF66" i="14"/>
  <c r="AF48" i="14"/>
  <c r="AF62" i="14"/>
  <c r="AF80" i="14"/>
  <c r="AF78" i="14"/>
  <c r="AF92" i="14"/>
  <c r="AF15" i="14"/>
  <c r="AF58" i="14"/>
  <c r="AF40" i="14"/>
  <c r="AF133" i="14"/>
  <c r="AF72" i="14"/>
  <c r="AF70" i="14"/>
  <c r="AF84" i="14"/>
  <c r="AF98" i="14"/>
  <c r="AF50" i="14"/>
  <c r="AF28" i="14"/>
  <c r="AF120" i="14"/>
  <c r="AF121" i="14"/>
  <c r="AF117" i="14"/>
  <c r="AF68" i="14"/>
  <c r="AF60" i="14"/>
  <c r="AF32" i="14"/>
  <c r="AF114" i="14"/>
  <c r="AF46" i="14"/>
  <c r="AF54" i="14"/>
  <c r="AF109" i="14"/>
  <c r="AF116" i="14"/>
  <c r="AF135" i="14"/>
  <c r="AF132" i="14"/>
  <c r="AF52" i="14"/>
  <c r="AF20" i="14"/>
  <c r="AF67" i="14"/>
  <c r="AF101" i="14"/>
  <c r="AF107" i="14"/>
  <c r="AF113" i="14"/>
  <c r="AF124" i="14"/>
  <c r="AF44" i="14"/>
  <c r="AF90" i="14"/>
  <c r="AF59" i="14"/>
  <c r="AF93" i="14"/>
  <c r="AF99" i="14"/>
  <c r="AF105" i="14"/>
  <c r="AF111" i="14"/>
  <c r="AF36" i="14"/>
  <c r="AF31" i="14"/>
  <c r="AF51" i="14"/>
  <c r="AF85" i="14"/>
  <c r="AF91" i="14"/>
  <c r="AF97" i="14"/>
  <c r="AF103" i="14"/>
  <c r="AF17" i="14"/>
  <c r="AF61" i="14"/>
  <c r="AF43" i="14"/>
  <c r="AF81" i="14"/>
  <c r="AF76" i="14"/>
  <c r="AF95" i="14"/>
  <c r="AF33" i="14"/>
  <c r="AF13" i="14"/>
  <c r="AF87" i="14"/>
  <c r="AF23" i="14"/>
  <c r="AF21" i="14"/>
  <c r="AF82" i="14"/>
  <c r="AF55" i="14"/>
  <c r="AF29" i="14"/>
  <c r="AF16" i="14"/>
  <c r="AF42" i="14"/>
  <c r="AF134" i="14"/>
  <c r="AF45" i="14"/>
  <c r="AF77" i="14"/>
  <c r="AF125" i="14"/>
  <c r="AF130" i="14"/>
  <c r="AF26" i="14"/>
  <c r="AF14" i="14"/>
  <c r="AF83" i="14"/>
  <c r="AF22" i="14"/>
  <c r="AF75" i="14"/>
  <c r="AF131" i="14"/>
  <c r="AF27" i="14"/>
  <c r="AF25" i="14"/>
  <c r="AF11" i="14"/>
  <c r="AF24" i="14"/>
  <c r="AF74" i="14"/>
  <c r="AF89" i="14"/>
  <c r="AF63" i="14"/>
  <c r="AF53" i="14"/>
  <c r="AF12" i="14"/>
  <c r="AF38" i="14"/>
  <c r="AB11" i="9"/>
  <c r="AB10" i="9"/>
  <c r="AB25" i="9"/>
  <c r="AB46" i="9"/>
  <c r="AB118" i="9"/>
  <c r="AB63" i="9"/>
  <c r="AB77" i="9"/>
  <c r="AB116" i="9"/>
  <c r="AB73" i="9"/>
  <c r="AB35" i="9"/>
  <c r="AB19" i="9"/>
  <c r="AB49" i="9"/>
  <c r="AB108" i="9"/>
  <c r="AB55" i="9"/>
  <c r="AB69" i="9"/>
  <c r="AB107" i="9"/>
  <c r="AB117" i="9"/>
  <c r="AB23" i="9"/>
  <c r="AB70" i="9"/>
  <c r="AB100" i="9"/>
  <c r="AB135" i="9"/>
  <c r="AB61" i="9"/>
  <c r="AB99" i="9"/>
  <c r="AB53" i="9"/>
  <c r="AB14" i="9"/>
  <c r="AB40" i="9"/>
  <c r="AB28" i="9"/>
  <c r="AB13" i="9"/>
  <c r="AB12" i="9"/>
  <c r="AB92" i="9"/>
  <c r="AB119" i="9"/>
  <c r="AB131" i="9"/>
  <c r="AB91" i="9"/>
  <c r="AB45" i="9"/>
  <c r="AB74" i="9"/>
  <c r="AB20" i="9"/>
  <c r="AB84" i="9"/>
  <c r="AB130" i="9"/>
  <c r="AB115" i="9"/>
  <c r="AB83" i="9"/>
  <c r="AB37" i="9"/>
  <c r="AB57" i="9"/>
  <c r="AB31" i="9"/>
  <c r="AB76" i="9"/>
  <c r="AB114" i="9"/>
  <c r="AB126" i="9"/>
  <c r="AB75" i="9"/>
  <c r="AB30" i="9"/>
  <c r="AB44" i="9"/>
  <c r="AB21" i="9"/>
  <c r="AB24" i="9"/>
  <c r="AB68" i="9"/>
  <c r="AB106" i="9"/>
  <c r="AB112" i="9"/>
  <c r="AB67" i="9"/>
  <c r="AB48" i="9"/>
  <c r="AB15" i="9"/>
  <c r="AB133" i="9"/>
  <c r="AB60" i="9"/>
  <c r="AB98" i="9"/>
  <c r="AB104" i="9"/>
  <c r="AB59" i="9"/>
  <c r="AB78" i="9"/>
  <c r="AB16" i="9"/>
  <c r="AB26" i="9"/>
  <c r="AB29" i="9"/>
  <c r="AB128" i="9"/>
  <c r="AB129" i="9"/>
  <c r="AB90" i="9"/>
  <c r="AB96" i="9"/>
  <c r="AB47" i="9"/>
  <c r="AB110" i="9"/>
  <c r="AB122" i="9"/>
  <c r="AB22" i="9"/>
  <c r="AB113" i="9"/>
  <c r="AB124" i="9"/>
  <c r="AB82" i="9"/>
  <c r="AB88" i="9"/>
  <c r="AB39" i="9"/>
  <c r="AB51" i="9"/>
  <c r="AB52" i="9"/>
  <c r="AB105" i="9"/>
  <c r="AB111" i="9"/>
  <c r="AB125" i="9"/>
  <c r="AB80" i="9"/>
  <c r="AB34" i="9"/>
  <c r="AB43" i="9"/>
  <c r="AB17" i="9"/>
  <c r="AB66" i="9"/>
  <c r="AB97" i="9"/>
  <c r="AB103" i="9"/>
  <c r="AB120" i="9"/>
  <c r="AB72" i="9"/>
  <c r="AB65" i="9"/>
  <c r="AB127" i="9"/>
  <c r="AB54" i="9"/>
  <c r="AB89" i="9"/>
  <c r="AB95" i="9"/>
  <c r="AB109" i="9"/>
  <c r="AB64" i="9"/>
  <c r="AB50" i="9"/>
  <c r="AB58" i="9"/>
  <c r="AB41" i="9"/>
  <c r="AB81" i="9"/>
  <c r="AB87" i="9"/>
  <c r="AB101" i="9"/>
  <c r="AB56" i="9"/>
  <c r="AB42" i="9"/>
  <c r="AB86" i="9"/>
  <c r="AB18" i="9"/>
  <c r="AB27" i="9"/>
  <c r="AB123" i="9"/>
  <c r="AB79" i="9"/>
  <c r="AB93" i="9"/>
  <c r="AB121" i="9"/>
  <c r="AB32" i="9"/>
  <c r="AB62" i="9"/>
  <c r="AB36" i="9"/>
  <c r="AB134" i="9"/>
  <c r="AB71" i="9"/>
  <c r="AB85" i="9"/>
  <c r="AB132" i="9"/>
  <c r="AB102" i="9"/>
  <c r="AB94" i="9"/>
  <c r="AB33" i="9"/>
  <c r="AB38" i="9"/>
  <c r="H6" i="22"/>
  <c r="O6" i="22" s="1"/>
  <c r="G6" i="22"/>
  <c r="N6" i="22" s="1"/>
  <c r="F6" i="22"/>
  <c r="M6" i="22" s="1"/>
  <c r="E6" i="22"/>
  <c r="L6" i="22" s="1"/>
  <c r="B5" i="22"/>
  <c r="D6" i="22"/>
  <c r="K6" i="22" s="1"/>
  <c r="C6" i="22"/>
  <c r="J6" i="22" s="1"/>
  <c r="AJ23" i="22"/>
  <c r="AN71" i="22" a="1"/>
  <c r="AN71" i="22" s="1"/>
  <c r="AO12" i="22" a="1"/>
  <c r="AO12" i="22" s="1"/>
  <c r="AJ13" i="22"/>
  <c r="AL109" i="22" a="1"/>
  <c r="AL109" i="22" s="1"/>
  <c r="AL35" i="22" a="1"/>
  <c r="AL35" i="22" s="1"/>
  <c r="AL48" i="22" a="1"/>
  <c r="AL48" i="22" s="1"/>
  <c r="AL46" i="22" a="1"/>
  <c r="AL46" i="22" s="1"/>
  <c r="AL49" i="22" a="1"/>
  <c r="AL49" i="22" s="1"/>
  <c r="AM67" i="22" a="1"/>
  <c r="AM67" i="22" s="1"/>
  <c r="AO113" i="22" a="1"/>
  <c r="AO113" i="22" s="1"/>
  <c r="AO108" i="22" a="1"/>
  <c r="AO108" i="22" s="1"/>
  <c r="AO100" i="22" a="1"/>
  <c r="AO100" i="22" s="1"/>
  <c r="AO111" i="22" a="1"/>
  <c r="AO111" i="22" s="1"/>
  <c r="AO103" i="22" a="1"/>
  <c r="AO103" i="22" s="1"/>
  <c r="AO109" i="22" a="1"/>
  <c r="AO109" i="22" s="1"/>
  <c r="AO101" i="22" a="1"/>
  <c r="AO101" i="22" s="1"/>
  <c r="AO112" i="22" a="1"/>
  <c r="AO112" i="22" s="1"/>
  <c r="AO104" i="22" a="1"/>
  <c r="AO104" i="22" s="1"/>
  <c r="AO96" i="22" a="1"/>
  <c r="AO96" i="22" s="1"/>
  <c r="AO107" i="22" a="1"/>
  <c r="AO107" i="22" s="1"/>
  <c r="AO99" i="22" a="1"/>
  <c r="AO99" i="22" s="1"/>
  <c r="AO91" i="22" a="1"/>
  <c r="AO91" i="22" s="1"/>
  <c r="AO110" i="22" a="1"/>
  <c r="AO110" i="22" s="1"/>
  <c r="AO102" i="22" a="1"/>
  <c r="AO102" i="22" s="1"/>
  <c r="AO95" i="22" a="1"/>
  <c r="AO95" i="22" s="1"/>
  <c r="AO29" i="22" a="1"/>
  <c r="AO29" i="22" s="1"/>
  <c r="AO48" i="22" a="1"/>
  <c r="AO48" i="22" s="1"/>
  <c r="AO40" i="22" a="1"/>
  <c r="AO40" i="22" s="1"/>
  <c r="AO28" i="22" a="1"/>
  <c r="AO28" i="22" s="1"/>
  <c r="AO27" i="22" a="1"/>
  <c r="AO27" i="22" s="1"/>
  <c r="AO51" i="22" a="1"/>
  <c r="AO51" i="22" s="1"/>
  <c r="AO43" i="22" a="1"/>
  <c r="AO43" i="22" s="1"/>
  <c r="AO97" i="22" a="1"/>
  <c r="AO97" i="22" s="1"/>
  <c r="AO46" i="22" a="1"/>
  <c r="AO46" i="22" s="1"/>
  <c r="AO38" i="22" a="1"/>
  <c r="AO38" i="22" s="1"/>
  <c r="AO105" i="22" a="1"/>
  <c r="AO105" i="22" s="1"/>
  <c r="AO23" i="22" a="1"/>
  <c r="AO23" i="22" s="1"/>
  <c r="AO49" i="22" a="1"/>
  <c r="AO49" i="22" s="1"/>
  <c r="AO41" i="22" a="1"/>
  <c r="AO41" i="22" s="1"/>
  <c r="AO98" i="22" a="1"/>
  <c r="AO98" i="22" s="1"/>
  <c r="AO90" i="22" a="1"/>
  <c r="AO90" i="22" s="1"/>
  <c r="AO52" i="22" a="1"/>
  <c r="AO52" i="22" s="1"/>
  <c r="AO44" i="22" a="1"/>
  <c r="AO44" i="22" s="1"/>
  <c r="AO36" i="22" a="1"/>
  <c r="AO36" i="22" s="1"/>
  <c r="AO92" i="22" a="1"/>
  <c r="AO92" i="22" s="1"/>
  <c r="AO79" i="22" a="1"/>
  <c r="AO79" i="22" s="1"/>
  <c r="AO78" i="22" a="1"/>
  <c r="AO78" i="22" s="1"/>
  <c r="AO93" i="22" a="1"/>
  <c r="AO93" i="22" s="1"/>
  <c r="AO94" i="22" a="1"/>
  <c r="AO94" i="22" s="1"/>
  <c r="AO106" i="22" a="1"/>
  <c r="AO106" i="22" s="1"/>
  <c r="AO65" i="22" a="1"/>
  <c r="AO65" i="22" s="1"/>
  <c r="AO45" i="22" a="1"/>
  <c r="AO45" i="22" s="1"/>
  <c r="AO72" i="22" a="1"/>
  <c r="AO72" i="22" s="1"/>
  <c r="AO62" i="22" a="1"/>
  <c r="AO62" i="22" s="1"/>
  <c r="AO39" i="22" a="1"/>
  <c r="AO39" i="22" s="1"/>
  <c r="AO69" i="22" a="1"/>
  <c r="AO69" i="22" s="1"/>
  <c r="AO59" i="22" a="1"/>
  <c r="AO59" i="22" s="1"/>
  <c r="AO32" i="22" a="1"/>
  <c r="AO32" i="22" s="1"/>
  <c r="AO31" i="22" a="1"/>
  <c r="AO31" i="22" s="1"/>
  <c r="AO26" i="22" a="1"/>
  <c r="AO26" i="22" s="1"/>
  <c r="AO66" i="22" a="1"/>
  <c r="AO66" i="22" s="1"/>
  <c r="AO56" i="22" a="1"/>
  <c r="AO56" i="22" s="1"/>
  <c r="AO53" i="22" a="1"/>
  <c r="AO53" i="22" s="1"/>
  <c r="AO33" i="22" a="1"/>
  <c r="AO33" i="22" s="1"/>
  <c r="AO30" i="22" a="1"/>
  <c r="AO30" i="22" s="1"/>
  <c r="AO18" i="22" a="1"/>
  <c r="AO18" i="22" s="1"/>
  <c r="AO47" i="22" a="1"/>
  <c r="AO47" i="22" s="1"/>
  <c r="AO34" i="22" a="1"/>
  <c r="AO34" i="22" s="1"/>
  <c r="AO19" i="22" a="1"/>
  <c r="AO19" i="22" s="1"/>
  <c r="AO63" i="22" a="1"/>
  <c r="AO63" i="22" s="1"/>
  <c r="AO35" i="22" a="1"/>
  <c r="AO35" i="22" s="1"/>
  <c r="AO20" i="22" a="1"/>
  <c r="AO20" i="22" s="1"/>
  <c r="AO70" i="22" a="1"/>
  <c r="AO70" i="22" s="1"/>
  <c r="AO60" i="22" a="1"/>
  <c r="AO60" i="22" s="1"/>
  <c r="AO54" i="22" a="1"/>
  <c r="AO54" i="22" s="1"/>
  <c r="AO73" i="22" a="1"/>
  <c r="AO73" i="22" s="1"/>
  <c r="AO67" i="22" a="1"/>
  <c r="AO67" i="22" s="1"/>
  <c r="AO42" i="22" a="1"/>
  <c r="AO42" i="22" s="1"/>
  <c r="AO57" i="22" a="1"/>
  <c r="AO57" i="22" s="1"/>
  <c r="AO64" i="22" a="1"/>
  <c r="AO64" i="22" s="1"/>
  <c r="AO50" i="22" a="1"/>
  <c r="AO50" i="22" s="1"/>
  <c r="AO22" i="22" a="1"/>
  <c r="AO22" i="22" s="1"/>
  <c r="AO10" i="22" a="1"/>
  <c r="AO10" i="22" s="1"/>
  <c r="AO71" i="22" a="1"/>
  <c r="AO71" i="22" s="1"/>
  <c r="AO61" i="22" a="1"/>
  <c r="AO61" i="22" s="1"/>
  <c r="AO55" i="22" a="1"/>
  <c r="AO55" i="22" s="1"/>
  <c r="AO37" i="22" a="1"/>
  <c r="AO37" i="22" s="1"/>
  <c r="AO68" i="22" a="1"/>
  <c r="AO68" i="22" s="1"/>
  <c r="Y18" i="22"/>
  <c r="AO74" i="22" s="1" a="1"/>
  <c r="AO74" i="22" s="1"/>
  <c r="AM71" i="22" a="1"/>
  <c r="AM71" i="22" s="1"/>
  <c r="AN66" i="22" a="1"/>
  <c r="AN66" i="22" s="1"/>
  <c r="AO11" i="22" a="1"/>
  <c r="AO11" i="22" s="1"/>
  <c r="K80" i="19"/>
  <c r="K35" i="19"/>
  <c r="K45" i="19"/>
  <c r="K70" i="19"/>
  <c r="M33" i="19"/>
  <c r="M48" i="19"/>
  <c r="H101" i="19"/>
  <c r="H105" i="19"/>
  <c r="H128" i="19"/>
  <c r="M99" i="19"/>
  <c r="M90" i="19"/>
  <c r="M121" i="19"/>
  <c r="M53" i="19"/>
  <c r="H130" i="19"/>
  <c r="M114" i="19"/>
  <c r="M101" i="19"/>
  <c r="M113" i="19"/>
  <c r="M116" i="19"/>
  <c r="M119" i="19"/>
  <c r="M98" i="19"/>
  <c r="H111" i="19"/>
  <c r="M118" i="19"/>
  <c r="M120" i="19"/>
  <c r="M70" i="19"/>
  <c r="M64" i="19"/>
  <c r="M74" i="19"/>
  <c r="H127" i="19"/>
  <c r="H110" i="19"/>
  <c r="J130" i="17"/>
  <c r="J126" i="17"/>
  <c r="L102" i="17"/>
  <c r="H111" i="17"/>
  <c r="J121" i="17"/>
  <c r="J99" i="17"/>
  <c r="M63" i="17"/>
  <c r="J93" i="17"/>
  <c r="H132" i="17"/>
  <c r="P80" i="19"/>
  <c r="Q80" i="19" s="1"/>
  <c r="K125" i="19"/>
  <c r="K118" i="19"/>
  <c r="K124" i="19"/>
  <c r="K92" i="19"/>
  <c r="AV18" i="20" a="1"/>
  <c r="AV18" i="20" s="1"/>
  <c r="F11" i="19" s="1"/>
  <c r="AV19" i="20" a="1"/>
  <c r="AV19" i="20" s="1"/>
  <c r="F12" i="19" s="1"/>
  <c r="AV20" i="20" a="1"/>
  <c r="AV20" i="20" s="1"/>
  <c r="F13" i="19" s="1"/>
  <c r="AV21" i="20" a="1"/>
  <c r="AV21" i="20" s="1"/>
  <c r="F14" i="19" s="1"/>
  <c r="AV10" i="20" a="1"/>
  <c r="AV10" i="20" s="1"/>
  <c r="F3" i="19" s="1"/>
  <c r="AV22" i="20" a="1"/>
  <c r="AV22" i="20" s="1"/>
  <c r="F15" i="19" s="1"/>
  <c r="AV11" i="20" a="1"/>
  <c r="AV11" i="20" s="1"/>
  <c r="F4" i="19" s="1"/>
  <c r="AV13" i="20" a="1"/>
  <c r="AV13" i="20" s="1"/>
  <c r="F6" i="19" s="1"/>
  <c r="AV16" i="20" a="1"/>
  <c r="AV16" i="20" s="1"/>
  <c r="F9" i="19" s="1"/>
  <c r="AV12" i="20" a="1"/>
  <c r="AV12" i="20" s="1"/>
  <c r="F5" i="19" s="1"/>
  <c r="AV15" i="20" a="1"/>
  <c r="AV15" i="20" s="1"/>
  <c r="F8" i="19" s="1"/>
  <c r="AV17" i="20" a="1"/>
  <c r="AV17" i="20" s="1"/>
  <c r="F10" i="19" s="1"/>
  <c r="AV14" i="20" a="1"/>
  <c r="AV14" i="20" s="1"/>
  <c r="F7" i="19" s="1"/>
  <c r="M115" i="19"/>
  <c r="H125" i="19"/>
  <c r="M63" i="19"/>
  <c r="K113" i="19"/>
  <c r="H116" i="19"/>
  <c r="H131" i="19"/>
  <c r="K131" i="19"/>
  <c r="H119" i="19"/>
  <c r="P40" i="19"/>
  <c r="Q40" i="19" s="1"/>
  <c r="H108" i="19"/>
  <c r="M117" i="19"/>
  <c r="P85" i="19"/>
  <c r="Q85" i="19" s="1"/>
  <c r="G7" i="20"/>
  <c r="N7" i="20" s="1"/>
  <c r="B6" i="20"/>
  <c r="H7" i="20"/>
  <c r="O7" i="20" s="1"/>
  <c r="E7" i="20"/>
  <c r="L7" i="20" s="1"/>
  <c r="D7" i="20"/>
  <c r="K7" i="20" s="1"/>
  <c r="C7" i="20"/>
  <c r="J7" i="20" s="1"/>
  <c r="F7" i="20"/>
  <c r="M7" i="20" s="1"/>
  <c r="P50" i="19"/>
  <c r="Q50" i="19" s="1"/>
  <c r="K119" i="19"/>
  <c r="H122" i="19"/>
  <c r="M43" i="19"/>
  <c r="P55" i="19"/>
  <c r="Q55" i="19" s="1"/>
  <c r="AM113" i="20" a="1"/>
  <c r="AM113" i="20" s="1"/>
  <c r="AU23" i="20" s="1"/>
  <c r="E16" i="19" s="1"/>
  <c r="AM111" i="20" a="1"/>
  <c r="AM111" i="20" s="1"/>
  <c r="AM109" i="20" a="1"/>
  <c r="AM109" i="20" s="1"/>
  <c r="AM107" i="20" a="1"/>
  <c r="AM107" i="20" s="1"/>
  <c r="AM97" i="20" a="1"/>
  <c r="AM97" i="20" s="1"/>
  <c r="AU34" i="20" s="1"/>
  <c r="E27" i="19" s="1"/>
  <c r="AM86" i="20" a="1"/>
  <c r="AM86" i="20" s="1"/>
  <c r="AM66" i="20" a="1"/>
  <c r="AM66" i="20" s="1"/>
  <c r="AM55" i="20" a="1"/>
  <c r="AM55" i="20" s="1"/>
  <c r="AM51" i="20" a="1"/>
  <c r="AM51" i="20" s="1"/>
  <c r="AM43" i="20" a="1"/>
  <c r="AM43" i="20" s="1"/>
  <c r="AM112" i="20" a="1"/>
  <c r="AM112" i="20" s="1"/>
  <c r="AM106" i="20" a="1"/>
  <c r="AM106" i="20" s="1"/>
  <c r="AM85" i="20" a="1"/>
  <c r="AM85" i="20" s="1"/>
  <c r="AM78" i="20" a="1"/>
  <c r="AM78" i="20" s="1"/>
  <c r="AM60" i="20" a="1"/>
  <c r="AM60" i="20" s="1"/>
  <c r="AM96" i="20" a="1"/>
  <c r="AM96" i="20" s="1"/>
  <c r="AM95" i="20" a="1"/>
  <c r="AM95" i="20" s="1"/>
  <c r="AM84" i="20" a="1"/>
  <c r="AM84" i="20" s="1"/>
  <c r="AM72" i="20" a="1"/>
  <c r="AM72" i="20" s="1"/>
  <c r="AM46" i="20" a="1"/>
  <c r="AM46" i="20" s="1"/>
  <c r="AM38" i="20" a="1"/>
  <c r="AM38" i="20" s="1"/>
  <c r="AM110" i="20" a="1"/>
  <c r="AM110" i="20" s="1"/>
  <c r="AM59" i="20" a="1"/>
  <c r="AM59" i="20" s="1"/>
  <c r="AM105" i="20" a="1"/>
  <c r="AM105" i="20" s="1"/>
  <c r="AU35" i="20" s="1"/>
  <c r="E28" i="19" s="1"/>
  <c r="AM94" i="20" a="1"/>
  <c r="AM94" i="20" s="1"/>
  <c r="AM83" i="20" a="1"/>
  <c r="AM83" i="20" s="1"/>
  <c r="AM77" i="20" a="1"/>
  <c r="AM77" i="20" s="1"/>
  <c r="AM71" i="20" a="1"/>
  <c r="AM71" i="20" s="1"/>
  <c r="AM65" i="20" a="1"/>
  <c r="AM65" i="20" s="1"/>
  <c r="AU30" i="20" s="1"/>
  <c r="E23" i="19" s="1"/>
  <c r="AM49" i="20" a="1"/>
  <c r="AM49" i="20" s="1"/>
  <c r="AU28" i="20" s="1"/>
  <c r="E21" i="19" s="1"/>
  <c r="AM93" i="20" a="1"/>
  <c r="AM93" i="20" s="1"/>
  <c r="AM58" i="20" a="1"/>
  <c r="AM58" i="20" s="1"/>
  <c r="AM104" i="20" a="1"/>
  <c r="AM104" i="20" s="1"/>
  <c r="AM103" i="20" a="1"/>
  <c r="AM103" i="20" s="1"/>
  <c r="AM92" i="20" a="1"/>
  <c r="AM92" i="20" s="1"/>
  <c r="AM82" i="20" a="1"/>
  <c r="AM82" i="20" s="1"/>
  <c r="AM70" i="20" a="1"/>
  <c r="AM70" i="20" s="1"/>
  <c r="AM54" i="20" a="1"/>
  <c r="AM54" i="20" s="1"/>
  <c r="AM52" i="20" a="1"/>
  <c r="AM52" i="20" s="1"/>
  <c r="AM44" i="20" a="1"/>
  <c r="AM44" i="20" s="1"/>
  <c r="AM76" i="20" a="1"/>
  <c r="AM76" i="20" s="1"/>
  <c r="AM64" i="20" a="1"/>
  <c r="AM64" i="20" s="1"/>
  <c r="AM102" i="20" a="1"/>
  <c r="AM102" i="20" s="1"/>
  <c r="AM91" i="20" a="1"/>
  <c r="AM91" i="20" s="1"/>
  <c r="AM47" i="20" a="1"/>
  <c r="AM47" i="20" s="1"/>
  <c r="AM101" i="20" a="1"/>
  <c r="AM101" i="20" s="1"/>
  <c r="AM90" i="20" a="1"/>
  <c r="AM90" i="20" s="1"/>
  <c r="AM75" i="20" a="1"/>
  <c r="AM75" i="20" s="1"/>
  <c r="AM69" i="20" a="1"/>
  <c r="AM69" i="20" s="1"/>
  <c r="AM63" i="20" a="1"/>
  <c r="AM63" i="20" s="1"/>
  <c r="AM57" i="20" a="1"/>
  <c r="AM57" i="20" s="1"/>
  <c r="AU29" i="20" s="1"/>
  <c r="E22" i="19" s="1"/>
  <c r="AM33" i="20" a="1"/>
  <c r="AM33" i="20" s="1"/>
  <c r="AU26" i="20" s="1"/>
  <c r="E19" i="19" s="1"/>
  <c r="AM100" i="20" a="1"/>
  <c r="AM100" i="20" s="1"/>
  <c r="AM81" i="20" a="1"/>
  <c r="AM81" i="20" s="1"/>
  <c r="AU32" i="20" s="1"/>
  <c r="E25" i="19" s="1"/>
  <c r="AM50" i="20" a="1"/>
  <c r="AM50" i="20" s="1"/>
  <c r="AM42" i="20" a="1"/>
  <c r="AM42" i="20" s="1"/>
  <c r="AM32" i="20" a="1"/>
  <c r="AM32" i="20" s="1"/>
  <c r="AM74" i="20" a="1"/>
  <c r="AM74" i="20" s="1"/>
  <c r="AM62" i="20" a="1"/>
  <c r="AM62" i="20" s="1"/>
  <c r="AM31" i="20" a="1"/>
  <c r="AM31" i="20" s="1"/>
  <c r="AM98" i="20" a="1"/>
  <c r="AM98" i="20" s="1"/>
  <c r="AM80" i="20" a="1"/>
  <c r="AM80" i="20" s="1"/>
  <c r="AM29" i="20" a="1"/>
  <c r="AM29" i="20" s="1"/>
  <c r="AM79" i="20" a="1"/>
  <c r="AM79" i="20" s="1"/>
  <c r="AM73" i="20" a="1"/>
  <c r="AM73" i="20" s="1"/>
  <c r="AU31" i="20" s="1"/>
  <c r="E24" i="19" s="1"/>
  <c r="AM88" i="20" a="1"/>
  <c r="AM88" i="20" s="1"/>
  <c r="AM36" i="20" a="1"/>
  <c r="AM36" i="20" s="1"/>
  <c r="AM67" i="20" a="1"/>
  <c r="AM67" i="20" s="1"/>
  <c r="AM19" i="20" a="1"/>
  <c r="AM19" i="20" s="1"/>
  <c r="AM28" i="20" a="1"/>
  <c r="AM28" i="20" s="1"/>
  <c r="AM20" i="20" a="1"/>
  <c r="AM20" i="20" s="1"/>
  <c r="AM48" i="20" a="1"/>
  <c r="AM48" i="20" s="1"/>
  <c r="AM61" i="20" a="1"/>
  <c r="AM61" i="20" s="1"/>
  <c r="AM56" i="20" a="1"/>
  <c r="AM56" i="20" s="1"/>
  <c r="AM53" i="20" a="1"/>
  <c r="AM53" i="20" s="1"/>
  <c r="AM35" i="20" a="1"/>
  <c r="AM35" i="20" s="1"/>
  <c r="AM21" i="20" a="1"/>
  <c r="AM21" i="20" s="1"/>
  <c r="AM108" i="20" a="1"/>
  <c r="AM108" i="20" s="1"/>
  <c r="AM89" i="20" a="1"/>
  <c r="AM89" i="20" s="1"/>
  <c r="AU33" i="20" s="1"/>
  <c r="E26" i="19" s="1"/>
  <c r="AM45" i="20" a="1"/>
  <c r="AM45" i="20" s="1"/>
  <c r="AM87" i="20" a="1"/>
  <c r="AM87" i="20" s="1"/>
  <c r="AM68" i="20" a="1"/>
  <c r="AM68" i="20" s="1"/>
  <c r="AM10" i="20" a="1"/>
  <c r="AM10" i="20" s="1"/>
  <c r="AM26" i="20" a="1"/>
  <c r="AM26" i="20" s="1"/>
  <c r="AM22" i="20" a="1"/>
  <c r="AM22" i="20" s="1"/>
  <c r="AM11" i="20" a="1"/>
  <c r="AM11" i="20" s="1"/>
  <c r="AM99" i="20" a="1"/>
  <c r="AM99" i="20" s="1"/>
  <c r="AM25" i="20" a="1"/>
  <c r="AM25" i="20" s="1"/>
  <c r="AU25" i="20" s="1"/>
  <c r="E18" i="19" s="1"/>
  <c r="AM12" i="20" a="1"/>
  <c r="AM12" i="20" s="1"/>
  <c r="AM40" i="20" a="1"/>
  <c r="AM40" i="20" s="1"/>
  <c r="AM34" i="20" a="1"/>
  <c r="AM34" i="20" s="1"/>
  <c r="AM24" i="20" a="1"/>
  <c r="AM24" i="20" s="1"/>
  <c r="AM41" i="20" a="1"/>
  <c r="AM41" i="20" s="1"/>
  <c r="AU27" i="20" s="1"/>
  <c r="E20" i="19" s="1"/>
  <c r="AM30" i="20" a="1"/>
  <c r="AM30" i="20" s="1"/>
  <c r="AM23" i="20" a="1"/>
  <c r="AM23" i="20" s="1"/>
  <c r="AM14" i="20" a="1"/>
  <c r="AM14" i="20" s="1"/>
  <c r="AM17" i="20" a="1"/>
  <c r="AM17" i="20" s="1"/>
  <c r="AU24" i="20" s="1"/>
  <c r="E17" i="19" s="1"/>
  <c r="AM16" i="20" a="1"/>
  <c r="AM16" i="20" s="1"/>
  <c r="AM13" i="20" a="1"/>
  <c r="AM13" i="20" s="1"/>
  <c r="AM18" i="20" a="1"/>
  <c r="AM18" i="20" s="1"/>
  <c r="AM39" i="20" a="1"/>
  <c r="AM39" i="20" s="1"/>
  <c r="AM27" i="20" a="1"/>
  <c r="AM27" i="20" s="1"/>
  <c r="AM37" i="20" a="1"/>
  <c r="AM37" i="20" s="1"/>
  <c r="AM15" i="20" a="1"/>
  <c r="AM15" i="20" s="1"/>
  <c r="P45" i="19"/>
  <c r="Q45" i="19" s="1"/>
  <c r="K117" i="19"/>
  <c r="P75" i="19"/>
  <c r="Q75" i="19" s="1"/>
  <c r="K102" i="19"/>
  <c r="P35" i="19"/>
  <c r="Q35" i="19" s="1"/>
  <c r="K98" i="19"/>
  <c r="AS22" i="20" a="1"/>
  <c r="AS22" i="20" s="1"/>
  <c r="C15" i="19" s="1"/>
  <c r="AS12" i="20" a="1"/>
  <c r="AS12" i="20" s="1"/>
  <c r="C5" i="19" s="1"/>
  <c r="H40" i="19" s="1"/>
  <c r="AS13" i="20" a="1"/>
  <c r="AS13" i="20" s="1"/>
  <c r="C6" i="19" s="1"/>
  <c r="H45" i="19" s="1"/>
  <c r="AS14" i="20" a="1"/>
  <c r="AS14" i="20" s="1"/>
  <c r="C7" i="19" s="1"/>
  <c r="AS15" i="20" a="1"/>
  <c r="AS15" i="20" s="1"/>
  <c r="C8" i="19" s="1"/>
  <c r="H55" i="19" s="1"/>
  <c r="AS16" i="20" a="1"/>
  <c r="AS16" i="20" s="1"/>
  <c r="C9" i="19" s="1"/>
  <c r="H60" i="19" s="1"/>
  <c r="AS17" i="20" a="1"/>
  <c r="AS17" i="20" s="1"/>
  <c r="C10" i="19" s="1"/>
  <c r="H65" i="19" s="1"/>
  <c r="AS18" i="20" a="1"/>
  <c r="AS18" i="20" s="1"/>
  <c r="C11" i="19" s="1"/>
  <c r="H70" i="19" s="1"/>
  <c r="AS19" i="20" a="1"/>
  <c r="AS19" i="20" s="1"/>
  <c r="C12" i="19" s="1"/>
  <c r="H75" i="19" s="1"/>
  <c r="AS20" i="20" a="1"/>
  <c r="AS20" i="20" s="1"/>
  <c r="C13" i="19" s="1"/>
  <c r="AS11" i="20" a="1"/>
  <c r="AS11" i="20" s="1"/>
  <c r="C4" i="19" s="1"/>
  <c r="H35" i="19" s="1"/>
  <c r="AS21" i="20" a="1"/>
  <c r="AS21" i="20" s="1"/>
  <c r="C14" i="19" s="1"/>
  <c r="AS10" i="20" a="1"/>
  <c r="AS10" i="20" s="1"/>
  <c r="C3" i="19" s="1"/>
  <c r="P60" i="19"/>
  <c r="Q60" i="19" s="1"/>
  <c r="K106" i="19"/>
  <c r="AL112" i="20" a="1"/>
  <c r="AL112" i="20" s="1"/>
  <c r="AL110" i="20" a="1"/>
  <c r="AL110" i="20" s="1"/>
  <c r="AL113" i="20" a="1"/>
  <c r="AL113" i="20" s="1"/>
  <c r="AT23" i="20" s="1"/>
  <c r="D16" i="19" s="1"/>
  <c r="AL111" i="20" a="1"/>
  <c r="AL111" i="20" s="1"/>
  <c r="AL79" i="20" a="1"/>
  <c r="AL79" i="20" s="1"/>
  <c r="AL61" i="20" a="1"/>
  <c r="AL61" i="20" s="1"/>
  <c r="AL48" i="20" a="1"/>
  <c r="AL48" i="20" s="1"/>
  <c r="AL40" i="20" a="1"/>
  <c r="AL40" i="20" s="1"/>
  <c r="AL107" i="20" a="1"/>
  <c r="AL107" i="20" s="1"/>
  <c r="AL97" i="20" a="1"/>
  <c r="AL97" i="20" s="1"/>
  <c r="AT34" i="20" s="1"/>
  <c r="D27" i="19" s="1"/>
  <c r="AL86" i="20" a="1"/>
  <c r="AL86" i="20" s="1"/>
  <c r="AL73" i="20" a="1"/>
  <c r="AL73" i="20" s="1"/>
  <c r="AT31" i="20" s="1"/>
  <c r="D24" i="19" s="1"/>
  <c r="AL66" i="20" a="1"/>
  <c r="AL66" i="20" s="1"/>
  <c r="AL106" i="20" a="1"/>
  <c r="AL106" i="20" s="1"/>
  <c r="AL78" i="20" a="1"/>
  <c r="AL78" i="20" s="1"/>
  <c r="AL60" i="20" a="1"/>
  <c r="AL60" i="20" s="1"/>
  <c r="AL51" i="20" a="1"/>
  <c r="AL51" i="20" s="1"/>
  <c r="AL43" i="20" a="1"/>
  <c r="AL43" i="20" s="1"/>
  <c r="AL96" i="20" a="1"/>
  <c r="AL96" i="20" s="1"/>
  <c r="AL95" i="20" a="1"/>
  <c r="AL95" i="20" s="1"/>
  <c r="AL85" i="20" a="1"/>
  <c r="AL85" i="20" s="1"/>
  <c r="AL84" i="20" a="1"/>
  <c r="AL84" i="20" s="1"/>
  <c r="AL72" i="20" a="1"/>
  <c r="AL72" i="20" s="1"/>
  <c r="AL59" i="20" a="1"/>
  <c r="AL59" i="20" s="1"/>
  <c r="AL46" i="20" a="1"/>
  <c r="AL46" i="20" s="1"/>
  <c r="AL105" i="20" a="1"/>
  <c r="AL105" i="20" s="1"/>
  <c r="AT35" i="20" s="1"/>
  <c r="D28" i="19" s="1"/>
  <c r="AL94" i="20" a="1"/>
  <c r="AL94" i="20" s="1"/>
  <c r="AL83" i="20" a="1"/>
  <c r="AL83" i="20" s="1"/>
  <c r="AL71" i="20" a="1"/>
  <c r="AL71" i="20" s="1"/>
  <c r="AL77" i="20" a="1"/>
  <c r="AL77" i="20" s="1"/>
  <c r="AL65" i="20" a="1"/>
  <c r="AL65" i="20" s="1"/>
  <c r="AT30" i="20" s="1"/>
  <c r="D23" i="19" s="1"/>
  <c r="AL58" i="20" a="1"/>
  <c r="AL58" i="20" s="1"/>
  <c r="AL49" i="20" a="1"/>
  <c r="AL49" i="20" s="1"/>
  <c r="AT28" i="20" s="1"/>
  <c r="D21" i="19" s="1"/>
  <c r="AL104" i="20" a="1"/>
  <c r="AL104" i="20" s="1"/>
  <c r="AL103" i="20" a="1"/>
  <c r="AL103" i="20" s="1"/>
  <c r="AL93" i="20" a="1"/>
  <c r="AL93" i="20" s="1"/>
  <c r="AL92" i="20" a="1"/>
  <c r="AL92" i="20" s="1"/>
  <c r="AL82" i="20" a="1"/>
  <c r="AL82" i="20" s="1"/>
  <c r="AL70" i="20" a="1"/>
  <c r="AL70" i="20" s="1"/>
  <c r="AL76" i="20" a="1"/>
  <c r="AL76" i="20" s="1"/>
  <c r="AL64" i="20" a="1"/>
  <c r="AL64" i="20" s="1"/>
  <c r="AL52" i="20" a="1"/>
  <c r="AL52" i="20" s="1"/>
  <c r="AL44" i="20" a="1"/>
  <c r="AL44" i="20" s="1"/>
  <c r="AL102" i="20" a="1"/>
  <c r="AL102" i="20" s="1"/>
  <c r="AL91" i="20" a="1"/>
  <c r="AL91" i="20" s="1"/>
  <c r="AL35" i="20" a="1"/>
  <c r="AL35" i="20" s="1"/>
  <c r="AL90" i="20" a="1"/>
  <c r="AL90" i="20" s="1"/>
  <c r="AL75" i="20" a="1"/>
  <c r="AL75" i="20" s="1"/>
  <c r="AL63" i="20" a="1"/>
  <c r="AL63" i="20" s="1"/>
  <c r="AL47" i="20" a="1"/>
  <c r="AL47" i="20" s="1"/>
  <c r="AL39" i="20" a="1"/>
  <c r="AL39" i="20" s="1"/>
  <c r="AL34" i="20" a="1"/>
  <c r="AL34" i="20" s="1"/>
  <c r="AL101" i="20" a="1"/>
  <c r="AL101" i="20" s="1"/>
  <c r="AL100" i="20" a="1"/>
  <c r="AL100" i="20" s="1"/>
  <c r="AL69" i="20" a="1"/>
  <c r="AL69" i="20" s="1"/>
  <c r="AL57" i="20" a="1"/>
  <c r="AL57" i="20" s="1"/>
  <c r="AT29" i="20" s="1"/>
  <c r="D22" i="19" s="1"/>
  <c r="AL33" i="20" a="1"/>
  <c r="AL33" i="20" s="1"/>
  <c r="AT26" i="20" s="1"/>
  <c r="D19" i="19" s="1"/>
  <c r="AL99" i="20" a="1"/>
  <c r="AL99" i="20" s="1"/>
  <c r="AL89" i="20" a="1"/>
  <c r="AL89" i="20" s="1"/>
  <c r="AT33" i="20" s="1"/>
  <c r="D26" i="19" s="1"/>
  <c r="AL68" i="20" a="1"/>
  <c r="AL68" i="20" s="1"/>
  <c r="AL56" i="20" a="1"/>
  <c r="AL56" i="20" s="1"/>
  <c r="AL31" i="20" a="1"/>
  <c r="AL31" i="20" s="1"/>
  <c r="AL109" i="20" a="1"/>
  <c r="AL109" i="20" s="1"/>
  <c r="AL108" i="20" a="1"/>
  <c r="AL108" i="20" s="1"/>
  <c r="AL88" i="20" a="1"/>
  <c r="AL88" i="20" s="1"/>
  <c r="AL87" i="20" a="1"/>
  <c r="AL87" i="20" s="1"/>
  <c r="AL67" i="20" a="1"/>
  <c r="AL67" i="20" s="1"/>
  <c r="AL27" i="20" a="1"/>
  <c r="AL27" i="20" s="1"/>
  <c r="AL17" i="20" a="1"/>
  <c r="AL17" i="20" s="1"/>
  <c r="AT24" i="20" s="1"/>
  <c r="D17" i="19" s="1"/>
  <c r="AL55" i="20" a="1"/>
  <c r="AL55" i="20" s="1"/>
  <c r="AL36" i="20" a="1"/>
  <c r="AL36" i="20" s="1"/>
  <c r="AL18" i="20" a="1"/>
  <c r="AL18" i="20" s="1"/>
  <c r="AL19" i="20" a="1"/>
  <c r="AL19" i="20" s="1"/>
  <c r="AL98" i="20" a="1"/>
  <c r="AL98" i="20" s="1"/>
  <c r="AL81" i="20" a="1"/>
  <c r="AL81" i="20" s="1"/>
  <c r="AT32" i="20" s="1"/>
  <c r="D25" i="19" s="1"/>
  <c r="AL28" i="20" a="1"/>
  <c r="AL28" i="20" s="1"/>
  <c r="AL20" i="20" a="1"/>
  <c r="AL20" i="20" s="1"/>
  <c r="AL53" i="20" a="1"/>
  <c r="AL53" i="20" s="1"/>
  <c r="AL45" i="20" a="1"/>
  <c r="AL45" i="20" s="1"/>
  <c r="AL21" i="20" a="1"/>
  <c r="AL21" i="20" s="1"/>
  <c r="AL29" i="20" a="1"/>
  <c r="AL29" i="20" s="1"/>
  <c r="AL74" i="20" a="1"/>
  <c r="AL74" i="20" s="1"/>
  <c r="AL50" i="20" a="1"/>
  <c r="AL50" i="20" s="1"/>
  <c r="AL32" i="20" a="1"/>
  <c r="AL32" i="20" s="1"/>
  <c r="AL10" i="20" a="1"/>
  <c r="AL10" i="20" s="1"/>
  <c r="AL62" i="20" a="1"/>
  <c r="AL62" i="20" s="1"/>
  <c r="AL26" i="20" a="1"/>
  <c r="AL26" i="20" s="1"/>
  <c r="AL22" i="20" a="1"/>
  <c r="AL22" i="20" s="1"/>
  <c r="AL54" i="20" a="1"/>
  <c r="AL54" i="20" s="1"/>
  <c r="AL25" i="20" a="1"/>
  <c r="AL25" i="20" s="1"/>
  <c r="AT25" i="20" s="1"/>
  <c r="D18" i="19" s="1"/>
  <c r="AL12" i="20" a="1"/>
  <c r="AL12" i="20" s="1"/>
  <c r="AL80" i="20" a="1"/>
  <c r="AL80" i="20" s="1"/>
  <c r="AL38" i="20" a="1"/>
  <c r="AL38" i="20" s="1"/>
  <c r="AL14" i="20" a="1"/>
  <c r="AL14" i="20" s="1"/>
  <c r="AL11" i="20" a="1"/>
  <c r="AL11" i="20" s="1"/>
  <c r="AL41" i="20" a="1"/>
  <c r="AL41" i="20" s="1"/>
  <c r="AT27" i="20" s="1"/>
  <c r="D20" i="19" s="1"/>
  <c r="AL16" i="20" a="1"/>
  <c r="AL16" i="20" s="1"/>
  <c r="AL13" i="20" a="1"/>
  <c r="AL13" i="20" s="1"/>
  <c r="AL23" i="20" a="1"/>
  <c r="AL23" i="20" s="1"/>
  <c r="AL30" i="20" a="1"/>
  <c r="AL30" i="20" s="1"/>
  <c r="AL24" i="20" a="1"/>
  <c r="AL24" i="20" s="1"/>
  <c r="AL42" i="20" a="1"/>
  <c r="AL42" i="20" s="1"/>
  <c r="AL37" i="20" a="1"/>
  <c r="AL37" i="20" s="1"/>
  <c r="AL15" i="20" a="1"/>
  <c r="AL15" i="20" s="1"/>
  <c r="L40" i="19"/>
  <c r="L75" i="19"/>
  <c r="L45" i="19"/>
  <c r="L65" i="19"/>
  <c r="L35" i="19"/>
  <c r="L85" i="19"/>
  <c r="L70" i="19"/>
  <c r="L55" i="19"/>
  <c r="L50" i="19"/>
  <c r="L80" i="19"/>
  <c r="L60" i="19"/>
  <c r="K129" i="19"/>
  <c r="M68" i="19"/>
  <c r="M100" i="19"/>
  <c r="C29" i="19"/>
  <c r="K17" i="19"/>
  <c r="H132" i="19"/>
  <c r="AO113" i="20" a="1"/>
  <c r="AO113" i="20" s="1"/>
  <c r="AW23" i="20" s="1"/>
  <c r="G16" i="19" s="1"/>
  <c r="AO111" i="20" a="1"/>
  <c r="AO111" i="20" s="1"/>
  <c r="AO112" i="20" a="1"/>
  <c r="AO112" i="20" s="1"/>
  <c r="AO95" i="20" a="1"/>
  <c r="AO95" i="20" s="1"/>
  <c r="AO84" i="20" a="1"/>
  <c r="AO84" i="20" s="1"/>
  <c r="AO59" i="20" a="1"/>
  <c r="AO59" i="20" s="1"/>
  <c r="AO49" i="20" a="1"/>
  <c r="AO49" i="20" s="1"/>
  <c r="AW28" i="20" s="1"/>
  <c r="G21" i="19" s="1"/>
  <c r="L54" i="19" s="1"/>
  <c r="AO41" i="20" a="1"/>
  <c r="AO41" i="20" s="1"/>
  <c r="AW27" i="20" s="1"/>
  <c r="G20" i="19" s="1"/>
  <c r="L49" i="19" s="1"/>
  <c r="AO83" i="20" a="1"/>
  <c r="AO83" i="20" s="1"/>
  <c r="AO71" i="20" a="1"/>
  <c r="AO71" i="20" s="1"/>
  <c r="AO110" i="20" a="1"/>
  <c r="AO110" i="20" s="1"/>
  <c r="AO105" i="20" a="1"/>
  <c r="AO105" i="20" s="1"/>
  <c r="AW35" i="20" s="1"/>
  <c r="G28" i="19" s="1"/>
  <c r="AO94" i="20" a="1"/>
  <c r="AO94" i="20" s="1"/>
  <c r="AO77" i="20" a="1"/>
  <c r="AO77" i="20" s="1"/>
  <c r="AO65" i="20" a="1"/>
  <c r="AO65" i="20" s="1"/>
  <c r="AW30" i="20" s="1"/>
  <c r="G23" i="19" s="1"/>
  <c r="L64" i="19" s="1"/>
  <c r="AO54" i="20" a="1"/>
  <c r="AO54" i="20" s="1"/>
  <c r="AO52" i="20" a="1"/>
  <c r="AO52" i="20" s="1"/>
  <c r="AO44" i="20" a="1"/>
  <c r="AO44" i="20" s="1"/>
  <c r="AO36" i="20" a="1"/>
  <c r="AO36" i="20" s="1"/>
  <c r="AO104" i="20" a="1"/>
  <c r="AO104" i="20" s="1"/>
  <c r="AO93" i="20" a="1"/>
  <c r="AO93" i="20" s="1"/>
  <c r="AO58" i="20" a="1"/>
  <c r="AO58" i="20" s="1"/>
  <c r="AO35" i="20" a="1"/>
  <c r="AO35" i="20" s="1"/>
  <c r="AO103" i="20" a="1"/>
  <c r="AO103" i="20" s="1"/>
  <c r="AO92" i="20" a="1"/>
  <c r="AO92" i="20" s="1"/>
  <c r="AO82" i="20" a="1"/>
  <c r="AO82" i="20" s="1"/>
  <c r="AO76" i="20" a="1"/>
  <c r="AO76" i="20" s="1"/>
  <c r="AO70" i="20" a="1"/>
  <c r="AO70" i="20" s="1"/>
  <c r="AO64" i="20" a="1"/>
  <c r="AO64" i="20" s="1"/>
  <c r="AO47" i="20" a="1"/>
  <c r="AO47" i="20" s="1"/>
  <c r="AO91" i="20" a="1"/>
  <c r="AO91" i="20" s="1"/>
  <c r="AO33" i="20" a="1"/>
  <c r="AO33" i="20" s="1"/>
  <c r="AW26" i="20" s="1"/>
  <c r="G19" i="19" s="1"/>
  <c r="AO102" i="20" a="1"/>
  <c r="AO102" i="20" s="1"/>
  <c r="AO75" i="20" a="1"/>
  <c r="AO75" i="20" s="1"/>
  <c r="AO63" i="20" a="1"/>
  <c r="AO63" i="20" s="1"/>
  <c r="AO50" i="20" a="1"/>
  <c r="AO50" i="20" s="1"/>
  <c r="AO42" i="20" a="1"/>
  <c r="AO42" i="20" s="1"/>
  <c r="AO101" i="20" a="1"/>
  <c r="AO101" i="20" s="1"/>
  <c r="AO90" i="20" a="1"/>
  <c r="AO90" i="20" s="1"/>
  <c r="AO69" i="20" a="1"/>
  <c r="AO69" i="20" s="1"/>
  <c r="AO100" i="20" a="1"/>
  <c r="AO100" i="20" s="1"/>
  <c r="AO81" i="20" a="1"/>
  <c r="AO81" i="20" s="1"/>
  <c r="AW32" i="20" s="1"/>
  <c r="G25" i="19" s="1"/>
  <c r="L74" i="19" s="1"/>
  <c r="AO53" i="20" a="1"/>
  <c r="AO53" i="20" s="1"/>
  <c r="AO45" i="20" a="1"/>
  <c r="AO45" i="20" s="1"/>
  <c r="AO99" i="20" a="1"/>
  <c r="AO99" i="20" s="1"/>
  <c r="AO74" i="20" a="1"/>
  <c r="AO74" i="20" s="1"/>
  <c r="AO68" i="20" a="1"/>
  <c r="AO68" i="20" s="1"/>
  <c r="AO62" i="20" a="1"/>
  <c r="AO62" i="20" s="1"/>
  <c r="AO56" i="20" a="1"/>
  <c r="AO56" i="20" s="1"/>
  <c r="AO29" i="20" a="1"/>
  <c r="AO29" i="20" s="1"/>
  <c r="AO89" i="20" a="1"/>
  <c r="AO89" i="20" s="1"/>
  <c r="AW33" i="20" s="1"/>
  <c r="G26" i="19" s="1"/>
  <c r="L79" i="19" s="1"/>
  <c r="AO80" i="20" a="1"/>
  <c r="AO80" i="20" s="1"/>
  <c r="AO48" i="20" a="1"/>
  <c r="AO48" i="20" s="1"/>
  <c r="AO40" i="20" a="1"/>
  <c r="AO40" i="20" s="1"/>
  <c r="AO98" i="20" a="1"/>
  <c r="AO98" i="20" s="1"/>
  <c r="AO88" i="20" a="1"/>
  <c r="AO88" i="20" s="1"/>
  <c r="AO67" i="20" a="1"/>
  <c r="AO67" i="20" s="1"/>
  <c r="AO27" i="20" a="1"/>
  <c r="AO27" i="20" s="1"/>
  <c r="AO109" i="20" a="1"/>
  <c r="AO109" i="20" s="1"/>
  <c r="AO107" i="20" a="1"/>
  <c r="AO107" i="20" s="1"/>
  <c r="AO73" i="20" a="1"/>
  <c r="AO73" i="20" s="1"/>
  <c r="AW31" i="20" s="1"/>
  <c r="G24" i="19" s="1"/>
  <c r="L69" i="19" s="1"/>
  <c r="AO55" i="20" a="1"/>
  <c r="AO55" i="20" s="1"/>
  <c r="AO106" i="20" a="1"/>
  <c r="AO106" i="20" s="1"/>
  <c r="AO96" i="20" a="1"/>
  <c r="AO96" i="20" s="1"/>
  <c r="AO85" i="20" a="1"/>
  <c r="AO85" i="20" s="1"/>
  <c r="AO78" i="20" a="1"/>
  <c r="AO78" i="20" s="1"/>
  <c r="AO72" i="20" a="1"/>
  <c r="AO72" i="20" s="1"/>
  <c r="AO86" i="20" a="1"/>
  <c r="AO86" i="20" s="1"/>
  <c r="AO43" i="20" a="1"/>
  <c r="AO43" i="20" s="1"/>
  <c r="AO28" i="20" a="1"/>
  <c r="AO28" i="20" s="1"/>
  <c r="AO21" i="20" a="1"/>
  <c r="AO21" i="20" s="1"/>
  <c r="AO61" i="20" a="1"/>
  <c r="AO61" i="20" s="1"/>
  <c r="AO79" i="20" a="1"/>
  <c r="AO79" i="20" s="1"/>
  <c r="AO22" i="20" a="1"/>
  <c r="AO22" i="20" s="1"/>
  <c r="AO11" i="20" a="1"/>
  <c r="AO11" i="20" s="1"/>
  <c r="AO108" i="20" a="1"/>
  <c r="AO108" i="20" s="1"/>
  <c r="AO26" i="20" a="1"/>
  <c r="AO26" i="20" s="1"/>
  <c r="AO25" i="20" a="1"/>
  <c r="AO25" i="20" s="1"/>
  <c r="AW25" i="20" s="1"/>
  <c r="G18" i="19" s="1"/>
  <c r="L39" i="19" s="1"/>
  <c r="AO12" i="20" a="1"/>
  <c r="AO12" i="20" s="1"/>
  <c r="AO87" i="20" a="1"/>
  <c r="AO87" i="20" s="1"/>
  <c r="AO32" i="20" a="1"/>
  <c r="AO32" i="20" s="1"/>
  <c r="AO24" i="20" a="1"/>
  <c r="AO24" i="20" s="1"/>
  <c r="AO13" i="20" a="1"/>
  <c r="AO13" i="20" s="1"/>
  <c r="AO34" i="20" a="1"/>
  <c r="AO34" i="20" s="1"/>
  <c r="AO23" i="20" a="1"/>
  <c r="AO23" i="20" s="1"/>
  <c r="AO14" i="20" a="1"/>
  <c r="AO14" i="20" s="1"/>
  <c r="AO15" i="20" a="1"/>
  <c r="AO15" i="20" s="1"/>
  <c r="AO66" i="20" a="1"/>
  <c r="AO66" i="20" s="1"/>
  <c r="AO57" i="20" a="1"/>
  <c r="AO57" i="20" s="1"/>
  <c r="AW29" i="20" s="1"/>
  <c r="G22" i="19" s="1"/>
  <c r="L59" i="19" s="1"/>
  <c r="AO39" i="20" a="1"/>
  <c r="AO39" i="20" s="1"/>
  <c r="AO38" i="20" a="1"/>
  <c r="AO38" i="20" s="1"/>
  <c r="AO30" i="20" a="1"/>
  <c r="AO30" i="20" s="1"/>
  <c r="AO16" i="20" a="1"/>
  <c r="AO16" i="20" s="1"/>
  <c r="AO46" i="20" a="1"/>
  <c r="AO46" i="20" s="1"/>
  <c r="AO37" i="20" a="1"/>
  <c r="AO37" i="20" s="1"/>
  <c r="AO18" i="20" a="1"/>
  <c r="AO18" i="20" s="1"/>
  <c r="AO51" i="20" a="1"/>
  <c r="AO51" i="20" s="1"/>
  <c r="AO60" i="20" a="1"/>
  <c r="AO60" i="20" s="1"/>
  <c r="AO31" i="20" a="1"/>
  <c r="AO31" i="20" s="1"/>
  <c r="AO17" i="20" a="1"/>
  <c r="AO17" i="20" s="1"/>
  <c r="AW24" i="20" s="1"/>
  <c r="G17" i="19" s="1"/>
  <c r="L34" i="19" s="1"/>
  <c r="AO10" i="20" a="1"/>
  <c r="AO10" i="20" s="1"/>
  <c r="AO97" i="20" a="1"/>
  <c r="AO97" i="20" s="1"/>
  <c r="AW34" i="20" s="1"/>
  <c r="G27" i="19" s="1"/>
  <c r="L84" i="19" s="1"/>
  <c r="AO19" i="20" a="1"/>
  <c r="AO19" i="20" s="1"/>
  <c r="AO20" i="20" a="1"/>
  <c r="AO20" i="20" s="1"/>
  <c r="K123" i="19"/>
  <c r="L44" i="19"/>
  <c r="P70" i="19"/>
  <c r="Q70" i="19" s="1"/>
  <c r="AX20" i="20" a="1"/>
  <c r="AX20" i="20" s="1"/>
  <c r="H13" i="19" s="1"/>
  <c r="M77" i="19" s="1"/>
  <c r="AX21" i="20" a="1"/>
  <c r="AX21" i="20" s="1"/>
  <c r="H14" i="19" s="1"/>
  <c r="M82" i="19" s="1"/>
  <c r="AX10" i="20" a="1"/>
  <c r="AX10" i="20" s="1"/>
  <c r="H3" i="19" s="1"/>
  <c r="AX22" i="20" a="1"/>
  <c r="AX22" i="20" s="1"/>
  <c r="H15" i="19" s="1"/>
  <c r="AX11" i="20" a="1"/>
  <c r="AX11" i="20" s="1"/>
  <c r="H4" i="19" s="1"/>
  <c r="M32" i="19" s="1"/>
  <c r="AX12" i="20" a="1"/>
  <c r="AX12" i="20" s="1"/>
  <c r="H5" i="19" s="1"/>
  <c r="M37" i="19" s="1"/>
  <c r="AX13" i="20" a="1"/>
  <c r="AX13" i="20" s="1"/>
  <c r="H6" i="19" s="1"/>
  <c r="M42" i="19" s="1"/>
  <c r="AX14" i="20" a="1"/>
  <c r="AX14" i="20" s="1"/>
  <c r="H7" i="19" s="1"/>
  <c r="M47" i="19" s="1"/>
  <c r="AX15" i="20" a="1"/>
  <c r="AX15" i="20" s="1"/>
  <c r="H8" i="19" s="1"/>
  <c r="M52" i="19" s="1"/>
  <c r="AX17" i="20" a="1"/>
  <c r="AX17" i="20" s="1"/>
  <c r="H10" i="19" s="1"/>
  <c r="M62" i="19" s="1"/>
  <c r="AX19" i="20" a="1"/>
  <c r="AX19" i="20" s="1"/>
  <c r="H12" i="19" s="1"/>
  <c r="M72" i="19" s="1"/>
  <c r="AX16" i="20" a="1"/>
  <c r="AX16" i="20" s="1"/>
  <c r="H9" i="19" s="1"/>
  <c r="M57" i="19" s="1"/>
  <c r="AX18" i="20" a="1"/>
  <c r="AX18" i="20" s="1"/>
  <c r="H11" i="19" s="1"/>
  <c r="M67" i="19" s="1"/>
  <c r="M78" i="19"/>
  <c r="P65" i="19"/>
  <c r="Q65" i="19" s="1"/>
  <c r="K65" i="17"/>
  <c r="K98" i="17"/>
  <c r="J114" i="17"/>
  <c r="K55" i="17"/>
  <c r="L69" i="17"/>
  <c r="L75" i="17"/>
  <c r="L50" i="17"/>
  <c r="L40" i="17"/>
  <c r="L45" i="17"/>
  <c r="L35" i="17"/>
  <c r="L60" i="17"/>
  <c r="L65" i="17"/>
  <c r="L70" i="17"/>
  <c r="L80" i="17"/>
  <c r="L85" i="17"/>
  <c r="L55" i="17"/>
  <c r="J123" i="17"/>
  <c r="J109" i="17"/>
  <c r="E35" i="17"/>
  <c r="K35" i="17" s="1"/>
  <c r="L64" i="17"/>
  <c r="AV20" i="18" a="1"/>
  <c r="AV20" i="18" s="1"/>
  <c r="F13" i="17" s="1"/>
  <c r="AV18" i="18" a="1"/>
  <c r="AV18" i="18" s="1"/>
  <c r="F11" i="17" s="1"/>
  <c r="AV22" i="18" a="1"/>
  <c r="AV22" i="18" s="1"/>
  <c r="F15" i="17" s="1"/>
  <c r="AV19" i="18" a="1"/>
  <c r="AV19" i="18" s="1"/>
  <c r="F12" i="17" s="1"/>
  <c r="AV14" i="18" a="1"/>
  <c r="AV14" i="18" s="1"/>
  <c r="F7" i="17" s="1"/>
  <c r="AV15" i="18" a="1"/>
  <c r="AV15" i="18" s="1"/>
  <c r="F8" i="17" s="1"/>
  <c r="AV21" i="18" a="1"/>
  <c r="AV21" i="18" s="1"/>
  <c r="F14" i="17" s="1"/>
  <c r="AV13" i="18" a="1"/>
  <c r="AV13" i="18" s="1"/>
  <c r="F6" i="17" s="1"/>
  <c r="AV10" i="18" a="1"/>
  <c r="AV10" i="18" s="1"/>
  <c r="F3" i="17" s="1"/>
  <c r="AV12" i="18" a="1"/>
  <c r="AV12" i="18" s="1"/>
  <c r="F5" i="17" s="1"/>
  <c r="AV16" i="18" a="1"/>
  <c r="AV16" i="18" s="1"/>
  <c r="F9" i="17" s="1"/>
  <c r="AV17" i="18" a="1"/>
  <c r="AV17" i="18" s="1"/>
  <c r="F10" i="17" s="1"/>
  <c r="AV11" i="18" a="1"/>
  <c r="AV11" i="18" s="1"/>
  <c r="F4" i="17" s="1"/>
  <c r="K131" i="17"/>
  <c r="K130" i="17"/>
  <c r="K106" i="17"/>
  <c r="K70" i="17"/>
  <c r="P70" i="17"/>
  <c r="Q70" i="17" s="1"/>
  <c r="AL110" i="18" a="1"/>
  <c r="AL110" i="18" s="1"/>
  <c r="AL102" i="18" a="1"/>
  <c r="AL102" i="18" s="1"/>
  <c r="AL113" i="18" a="1"/>
  <c r="AL113" i="18" s="1"/>
  <c r="AT23" i="18" s="1"/>
  <c r="D16" i="17" s="1"/>
  <c r="AL105" i="18" a="1"/>
  <c r="AL105" i="18" s="1"/>
  <c r="AT35" i="18" s="1"/>
  <c r="D28" i="17" s="1"/>
  <c r="AL97" i="18" a="1"/>
  <c r="AL97" i="18" s="1"/>
  <c r="AT34" i="18" s="1"/>
  <c r="D27" i="17" s="1"/>
  <c r="AL108" i="18" a="1"/>
  <c r="AL108" i="18" s="1"/>
  <c r="AL100" i="18" a="1"/>
  <c r="AL100" i="18" s="1"/>
  <c r="AL92" i="18" a="1"/>
  <c r="AL92" i="18" s="1"/>
  <c r="AL84" i="18" a="1"/>
  <c r="AL84" i="18" s="1"/>
  <c r="AL111" i="18" a="1"/>
  <c r="AL111" i="18" s="1"/>
  <c r="AL103" i="18" a="1"/>
  <c r="AL103" i="18" s="1"/>
  <c r="AL95" i="18" a="1"/>
  <c r="AL95" i="18" s="1"/>
  <c r="AL106" i="18" a="1"/>
  <c r="AL106" i="18" s="1"/>
  <c r="AL98" i="18" a="1"/>
  <c r="AL98" i="18" s="1"/>
  <c r="AL109" i="18" a="1"/>
  <c r="AL109" i="18" s="1"/>
  <c r="AL101" i="18" a="1"/>
  <c r="AL101" i="18" s="1"/>
  <c r="AL93" i="18" a="1"/>
  <c r="AL93" i="18" s="1"/>
  <c r="AL85" i="18" a="1"/>
  <c r="AL85" i="18" s="1"/>
  <c r="AL77" i="18" a="1"/>
  <c r="AL77" i="18" s="1"/>
  <c r="AL112" i="18" a="1"/>
  <c r="AL112" i="18" s="1"/>
  <c r="AL57" i="18" a="1"/>
  <c r="AL57" i="18" s="1"/>
  <c r="AT29" i="18" s="1"/>
  <c r="D22" i="17" s="1"/>
  <c r="AL56" i="18" a="1"/>
  <c r="AL56" i="18" s="1"/>
  <c r="AL55" i="18" a="1"/>
  <c r="AL55" i="18" s="1"/>
  <c r="AL54" i="18" a="1"/>
  <c r="AL54" i="18" s="1"/>
  <c r="AL35" i="18" a="1"/>
  <c r="AL35" i="18" s="1"/>
  <c r="AL99" i="18" a="1"/>
  <c r="AL99" i="18" s="1"/>
  <c r="AL86" i="18" a="1"/>
  <c r="AL86" i="18" s="1"/>
  <c r="AL78" i="18" a="1"/>
  <c r="AL78" i="18" s="1"/>
  <c r="AL33" i="18" a="1"/>
  <c r="AL33" i="18" s="1"/>
  <c r="AT26" i="18" s="1"/>
  <c r="D19" i="17" s="1"/>
  <c r="AL87" i="18" a="1"/>
  <c r="AL87" i="18" s="1"/>
  <c r="AL80" i="18" a="1"/>
  <c r="AL80" i="18" s="1"/>
  <c r="AL79" i="18" a="1"/>
  <c r="AL79" i="18" s="1"/>
  <c r="AL50" i="18" a="1"/>
  <c r="AL50" i="18" s="1"/>
  <c r="AL31" i="18" a="1"/>
  <c r="AL31" i="18" s="1"/>
  <c r="AL104" i="18" a="1"/>
  <c r="AL104" i="18" s="1"/>
  <c r="AL88" i="18" a="1"/>
  <c r="AL88" i="18" s="1"/>
  <c r="AL53" i="18" a="1"/>
  <c r="AL53" i="18" s="1"/>
  <c r="AL45" i="18" a="1"/>
  <c r="AL45" i="18" s="1"/>
  <c r="AL37" i="18" a="1"/>
  <c r="AL37" i="18" s="1"/>
  <c r="AL30" i="18" a="1"/>
  <c r="AL30" i="18" s="1"/>
  <c r="AL81" i="18" a="1"/>
  <c r="AL81" i="18" s="1"/>
  <c r="AT32" i="18" s="1"/>
  <c r="D25" i="17" s="1"/>
  <c r="AL29" i="18" a="1"/>
  <c r="AL29" i="18" s="1"/>
  <c r="AL82" i="18" a="1"/>
  <c r="AL82" i="18" s="1"/>
  <c r="AL48" i="18" a="1"/>
  <c r="AL48" i="18" s="1"/>
  <c r="AL40" i="18" a="1"/>
  <c r="AL40" i="18" s="1"/>
  <c r="AL28" i="18" a="1"/>
  <c r="AL28" i="18" s="1"/>
  <c r="AL27" i="18" a="1"/>
  <c r="AL27" i="18" s="1"/>
  <c r="AL89" i="18" a="1"/>
  <c r="AL89" i="18" s="1"/>
  <c r="AT33" i="18" s="1"/>
  <c r="D26" i="17" s="1"/>
  <c r="AL83" i="18" a="1"/>
  <c r="AL83" i="18" s="1"/>
  <c r="AL51" i="18" a="1"/>
  <c r="AL51" i="18" s="1"/>
  <c r="AL43" i="18" a="1"/>
  <c r="AL43" i="18" s="1"/>
  <c r="AL26" i="18" a="1"/>
  <c r="AL26" i="18" s="1"/>
  <c r="AL22" i="18" a="1"/>
  <c r="AL22" i="18" s="1"/>
  <c r="AL96" i="18" a="1"/>
  <c r="AL96" i="18" s="1"/>
  <c r="AL90" i="18" a="1"/>
  <c r="AL90" i="18" s="1"/>
  <c r="AL25" i="18" a="1"/>
  <c r="AL25" i="18" s="1"/>
  <c r="AT25" i="18" s="1"/>
  <c r="D18" i="17" s="1"/>
  <c r="AL46" i="18" a="1"/>
  <c r="AL46" i="18" s="1"/>
  <c r="AL75" i="18" a="1"/>
  <c r="AL75" i="18" s="1"/>
  <c r="AL74" i="18" a="1"/>
  <c r="AL74" i="18" s="1"/>
  <c r="AL63" i="18" a="1"/>
  <c r="AL63" i="18" s="1"/>
  <c r="AL38" i="18" a="1"/>
  <c r="AL38" i="18" s="1"/>
  <c r="AL94" i="18" a="1"/>
  <c r="AL94" i="18" s="1"/>
  <c r="AL68" i="18" a="1"/>
  <c r="AL68" i="18" s="1"/>
  <c r="AL61" i="18" a="1"/>
  <c r="AL61" i="18" s="1"/>
  <c r="AL47" i="18" a="1"/>
  <c r="AL47" i="18" s="1"/>
  <c r="AL36" i="18" a="1"/>
  <c r="AL36" i="18" s="1"/>
  <c r="AL34" i="18" a="1"/>
  <c r="AL34" i="18" s="1"/>
  <c r="AL66" i="18" a="1"/>
  <c r="AL66" i="18" s="1"/>
  <c r="AL32" i="18" a="1"/>
  <c r="AL32" i="18" s="1"/>
  <c r="AL73" i="18" a="1"/>
  <c r="AL73" i="18" s="1"/>
  <c r="AT31" i="18" s="1"/>
  <c r="D24" i="17" s="1"/>
  <c r="AL59" i="18" a="1"/>
  <c r="AL59" i="18" s="1"/>
  <c r="AL91" i="18" a="1"/>
  <c r="AL91" i="18" s="1"/>
  <c r="AL71" i="18" a="1"/>
  <c r="AL71" i="18" s="1"/>
  <c r="AL52" i="18" a="1"/>
  <c r="AL52" i="18" s="1"/>
  <c r="AL49" i="18" a="1"/>
  <c r="AL49" i="18" s="1"/>
  <c r="AT28" i="18" s="1"/>
  <c r="D21" i="17" s="1"/>
  <c r="AL41" i="18" a="1"/>
  <c r="AL41" i="18" s="1"/>
  <c r="AT27" i="18" s="1"/>
  <c r="D20" i="17" s="1"/>
  <c r="AL39" i="18" a="1"/>
  <c r="AL39" i="18" s="1"/>
  <c r="AL23" i="18" a="1"/>
  <c r="AL23" i="18" s="1"/>
  <c r="AL64" i="18" a="1"/>
  <c r="AL64" i="18" s="1"/>
  <c r="AL69" i="18" a="1"/>
  <c r="AL69" i="18" s="1"/>
  <c r="AL19" i="18" a="1"/>
  <c r="AL19" i="18" s="1"/>
  <c r="AL62" i="18" a="1"/>
  <c r="AL62" i="18" s="1"/>
  <c r="AL42" i="18" a="1"/>
  <c r="AL42" i="18" s="1"/>
  <c r="AL21" i="18" a="1"/>
  <c r="AL21" i="18" s="1"/>
  <c r="AL76" i="18" a="1"/>
  <c r="AL76" i="18" s="1"/>
  <c r="AL67" i="18" a="1"/>
  <c r="AL67" i="18" s="1"/>
  <c r="AL13" i="18" a="1"/>
  <c r="AL13" i="18" s="1"/>
  <c r="AL107" i="18" a="1"/>
  <c r="AL107" i="18" s="1"/>
  <c r="AL60" i="18" a="1"/>
  <c r="AL60" i="18" s="1"/>
  <c r="AL44" i="18" a="1"/>
  <c r="AL44" i="18" s="1"/>
  <c r="AL14" i="18" a="1"/>
  <c r="AL14" i="18" s="1"/>
  <c r="AL72" i="18" a="1"/>
  <c r="AL72" i="18" s="1"/>
  <c r="AL58" i="18" a="1"/>
  <c r="AL58" i="18" s="1"/>
  <c r="AL16" i="18" a="1"/>
  <c r="AL16" i="18" s="1"/>
  <c r="AL70" i="18" a="1"/>
  <c r="AL70" i="18" s="1"/>
  <c r="AL65" i="18" a="1"/>
  <c r="AL65" i="18" s="1"/>
  <c r="AT30" i="18" s="1"/>
  <c r="D23" i="17" s="1"/>
  <c r="AL24" i="18" a="1"/>
  <c r="AL24" i="18" s="1"/>
  <c r="AL20" i="18" a="1"/>
  <c r="AL20" i="18" s="1"/>
  <c r="AL15" i="18" a="1"/>
  <c r="AL15" i="18" s="1"/>
  <c r="AL10" i="18" a="1"/>
  <c r="AL10" i="18" s="1"/>
  <c r="AL12" i="18" a="1"/>
  <c r="AL12" i="18" s="1"/>
  <c r="AL11" i="18" a="1"/>
  <c r="AL11" i="18" s="1"/>
  <c r="AL18" i="18" a="1"/>
  <c r="AL18" i="18" s="1"/>
  <c r="AL17" i="18" a="1"/>
  <c r="AL17" i="18" s="1"/>
  <c r="AT24" i="18" s="1"/>
  <c r="D17" i="17" s="1"/>
  <c r="P34" i="17"/>
  <c r="Q34" i="17" s="1"/>
  <c r="M53" i="17"/>
  <c r="L115" i="17"/>
  <c r="P55" i="17"/>
  <c r="Q55" i="17" s="1"/>
  <c r="H128" i="17"/>
  <c r="M98" i="17"/>
  <c r="M115" i="17"/>
  <c r="M118" i="17"/>
  <c r="P85" i="17"/>
  <c r="Q85" i="17" s="1"/>
  <c r="M58" i="17"/>
  <c r="L113" i="17"/>
  <c r="K45" i="17"/>
  <c r="G38" i="17"/>
  <c r="M38" i="17" s="1"/>
  <c r="K32" i="17"/>
  <c r="L104" i="17"/>
  <c r="M97" i="17"/>
  <c r="P60" i="17"/>
  <c r="Q60" i="17" s="1"/>
  <c r="K102" i="17"/>
  <c r="K118" i="17"/>
  <c r="K125" i="17"/>
  <c r="AU19" i="18" a="1"/>
  <c r="AU19" i="18" s="1"/>
  <c r="E12" i="17" s="1"/>
  <c r="AU21" i="18" a="1"/>
  <c r="AU21" i="18" s="1"/>
  <c r="E14" i="17" s="1"/>
  <c r="AU22" i="18" a="1"/>
  <c r="AU22" i="18" s="1"/>
  <c r="E15" i="17" s="1"/>
  <c r="AU20" i="18" a="1"/>
  <c r="AU20" i="18" s="1"/>
  <c r="E13" i="17" s="1"/>
  <c r="AU15" i="18" a="1"/>
  <c r="AU15" i="18" s="1"/>
  <c r="E8" i="17" s="1"/>
  <c r="AU17" i="18" a="1"/>
  <c r="AU17" i="18" s="1"/>
  <c r="E10" i="17" s="1"/>
  <c r="AU18" i="18" a="1"/>
  <c r="AU18" i="18" s="1"/>
  <c r="E11" i="17" s="1"/>
  <c r="AU13" i="18" a="1"/>
  <c r="AU13" i="18" s="1"/>
  <c r="E6" i="17" s="1"/>
  <c r="AU10" i="18" a="1"/>
  <c r="AU10" i="18" s="1"/>
  <c r="E3" i="17" s="1"/>
  <c r="AU12" i="18" a="1"/>
  <c r="AU12" i="18" s="1"/>
  <c r="E5" i="17" s="1"/>
  <c r="J37" i="17" s="1"/>
  <c r="AU16" i="18" a="1"/>
  <c r="AU16" i="18" s="1"/>
  <c r="E9" i="17" s="1"/>
  <c r="AU14" i="18" a="1"/>
  <c r="AU14" i="18" s="1"/>
  <c r="E7" i="17" s="1"/>
  <c r="AU11" i="18" a="1"/>
  <c r="AU11" i="18" s="1"/>
  <c r="E4" i="17" s="1"/>
  <c r="J35" i="17" s="1"/>
  <c r="P39" i="17"/>
  <c r="Q39" i="17" s="1"/>
  <c r="E40" i="17"/>
  <c r="K40" i="17" s="1"/>
  <c r="K34" i="17"/>
  <c r="F34" i="17"/>
  <c r="L34" i="17" s="1"/>
  <c r="D5" i="18"/>
  <c r="K5" i="18" s="1"/>
  <c r="E5" i="18"/>
  <c r="L5" i="18" s="1"/>
  <c r="B4" i="18"/>
  <c r="H5" i="18"/>
  <c r="O5" i="18" s="1"/>
  <c r="F5" i="18"/>
  <c r="M5" i="18" s="1"/>
  <c r="G5" i="18"/>
  <c r="N5" i="18" s="1"/>
  <c r="C5" i="18"/>
  <c r="J5" i="18" s="1"/>
  <c r="L103" i="17"/>
  <c r="K85" i="17"/>
  <c r="J34" i="17"/>
  <c r="K119" i="17"/>
  <c r="J117" i="17"/>
  <c r="K39" i="17"/>
  <c r="F39" i="17"/>
  <c r="L39" i="17" s="1"/>
  <c r="B40" i="17"/>
  <c r="P38" i="17"/>
  <c r="Q38" i="17" s="1"/>
  <c r="P33" i="17"/>
  <c r="Q33" i="17" s="1"/>
  <c r="B35" i="17"/>
  <c r="M83" i="17"/>
  <c r="P45" i="17"/>
  <c r="Q45" i="17" s="1"/>
  <c r="J110" i="17"/>
  <c r="K60" i="17"/>
  <c r="P80" i="17"/>
  <c r="Q80" i="17" s="1"/>
  <c r="G33" i="17"/>
  <c r="M33" i="17" s="1"/>
  <c r="J106" i="17"/>
  <c r="P75" i="17"/>
  <c r="Q75" i="17" s="1"/>
  <c r="J120" i="17"/>
  <c r="J132" i="17"/>
  <c r="K38" i="17"/>
  <c r="AW22" i="18" a="1"/>
  <c r="AW22" i="18" s="1"/>
  <c r="G15" i="17" s="1"/>
  <c r="AW20" i="18" a="1"/>
  <c r="AW20" i="18" s="1"/>
  <c r="G13" i="17" s="1"/>
  <c r="AW18" i="18" a="1"/>
  <c r="AW18" i="18" s="1"/>
  <c r="G11" i="17" s="1"/>
  <c r="AW21" i="18" a="1"/>
  <c r="AW21" i="18" s="1"/>
  <c r="G14" i="17" s="1"/>
  <c r="AW16" i="18" a="1"/>
  <c r="AW16" i="18" s="1"/>
  <c r="G9" i="17" s="1"/>
  <c r="AW13" i="18" a="1"/>
  <c r="AW13" i="18" s="1"/>
  <c r="G6" i="17" s="1"/>
  <c r="AW19" i="18" a="1"/>
  <c r="AW19" i="18" s="1"/>
  <c r="G12" i="17" s="1"/>
  <c r="AW12" i="18" a="1"/>
  <c r="AW12" i="18" s="1"/>
  <c r="G5" i="17" s="1"/>
  <c r="L37" i="17" s="1"/>
  <c r="AW15" i="18" a="1"/>
  <c r="AW15" i="18" s="1"/>
  <c r="G8" i="17" s="1"/>
  <c r="AW14" i="18" a="1"/>
  <c r="AW14" i="18" s="1"/>
  <c r="G7" i="17" s="1"/>
  <c r="AW10" i="18" a="1"/>
  <c r="AW10" i="18" s="1"/>
  <c r="G3" i="17" s="1"/>
  <c r="AW17" i="18" a="1"/>
  <c r="AW17" i="18" s="1"/>
  <c r="G10" i="17" s="1"/>
  <c r="AW11" i="18" a="1"/>
  <c r="AW11" i="18" s="1"/>
  <c r="G4" i="17" s="1"/>
  <c r="L33" i="17" s="1"/>
  <c r="J129" i="17"/>
  <c r="AS15" i="18" a="1"/>
  <c r="AS15" i="18" s="1"/>
  <c r="C8" i="17" s="1"/>
  <c r="H55" i="17" s="1"/>
  <c r="AS17" i="18" a="1"/>
  <c r="AS17" i="18" s="1"/>
  <c r="C10" i="17" s="1"/>
  <c r="AS18" i="18" a="1"/>
  <c r="AS18" i="18" s="1"/>
  <c r="C11" i="17" s="1"/>
  <c r="AS11" i="18" a="1"/>
  <c r="AS11" i="18" s="1"/>
  <c r="C4" i="17" s="1"/>
  <c r="H32" i="17" s="1"/>
  <c r="AS16" i="18" a="1"/>
  <c r="AS16" i="18" s="1"/>
  <c r="C9" i="17" s="1"/>
  <c r="H60" i="17" s="1"/>
  <c r="AS21" i="18" a="1"/>
  <c r="AS21" i="18" s="1"/>
  <c r="C14" i="17" s="1"/>
  <c r="H85" i="17" s="1"/>
  <c r="AS13" i="18" a="1"/>
  <c r="AS13" i="18" s="1"/>
  <c r="C6" i="17" s="1"/>
  <c r="H45" i="17" s="1"/>
  <c r="AS19" i="18" a="1"/>
  <c r="AS19" i="18" s="1"/>
  <c r="C12" i="17" s="1"/>
  <c r="H75" i="17" s="1"/>
  <c r="AS22" i="18" a="1"/>
  <c r="AS22" i="18" s="1"/>
  <c r="C15" i="17" s="1"/>
  <c r="AS10" i="18" a="1"/>
  <c r="AS10" i="18" s="1"/>
  <c r="C3" i="17" s="1"/>
  <c r="AS20" i="18" a="1"/>
  <c r="AS20" i="18" s="1"/>
  <c r="C13" i="17" s="1"/>
  <c r="AS12" i="18" a="1"/>
  <c r="AS12" i="18" s="1"/>
  <c r="C5" i="17" s="1"/>
  <c r="H37" i="17" s="1"/>
  <c r="AS14" i="18" a="1"/>
  <c r="AS14" i="18" s="1"/>
  <c r="C7" i="17" s="1"/>
  <c r="J103" i="17"/>
  <c r="K129" i="17"/>
  <c r="J32" i="17"/>
  <c r="M100" i="17"/>
  <c r="L79" i="17"/>
  <c r="H95" i="17"/>
  <c r="H101" i="17"/>
  <c r="H108" i="17"/>
  <c r="H105" i="17"/>
  <c r="H130" i="17"/>
  <c r="H127" i="17"/>
  <c r="H122" i="17"/>
  <c r="K33" i="17"/>
  <c r="K37" i="17"/>
  <c r="AX11" i="18" a="1"/>
  <c r="AX11" i="18" s="1"/>
  <c r="H4" i="17" s="1"/>
  <c r="M32" i="17" s="1"/>
  <c r="AX16" i="18" a="1"/>
  <c r="AX16" i="18" s="1"/>
  <c r="H9" i="17" s="1"/>
  <c r="M57" i="17" s="1"/>
  <c r="AX21" i="18" a="1"/>
  <c r="AX21" i="18" s="1"/>
  <c r="H14" i="17" s="1"/>
  <c r="M82" i="17" s="1"/>
  <c r="AX17" i="18" a="1"/>
  <c r="AX17" i="18" s="1"/>
  <c r="H10" i="17" s="1"/>
  <c r="M62" i="17" s="1"/>
  <c r="AX18" i="18" a="1"/>
  <c r="AX18" i="18" s="1"/>
  <c r="H11" i="17" s="1"/>
  <c r="M67" i="17" s="1"/>
  <c r="AX19" i="18" a="1"/>
  <c r="AX19" i="18" s="1"/>
  <c r="H12" i="17" s="1"/>
  <c r="M72" i="17" s="1"/>
  <c r="AX12" i="18" a="1"/>
  <c r="AX12" i="18" s="1"/>
  <c r="H5" i="17" s="1"/>
  <c r="M37" i="17" s="1"/>
  <c r="AX15" i="18" a="1"/>
  <c r="AX15" i="18" s="1"/>
  <c r="H8" i="17" s="1"/>
  <c r="M52" i="17" s="1"/>
  <c r="AX20" i="18" a="1"/>
  <c r="AX20" i="18" s="1"/>
  <c r="H13" i="17" s="1"/>
  <c r="M77" i="17" s="1"/>
  <c r="AX14" i="18" a="1"/>
  <c r="AX14" i="18" s="1"/>
  <c r="H7" i="17" s="1"/>
  <c r="M47" i="17" s="1"/>
  <c r="AX10" i="18" a="1"/>
  <c r="AX10" i="18" s="1"/>
  <c r="H3" i="17" s="1"/>
  <c r="AX22" i="18" a="1"/>
  <c r="AX22" i="18" s="1"/>
  <c r="H15" i="17" s="1"/>
  <c r="AX13" i="18" a="1"/>
  <c r="AX13" i="18" s="1"/>
  <c r="H6" i="17" s="1"/>
  <c r="M42" i="17" s="1"/>
  <c r="K107" i="17"/>
  <c r="L59" i="17"/>
  <c r="M99" i="17"/>
  <c r="K113" i="17"/>
  <c r="K123" i="17"/>
  <c r="K117" i="17"/>
  <c r="K124" i="17"/>
  <c r="K92" i="17"/>
  <c r="P65" i="17"/>
  <c r="Q65" i="17" s="1"/>
  <c r="L126" i="17"/>
  <c r="K17" i="17"/>
  <c r="M113" i="17"/>
  <c r="M119" i="17"/>
  <c r="Y14" i="14"/>
  <c r="AL41" i="14" a="1"/>
  <c r="AL41" i="14" s="1"/>
  <c r="AK107" i="14" a="1"/>
  <c r="AK107" i="14" s="1"/>
  <c r="AK39" i="14" a="1"/>
  <c r="AK39" i="14" s="1"/>
  <c r="AK43" i="14" a="1"/>
  <c r="AK43" i="14" s="1"/>
  <c r="AK36" i="14" a="1"/>
  <c r="AK36" i="14" s="1"/>
  <c r="AL39" i="14" a="1"/>
  <c r="AL39" i="14" s="1"/>
  <c r="C6" i="14"/>
  <c r="J6" i="14" s="1"/>
  <c r="E6" i="14"/>
  <c r="L6" i="14" s="1"/>
  <c r="B5" i="14"/>
  <c r="H6" i="14"/>
  <c r="O6" i="14" s="1"/>
  <c r="G6" i="14"/>
  <c r="N6" i="14" s="1"/>
  <c r="D6" i="14"/>
  <c r="K6" i="14" s="1"/>
  <c r="F6" i="14"/>
  <c r="M6" i="14" s="1"/>
  <c r="AJ15" i="14"/>
  <c r="AM36" i="14" a="1"/>
  <c r="AM36" i="14" s="1"/>
  <c r="AM41" i="14" a="1"/>
  <c r="AM41" i="14" s="1"/>
  <c r="AM25" i="14" a="1"/>
  <c r="AM25" i="14" s="1"/>
  <c r="AM39" i="14" a="1"/>
  <c r="AM39" i="14" s="1"/>
  <c r="AM35" i="14" a="1"/>
  <c r="AM35" i="14" s="1"/>
  <c r="H6" i="13"/>
  <c r="O6" i="13" s="1"/>
  <c r="F6" i="13"/>
  <c r="M6" i="13" s="1"/>
  <c r="D6" i="13"/>
  <c r="K6" i="13" s="1"/>
  <c r="B5" i="13"/>
  <c r="E6" i="13"/>
  <c r="L6" i="13" s="1"/>
  <c r="C6" i="13"/>
  <c r="J6" i="13" s="1"/>
  <c r="G6" i="13"/>
  <c r="N6" i="13" s="1"/>
  <c r="AN52" i="13" a="1"/>
  <c r="AN52" i="13" s="1"/>
  <c r="AN12" i="10" a="1"/>
  <c r="AN12" i="10" s="1"/>
  <c r="AJ13" i="10"/>
  <c r="AP12" i="10" a="1"/>
  <c r="AP12" i="10" s="1"/>
  <c r="AP54" i="13" a="1"/>
  <c r="AP54" i="13" s="1"/>
  <c r="AP57" i="13" a="1"/>
  <c r="AP57" i="13" s="1"/>
  <c r="AX29" i="13" s="1"/>
  <c r="F5" i="12"/>
  <c r="M5" i="12" s="1"/>
  <c r="E5" i="12"/>
  <c r="L5" i="12" s="1"/>
  <c r="B4" i="12"/>
  <c r="G5" i="12"/>
  <c r="N5" i="12" s="1"/>
  <c r="D5" i="12"/>
  <c r="K5" i="12" s="1"/>
  <c r="C5" i="12"/>
  <c r="J5" i="12" s="1"/>
  <c r="H5" i="12"/>
  <c r="O5" i="12" s="1"/>
  <c r="AJ13" i="11"/>
  <c r="AK98" i="13" a="1"/>
  <c r="AK98" i="13" s="1"/>
  <c r="AK107" i="13" a="1"/>
  <c r="AK107" i="13" s="1"/>
  <c r="AK95" i="13" a="1"/>
  <c r="AK95" i="13" s="1"/>
  <c r="AK43" i="13" a="1"/>
  <c r="AK43" i="13" s="1"/>
  <c r="AK57" i="13" a="1"/>
  <c r="AK57" i="13" s="1"/>
  <c r="AS29" i="13" s="1"/>
  <c r="AK91" i="13" a="1"/>
  <c r="AK91" i="13" s="1"/>
  <c r="AK35" i="13" a="1"/>
  <c r="AK35" i="13" s="1"/>
  <c r="AK54" i="13" a="1"/>
  <c r="AK54" i="13" s="1"/>
  <c r="AK44" i="13" a="1"/>
  <c r="AK44" i="13" s="1"/>
  <c r="AK23" i="13" a="1"/>
  <c r="AK23" i="13" s="1"/>
  <c r="AK16" i="13" a="1"/>
  <c r="AK16" i="13" s="1"/>
  <c r="AK50" i="13" a="1"/>
  <c r="AK50" i="13" s="1"/>
  <c r="AK17" i="13" a="1"/>
  <c r="AK17" i="13" s="1"/>
  <c r="AS24" i="13" s="1"/>
  <c r="AK46" i="13" a="1"/>
  <c r="AK46" i="13" s="1"/>
  <c r="AK20" i="13" a="1"/>
  <c r="AK20" i="13" s="1"/>
  <c r="AK13" i="13" a="1"/>
  <c r="AK13" i="13" s="1"/>
  <c r="AK21" i="13" a="1"/>
  <c r="AK21" i="13" s="1"/>
  <c r="AK99" i="13" a="1"/>
  <c r="AK99" i="13" s="1"/>
  <c r="AK34" i="13" a="1"/>
  <c r="AK34" i="13" s="1"/>
  <c r="AK10" i="13" a="1"/>
  <c r="AK10" i="13" s="1"/>
  <c r="D7" i="11"/>
  <c r="K7" i="11" s="1"/>
  <c r="C7" i="11"/>
  <c r="J7" i="11" s="1"/>
  <c r="B6" i="11"/>
  <c r="H7" i="11"/>
  <c r="O7" i="11" s="1"/>
  <c r="G7" i="11"/>
  <c r="N7" i="11" s="1"/>
  <c r="E7" i="11"/>
  <c r="L7" i="11" s="1"/>
  <c r="F7" i="11"/>
  <c r="M7" i="11" s="1"/>
  <c r="Y15" i="10"/>
  <c r="AP47" i="10" a="1"/>
  <c r="AP47" i="10" s="1"/>
  <c r="AP43" i="10" a="1"/>
  <c r="AP43" i="10" s="1"/>
  <c r="AP49" i="10" a="1"/>
  <c r="AP49" i="10" s="1"/>
  <c r="AP44" i="10" a="1"/>
  <c r="AP44" i="10" s="1"/>
  <c r="AP42" i="10" a="1"/>
  <c r="AP42" i="10" s="1"/>
  <c r="AP45" i="10" a="1"/>
  <c r="AP45" i="10" s="1"/>
  <c r="AP46" i="10" a="1"/>
  <c r="AP46" i="10" s="1"/>
  <c r="AP48" i="10" a="1"/>
  <c r="AP48" i="10" s="1"/>
  <c r="AP56" i="13" a="1"/>
  <c r="AP56" i="13" s="1"/>
  <c r="AO113" i="11" a="1"/>
  <c r="AO113" i="11" s="1"/>
  <c r="AO111" i="11" a="1"/>
  <c r="AO111" i="11" s="1"/>
  <c r="AO112" i="11" a="1"/>
  <c r="AO112" i="11" s="1"/>
  <c r="AO108" i="11" a="1"/>
  <c r="AO108" i="11" s="1"/>
  <c r="AO104" i="11" a="1"/>
  <c r="AO104" i="11" s="1"/>
  <c r="AO98" i="11" a="1"/>
  <c r="AO98" i="11" s="1"/>
  <c r="AO92" i="11" a="1"/>
  <c r="AO92" i="11" s="1"/>
  <c r="AO75" i="11" a="1"/>
  <c r="AO75" i="11" s="1"/>
  <c r="AO67" i="11" a="1"/>
  <c r="AO67" i="11" s="1"/>
  <c r="AO59" i="11" a="1"/>
  <c r="AO59" i="11" s="1"/>
  <c r="AO82" i="11" a="1"/>
  <c r="AO82" i="11" s="1"/>
  <c r="AO103" i="11" a="1"/>
  <c r="AO103" i="11" s="1"/>
  <c r="AO78" i="11" a="1"/>
  <c r="AO78" i="11" s="1"/>
  <c r="AO70" i="11" a="1"/>
  <c r="AO70" i="11" s="1"/>
  <c r="AO62" i="11" a="1"/>
  <c r="AO62" i="11" s="1"/>
  <c r="AO109" i="11" a="1"/>
  <c r="AO109" i="11" s="1"/>
  <c r="AO91" i="11" a="1"/>
  <c r="AO91" i="11" s="1"/>
  <c r="AO86" i="11" a="1"/>
  <c r="AO86" i="11" s="1"/>
  <c r="AO97" i="11" a="1"/>
  <c r="AO97" i="11" s="1"/>
  <c r="AO73" i="11" a="1"/>
  <c r="AO73" i="11" s="1"/>
  <c r="AO90" i="11" a="1"/>
  <c r="AO90" i="11" s="1"/>
  <c r="AO110" i="11" a="1"/>
  <c r="AO110" i="11" s="1"/>
  <c r="AO101" i="11" a="1"/>
  <c r="AO101" i="11" s="1"/>
  <c r="AO95" i="11" a="1"/>
  <c r="AO95" i="11" s="1"/>
  <c r="AO71" i="11" a="1"/>
  <c r="AO71" i="11" s="1"/>
  <c r="AO63" i="11" a="1"/>
  <c r="AO63" i="11" s="1"/>
  <c r="AO89" i="11" a="1"/>
  <c r="AO89" i="11" s="1"/>
  <c r="AO80" i="11" a="1"/>
  <c r="AO80" i="11" s="1"/>
  <c r="AO100" i="11" a="1"/>
  <c r="AO100" i="11" s="1"/>
  <c r="AO84" i="11" a="1"/>
  <c r="AO84" i="11" s="1"/>
  <c r="AO74" i="11" a="1"/>
  <c r="AO74" i="11" s="1"/>
  <c r="AO66" i="11" a="1"/>
  <c r="AO66" i="11" s="1"/>
  <c r="AO88" i="11" a="1"/>
  <c r="AO88" i="11" s="1"/>
  <c r="AO94" i="11" a="1"/>
  <c r="AO94" i="11" s="1"/>
  <c r="AO79" i="11" a="1"/>
  <c r="AO79" i="11" s="1"/>
  <c r="AO77" i="11" a="1"/>
  <c r="AO77" i="11" s="1"/>
  <c r="AO69" i="11" a="1"/>
  <c r="AO69" i="11" s="1"/>
  <c r="AO61" i="11" a="1"/>
  <c r="AO61" i="11" s="1"/>
  <c r="AO105" i="11" a="1"/>
  <c r="AO105" i="11" s="1"/>
  <c r="AO76" i="11" a="1"/>
  <c r="AO76" i="11" s="1"/>
  <c r="AO48" i="11" a="1"/>
  <c r="AO48" i="11" s="1"/>
  <c r="AO35" i="11" a="1"/>
  <c r="AO35" i="11" s="1"/>
  <c r="AO56" i="11" a="1"/>
  <c r="AO56" i="11" s="1"/>
  <c r="AO39" i="11" a="1"/>
  <c r="AO39" i="11" s="1"/>
  <c r="AO34" i="11" a="1"/>
  <c r="AO34" i="11" s="1"/>
  <c r="AO19" i="11" a="1"/>
  <c r="AO19" i="11" s="1"/>
  <c r="AO96" i="11" a="1"/>
  <c r="AO96" i="11" s="1"/>
  <c r="AO33" i="11" a="1"/>
  <c r="AO33" i="11" s="1"/>
  <c r="AO107" i="11" a="1"/>
  <c r="AO107" i="11" s="1"/>
  <c r="AO43" i="11" a="1"/>
  <c r="AO43" i="11" s="1"/>
  <c r="AO32" i="11" a="1"/>
  <c r="AO32" i="11" s="1"/>
  <c r="AO20" i="11" a="1"/>
  <c r="AO20" i="11" s="1"/>
  <c r="AO51" i="11" a="1"/>
  <c r="AO51" i="11" s="1"/>
  <c r="AO47" i="11" a="1"/>
  <c r="AO47" i="11" s="1"/>
  <c r="AO31" i="11" a="1"/>
  <c r="AO31" i="11" s="1"/>
  <c r="AO87" i="11" a="1"/>
  <c r="AO87" i="11" s="1"/>
  <c r="AO60" i="11" a="1"/>
  <c r="AO60" i="11" s="1"/>
  <c r="AO55" i="11" a="1"/>
  <c r="AO55" i="11" s="1"/>
  <c r="AO37" i="11" a="1"/>
  <c r="AO37" i="11" s="1"/>
  <c r="AO30" i="11" a="1"/>
  <c r="AO30" i="11" s="1"/>
  <c r="AO29" i="11" a="1"/>
  <c r="AO29" i="11" s="1"/>
  <c r="AO21" i="11" a="1"/>
  <c r="AO21" i="11" s="1"/>
  <c r="AO99" i="11" a="1"/>
  <c r="AO99" i="11" s="1"/>
  <c r="AO85" i="11" a="1"/>
  <c r="AO85" i="11" s="1"/>
  <c r="AO42" i="11" a="1"/>
  <c r="AO42" i="11" s="1"/>
  <c r="AO40" i="11" a="1"/>
  <c r="AO40" i="11" s="1"/>
  <c r="AO28" i="11" a="1"/>
  <c r="AO28" i="11" s="1"/>
  <c r="AO64" i="11" a="1"/>
  <c r="AO64" i="11" s="1"/>
  <c r="AO50" i="11" a="1"/>
  <c r="AO50" i="11" s="1"/>
  <c r="AO46" i="11" a="1"/>
  <c r="AO46" i="11" s="1"/>
  <c r="AO27" i="11" a="1"/>
  <c r="AO27" i="11" s="1"/>
  <c r="AO58" i="11" a="1"/>
  <c r="AO58" i="11" s="1"/>
  <c r="AO54" i="11" a="1"/>
  <c r="AO54" i="11" s="1"/>
  <c r="AO26" i="11" a="1"/>
  <c r="AO26" i="11" s="1"/>
  <c r="AO22" i="11" a="1"/>
  <c r="AO22" i="11" s="1"/>
  <c r="AO65" i="11" a="1"/>
  <c r="AO65" i="11" s="1"/>
  <c r="AO25" i="11" a="1"/>
  <c r="AO25" i="11" s="1"/>
  <c r="AO12" i="11" a="1"/>
  <c r="AO12" i="11" s="1"/>
  <c r="AO106" i="11" a="1"/>
  <c r="AO106" i="11" s="1"/>
  <c r="AO83" i="11" a="1"/>
  <c r="AO83" i="11" s="1"/>
  <c r="AO45" i="11" a="1"/>
  <c r="AO45" i="11" s="1"/>
  <c r="AO38" i="11" a="1"/>
  <c r="AO38" i="11" s="1"/>
  <c r="AO24" i="11" a="1"/>
  <c r="AO24" i="11" s="1"/>
  <c r="AO93" i="11" a="1"/>
  <c r="AO93" i="11" s="1"/>
  <c r="AO81" i="11" a="1"/>
  <c r="AO81" i="11" s="1"/>
  <c r="AO57" i="11" a="1"/>
  <c r="AO57" i="11" s="1"/>
  <c r="AO41" i="11" a="1"/>
  <c r="AO41" i="11" s="1"/>
  <c r="AO72" i="11" a="1"/>
  <c r="AO72" i="11" s="1"/>
  <c r="AO49" i="11" a="1"/>
  <c r="AO49" i="11" s="1"/>
  <c r="AO36" i="11" a="1"/>
  <c r="AO36" i="11" s="1"/>
  <c r="AO52" i="11" a="1"/>
  <c r="AO52" i="11" s="1"/>
  <c r="AO11" i="11" a="1"/>
  <c r="AO11" i="11" s="1"/>
  <c r="AO18" i="11" a="1"/>
  <c r="AO18" i="11" s="1"/>
  <c r="AO53" i="11" a="1"/>
  <c r="AO53" i="11" s="1"/>
  <c r="AO102" i="11" a="1"/>
  <c r="AO102" i="11" s="1"/>
  <c r="AO68" i="11" a="1"/>
  <c r="AO68" i="11" s="1"/>
  <c r="AO23" i="11" a="1"/>
  <c r="AO23" i="11" s="1"/>
  <c r="AO10" i="11" a="1"/>
  <c r="AO10" i="11" s="1"/>
  <c r="AO44" i="11" a="1"/>
  <c r="AO44" i="11" s="1"/>
  <c r="AO13" i="11" a="1"/>
  <c r="AO13" i="11" s="1"/>
  <c r="Y16" i="13"/>
  <c r="AP55" i="13" a="1"/>
  <c r="AP55" i="13" s="1"/>
  <c r="AM113" i="13" a="1"/>
  <c r="AM113" i="13" s="1"/>
  <c r="AU23" i="13" s="1"/>
  <c r="AM111" i="13" a="1"/>
  <c r="AM111" i="13" s="1"/>
  <c r="AM109" i="13" a="1"/>
  <c r="AM109" i="13" s="1"/>
  <c r="AM108" i="13" a="1"/>
  <c r="AM108" i="13" s="1"/>
  <c r="AM27" i="13" a="1"/>
  <c r="AM27" i="13" s="1"/>
  <c r="AM112" i="13" a="1"/>
  <c r="AM112" i="13" s="1"/>
  <c r="AM107" i="13" a="1"/>
  <c r="AM107" i="13" s="1"/>
  <c r="AM97" i="13" a="1"/>
  <c r="AM97" i="13" s="1"/>
  <c r="AU34" i="13" s="1"/>
  <c r="AM106" i="13" a="1"/>
  <c r="AM106" i="13" s="1"/>
  <c r="AM96" i="13" a="1"/>
  <c r="AM96" i="13" s="1"/>
  <c r="AM95" i="13" a="1"/>
  <c r="AM95" i="13" s="1"/>
  <c r="AM110" i="13" a="1"/>
  <c r="AM110" i="13" s="1"/>
  <c r="AM105" i="13" a="1"/>
  <c r="AM105" i="13" s="1"/>
  <c r="AU35" i="13" s="1"/>
  <c r="AM94" i="13" a="1"/>
  <c r="AM94" i="13" s="1"/>
  <c r="AM49" i="13" a="1"/>
  <c r="AM49" i="13" s="1"/>
  <c r="AU28" i="13" s="1"/>
  <c r="AM93" i="13" a="1"/>
  <c r="AM93" i="13" s="1"/>
  <c r="AM104" i="13" a="1"/>
  <c r="AM104" i="13" s="1"/>
  <c r="AM103" i="13" a="1"/>
  <c r="AM103" i="13" s="1"/>
  <c r="AM92" i="13" a="1"/>
  <c r="AM92" i="13" s="1"/>
  <c r="AM61" i="13" a="1"/>
  <c r="AM61" i="13" s="1"/>
  <c r="AM35" i="13" a="1"/>
  <c r="AM35" i="13" s="1"/>
  <c r="AM102" i="13" a="1"/>
  <c r="AM102" i="13" s="1"/>
  <c r="AM91" i="13" a="1"/>
  <c r="AM91" i="13" s="1"/>
  <c r="AM101" i="13" a="1"/>
  <c r="AM101" i="13" s="1"/>
  <c r="AM100" i="13" a="1"/>
  <c r="AM100" i="13" s="1"/>
  <c r="AM90" i="13" a="1"/>
  <c r="AM90" i="13" s="1"/>
  <c r="AM55" i="13" a="1"/>
  <c r="AM55" i="13" s="1"/>
  <c r="AM44" i="13" a="1"/>
  <c r="AM44" i="13" s="1"/>
  <c r="AM29" i="13" a="1"/>
  <c r="AM29" i="13" s="1"/>
  <c r="AM47" i="13" a="1"/>
  <c r="AM47" i="13" s="1"/>
  <c r="AM36" i="13" a="1"/>
  <c r="AM36" i="13" s="1"/>
  <c r="AM30" i="13" a="1"/>
  <c r="AM30" i="13" s="1"/>
  <c r="AM16" i="13" a="1"/>
  <c r="AM16" i="13" s="1"/>
  <c r="AM50" i="13" a="1"/>
  <c r="AM50" i="13" s="1"/>
  <c r="AM41" i="13" a="1"/>
  <c r="AM41" i="13" s="1"/>
  <c r="AU27" i="13" s="1"/>
  <c r="AM31" i="13" a="1"/>
  <c r="AM31" i="13" s="1"/>
  <c r="AM18" i="13" a="1"/>
  <c r="AM18" i="13" s="1"/>
  <c r="AM53" i="13" a="1"/>
  <c r="AM53" i="13" s="1"/>
  <c r="AM32" i="13" a="1"/>
  <c r="AM32" i="13" s="1"/>
  <c r="AM19" i="13" a="1"/>
  <c r="AM19" i="13" s="1"/>
  <c r="AM38" i="13" a="1"/>
  <c r="AM38" i="13" s="1"/>
  <c r="AM33" i="13" a="1"/>
  <c r="AM33" i="13" s="1"/>
  <c r="AU26" i="13" s="1"/>
  <c r="AM20" i="13" a="1"/>
  <c r="AM20" i="13" s="1"/>
  <c r="AM98" i="13" a="1"/>
  <c r="AM98" i="13" s="1"/>
  <c r="AM46" i="13" a="1"/>
  <c r="AM46" i="13" s="1"/>
  <c r="AM40" i="13" a="1"/>
  <c r="AM40" i="13" s="1"/>
  <c r="AM21" i="13" a="1"/>
  <c r="AM21" i="13" s="1"/>
  <c r="AM34" i="13" a="1"/>
  <c r="AM34" i="13" s="1"/>
  <c r="AM64" i="13" a="1"/>
  <c r="AM64" i="13" s="1"/>
  <c r="AM42" i="13" a="1"/>
  <c r="AM42" i="13" s="1"/>
  <c r="AM65" i="13" a="1"/>
  <c r="AM65" i="13" s="1"/>
  <c r="AU30" i="13" s="1"/>
  <c r="AM58" i="13" a="1"/>
  <c r="AM58" i="13" s="1"/>
  <c r="AM43" i="13" a="1"/>
  <c r="AM43" i="13" s="1"/>
  <c r="AM39" i="13" a="1"/>
  <c r="AM39" i="13" s="1"/>
  <c r="AM63" i="13" a="1"/>
  <c r="AM63" i="13" s="1"/>
  <c r="AM23" i="13" a="1"/>
  <c r="AM23" i="13" s="1"/>
  <c r="AM99" i="13" a="1"/>
  <c r="AM99" i="13" s="1"/>
  <c r="AM24" i="13" a="1"/>
  <c r="AM24" i="13" s="1"/>
  <c r="AM59" i="13" a="1"/>
  <c r="AM59" i="13" s="1"/>
  <c r="AM56" i="13" a="1"/>
  <c r="AM56" i="13" s="1"/>
  <c r="AM25" i="13" a="1"/>
  <c r="AM25" i="13" s="1"/>
  <c r="AU25" i="13" s="1"/>
  <c r="AM17" i="13" a="1"/>
  <c r="AM17" i="13" s="1"/>
  <c r="AU24" i="13" s="1"/>
  <c r="AM14" i="13" a="1"/>
  <c r="AM14" i="13" s="1"/>
  <c r="AM26" i="13" a="1"/>
  <c r="AM26" i="13" s="1"/>
  <c r="AM22" i="13" a="1"/>
  <c r="AM22" i="13" s="1"/>
  <c r="AM57" i="13" a="1"/>
  <c r="AM57" i="13" s="1"/>
  <c r="AU29" i="13" s="1"/>
  <c r="AM60" i="13" a="1"/>
  <c r="AM60" i="13" s="1"/>
  <c r="AM54" i="13" a="1"/>
  <c r="AM54" i="13" s="1"/>
  <c r="AM51" i="13" a="1"/>
  <c r="AM51" i="13" s="1"/>
  <c r="AM28" i="13" a="1"/>
  <c r="AM28" i="13" s="1"/>
  <c r="AM11" i="13" a="1"/>
  <c r="AM11" i="13" s="1"/>
  <c r="AM13" i="13" a="1"/>
  <c r="AM13" i="13" s="1"/>
  <c r="AM52" i="13" a="1"/>
  <c r="AM52" i="13" s="1"/>
  <c r="AM48" i="13" a="1"/>
  <c r="AM48" i="13" s="1"/>
  <c r="AM15" i="13" a="1"/>
  <c r="AM15" i="13" s="1"/>
  <c r="AM12" i="13" a="1"/>
  <c r="AM12" i="13" s="1"/>
  <c r="AM45" i="13" a="1"/>
  <c r="AM45" i="13" s="1"/>
  <c r="AM37" i="13" a="1"/>
  <c r="AM37" i="13" s="1"/>
  <c r="AM10" i="13" a="1"/>
  <c r="AM10" i="13" s="1"/>
  <c r="AJ23" i="12"/>
  <c r="AK22" i="12" a="1"/>
  <c r="AK22" i="12" s="1"/>
  <c r="AL22" i="12" a="1"/>
  <c r="AL22" i="12" s="1"/>
  <c r="AO42" i="10" a="1"/>
  <c r="AO42" i="10" s="1"/>
  <c r="Y19" i="12"/>
  <c r="AL75" i="12" a="1"/>
  <c r="AL75" i="12" s="1"/>
  <c r="AN74" i="12" a="1"/>
  <c r="AN74" i="12" s="1"/>
  <c r="AL76" i="12" a="1"/>
  <c r="AL76" i="12" s="1"/>
  <c r="AL80" i="12" a="1"/>
  <c r="AL80" i="12" s="1"/>
  <c r="AL79" i="12" a="1"/>
  <c r="AL79" i="12" s="1"/>
  <c r="AK80" i="12" a="1"/>
  <c r="AK80" i="12" s="1"/>
  <c r="AL78" i="12" a="1"/>
  <c r="AL78" i="12" s="1"/>
  <c r="AL81" i="12" a="1"/>
  <c r="AL81" i="12" s="1"/>
  <c r="AN75" i="12" a="1"/>
  <c r="AN75" i="12" s="1"/>
  <c r="AM74" i="12" a="1"/>
  <c r="AM74" i="12" s="1"/>
  <c r="AN80" i="12" a="1"/>
  <c r="AN80" i="12" s="1"/>
  <c r="AK74" i="12" a="1"/>
  <c r="AK74" i="12" s="1"/>
  <c r="AL74" i="12" a="1"/>
  <c r="AL74" i="12" s="1"/>
  <c r="AL77" i="12" a="1"/>
  <c r="AL77" i="12" s="1"/>
  <c r="AN42" i="10" a="1"/>
  <c r="AN42" i="10" s="1"/>
  <c r="AO47" i="10" a="1"/>
  <c r="AO47" i="10" s="1"/>
  <c r="AO46" i="10" a="1"/>
  <c r="AO46" i="10" s="1"/>
  <c r="AP79" i="12" a="1"/>
  <c r="AP79" i="12" s="1"/>
  <c r="AP50" i="13" a="1"/>
  <c r="AP50" i="13" s="1"/>
  <c r="AO45" i="10" a="1"/>
  <c r="AO45" i="10" s="1"/>
  <c r="AM12" i="10" a="1"/>
  <c r="AM12" i="10" s="1"/>
  <c r="AL50" i="13" a="1"/>
  <c r="AL50" i="13" s="1"/>
  <c r="AN47" i="10" a="1"/>
  <c r="AN47" i="10" s="1"/>
  <c r="AN50" i="13" a="1"/>
  <c r="AN50" i="13" s="1"/>
  <c r="AO51" i="13" a="1"/>
  <c r="AO51" i="13" s="1"/>
  <c r="AO53" i="13" a="1"/>
  <c r="AO53" i="13" s="1"/>
  <c r="AJ13" i="12"/>
  <c r="AO12" i="12" a="1"/>
  <c r="AO12" i="12" s="1"/>
  <c r="AL12" i="12" a="1"/>
  <c r="AL12" i="12" s="1"/>
  <c r="AP53" i="13" a="1"/>
  <c r="AP53" i="13" s="1"/>
  <c r="AN48" i="10" a="1"/>
  <c r="AN48" i="10" s="1"/>
  <c r="AO50" i="13" a="1"/>
  <c r="AO50" i="13" s="1"/>
  <c r="AL57" i="13" a="1"/>
  <c r="AL57" i="13" s="1"/>
  <c r="AT29" i="13" s="1"/>
  <c r="H5" i="10"/>
  <c r="O5" i="10" s="1"/>
  <c r="G5" i="10"/>
  <c r="N5" i="10" s="1"/>
  <c r="F5" i="10"/>
  <c r="M5" i="10" s="1"/>
  <c r="E5" i="10"/>
  <c r="L5" i="10" s="1"/>
  <c r="B4" i="10"/>
  <c r="D5" i="10"/>
  <c r="K5" i="10" s="1"/>
  <c r="C5" i="10"/>
  <c r="J5" i="10" s="1"/>
  <c r="AO56" i="13" a="1"/>
  <c r="AO56" i="13" s="1"/>
  <c r="AP51" i="13" a="1"/>
  <c r="AP51" i="13" s="1"/>
  <c r="AP52" i="13" a="1"/>
  <c r="AP52" i="13" s="1"/>
  <c r="AJ16" i="8"/>
  <c r="C6" i="8"/>
  <c r="J6" i="8" s="1"/>
  <c r="H6" i="8"/>
  <c r="O6" i="8" s="1"/>
  <c r="G6" i="8"/>
  <c r="N6" i="8" s="1"/>
  <c r="F6" i="8"/>
  <c r="M6" i="8" s="1"/>
  <c r="E6" i="8"/>
  <c r="L6" i="8" s="1"/>
  <c r="D6" i="8"/>
  <c r="K6" i="8" s="1"/>
  <c r="B5" i="8"/>
  <c r="AL110" i="8" a="1"/>
  <c r="AL110" i="8" s="1"/>
  <c r="AL102" i="8" a="1"/>
  <c r="AL102" i="8" s="1"/>
  <c r="AL113" i="8" a="1"/>
  <c r="AL113" i="8" s="1"/>
  <c r="AL105" i="8" a="1"/>
  <c r="AL105" i="8" s="1"/>
  <c r="AL108" i="8" a="1"/>
  <c r="AL108" i="8" s="1"/>
  <c r="AL111" i="8" a="1"/>
  <c r="AL111" i="8" s="1"/>
  <c r="AL103" i="8" a="1"/>
  <c r="AL103" i="8" s="1"/>
  <c r="AL106" i="8" a="1"/>
  <c r="AL106" i="8" s="1"/>
  <c r="AL98" i="8" a="1"/>
  <c r="AL98" i="8" s="1"/>
  <c r="AL90" i="8" a="1"/>
  <c r="AL90" i="8" s="1"/>
  <c r="AL86" i="8" a="1"/>
  <c r="AL86" i="8" s="1"/>
  <c r="AL57" i="8" a="1"/>
  <c r="AL57" i="8" s="1"/>
  <c r="AL112" i="8" a="1"/>
  <c r="AL112" i="8" s="1"/>
  <c r="AL94" i="8" a="1"/>
  <c r="AL94" i="8" s="1"/>
  <c r="AL69" i="8" a="1"/>
  <c r="AL69" i="8" s="1"/>
  <c r="AL60" i="8" a="1"/>
  <c r="AL60" i="8" s="1"/>
  <c r="AL107" i="8" a="1"/>
  <c r="AL107" i="8" s="1"/>
  <c r="AL77" i="8" a="1"/>
  <c r="AL77" i="8" s="1"/>
  <c r="AL35" i="8" a="1"/>
  <c r="AL35" i="8" s="1"/>
  <c r="AL85" i="8" a="1"/>
  <c r="AL85" i="8" s="1"/>
  <c r="AL73" i="8" a="1"/>
  <c r="AL73" i="8" s="1"/>
  <c r="AL63" i="8" a="1"/>
  <c r="AL63" i="8" s="1"/>
  <c r="AL93" i="8" a="1"/>
  <c r="AL93" i="8" s="1"/>
  <c r="AL33" i="8" a="1"/>
  <c r="AL33" i="8" s="1"/>
  <c r="AL72" i="8" a="1"/>
  <c r="AL72" i="8" s="1"/>
  <c r="AL68" i="8" a="1"/>
  <c r="AL68" i="8" s="1"/>
  <c r="AL66" i="8" a="1"/>
  <c r="AL66" i="8" s="1"/>
  <c r="AL58" i="8" a="1"/>
  <c r="AL58" i="8" s="1"/>
  <c r="AL99" i="8" a="1"/>
  <c r="AL99" i="8" s="1"/>
  <c r="AL80" i="8" a="1"/>
  <c r="AL80" i="8" s="1"/>
  <c r="AL76" i="8" a="1"/>
  <c r="AL76" i="8" s="1"/>
  <c r="AL31" i="8" a="1"/>
  <c r="AL31" i="8" s="1"/>
  <c r="AL88" i="8" a="1"/>
  <c r="AL88" i="8" s="1"/>
  <c r="AL84" i="8" a="1"/>
  <c r="AL84" i="8" s="1"/>
  <c r="AL61" i="8" a="1"/>
  <c r="AL61" i="8" s="1"/>
  <c r="AL101" i="8" a="1"/>
  <c r="AL101" i="8" s="1"/>
  <c r="AL100" i="8" a="1"/>
  <c r="AL100" i="8" s="1"/>
  <c r="AL97" i="8" a="1"/>
  <c r="AL97" i="8" s="1"/>
  <c r="AL96" i="8" a="1"/>
  <c r="AL96" i="8" s="1"/>
  <c r="AL92" i="8" a="1"/>
  <c r="AL92" i="8" s="1"/>
  <c r="AL75" i="8" a="1"/>
  <c r="AL75" i="8" s="1"/>
  <c r="AL83" i="8" a="1"/>
  <c r="AL83" i="8" s="1"/>
  <c r="AL71" i="8" a="1"/>
  <c r="AL71" i="8" s="1"/>
  <c r="AL64" i="8" a="1"/>
  <c r="AL64" i="8" s="1"/>
  <c r="AL56" i="8" a="1"/>
  <c r="AL56" i="8" s="1"/>
  <c r="AL48" i="8" a="1"/>
  <c r="AL48" i="8" s="1"/>
  <c r="AL87" i="8" a="1"/>
  <c r="AL87" i="8" s="1"/>
  <c r="AL67" i="8" a="1"/>
  <c r="AL67" i="8" s="1"/>
  <c r="AL59" i="8" a="1"/>
  <c r="AL59" i="8" s="1"/>
  <c r="AL53" i="8" a="1"/>
  <c r="AL53" i="8" s="1"/>
  <c r="AL20" i="8" a="1"/>
  <c r="AL20" i="8" s="1"/>
  <c r="AL46" i="8" a="1"/>
  <c r="AL46" i="8" s="1"/>
  <c r="AL45" i="8" a="1"/>
  <c r="AL45" i="8" s="1"/>
  <c r="AL41" i="8" a="1"/>
  <c r="AL41" i="8" s="1"/>
  <c r="AL30" i="8" a="1"/>
  <c r="AL30" i="8" s="1"/>
  <c r="AL95" i="8" a="1"/>
  <c r="AL95" i="8" s="1"/>
  <c r="AL52" i="8" a="1"/>
  <c r="AL52" i="8" s="1"/>
  <c r="AL51" i="8" a="1"/>
  <c r="AL51" i="8" s="1"/>
  <c r="AL29" i="8" a="1"/>
  <c r="AL29" i="8" s="1"/>
  <c r="AL21" i="8" a="1"/>
  <c r="AL21" i="8" s="1"/>
  <c r="AL54" i="8" a="1"/>
  <c r="AL54" i="8" s="1"/>
  <c r="AL40" i="8" a="1"/>
  <c r="AL40" i="8" s="1"/>
  <c r="AL36" i="8" a="1"/>
  <c r="AL36" i="8" s="1"/>
  <c r="AL28" i="8" a="1"/>
  <c r="AL28" i="8" s="1"/>
  <c r="AL91" i="8" a="1"/>
  <c r="AL91" i="8" s="1"/>
  <c r="AL50" i="8" a="1"/>
  <c r="AL50" i="8" s="1"/>
  <c r="AL34" i="8" a="1"/>
  <c r="AL34" i="8" s="1"/>
  <c r="AL27" i="8" a="1"/>
  <c r="AL27" i="8" s="1"/>
  <c r="AL82" i="8" a="1"/>
  <c r="AL82" i="8" s="1"/>
  <c r="AL44" i="8" a="1"/>
  <c r="AL44" i="8" s="1"/>
  <c r="AL26" i="8" a="1"/>
  <c r="AL26" i="8" s="1"/>
  <c r="AL22" i="8" a="1"/>
  <c r="AL22" i="8" s="1"/>
  <c r="AL25" i="8" a="1"/>
  <c r="AL25" i="8" s="1"/>
  <c r="AL12" i="8" a="1"/>
  <c r="AL12" i="8" s="1"/>
  <c r="AL62" i="8" a="1"/>
  <c r="AL62" i="8" s="1"/>
  <c r="AL39" i="8" a="1"/>
  <c r="AL39" i="8" s="1"/>
  <c r="AL24" i="8" a="1"/>
  <c r="AL24" i="8" s="1"/>
  <c r="AL13" i="8" a="1"/>
  <c r="AL13" i="8" s="1"/>
  <c r="AL104" i="8" a="1"/>
  <c r="AL104" i="8" s="1"/>
  <c r="AL49" i="8" a="1"/>
  <c r="AL49" i="8" s="1"/>
  <c r="AL32" i="8" a="1"/>
  <c r="AL32" i="8" s="1"/>
  <c r="AL23" i="8" a="1"/>
  <c r="AL23" i="8" s="1"/>
  <c r="AL74" i="8" a="1"/>
  <c r="AL74" i="8" s="1"/>
  <c r="AL43" i="8" a="1"/>
  <c r="AL43" i="8" s="1"/>
  <c r="AL15" i="8" a="1"/>
  <c r="AL15" i="8" s="1"/>
  <c r="AL79" i="8" a="1"/>
  <c r="AL79" i="8" s="1"/>
  <c r="AL38" i="8" a="1"/>
  <c r="AL38" i="8" s="1"/>
  <c r="AL37" i="8" a="1"/>
  <c r="AL37" i="8" s="1"/>
  <c r="AL19" i="8" a="1"/>
  <c r="AL19" i="8" s="1"/>
  <c r="AL42" i="8" a="1"/>
  <c r="AL42" i="8" s="1"/>
  <c r="AL10" i="8" a="1"/>
  <c r="AL10" i="8" s="1"/>
  <c r="AL16" i="8" a="1"/>
  <c r="AL16" i="8" s="1"/>
  <c r="AL47" i="8" a="1"/>
  <c r="AL47" i="8" s="1"/>
  <c r="AL11" i="8" a="1"/>
  <c r="AL11" i="8" s="1"/>
  <c r="AL70" i="8" a="1"/>
  <c r="AL70" i="8" s="1"/>
  <c r="AL18" i="8" a="1"/>
  <c r="AL18" i="8" s="1"/>
  <c r="AK113" i="8" a="1"/>
  <c r="AK113" i="8" s="1"/>
  <c r="AK106" i="8" a="1"/>
  <c r="AK106" i="8" s="1"/>
  <c r="AK109" i="8" a="1"/>
  <c r="AK109" i="8" s="1"/>
  <c r="AK74" i="8" a="1"/>
  <c r="AK74" i="8" s="1"/>
  <c r="AK86" i="8" a="1"/>
  <c r="AK86" i="8" s="1"/>
  <c r="AK77" i="8" a="1"/>
  <c r="AK77" i="8" s="1"/>
  <c r="AK60" i="8" a="1"/>
  <c r="AK60" i="8" s="1"/>
  <c r="AK85" i="8" a="1"/>
  <c r="AK85" i="8" s="1"/>
  <c r="AK72" i="8" a="1"/>
  <c r="AK72" i="8" s="1"/>
  <c r="AK66" i="8" a="1"/>
  <c r="AK66" i="8" s="1"/>
  <c r="AK88" i="8" a="1"/>
  <c r="AK88" i="8" s="1"/>
  <c r="AK84" i="8" a="1"/>
  <c r="AK84" i="8" s="1"/>
  <c r="AK79" i="8" a="1"/>
  <c r="AK79" i="8" s="1"/>
  <c r="AK18" i="8" a="1"/>
  <c r="AK18" i="8" s="1"/>
  <c r="AK37" i="8" a="1"/>
  <c r="AK37" i="8" s="1"/>
  <c r="AK19" i="8" a="1"/>
  <c r="AK19" i="8" s="1"/>
  <c r="AK30" i="8" a="1"/>
  <c r="AK30" i="8" s="1"/>
  <c r="AK91" i="8" a="1"/>
  <c r="AK91" i="8" s="1"/>
  <c r="AK67" i="8" a="1"/>
  <c r="AK67" i="8" s="1"/>
  <c r="AK50" i="8" a="1"/>
  <c r="AK50" i="8" s="1"/>
  <c r="AK26" i="8" a="1"/>
  <c r="AK26" i="8" s="1"/>
  <c r="AK39" i="8" a="1"/>
  <c r="AK39" i="8" s="1"/>
  <c r="AK32" i="8" a="1"/>
  <c r="AK32" i="8" s="1"/>
  <c r="AK24" i="8" a="1"/>
  <c r="AK24" i="8" s="1"/>
  <c r="AK13" i="8" a="1"/>
  <c r="AK13" i="8" s="1"/>
  <c r="AK43" i="8" a="1"/>
  <c r="AK43" i="8" s="1"/>
  <c r="AK11" i="8" a="1"/>
  <c r="AK11" i="8" s="1"/>
  <c r="H4" i="9"/>
  <c r="O4" i="9" s="1"/>
  <c r="G4" i="9"/>
  <c r="N4" i="9" s="1"/>
  <c r="F4" i="9"/>
  <c r="M4" i="9" s="1"/>
  <c r="C4" i="9"/>
  <c r="J4" i="9" s="1"/>
  <c r="E4" i="9"/>
  <c r="L4" i="9" s="1"/>
  <c r="D4" i="9"/>
  <c r="K4" i="9" s="1"/>
  <c r="Y17" i="9"/>
  <c r="AN61" i="9" a="1"/>
  <c r="AN61" i="9" s="1"/>
  <c r="AN59" i="9" a="1"/>
  <c r="AN59" i="9" s="1"/>
  <c r="AN62" i="9" a="1"/>
  <c r="AN62" i="9" s="1"/>
  <c r="AN60" i="9" a="1"/>
  <c r="AN60" i="9" s="1"/>
  <c r="AN64" i="9" a="1"/>
  <c r="AN64" i="9" s="1"/>
  <c r="AM61" i="9" a="1"/>
  <c r="AM61" i="9" s="1"/>
  <c r="AN58" i="9" a="1"/>
  <c r="AN58" i="9" s="1"/>
  <c r="AM62" i="9" a="1"/>
  <c r="AM62" i="9" s="1"/>
  <c r="AN65" i="9" a="1"/>
  <c r="AN65" i="9" s="1"/>
  <c r="AN63" i="9" a="1"/>
  <c r="AN63" i="9" s="1"/>
  <c r="AM65" i="9" a="1"/>
  <c r="AM65" i="9" s="1"/>
  <c r="AM113" i="8" a="1"/>
  <c r="AM113" i="8" s="1"/>
  <c r="AM105" i="8" a="1"/>
  <c r="AM105" i="8" s="1"/>
  <c r="AM97" i="8" a="1"/>
  <c r="AM97" i="8" s="1"/>
  <c r="AM108" i="8" a="1"/>
  <c r="AM108" i="8" s="1"/>
  <c r="AM100" i="8" a="1"/>
  <c r="AM100" i="8" s="1"/>
  <c r="AM111" i="8" a="1"/>
  <c r="AM111" i="8" s="1"/>
  <c r="AM106" i="8" a="1"/>
  <c r="AM106" i="8" s="1"/>
  <c r="AM98" i="8" a="1"/>
  <c r="AM98" i="8" s="1"/>
  <c r="AM109" i="8" a="1"/>
  <c r="AM109" i="8" s="1"/>
  <c r="AM101" i="8" a="1"/>
  <c r="AM101" i="8" s="1"/>
  <c r="AM112" i="8" a="1"/>
  <c r="AM112" i="8" s="1"/>
  <c r="AM94" i="8" a="1"/>
  <c r="AM94" i="8" s="1"/>
  <c r="AM69" i="8" a="1"/>
  <c r="AM69" i="8" s="1"/>
  <c r="AM60" i="8" a="1"/>
  <c r="AM60" i="8" s="1"/>
  <c r="AM77" i="8" a="1"/>
  <c r="AM77" i="8" s="1"/>
  <c r="AM35" i="8" a="1"/>
  <c r="AM35" i="8" s="1"/>
  <c r="AM107" i="8" a="1"/>
  <c r="AM107" i="8" s="1"/>
  <c r="AM85" i="8" a="1"/>
  <c r="AM85" i="8" s="1"/>
  <c r="AM73" i="8" a="1"/>
  <c r="AM73" i="8" s="1"/>
  <c r="AM63" i="8" a="1"/>
  <c r="AM63" i="8" s="1"/>
  <c r="AM93" i="8" a="1"/>
  <c r="AM93" i="8" s="1"/>
  <c r="AM81" i="8" a="1"/>
  <c r="AM81" i="8" s="1"/>
  <c r="AM33" i="8" a="1"/>
  <c r="AM33" i="8" s="1"/>
  <c r="AM89" i="8" a="1"/>
  <c r="AM89" i="8" s="1"/>
  <c r="AM66" i="8" a="1"/>
  <c r="AM66" i="8" s="1"/>
  <c r="AM58" i="8" a="1"/>
  <c r="AM58" i="8" s="1"/>
  <c r="AM72" i="8" a="1"/>
  <c r="AM72" i="8" s="1"/>
  <c r="AM68" i="8" a="1"/>
  <c r="AM68" i="8" s="1"/>
  <c r="AM31" i="8" a="1"/>
  <c r="AM31" i="8" s="1"/>
  <c r="AM99" i="8" a="1"/>
  <c r="AM99" i="8" s="1"/>
  <c r="AM80" i="8" a="1"/>
  <c r="AM80" i="8" s="1"/>
  <c r="AM76" i="8" a="1"/>
  <c r="AM76" i="8" s="1"/>
  <c r="AM61" i="8" a="1"/>
  <c r="AM61" i="8" s="1"/>
  <c r="AM53" i="8" a="1"/>
  <c r="AM53" i="8" s="1"/>
  <c r="AM110" i="8" a="1"/>
  <c r="AM110" i="8" s="1"/>
  <c r="AM88" i="8" a="1"/>
  <c r="AM88" i="8" s="1"/>
  <c r="AM84" i="8" a="1"/>
  <c r="AM84" i="8" s="1"/>
  <c r="AM96" i="8" a="1"/>
  <c r="AM96" i="8" s="1"/>
  <c r="AM92" i="8" a="1"/>
  <c r="AM92" i="8" s="1"/>
  <c r="AM75" i="8" a="1"/>
  <c r="AM75" i="8" s="1"/>
  <c r="AM64" i="8" a="1"/>
  <c r="AM64" i="8" s="1"/>
  <c r="AM83" i="8" a="1"/>
  <c r="AM83" i="8" s="1"/>
  <c r="AM71" i="8" a="1"/>
  <c r="AM71" i="8" s="1"/>
  <c r="AM91" i="8" a="1"/>
  <c r="AM91" i="8" s="1"/>
  <c r="AM79" i="8" a="1"/>
  <c r="AM79" i="8" s="1"/>
  <c r="AM67" i="8" a="1"/>
  <c r="AM67" i="8" s="1"/>
  <c r="AM59" i="8" a="1"/>
  <c r="AM59" i="8" s="1"/>
  <c r="AM51" i="8" a="1"/>
  <c r="AM51" i="8" s="1"/>
  <c r="AM104" i="8" a="1"/>
  <c r="AM104" i="8" s="1"/>
  <c r="AM103" i="8" a="1"/>
  <c r="AM103" i="8" s="1"/>
  <c r="AM95" i="8" a="1"/>
  <c r="AM95" i="8" s="1"/>
  <c r="AM74" i="8" a="1"/>
  <c r="AM74" i="8" s="1"/>
  <c r="AM70" i="8" a="1"/>
  <c r="AM70" i="8" s="1"/>
  <c r="AM62" i="8" a="1"/>
  <c r="AM62" i="8" s="1"/>
  <c r="AM54" i="8" a="1"/>
  <c r="AM54" i="8" s="1"/>
  <c r="AM57" i="8" a="1"/>
  <c r="AM57" i="8" s="1"/>
  <c r="AM46" i="8" a="1"/>
  <c r="AM46" i="8" s="1"/>
  <c r="AM90" i="8" a="1"/>
  <c r="AM90" i="8" s="1"/>
  <c r="AM45" i="8" a="1"/>
  <c r="AM45" i="8" s="1"/>
  <c r="AM30" i="8" a="1"/>
  <c r="AM30" i="8" s="1"/>
  <c r="AM41" i="8" a="1"/>
  <c r="AM41" i="8" s="1"/>
  <c r="AM29" i="8" a="1"/>
  <c r="AM29" i="8" s="1"/>
  <c r="AM21" i="8" a="1"/>
  <c r="AM21" i="8" s="1"/>
  <c r="AM52" i="8" a="1"/>
  <c r="AM52" i="8" s="1"/>
  <c r="AM40" i="8" a="1"/>
  <c r="AM40" i="8" s="1"/>
  <c r="AM28" i="8" a="1"/>
  <c r="AM28" i="8" s="1"/>
  <c r="AM36" i="8" a="1"/>
  <c r="AM36" i="8" s="1"/>
  <c r="AM27" i="8" a="1"/>
  <c r="AM27" i="8" s="1"/>
  <c r="AM86" i="8" a="1"/>
  <c r="AM86" i="8" s="1"/>
  <c r="AM50" i="8" a="1"/>
  <c r="AM50" i="8" s="1"/>
  <c r="AM34" i="8" a="1"/>
  <c r="AM34" i="8" s="1"/>
  <c r="AM26" i="8" a="1"/>
  <c r="AM26" i="8" s="1"/>
  <c r="AM22" i="8" a="1"/>
  <c r="AM22" i="8" s="1"/>
  <c r="AM11" i="8" a="1"/>
  <c r="AM11" i="8" s="1"/>
  <c r="AM82" i="8" a="1"/>
  <c r="AM82" i="8" s="1"/>
  <c r="AM55" i="8" a="1"/>
  <c r="AM55" i="8" s="1"/>
  <c r="AM44" i="8" a="1"/>
  <c r="AM44" i="8" s="1"/>
  <c r="AM25" i="8" a="1"/>
  <c r="AM25" i="8" s="1"/>
  <c r="AM24" i="8" a="1"/>
  <c r="AM24" i="8" s="1"/>
  <c r="AM56" i="8" a="1"/>
  <c r="AM56" i="8" s="1"/>
  <c r="AM39" i="8" a="1"/>
  <c r="AM39" i="8" s="1"/>
  <c r="AM23" i="8" a="1"/>
  <c r="AM23" i="8" s="1"/>
  <c r="AM14" i="8" a="1"/>
  <c r="AM14" i="8" s="1"/>
  <c r="AM78" i="8" a="1"/>
  <c r="AM78" i="8" s="1"/>
  <c r="AM49" i="8" a="1"/>
  <c r="AM49" i="8" s="1"/>
  <c r="AM43" i="8" a="1"/>
  <c r="AM43" i="8" s="1"/>
  <c r="AM32" i="8" a="1"/>
  <c r="AM32" i="8" s="1"/>
  <c r="AM15" i="8" a="1"/>
  <c r="AM15" i="8" s="1"/>
  <c r="AM87" i="8" a="1"/>
  <c r="AM87" i="8" s="1"/>
  <c r="AM48" i="8" a="1"/>
  <c r="AM48" i="8" s="1"/>
  <c r="AM102" i="8" a="1"/>
  <c r="AM102" i="8" s="1"/>
  <c r="AM20" i="8" a="1"/>
  <c r="AM20" i="8" s="1"/>
  <c r="AM42" i="8" a="1"/>
  <c r="AM42" i="8" s="1"/>
  <c r="AM13" i="8" a="1"/>
  <c r="AM13" i="8" s="1"/>
  <c r="AM37" i="8" a="1"/>
  <c r="AM37" i="8" s="1"/>
  <c r="AM65" i="8" a="1"/>
  <c r="AM65" i="8" s="1"/>
  <c r="AM38" i="8" a="1"/>
  <c r="AM38" i="8" s="1"/>
  <c r="AM10" i="8" a="1"/>
  <c r="AM10" i="8" s="1"/>
  <c r="AM16" i="8" a="1"/>
  <c r="AM16" i="8" s="1"/>
  <c r="AM18" i="8" a="1"/>
  <c r="AM18" i="8" s="1"/>
  <c r="AM47" i="8" a="1"/>
  <c r="AM47" i="8" s="1"/>
  <c r="AM12" i="8" a="1"/>
  <c r="AM12" i="8" s="1"/>
  <c r="AM19" i="8" a="1"/>
  <c r="AM19" i="8" s="1"/>
  <c r="AJ13" i="9"/>
  <c r="AN12" i="9" a="1"/>
  <c r="AN12" i="9" s="1"/>
  <c r="AN108" i="8" a="1"/>
  <c r="AN108" i="8" s="1"/>
  <c r="AN100" i="8" a="1"/>
  <c r="AN100" i="8" s="1"/>
  <c r="AN111" i="8" a="1"/>
  <c r="AN111" i="8" s="1"/>
  <c r="AN103" i="8" a="1"/>
  <c r="AN103" i="8" s="1"/>
  <c r="AN106" i="8" a="1"/>
  <c r="AN106" i="8" s="1"/>
  <c r="AN109" i="8" a="1"/>
  <c r="AN109" i="8" s="1"/>
  <c r="AN101" i="8" a="1"/>
  <c r="AN101" i="8" s="1"/>
  <c r="AN112" i="8" a="1"/>
  <c r="AN112" i="8" s="1"/>
  <c r="AN104" i="8" a="1"/>
  <c r="AN104" i="8" s="1"/>
  <c r="AN107" i="8" a="1"/>
  <c r="AN107" i="8" s="1"/>
  <c r="AN69" i="8" a="1"/>
  <c r="AN69" i="8" s="1"/>
  <c r="AN35" i="8" a="1"/>
  <c r="AN35" i="8" s="1"/>
  <c r="AN77" i="8" a="1"/>
  <c r="AN77" i="8" s="1"/>
  <c r="AN73" i="8" a="1"/>
  <c r="AN73" i="8" s="1"/>
  <c r="AN63" i="8" a="1"/>
  <c r="AN63" i="8" s="1"/>
  <c r="AN55" i="8" a="1"/>
  <c r="AN55" i="8" s="1"/>
  <c r="AN85" i="8" a="1"/>
  <c r="AN85" i="8" s="1"/>
  <c r="AN81" i="8" a="1"/>
  <c r="AN81" i="8" s="1"/>
  <c r="AN33" i="8" a="1"/>
  <c r="AN33" i="8" s="1"/>
  <c r="AN93" i="8" a="1"/>
  <c r="AN93" i="8" s="1"/>
  <c r="AN89" i="8" a="1"/>
  <c r="AN89" i="8" s="1"/>
  <c r="AN66" i="8" a="1"/>
  <c r="AN66" i="8" s="1"/>
  <c r="AN58" i="8" a="1"/>
  <c r="AN58" i="8" s="1"/>
  <c r="AN72" i="8" a="1"/>
  <c r="AN72" i="8" s="1"/>
  <c r="AN68" i="8" a="1"/>
  <c r="AN68" i="8" s="1"/>
  <c r="AN31" i="8" a="1"/>
  <c r="AN31" i="8" s="1"/>
  <c r="AN98" i="8" a="1"/>
  <c r="AN98" i="8" s="1"/>
  <c r="AN80" i="8" a="1"/>
  <c r="AN80" i="8" s="1"/>
  <c r="AN76" i="8" a="1"/>
  <c r="AN76" i="8" s="1"/>
  <c r="AN61" i="8" a="1"/>
  <c r="AN61" i="8" s="1"/>
  <c r="AN53" i="8" a="1"/>
  <c r="AN53" i="8" s="1"/>
  <c r="AN99" i="8" a="1"/>
  <c r="AN99" i="8" s="1"/>
  <c r="AN88" i="8" a="1"/>
  <c r="AN88" i="8" s="1"/>
  <c r="AN84" i="8" a="1"/>
  <c r="AN84" i="8" s="1"/>
  <c r="AN110" i="8" a="1"/>
  <c r="AN110" i="8" s="1"/>
  <c r="AN97" i="8" a="1"/>
  <c r="AN97" i="8" s="1"/>
  <c r="AN96" i="8" a="1"/>
  <c r="AN96" i="8" s="1"/>
  <c r="AN92" i="8" a="1"/>
  <c r="AN92" i="8" s="1"/>
  <c r="AN64" i="8" a="1"/>
  <c r="AN64" i="8" s="1"/>
  <c r="AN56" i="8" a="1"/>
  <c r="AN56" i="8" s="1"/>
  <c r="AN75" i="8" a="1"/>
  <c r="AN75" i="8" s="1"/>
  <c r="AN83" i="8" a="1"/>
  <c r="AN83" i="8" s="1"/>
  <c r="AN71" i="8" a="1"/>
  <c r="AN71" i="8" s="1"/>
  <c r="AN67" i="8" a="1"/>
  <c r="AN67" i="8" s="1"/>
  <c r="AN113" i="8" a="1"/>
  <c r="AN113" i="8" s="1"/>
  <c r="AN91" i="8" a="1"/>
  <c r="AN91" i="8" s="1"/>
  <c r="AN79" i="8" a="1"/>
  <c r="AN79" i="8" s="1"/>
  <c r="AN102" i="8" a="1"/>
  <c r="AN102" i="8" s="1"/>
  <c r="AN87" i="8" a="1"/>
  <c r="AN87" i="8" s="1"/>
  <c r="AN62" i="8" a="1"/>
  <c r="AN62" i="8" s="1"/>
  <c r="AN54" i="8" a="1"/>
  <c r="AN54" i="8" s="1"/>
  <c r="AN46" i="8" a="1"/>
  <c r="AN46" i="8" s="1"/>
  <c r="AN82" i="8" a="1"/>
  <c r="AN82" i="8" s="1"/>
  <c r="AN78" i="8" a="1"/>
  <c r="AN78" i="8" s="1"/>
  <c r="AN65" i="8" a="1"/>
  <c r="AN65" i="8" s="1"/>
  <c r="AN57" i="8" a="1"/>
  <c r="AN57" i="8" s="1"/>
  <c r="AN90" i="8" a="1"/>
  <c r="AN90" i="8" s="1"/>
  <c r="AN45" i="8" a="1"/>
  <c r="AN45" i="8" s="1"/>
  <c r="AN41" i="8" a="1"/>
  <c r="AN41" i="8" s="1"/>
  <c r="AN29" i="8" a="1"/>
  <c r="AN29" i="8" s="1"/>
  <c r="AN21" i="8" a="1"/>
  <c r="AN21" i="8" s="1"/>
  <c r="AN51" i="8" a="1"/>
  <c r="AN51" i="8" s="1"/>
  <c r="AN28" i="8" a="1"/>
  <c r="AN28" i="8" s="1"/>
  <c r="AN105" i="8" a="1"/>
  <c r="AN105" i="8" s="1"/>
  <c r="AN52" i="8" a="1"/>
  <c r="AN52" i="8" s="1"/>
  <c r="AN40" i="8" a="1"/>
  <c r="AN40" i="8" s="1"/>
  <c r="AN27" i="8" a="1"/>
  <c r="AN27" i="8" s="1"/>
  <c r="AN95" i="8" a="1"/>
  <c r="AN95" i="8" s="1"/>
  <c r="AN36" i="8" a="1"/>
  <c r="AN36" i="8" s="1"/>
  <c r="AN26" i="8" a="1"/>
  <c r="AN26" i="8" s="1"/>
  <c r="AN22" i="8" a="1"/>
  <c r="AN22" i="8" s="1"/>
  <c r="AN86" i="8" a="1"/>
  <c r="AN86" i="8" s="1"/>
  <c r="AN50" i="8" a="1"/>
  <c r="AN50" i="8" s="1"/>
  <c r="AN34" i="8" a="1"/>
  <c r="AN34" i="8" s="1"/>
  <c r="AN25" i="8" a="1"/>
  <c r="AN25" i="8" s="1"/>
  <c r="AN12" i="8" a="1"/>
  <c r="AN12" i="8" s="1"/>
  <c r="AN44" i="8" a="1"/>
  <c r="AN44" i="8" s="1"/>
  <c r="AN24" i="8" a="1"/>
  <c r="AN24" i="8" s="1"/>
  <c r="AN13" i="8" a="1"/>
  <c r="AN13" i="8" s="1"/>
  <c r="AN59" i="8" a="1"/>
  <c r="AN59" i="8" s="1"/>
  <c r="AN23" i="8" a="1"/>
  <c r="AN23" i="8" s="1"/>
  <c r="AN14" i="8" a="1"/>
  <c r="AN14" i="8" s="1"/>
  <c r="AN49" i="8" a="1"/>
  <c r="AN49" i="8" s="1"/>
  <c r="AN43" i="8" a="1"/>
  <c r="AN43" i="8" s="1"/>
  <c r="AN39" i="8" a="1"/>
  <c r="AN39" i="8" s="1"/>
  <c r="AN32" i="8" a="1"/>
  <c r="AN32" i="8" s="1"/>
  <c r="AN16" i="8" a="1"/>
  <c r="AN16" i="8" s="1"/>
  <c r="AN48" i="8" a="1"/>
  <c r="AN48" i="8" s="1"/>
  <c r="AN74" i="8" a="1"/>
  <c r="AN74" i="8" s="1"/>
  <c r="AN18" i="8" a="1"/>
  <c r="AN18" i="8" s="1"/>
  <c r="AN42" i="8" a="1"/>
  <c r="AN42" i="8" s="1"/>
  <c r="AN38" i="8" a="1"/>
  <c r="AN38" i="8" s="1"/>
  <c r="AN19" i="8" a="1"/>
  <c r="AN19" i="8" s="1"/>
  <c r="AN30" i="8" a="1"/>
  <c r="AN30" i="8" s="1"/>
  <c r="AN10" i="8" a="1"/>
  <c r="AN10" i="8" s="1"/>
  <c r="AN37" i="8" a="1"/>
  <c r="AN37" i="8" s="1"/>
  <c r="AN60" i="8" a="1"/>
  <c r="AN60" i="8" s="1"/>
  <c r="AN47" i="8" a="1"/>
  <c r="AN47" i="8" s="1"/>
  <c r="AN20" i="8" a="1"/>
  <c r="AN20" i="8" s="1"/>
  <c r="AN94" i="8" a="1"/>
  <c r="AN94" i="8" s="1"/>
  <c r="AN15" i="8" a="1"/>
  <c r="AN15" i="8" s="1"/>
  <c r="AN11" i="8" a="1"/>
  <c r="AN11" i="8" s="1"/>
  <c r="AN70" i="8" a="1"/>
  <c r="AN70" i="8" s="1"/>
  <c r="AP15" i="8" a="1"/>
  <c r="AP15" i="8" s="1"/>
  <c r="AK110" i="6" a="1"/>
  <c r="AK110" i="6" s="1"/>
  <c r="AK103" i="6" a="1"/>
  <c r="AK103" i="6" s="1"/>
  <c r="AK80" i="6" a="1"/>
  <c r="AK80" i="6" s="1"/>
  <c r="AK73" i="6" a="1"/>
  <c r="AK73" i="6" s="1"/>
  <c r="AS31" i="6" s="1"/>
  <c r="C24" i="5" s="1"/>
  <c r="AK65" i="6" a="1"/>
  <c r="AK65" i="6" s="1"/>
  <c r="AS30" i="6" s="1"/>
  <c r="C23" i="5" s="1"/>
  <c r="AK36" i="6" a="1"/>
  <c r="AK36" i="6" s="1"/>
  <c r="AK28" i="6" a="1"/>
  <c r="AK28" i="6" s="1"/>
  <c r="AK21" i="6" a="1"/>
  <c r="AK21" i="6" s="1"/>
  <c r="AK13" i="6" a="1"/>
  <c r="AK13" i="6" s="1"/>
  <c r="AK26" i="6" a="1"/>
  <c r="AK26" i="6" s="1"/>
  <c r="AK62" i="6" a="1"/>
  <c r="AK62" i="6" s="1"/>
  <c r="AK69" i="6" a="1"/>
  <c r="AK69" i="6" s="1"/>
  <c r="AK91" i="6" a="1"/>
  <c r="AK91" i="6" s="1"/>
  <c r="AK39" i="6" a="1"/>
  <c r="AK39" i="6" s="1"/>
  <c r="AK46" i="6" a="1"/>
  <c r="AK46" i="6" s="1"/>
  <c r="AK82" i="6" a="1"/>
  <c r="AK82" i="6" s="1"/>
  <c r="AK16" i="6" a="1"/>
  <c r="AK16" i="6" s="1"/>
  <c r="AK67" i="6" a="1"/>
  <c r="AK67" i="6" s="1"/>
  <c r="AK81" i="6" a="1"/>
  <c r="AK81" i="6" s="1"/>
  <c r="AS32" i="6" s="1"/>
  <c r="C25" i="5" s="1"/>
  <c r="AK96" i="6" a="1"/>
  <c r="AK96" i="6" s="1"/>
  <c r="AK95" i="6" a="1"/>
  <c r="AK95" i="6" s="1"/>
  <c r="AK87" i="6" a="1"/>
  <c r="AK87" i="6" s="1"/>
  <c r="AK57" i="6" a="1"/>
  <c r="AK57" i="6" s="1"/>
  <c r="AS29" i="6" s="1"/>
  <c r="C22" i="5" s="1"/>
  <c r="AK50" i="6" a="1"/>
  <c r="AK50" i="6" s="1"/>
  <c r="AK43" i="6" a="1"/>
  <c r="AK43" i="6" s="1"/>
  <c r="AK84" i="6" a="1"/>
  <c r="AK84" i="6" s="1"/>
  <c r="AK61" i="6" a="1"/>
  <c r="AK61" i="6" s="1"/>
  <c r="AK75" i="6" a="1"/>
  <c r="AK75" i="6" s="1"/>
  <c r="AK23" i="6" a="1"/>
  <c r="AK23" i="6" s="1"/>
  <c r="AK52" i="6" a="1"/>
  <c r="AK52" i="6" s="1"/>
  <c r="AK22" i="6" a="1"/>
  <c r="AK22" i="6" s="1"/>
  <c r="AK44" i="6" a="1"/>
  <c r="AK44" i="6" s="1"/>
  <c r="AK109" i="6" a="1"/>
  <c r="AK109" i="6" s="1"/>
  <c r="AK102" i="6" a="1"/>
  <c r="AK102" i="6" s="1"/>
  <c r="AK79" i="6" a="1"/>
  <c r="AK79" i="6" s="1"/>
  <c r="AK72" i="6" a="1"/>
  <c r="AK72" i="6" s="1"/>
  <c r="AK35" i="6" a="1"/>
  <c r="AK35" i="6" s="1"/>
  <c r="AK20" i="6" a="1"/>
  <c r="AK20" i="6" s="1"/>
  <c r="AK27" i="6" a="1"/>
  <c r="AK27" i="6" s="1"/>
  <c r="AK107" i="6" a="1"/>
  <c r="AK107" i="6" s="1"/>
  <c r="AK10" i="6" a="1"/>
  <c r="AK10" i="6" s="1"/>
  <c r="AK99" i="6" a="1"/>
  <c r="AK99" i="6" s="1"/>
  <c r="AK83" i="6" a="1"/>
  <c r="AK83" i="6" s="1"/>
  <c r="AK68" i="6" a="1"/>
  <c r="AK68" i="6" s="1"/>
  <c r="AK105" i="6" a="1"/>
  <c r="AK105" i="6" s="1"/>
  <c r="AK38" i="6" a="1"/>
  <c r="AK38" i="6" s="1"/>
  <c r="AK97" i="6" a="1"/>
  <c r="AK97" i="6" s="1"/>
  <c r="AS34" i="6" s="1"/>
  <c r="C27" i="5" s="1"/>
  <c r="AK89" i="6" a="1"/>
  <c r="AK89" i="6" s="1"/>
  <c r="AS33" i="6" s="1"/>
  <c r="C26" i="5" s="1"/>
  <c r="AK15" i="6" a="1"/>
  <c r="AK15" i="6" s="1"/>
  <c r="AK74" i="6" a="1"/>
  <c r="AK74" i="6" s="1"/>
  <c r="AK51" i="6" a="1"/>
  <c r="AK51" i="6" s="1"/>
  <c r="AK94" i="6" a="1"/>
  <c r="AK94" i="6" s="1"/>
  <c r="AK86" i="6" a="1"/>
  <c r="AK86" i="6" s="1"/>
  <c r="AK64" i="6" a="1"/>
  <c r="AK64" i="6" s="1"/>
  <c r="AK49" i="6" a="1"/>
  <c r="AK49" i="6" s="1"/>
  <c r="AS28" i="6" s="1"/>
  <c r="C21" i="5" s="1"/>
  <c r="AK42" i="6" a="1"/>
  <c r="AK42" i="6" s="1"/>
  <c r="AK12" i="6" a="1"/>
  <c r="AK12" i="6" s="1"/>
  <c r="AK47" i="6" a="1"/>
  <c r="AK47" i="6" s="1"/>
  <c r="AK54" i="6" a="1"/>
  <c r="AK54" i="6" s="1"/>
  <c r="AK31" i="6" a="1"/>
  <c r="AK31" i="6" s="1"/>
  <c r="AK30" i="6" a="1"/>
  <c r="AK30" i="6" s="1"/>
  <c r="AK37" i="6" a="1"/>
  <c r="AK37" i="6" s="1"/>
  <c r="AK111" i="6" a="1"/>
  <c r="AK111" i="6" s="1"/>
  <c r="AK88" i="6" a="1"/>
  <c r="AK88" i="6" s="1"/>
  <c r="AK108" i="6" a="1"/>
  <c r="AK108" i="6" s="1"/>
  <c r="AK101" i="6" a="1"/>
  <c r="AK101" i="6" s="1"/>
  <c r="AK71" i="6" a="1"/>
  <c r="AK71" i="6" s="1"/>
  <c r="AK56" i="6" a="1"/>
  <c r="AK56" i="6" s="1"/>
  <c r="AK34" i="6" a="1"/>
  <c r="AK34" i="6" s="1"/>
  <c r="AK19" i="6" a="1"/>
  <c r="AK19" i="6" s="1"/>
  <c r="AK70" i="6" a="1"/>
  <c r="AK70" i="6" s="1"/>
  <c r="AK55" i="6" a="1"/>
  <c r="AK55" i="6" s="1"/>
  <c r="AK18" i="6" a="1"/>
  <c r="AK18" i="6" s="1"/>
  <c r="AK77" i="6" a="1"/>
  <c r="AK77" i="6" s="1"/>
  <c r="AK32" i="6" a="1"/>
  <c r="AK32" i="6" s="1"/>
  <c r="AK106" i="6" a="1"/>
  <c r="AK106" i="6" s="1"/>
  <c r="AK17" i="6" a="1"/>
  <c r="AK17" i="6" s="1"/>
  <c r="AS24" i="6" s="1"/>
  <c r="C17" i="5" s="1"/>
  <c r="AK113" i="6" a="1"/>
  <c r="AK113" i="6" s="1"/>
  <c r="AS23" i="6" s="1"/>
  <c r="C16" i="5" s="1"/>
  <c r="AK24" i="6" a="1"/>
  <c r="AK24" i="6" s="1"/>
  <c r="AK60" i="6" a="1"/>
  <c r="AK60" i="6" s="1"/>
  <c r="AK45" i="6" a="1"/>
  <c r="AK45" i="6" s="1"/>
  <c r="AK59" i="6" a="1"/>
  <c r="AK59" i="6" s="1"/>
  <c r="AK29" i="6" a="1"/>
  <c r="AK29" i="6" s="1"/>
  <c r="AK14" i="6" a="1"/>
  <c r="AK14" i="6" s="1"/>
  <c r="AK93" i="6" a="1"/>
  <c r="AK93" i="6" s="1"/>
  <c r="AK85" i="6" a="1"/>
  <c r="AK85" i="6" s="1"/>
  <c r="AK78" i="6" a="1"/>
  <c r="AK78" i="6" s="1"/>
  <c r="AK63" i="6" a="1"/>
  <c r="AK63" i="6" s="1"/>
  <c r="AK48" i="6" a="1"/>
  <c r="AK48" i="6" s="1"/>
  <c r="AK41" i="6" a="1"/>
  <c r="AK41" i="6" s="1"/>
  <c r="AS27" i="6" s="1"/>
  <c r="C20" i="5" s="1"/>
  <c r="AK11" i="6" a="1"/>
  <c r="AK11" i="6" s="1"/>
  <c r="AK100" i="6" a="1"/>
  <c r="AK100" i="6" s="1"/>
  <c r="AK33" i="6" a="1"/>
  <c r="AK33" i="6" s="1"/>
  <c r="AS26" i="6" s="1"/>
  <c r="C19" i="5" s="1"/>
  <c r="AK92" i="6" a="1"/>
  <c r="AK92" i="6" s="1"/>
  <c r="AK40" i="6" a="1"/>
  <c r="AK40" i="6" s="1"/>
  <c r="AK25" i="6" a="1"/>
  <c r="AK25" i="6" s="1"/>
  <c r="AS25" i="6" s="1"/>
  <c r="C18" i="5" s="1"/>
  <c r="AK76" i="6" a="1"/>
  <c r="AK76" i="6" s="1"/>
  <c r="AK98" i="6" a="1"/>
  <c r="AK98" i="6" s="1"/>
  <c r="AK90" i="6" a="1"/>
  <c r="AK90" i="6" s="1"/>
  <c r="AK53" i="6" a="1"/>
  <c r="AK53" i="6" s="1"/>
  <c r="AK112" i="6" a="1"/>
  <c r="AK112" i="6" s="1"/>
  <c r="AK104" i="6" a="1"/>
  <c r="AK104" i="6" s="1"/>
  <c r="AK66" i="6" a="1"/>
  <c r="AK66" i="6" s="1"/>
  <c r="AK58" i="6" a="1"/>
  <c r="AK58" i="6" s="1"/>
  <c r="B44" i="5"/>
  <c r="P44" i="5" s="1"/>
  <c r="Q44" i="5" s="1"/>
  <c r="C39" i="5"/>
  <c r="E39" i="5"/>
  <c r="F39" i="5" s="1"/>
  <c r="F43" i="5"/>
  <c r="G43" i="5" s="1"/>
  <c r="F77" i="5"/>
  <c r="C59" i="5"/>
  <c r="C58" i="5"/>
  <c r="D39" i="5"/>
  <c r="F38" i="5"/>
  <c r="C42" i="5"/>
  <c r="P48" i="5"/>
  <c r="Q48" i="5" s="1"/>
  <c r="E79" i="5"/>
  <c r="F79" i="5" s="1"/>
  <c r="G83" i="5"/>
  <c r="B85" i="5"/>
  <c r="P83" i="5"/>
  <c r="Q83" i="5" s="1"/>
  <c r="E85" i="5"/>
  <c r="F84" i="5"/>
  <c r="P84" i="5"/>
  <c r="Q84" i="5" s="1"/>
  <c r="C57" i="5"/>
  <c r="B59" i="5"/>
  <c r="P59" i="5" s="1"/>
  <c r="Q59" i="5" s="1"/>
  <c r="B58" i="5"/>
  <c r="B60" i="5" s="1"/>
  <c r="B70" i="5"/>
  <c r="P70" i="5" s="1"/>
  <c r="Q70" i="5" s="1"/>
  <c r="D78" i="5"/>
  <c r="D45" i="5"/>
  <c r="E45" i="5" s="1"/>
  <c r="E58" i="5"/>
  <c r="D62" i="5"/>
  <c r="D77" i="5"/>
  <c r="E59" i="5"/>
  <c r="F59" i="5" s="1"/>
  <c r="F42" i="5"/>
  <c r="D59" i="5"/>
  <c r="C80" i="5"/>
  <c r="D42" i="5"/>
  <c r="D60" i="5"/>
  <c r="E60" i="5" s="1"/>
  <c r="C64" i="5"/>
  <c r="E78" i="5"/>
  <c r="E43" i="5"/>
  <c r="F58" i="5"/>
  <c r="G58" i="5" s="1"/>
  <c r="D64" i="5"/>
  <c r="E42" i="5"/>
  <c r="P62" i="5"/>
  <c r="Q62" i="5" s="1"/>
  <c r="D43" i="5"/>
  <c r="E57" i="5"/>
  <c r="F78" i="5"/>
  <c r="B79" i="5"/>
  <c r="B78" i="5"/>
  <c r="C45" i="5"/>
  <c r="D58" i="5"/>
  <c r="C63" i="5"/>
  <c r="D79" i="5"/>
  <c r="P57" i="5"/>
  <c r="Q57" i="5" s="1"/>
  <c r="G57" i="5"/>
  <c r="F57" i="5"/>
  <c r="C65" i="5"/>
  <c r="C43" i="5"/>
  <c r="C78" i="5"/>
  <c r="E80" i="5"/>
  <c r="P73" i="5"/>
  <c r="Q73" i="5" s="1"/>
  <c r="B75" i="5"/>
  <c r="G73" i="5"/>
  <c r="E75" i="5"/>
  <c r="P69" i="5"/>
  <c r="Q69" i="5" s="1"/>
  <c r="E70" i="5"/>
  <c r="G68" i="5"/>
  <c r="G62" i="5"/>
  <c r="B64" i="5"/>
  <c r="F62" i="5"/>
  <c r="E64" i="5"/>
  <c r="F64" i="5" s="1"/>
  <c r="E63" i="5"/>
  <c r="F63" i="5"/>
  <c r="G63" i="5" s="1"/>
  <c r="E62" i="5"/>
  <c r="D65" i="5"/>
  <c r="E65" i="5" s="1"/>
  <c r="D63" i="5"/>
  <c r="P63" i="5"/>
  <c r="Q63" i="5" s="1"/>
  <c r="B65" i="5"/>
  <c r="E55" i="5"/>
  <c r="P54" i="5"/>
  <c r="Q54" i="5" s="1"/>
  <c r="F54" i="5"/>
  <c r="P53" i="5"/>
  <c r="Q53" i="5" s="1"/>
  <c r="B55" i="5"/>
  <c r="G53" i="5"/>
  <c r="E50" i="5"/>
  <c r="P49" i="5"/>
  <c r="Q49" i="5" s="1"/>
  <c r="F49" i="5"/>
  <c r="B45" i="5"/>
  <c r="P43" i="5"/>
  <c r="Q43" i="5" s="1"/>
  <c r="F44" i="5"/>
  <c r="E40" i="5"/>
  <c r="P38" i="5"/>
  <c r="Q38" i="5" s="1"/>
  <c r="B40" i="5"/>
  <c r="G38" i="5"/>
  <c r="AJ109" i="6"/>
  <c r="AJ101" i="6"/>
  <c r="AJ93" i="6"/>
  <c r="AJ85" i="6"/>
  <c r="AJ77" i="6"/>
  <c r="AJ69" i="6"/>
  <c r="AJ61" i="6"/>
  <c r="AJ53" i="6"/>
  <c r="AJ45" i="6"/>
  <c r="AJ37" i="6"/>
  <c r="AJ29" i="6"/>
  <c r="AJ21" i="6"/>
  <c r="L9" i="6"/>
  <c r="AD10" i="6"/>
  <c r="K9" i="6"/>
  <c r="AC10" i="6"/>
  <c r="N9" i="6"/>
  <c r="AF10" i="6"/>
  <c r="M9" i="6"/>
  <c r="AE10" i="6"/>
  <c r="O9" i="6"/>
  <c r="AG10" i="6"/>
  <c r="B7" i="6"/>
  <c r="C8" i="6"/>
  <c r="J8" i="6" s="1"/>
  <c r="E8" i="6"/>
  <c r="L8" i="6" s="1"/>
  <c r="F8" i="6"/>
  <c r="M8" i="6" s="1"/>
  <c r="G8" i="6"/>
  <c r="N8" i="6" s="1"/>
  <c r="H8" i="6"/>
  <c r="O8" i="6" s="1"/>
  <c r="D8" i="6"/>
  <c r="K8" i="6" s="1"/>
  <c r="AN70" i="11" l="1" a="1"/>
  <c r="AN70" i="11" s="1"/>
  <c r="AN26" i="11" a="1"/>
  <c r="AN26" i="11" s="1"/>
  <c r="AN19" i="11" a="1"/>
  <c r="AN19" i="11" s="1"/>
  <c r="AN36" i="11" a="1"/>
  <c r="AN36" i="11" s="1"/>
  <c r="AN68" i="11" a="1"/>
  <c r="AN68" i="11" s="1"/>
  <c r="AN92" i="11" a="1"/>
  <c r="AN92" i="11" s="1"/>
  <c r="AN77" i="11" a="1"/>
  <c r="AN77" i="11" s="1"/>
  <c r="AN13" i="11" a="1"/>
  <c r="AN13" i="11" s="1"/>
  <c r="AN38" i="11" a="1"/>
  <c r="AN38" i="11" s="1"/>
  <c r="AN73" i="11" a="1"/>
  <c r="AN73" i="11" s="1"/>
  <c r="AN78" i="11" a="1"/>
  <c r="AN78" i="11" s="1"/>
  <c r="AN34" i="11" a="1"/>
  <c r="AN34" i="11" s="1"/>
  <c r="AN98" i="11" a="1"/>
  <c r="AN98" i="11" s="1"/>
  <c r="AN64" i="11" a="1"/>
  <c r="AN64" i="11" s="1"/>
  <c r="AN10" i="11" a="1"/>
  <c r="AN10" i="11" s="1"/>
  <c r="AN54" i="11" a="1"/>
  <c r="AN54" i="11" s="1"/>
  <c r="AN52" i="11" a="1"/>
  <c r="AN52" i="11" s="1"/>
  <c r="AN72" i="11" a="1"/>
  <c r="AN72" i="11" s="1"/>
  <c r="AN46" i="11" a="1"/>
  <c r="AN46" i="11" s="1"/>
  <c r="AN44" i="11" a="1"/>
  <c r="AN44" i="11" s="1"/>
  <c r="AN112" i="11" a="1"/>
  <c r="AN112" i="11" s="1"/>
  <c r="AN50" i="11" a="1"/>
  <c r="AN50" i="11" s="1"/>
  <c r="AN79" i="11" a="1"/>
  <c r="AN79" i="11" s="1"/>
  <c r="AN111" i="11" a="1"/>
  <c r="AN111" i="11" s="1"/>
  <c r="AN88" i="11" a="1"/>
  <c r="AN88" i="11" s="1"/>
  <c r="AN21" i="11" a="1"/>
  <c r="AN21" i="11" s="1"/>
  <c r="AN74" i="11" a="1"/>
  <c r="AN74" i="11" s="1"/>
  <c r="AN108" i="11" a="1"/>
  <c r="AN108" i="11" s="1"/>
  <c r="AN29" i="11" a="1"/>
  <c r="AN29" i="11" s="1"/>
  <c r="AN84" i="11" a="1"/>
  <c r="AN84" i="11" s="1"/>
  <c r="AN37" i="11" a="1"/>
  <c r="AN37" i="11" s="1"/>
  <c r="AN100" i="11" a="1"/>
  <c r="AN100" i="11" s="1"/>
  <c r="AN76" i="11" a="1"/>
  <c r="AN76" i="11" s="1"/>
  <c r="AN12" i="11" a="1"/>
  <c r="AN12" i="11" s="1"/>
  <c r="AN20" i="11" a="1"/>
  <c r="AN20" i="11" s="1"/>
  <c r="AN96" i="11" a="1"/>
  <c r="AN96" i="11" s="1"/>
  <c r="AN57" i="11" a="1"/>
  <c r="AN57" i="11" s="1"/>
  <c r="AN106" i="11" a="1"/>
  <c r="AN106" i="11" s="1"/>
  <c r="AN32" i="11" a="1"/>
  <c r="AN32" i="11" s="1"/>
  <c r="AN81" i="11" a="1"/>
  <c r="AN81" i="11" s="1"/>
  <c r="AN62" i="11" a="1"/>
  <c r="AN62" i="11" s="1"/>
  <c r="AN53" i="11" a="1"/>
  <c r="AN53" i="11" s="1"/>
  <c r="AN47" i="11" a="1"/>
  <c r="AN47" i="11" s="1"/>
  <c r="AN91" i="11" a="1"/>
  <c r="AN91" i="11" s="1"/>
  <c r="AN24" i="11" a="1"/>
  <c r="AN24" i="11" s="1"/>
  <c r="AN51" i="11" a="1"/>
  <c r="AN51" i="11" s="1"/>
  <c r="AK43" i="11" a="1"/>
  <c r="AK43" i="11" s="1"/>
  <c r="AK59" i="11" a="1"/>
  <c r="AK59" i="11" s="1"/>
  <c r="AK48" i="11" a="1"/>
  <c r="AK48" i="11" s="1"/>
  <c r="AK92" i="11" a="1"/>
  <c r="AK92" i="11" s="1"/>
  <c r="AK23" i="11" a="1"/>
  <c r="AK23" i="11" s="1"/>
  <c r="AK93" i="11" a="1"/>
  <c r="AK93" i="11" s="1"/>
  <c r="AK36" i="11" a="1"/>
  <c r="AK36" i="11" s="1"/>
  <c r="AK95" i="11" a="1"/>
  <c r="AK95" i="11" s="1"/>
  <c r="AK53" i="11" a="1"/>
  <c r="AK53" i="11" s="1"/>
  <c r="AK74" i="11" a="1"/>
  <c r="AK74" i="11" s="1"/>
  <c r="AK28" i="11" a="1"/>
  <c r="AK28" i="11" s="1"/>
  <c r="AK57" i="11" a="1"/>
  <c r="AK57" i="11" s="1"/>
  <c r="AK99" i="11" a="1"/>
  <c r="AK99" i="11" s="1"/>
  <c r="AK10" i="11" a="1"/>
  <c r="AK10" i="11" s="1"/>
  <c r="AK68" i="11" a="1"/>
  <c r="AK68" i="11" s="1"/>
  <c r="AK94" i="11" a="1"/>
  <c r="AK94" i="11" s="1"/>
  <c r="AK54" i="11" a="1"/>
  <c r="AK54" i="11" s="1"/>
  <c r="AK76" i="11" a="1"/>
  <c r="AK76" i="11" s="1"/>
  <c r="AK108" i="11" a="1"/>
  <c r="AK108" i="11" s="1"/>
  <c r="AK42" i="11" a="1"/>
  <c r="AK42" i="11" s="1"/>
  <c r="AK11" i="11" a="1"/>
  <c r="AK11" i="11" s="1"/>
  <c r="AK110" i="11" a="1"/>
  <c r="AK110" i="11" s="1"/>
  <c r="AK75" i="11" a="1"/>
  <c r="AK75" i="11" s="1"/>
  <c r="AK46" i="11" a="1"/>
  <c r="AK46" i="11" s="1"/>
  <c r="AK26" i="11" a="1"/>
  <c r="AK26" i="11" s="1"/>
  <c r="AK20" i="11" a="1"/>
  <c r="AK20" i="11" s="1"/>
  <c r="AK96" i="11" a="1"/>
  <c r="AK96" i="11" s="1"/>
  <c r="AK77" i="11" a="1"/>
  <c r="AK77" i="11" s="1"/>
  <c r="AK32" i="11" a="1"/>
  <c r="AK32" i="11" s="1"/>
  <c r="AK111" i="11" a="1"/>
  <c r="AK111" i="11" s="1"/>
  <c r="AK85" i="11" a="1"/>
  <c r="AK85" i="11" s="1"/>
  <c r="AK47" i="11" a="1"/>
  <c r="AK47" i="11" s="1"/>
  <c r="AK90" i="11" a="1"/>
  <c r="AK90" i="11" s="1"/>
  <c r="AK19" i="11" a="1"/>
  <c r="AK19" i="11" s="1"/>
  <c r="AK70" i="11" a="1"/>
  <c r="AK70" i="11" s="1"/>
  <c r="AK83" i="11" a="1"/>
  <c r="AK83" i="11" s="1"/>
  <c r="AK35" i="11" a="1"/>
  <c r="AK35" i="11" s="1"/>
  <c r="AK58" i="9" a="1"/>
  <c r="AK58" i="9" s="1"/>
  <c r="AM22" i="12" a="1"/>
  <c r="AM22" i="12" s="1"/>
  <c r="AP76" i="12" a="1"/>
  <c r="AP76" i="12" s="1"/>
  <c r="AK69" i="22" a="1"/>
  <c r="AK69" i="22" s="1"/>
  <c r="AP12" i="11" a="1"/>
  <c r="AP12" i="11" s="1"/>
  <c r="AK102" i="14" a="1"/>
  <c r="AK102" i="14" s="1"/>
  <c r="AM12" i="9" a="1"/>
  <c r="AM12" i="9" s="1"/>
  <c r="AK82" i="8" a="1"/>
  <c r="AK82" i="8" s="1"/>
  <c r="AK55" i="8" a="1"/>
  <c r="AK55" i="8" s="1"/>
  <c r="AN37" i="14" a="1"/>
  <c r="AN37" i="14" s="1"/>
  <c r="AK78" i="12" a="1"/>
  <c r="AK78" i="12" s="1"/>
  <c r="AL104" i="22" a="1"/>
  <c r="AL104" i="22" s="1"/>
  <c r="AK107" i="11" a="1"/>
  <c r="AK107" i="11" s="1"/>
  <c r="AK80" i="11" a="1"/>
  <c r="AK80" i="11" s="1"/>
  <c r="AN22" i="12" a="1"/>
  <c r="AN22" i="12" s="1"/>
  <c r="AL38" i="14" a="1"/>
  <c r="AL38" i="14" s="1"/>
  <c r="AK112" i="13" a="1"/>
  <c r="AK112" i="13" s="1"/>
  <c r="AN40" i="11" a="1"/>
  <c r="AN40" i="11" s="1"/>
  <c r="AN104" i="11" a="1"/>
  <c r="AN104" i="11" s="1"/>
  <c r="AN46" i="10" a="1"/>
  <c r="AN46" i="10" s="1"/>
  <c r="AL52" i="13" a="1"/>
  <c r="AL52" i="13" s="1"/>
  <c r="AO54" i="13" a="1"/>
  <c r="AO54" i="13" s="1"/>
  <c r="AL12" i="10" a="1"/>
  <c r="AL12" i="10" s="1"/>
  <c r="AO12" i="10" a="1"/>
  <c r="AO12" i="10" s="1"/>
  <c r="AM72" i="22" a="1"/>
  <c r="AM72" i="22" s="1"/>
  <c r="AM34" i="14" a="1"/>
  <c r="AM34" i="14" s="1"/>
  <c r="AK68" i="22" a="1"/>
  <c r="AK68" i="22" s="1"/>
  <c r="AM12" i="11" a="1"/>
  <c r="AM12" i="11" s="1"/>
  <c r="AK110" i="14" a="1"/>
  <c r="AK110" i="14" s="1"/>
  <c r="AN72" i="22" a="1"/>
  <c r="AN72" i="22" s="1"/>
  <c r="AP74" i="12" a="1"/>
  <c r="AP74" i="12" s="1"/>
  <c r="AK100" i="13" a="1"/>
  <c r="AK100" i="13" s="1"/>
  <c r="AK51" i="13" a="1"/>
  <c r="AK51" i="13" s="1"/>
  <c r="AK104" i="14" a="1"/>
  <c r="AK104" i="14" s="1"/>
  <c r="AK109" i="14" a="1"/>
  <c r="AK109" i="14" s="1"/>
  <c r="AK92" i="14" a="1"/>
  <c r="AK92" i="14" s="1"/>
  <c r="AK99" i="14" a="1"/>
  <c r="AK99" i="14" s="1"/>
  <c r="AL20" i="22" a="1"/>
  <c r="AL20" i="22" s="1"/>
  <c r="AL44" i="22" a="1"/>
  <c r="AL44" i="22" s="1"/>
  <c r="AL40" i="22" a="1"/>
  <c r="AL40" i="22" s="1"/>
  <c r="AL47" i="22" a="1"/>
  <c r="AL47" i="22" s="1"/>
  <c r="AL101" i="22" a="1"/>
  <c r="AL101" i="22" s="1"/>
  <c r="AP71" i="22" a="1"/>
  <c r="AP71" i="22" s="1"/>
  <c r="AK49" i="8" a="1"/>
  <c r="AK49" i="8" s="1"/>
  <c r="AK38" i="8" a="1"/>
  <c r="AK38" i="8" s="1"/>
  <c r="AK76" i="8" a="1"/>
  <c r="AK76" i="8" s="1"/>
  <c r="AK69" i="8" a="1"/>
  <c r="AK69" i="8" s="1"/>
  <c r="AK103" i="8" a="1"/>
  <c r="AK103" i="8" s="1"/>
  <c r="AK75" i="12" a="1"/>
  <c r="AK75" i="12" s="1"/>
  <c r="AN51" i="13" a="1"/>
  <c r="AN51" i="13" s="1"/>
  <c r="AK15" i="13" a="1"/>
  <c r="AK15" i="13" s="1"/>
  <c r="AK41" i="13" a="1"/>
  <c r="AK41" i="13" s="1"/>
  <c r="AS27" i="13" s="1"/>
  <c r="AK48" i="13" a="1"/>
  <c r="AK48" i="13" s="1"/>
  <c r="AK96" i="13" a="1"/>
  <c r="AK96" i="13" s="1"/>
  <c r="AO52" i="13" a="1"/>
  <c r="AO52" i="13" s="1"/>
  <c r="AK97" i="14" a="1"/>
  <c r="AK97" i="14" s="1"/>
  <c r="AK10" i="14" a="1"/>
  <c r="AK10" i="14" s="1"/>
  <c r="AK47" i="14" a="1"/>
  <c r="AK47" i="14" s="1"/>
  <c r="AL37" i="14" a="1"/>
  <c r="AL37" i="14" s="1"/>
  <c r="AN73" i="22" a="1"/>
  <c r="AN73" i="22" s="1"/>
  <c r="AL67" i="22" a="1"/>
  <c r="AL67" i="22" s="1"/>
  <c r="AL21" i="22" a="1"/>
  <c r="AL21" i="22" s="1"/>
  <c r="AL105" i="22" a="1"/>
  <c r="AL105" i="22" s="1"/>
  <c r="AL54" i="22" a="1"/>
  <c r="AL54" i="22" s="1"/>
  <c r="AL98" i="22" a="1"/>
  <c r="AL98" i="22" s="1"/>
  <c r="AK21" i="8" a="1"/>
  <c r="AK21" i="8" s="1"/>
  <c r="AK87" i="8" a="1"/>
  <c r="AK87" i="8" s="1"/>
  <c r="AK29" i="8" a="1"/>
  <c r="AK29" i="8" s="1"/>
  <c r="AK75" i="8" a="1"/>
  <c r="AK75" i="8" s="1"/>
  <c r="AK80" i="8" a="1"/>
  <c r="AK80" i="8" s="1"/>
  <c r="AK94" i="8" a="1"/>
  <c r="AK94" i="8" s="1"/>
  <c r="AK111" i="8" a="1"/>
  <c r="AK111" i="8" s="1"/>
  <c r="AL89" i="8" a="1"/>
  <c r="AL89" i="8" s="1"/>
  <c r="AL65" i="8" a="1"/>
  <c r="AL65" i="8" s="1"/>
  <c r="AN45" i="11" a="1"/>
  <c r="AN45" i="11" s="1"/>
  <c r="AN42" i="11" a="1"/>
  <c r="AN42" i="11" s="1"/>
  <c r="AN33" i="11" a="1"/>
  <c r="AN33" i="11" s="1"/>
  <c r="AN93" i="11" a="1"/>
  <c r="AN93" i="11" s="1"/>
  <c r="AN85" i="11" a="1"/>
  <c r="AN85" i="11" s="1"/>
  <c r="AN83" i="11" a="1"/>
  <c r="AN83" i="11" s="1"/>
  <c r="AK29" i="11" a="1"/>
  <c r="AK29" i="11" s="1"/>
  <c r="AK55" i="11" a="1"/>
  <c r="AK55" i="11" s="1"/>
  <c r="AK101" i="11" a="1"/>
  <c r="AK101" i="11" s="1"/>
  <c r="AK84" i="11" a="1"/>
  <c r="AK84" i="11" s="1"/>
  <c r="AK78" i="11" a="1"/>
  <c r="AK78" i="11" s="1"/>
  <c r="AK87" i="11" a="1"/>
  <c r="AK87" i="11" s="1"/>
  <c r="AK112" i="11" a="1"/>
  <c r="AK112" i="11" s="1"/>
  <c r="AK79" i="12" a="1"/>
  <c r="AK79" i="12" s="1"/>
  <c r="AK65" i="13" a="1"/>
  <c r="AK65" i="13" s="1"/>
  <c r="AS30" i="13" s="1"/>
  <c r="AK42" i="13" a="1"/>
  <c r="AK42" i="13" s="1"/>
  <c r="AK47" i="13" a="1"/>
  <c r="AK47" i="13" s="1"/>
  <c r="AK56" i="13" a="1"/>
  <c r="AK56" i="13" s="1"/>
  <c r="AK106" i="13" a="1"/>
  <c r="AK106" i="13" s="1"/>
  <c r="AO57" i="13" a="1"/>
  <c r="AO57" i="13" s="1"/>
  <c r="AW29" i="13" s="1"/>
  <c r="AK30" i="14" a="1"/>
  <c r="AK30" i="14" s="1"/>
  <c r="AK27" i="14" a="1"/>
  <c r="AK27" i="14" s="1"/>
  <c r="AK18" i="14" a="1"/>
  <c r="AK18" i="14" s="1"/>
  <c r="AM40" i="14" a="1"/>
  <c r="AM40" i="14" s="1"/>
  <c r="AP70" i="22" a="1"/>
  <c r="AP70" i="22" s="1"/>
  <c r="AN68" i="22" a="1"/>
  <c r="AN68" i="22" s="1"/>
  <c r="AM70" i="22" a="1"/>
  <c r="AM70" i="22" s="1"/>
  <c r="AL19" i="22" a="1"/>
  <c r="AL19" i="22" s="1"/>
  <c r="AL68" i="22" a="1"/>
  <c r="AL68" i="22" s="1"/>
  <c r="AL29" i="22" a="1"/>
  <c r="AL29" i="22" s="1"/>
  <c r="AL55" i="22" a="1"/>
  <c r="AL55" i="22" s="1"/>
  <c r="AL106" i="22" a="1"/>
  <c r="AL106" i="22" s="1"/>
  <c r="AM59" i="9" a="1"/>
  <c r="AM59" i="9" s="1"/>
  <c r="AM63" i="9" a="1"/>
  <c r="AM63" i="9" s="1"/>
  <c r="AK104" i="8" a="1"/>
  <c r="AK104" i="8" s="1"/>
  <c r="AK36" i="8" a="1"/>
  <c r="AK36" i="8" s="1"/>
  <c r="AK56" i="8" a="1"/>
  <c r="AK56" i="8" s="1"/>
  <c r="AK33" i="8" a="1"/>
  <c r="AK33" i="8" s="1"/>
  <c r="AK57" i="8" a="1"/>
  <c r="AK57" i="8" s="1"/>
  <c r="AK100" i="8" a="1"/>
  <c r="AK100" i="8" s="1"/>
  <c r="AN56" i="13" a="1"/>
  <c r="AN56" i="13" s="1"/>
  <c r="AN49" i="11" a="1"/>
  <c r="AN49" i="11" s="1"/>
  <c r="AN63" i="11" a="1"/>
  <c r="AN63" i="11" s="1"/>
  <c r="AN43" i="11" a="1"/>
  <c r="AN43" i="11" s="1"/>
  <c r="AN99" i="11" a="1"/>
  <c r="AN99" i="11" s="1"/>
  <c r="AN102" i="11" a="1"/>
  <c r="AN102" i="11" s="1"/>
  <c r="AN105" i="11" a="1"/>
  <c r="AN105" i="11" s="1"/>
  <c r="AK104" i="11" a="1"/>
  <c r="AK104" i="11" s="1"/>
  <c r="AK64" i="11" a="1"/>
  <c r="AK64" i="11" s="1"/>
  <c r="AK56" i="11" a="1"/>
  <c r="AK56" i="11" s="1"/>
  <c r="AK89" i="11" a="1"/>
  <c r="AK89" i="11" s="1"/>
  <c r="AK81" i="11" a="1"/>
  <c r="AK81" i="11" s="1"/>
  <c r="AK113" i="11" a="1"/>
  <c r="AK113" i="11" s="1"/>
  <c r="AK109" i="11" a="1"/>
  <c r="AK109" i="11" s="1"/>
  <c r="AN77" i="12" a="1"/>
  <c r="AN77" i="12" s="1"/>
  <c r="AK76" i="12" a="1"/>
  <c r="AK76" i="12" s="1"/>
  <c r="AO48" i="10" a="1"/>
  <c r="AO48" i="10" s="1"/>
  <c r="AL55" i="13" a="1"/>
  <c r="AL55" i="13" s="1"/>
  <c r="AK11" i="13" a="1"/>
  <c r="AK11" i="13" s="1"/>
  <c r="AK30" i="13" a="1"/>
  <c r="AK30" i="13" s="1"/>
  <c r="AK45" i="13" a="1"/>
  <c r="AK45" i="13" s="1"/>
  <c r="AK55" i="13" a="1"/>
  <c r="AK55" i="13" s="1"/>
  <c r="AK112" i="14" a="1"/>
  <c r="AK112" i="14" s="1"/>
  <c r="AK28" i="14" a="1"/>
  <c r="AK28" i="14" s="1"/>
  <c r="AK35" i="14" a="1"/>
  <c r="AK35" i="14" s="1"/>
  <c r="AM38" i="14" a="1"/>
  <c r="AM38" i="14" s="1"/>
  <c r="AP12" i="22" a="1"/>
  <c r="AP12" i="22" s="1"/>
  <c r="AP67" i="22" a="1"/>
  <c r="AP67" i="22" s="1"/>
  <c r="AL28" i="22" a="1"/>
  <c r="AL28" i="22" s="1"/>
  <c r="AL90" i="22" a="1"/>
  <c r="AL90" i="22" s="1"/>
  <c r="AL30" i="22" a="1"/>
  <c r="AL30" i="22" s="1"/>
  <c r="AL56" i="22" a="1"/>
  <c r="AL56" i="22" s="1"/>
  <c r="AL95" i="22" a="1"/>
  <c r="AL95" i="22" s="1"/>
  <c r="AK48" i="8" a="1"/>
  <c r="AK48" i="8" s="1"/>
  <c r="AK25" i="8" a="1"/>
  <c r="AK25" i="8" s="1"/>
  <c r="AK51" i="8" a="1"/>
  <c r="AK51" i="8" s="1"/>
  <c r="AK64" i="8" a="1"/>
  <c r="AK64" i="8" s="1"/>
  <c r="AK68" i="8" a="1"/>
  <c r="AK68" i="8" s="1"/>
  <c r="AK65" i="8" a="1"/>
  <c r="AK65" i="8" s="1"/>
  <c r="AK108" i="8" a="1"/>
  <c r="AK108" i="8" s="1"/>
  <c r="AL81" i="8" a="1"/>
  <c r="AL81" i="8" s="1"/>
  <c r="AL78" i="8" a="1"/>
  <c r="AL78" i="8" s="1"/>
  <c r="AN22" i="11" a="1"/>
  <c r="AN22" i="11" s="1"/>
  <c r="AN30" i="11" a="1"/>
  <c r="AN30" i="11" s="1"/>
  <c r="AN69" i="11" a="1"/>
  <c r="AN69" i="11" s="1"/>
  <c r="AN66" i="11" a="1"/>
  <c r="AN66" i="11" s="1"/>
  <c r="AN86" i="11" a="1"/>
  <c r="AN86" i="11" s="1"/>
  <c r="AN107" i="11" a="1"/>
  <c r="AN107" i="11" s="1"/>
  <c r="AK100" i="11" a="1"/>
  <c r="AK100" i="11" s="1"/>
  <c r="AK33" i="11" a="1"/>
  <c r="AK33" i="11" s="1"/>
  <c r="AK41" i="11" a="1"/>
  <c r="AK41" i="11" s="1"/>
  <c r="AK98" i="11" a="1"/>
  <c r="AK98" i="11" s="1"/>
  <c r="AK102" i="11" a="1"/>
  <c r="AK102" i="11" s="1"/>
  <c r="AK66" i="11" a="1"/>
  <c r="AK66" i="11" s="1"/>
  <c r="AN43" i="10" a="1"/>
  <c r="AN43" i="10" s="1"/>
  <c r="AM78" i="12" a="1"/>
  <c r="AM78" i="12" s="1"/>
  <c r="AK81" i="12" a="1"/>
  <c r="AK81" i="12" s="1"/>
  <c r="AK18" i="13" a="1"/>
  <c r="AK18" i="13" s="1"/>
  <c r="AK90" i="13" a="1"/>
  <c r="AK90" i="13" s="1"/>
  <c r="AK36" i="13" a="1"/>
  <c r="AK36" i="13" s="1"/>
  <c r="AK60" i="13" a="1"/>
  <c r="AK60" i="13" s="1"/>
  <c r="AK97" i="13" a="1"/>
  <c r="AK97" i="13" s="1"/>
  <c r="AS34" i="13" s="1"/>
  <c r="AK26" i="14" a="1"/>
  <c r="AK26" i="14" s="1"/>
  <c r="AK40" i="14" a="1"/>
  <c r="AK40" i="14" s="1"/>
  <c r="AK93" i="14" a="1"/>
  <c r="AK93" i="14" s="1"/>
  <c r="AM68" i="22" a="1"/>
  <c r="AM68" i="22" s="1"/>
  <c r="AM66" i="22" a="1"/>
  <c r="AM66" i="22" s="1"/>
  <c r="AL70" i="22" a="1"/>
  <c r="AL70" i="22" s="1"/>
  <c r="AL71" i="22" a="1"/>
  <c r="AL71" i="22" s="1"/>
  <c r="AL37" i="22" a="1"/>
  <c r="AL37" i="22" s="1"/>
  <c r="AL57" i="22" a="1"/>
  <c r="AL57" i="22" s="1"/>
  <c r="AL103" i="22" a="1"/>
  <c r="AL103" i="22" s="1"/>
  <c r="AP80" i="12" a="1"/>
  <c r="AP80" i="12" s="1"/>
  <c r="AK32" i="14" a="1"/>
  <c r="AK32" i="14" s="1"/>
  <c r="AK48" i="14" a="1"/>
  <c r="AK48" i="14" s="1"/>
  <c r="AK94" i="14" a="1"/>
  <c r="AK94" i="14" s="1"/>
  <c r="AP68" i="22" a="1"/>
  <c r="AP68" i="22" s="1"/>
  <c r="AN22" i="22" a="1"/>
  <c r="AN22" i="22" s="1"/>
  <c r="AL73" i="22" a="1"/>
  <c r="AL73" i="22" s="1"/>
  <c r="AL99" i="22" a="1"/>
  <c r="AL99" i="22" s="1"/>
  <c r="AL45" i="22" a="1"/>
  <c r="AL45" i="22" s="1"/>
  <c r="AL58" i="22" a="1"/>
  <c r="AL58" i="22" s="1"/>
  <c r="AL111" i="22" a="1"/>
  <c r="AL111" i="22" s="1"/>
  <c r="AK63" i="9" a="1"/>
  <c r="AK63" i="9" s="1"/>
  <c r="AK61" i="9" a="1"/>
  <c r="AK61" i="9" s="1"/>
  <c r="AK16" i="8" a="1"/>
  <c r="AK16" i="8" s="1"/>
  <c r="AK22" i="8" a="1"/>
  <c r="AK22" i="8" s="1"/>
  <c r="AK31" i="8" a="1"/>
  <c r="AK31" i="8" s="1"/>
  <c r="AK83" i="8" a="1"/>
  <c r="AK83" i="8" s="1"/>
  <c r="AK89" i="8" a="1"/>
  <c r="AK89" i="8" s="1"/>
  <c r="AK112" i="8" a="1"/>
  <c r="AK112" i="8" s="1"/>
  <c r="AK102" i="8" a="1"/>
  <c r="AK102" i="8" s="1"/>
  <c r="AL55" i="8" a="1"/>
  <c r="AL55" i="8" s="1"/>
  <c r="AP22" i="12" a="1"/>
  <c r="AP22" i="12" s="1"/>
  <c r="AN65" i="11" a="1"/>
  <c r="AN65" i="11" s="1"/>
  <c r="AN59" i="11" a="1"/>
  <c r="AN59" i="11" s="1"/>
  <c r="AN94" i="11" a="1"/>
  <c r="AN94" i="11" s="1"/>
  <c r="AN80" i="11" a="1"/>
  <c r="AN80" i="11" s="1"/>
  <c r="AN97" i="11" a="1"/>
  <c r="AN97" i="11" s="1"/>
  <c r="AN109" i="11" a="1"/>
  <c r="AN109" i="11" s="1"/>
  <c r="AK50" i="11" a="1"/>
  <c r="AK50" i="11" s="1"/>
  <c r="AK62" i="11" a="1"/>
  <c r="AK62" i="11" s="1"/>
  <c r="AK52" i="11" a="1"/>
  <c r="AK52" i="11" s="1"/>
  <c r="AK22" i="11" a="1"/>
  <c r="AK22" i="11" s="1"/>
  <c r="AK67" i="11" a="1"/>
  <c r="AK67" i="11" s="1"/>
  <c r="AK88" i="11" a="1"/>
  <c r="AK88" i="11" s="1"/>
  <c r="AM76" i="12" a="1"/>
  <c r="AM76" i="12" s="1"/>
  <c r="AK53" i="13" a="1"/>
  <c r="AK53" i="13" s="1"/>
  <c r="AK33" i="13" a="1"/>
  <c r="AK33" i="13" s="1"/>
  <c r="AS26" i="13" s="1"/>
  <c r="AK29" i="13" a="1"/>
  <c r="AK29" i="13" s="1"/>
  <c r="AK102" i="13" a="1"/>
  <c r="AK102" i="13" s="1"/>
  <c r="AK109" i="13" a="1"/>
  <c r="AK109" i="13" s="1"/>
  <c r="AK96" i="14" a="1"/>
  <c r="AK96" i="14" s="1"/>
  <c r="AK21" i="14" a="1"/>
  <c r="AK21" i="14" s="1"/>
  <c r="AK106" i="14" a="1"/>
  <c r="AK106" i="14" s="1"/>
  <c r="AL35" i="14" a="1"/>
  <c r="AL35" i="14" s="1"/>
  <c r="AM69" i="22" a="1"/>
  <c r="AM69" i="22" s="1"/>
  <c r="AL18" i="22" a="1"/>
  <c r="AL18" i="22" s="1"/>
  <c r="AL92" i="22" a="1"/>
  <c r="AL92" i="22" s="1"/>
  <c r="AL53" i="22" a="1"/>
  <c r="AL53" i="22" s="1"/>
  <c r="AL59" i="22" a="1"/>
  <c r="AL59" i="22" s="1"/>
  <c r="AL100" i="22" a="1"/>
  <c r="AL100" i="22" s="1"/>
  <c r="AK65" i="9" a="1"/>
  <c r="AK65" i="9" s="1"/>
  <c r="AK110" i="8" a="1"/>
  <c r="AK110" i="8" s="1"/>
  <c r="AK15" i="8" a="1"/>
  <c r="AK15" i="8" s="1"/>
  <c r="AM80" i="12" a="1"/>
  <c r="AM80" i="12" s="1"/>
  <c r="AP75" i="12" a="1"/>
  <c r="AP75" i="12" s="1"/>
  <c r="AK11" i="14" a="1"/>
  <c r="AK11" i="14" s="1"/>
  <c r="AK29" i="14" a="1"/>
  <c r="AK29" i="14" s="1"/>
  <c r="AK103" i="14" a="1"/>
  <c r="AK103" i="14" s="1"/>
  <c r="AN40" i="14" a="1"/>
  <c r="AN40" i="14" s="1"/>
  <c r="AP22" i="22" a="1"/>
  <c r="AP22" i="22" s="1"/>
  <c r="AL91" i="22" a="1"/>
  <c r="AL91" i="22" s="1"/>
  <c r="AL93" i="22" a="1"/>
  <c r="AL93" i="22" s="1"/>
  <c r="AL31" i="22" a="1"/>
  <c r="AL31" i="22" s="1"/>
  <c r="AL60" i="22" a="1"/>
  <c r="AL60" i="22" s="1"/>
  <c r="AL108" i="22" a="1"/>
  <c r="AL108" i="22" s="1"/>
  <c r="AK52" i="8" a="1"/>
  <c r="AK52" i="8" s="1"/>
  <c r="AM64" i="9" a="1"/>
  <c r="AM64" i="9" s="1"/>
  <c r="AK62" i="9" a="1"/>
  <c r="AK62" i="9" s="1"/>
  <c r="AK23" i="8" a="1"/>
  <c r="AK23" i="8" s="1"/>
  <c r="AK59" i="8" a="1"/>
  <c r="AK59" i="8" s="1"/>
  <c r="AK95" i="8" a="1"/>
  <c r="AK95" i="8" s="1"/>
  <c r="AK53" i="8" a="1"/>
  <c r="AK53" i="8" s="1"/>
  <c r="AK63" i="8" a="1"/>
  <c r="AK63" i="8" s="1"/>
  <c r="AK90" i="8" a="1"/>
  <c r="AK90" i="8" s="1"/>
  <c r="AK99" i="8" a="1"/>
  <c r="AK99" i="8" s="1"/>
  <c r="AK12" i="12" a="1"/>
  <c r="AK12" i="12" s="1"/>
  <c r="AK31" i="11" a="1"/>
  <c r="AK31" i="11" s="1"/>
  <c r="AK34" i="11" a="1"/>
  <c r="AK34" i="11" s="1"/>
  <c r="AK44" i="11" a="1"/>
  <c r="AK44" i="11" s="1"/>
  <c r="AK45" i="11" a="1"/>
  <c r="AK45" i="11" s="1"/>
  <c r="AK86" i="11" a="1"/>
  <c r="AK86" i="11" s="1"/>
  <c r="AK105" i="11" a="1"/>
  <c r="AK105" i="11" s="1"/>
  <c r="AN76" i="12" a="1"/>
  <c r="AN76" i="12" s="1"/>
  <c r="AK77" i="12" a="1"/>
  <c r="AK77" i="12" s="1"/>
  <c r="AN55" i="13" a="1"/>
  <c r="AN55" i="13" s="1"/>
  <c r="AK22" i="13" a="1"/>
  <c r="AK22" i="13" s="1"/>
  <c r="AK49" i="13" a="1"/>
  <c r="AK49" i="13" s="1"/>
  <c r="AS28" i="13" s="1"/>
  <c r="AK24" i="13" a="1"/>
  <c r="AK24" i="13" s="1"/>
  <c r="AK92" i="13" a="1"/>
  <c r="AK92" i="13" s="1"/>
  <c r="AK31" i="13" a="1"/>
  <c r="AK31" i="13" s="1"/>
  <c r="AK13" i="14" a="1"/>
  <c r="AK13" i="14" s="1"/>
  <c r="AK98" i="14" a="1"/>
  <c r="AK98" i="14" s="1"/>
  <c r="AK37" i="14" a="1"/>
  <c r="AK37" i="14" s="1"/>
  <c r="AK111" i="14" a="1"/>
  <c r="AK111" i="14" s="1"/>
  <c r="AN67" i="22" a="1"/>
  <c r="AN67" i="22" s="1"/>
  <c r="AL41" i="22" a="1"/>
  <c r="AL41" i="22" s="1"/>
  <c r="AL112" i="22" a="1"/>
  <c r="AL112" i="22" s="1"/>
  <c r="AL32" i="22" a="1"/>
  <c r="AL32" i="22" s="1"/>
  <c r="AL61" i="22" a="1"/>
  <c r="AL61" i="22" s="1"/>
  <c r="AL113" i="22" a="1"/>
  <c r="AL113" i="22" s="1"/>
  <c r="AO14" i="14" a="1"/>
  <c r="AO14" i="14" s="1"/>
  <c r="AK71" i="22" a="1"/>
  <c r="AK71" i="22" s="1"/>
  <c r="AN69" i="22" a="1"/>
  <c r="AN69" i="22" s="1"/>
  <c r="AK59" i="9" a="1"/>
  <c r="AK59" i="9" s="1"/>
  <c r="AK64" i="9" a="1"/>
  <c r="AK64" i="9" s="1"/>
  <c r="AK12" i="8" a="1"/>
  <c r="AK12" i="8" s="1"/>
  <c r="AK27" i="8" a="1"/>
  <c r="AK27" i="8" s="1"/>
  <c r="AK41" i="8" a="1"/>
  <c r="AK41" i="8" s="1"/>
  <c r="AK61" i="8" a="1"/>
  <c r="AK61" i="8" s="1"/>
  <c r="AK81" i="8" a="1"/>
  <c r="AK81" i="8" s="1"/>
  <c r="AK105" i="8" a="1"/>
  <c r="AK105" i="8" s="1"/>
  <c r="AK107" i="8" a="1"/>
  <c r="AK107" i="8" s="1"/>
  <c r="AN23" i="11" a="1"/>
  <c r="AN23" i="11" s="1"/>
  <c r="AN27" i="11" a="1"/>
  <c r="AN27" i="11" s="1"/>
  <c r="AN31" i="11" a="1"/>
  <c r="AN31" i="11" s="1"/>
  <c r="AN39" i="11" a="1"/>
  <c r="AN39" i="11" s="1"/>
  <c r="AN71" i="11" a="1"/>
  <c r="AN71" i="11" s="1"/>
  <c r="AN103" i="11" a="1"/>
  <c r="AN103" i="11" s="1"/>
  <c r="AN113" i="11" a="1"/>
  <c r="AN113" i="11" s="1"/>
  <c r="AK58" i="11" a="1"/>
  <c r="AK58" i="11" s="1"/>
  <c r="AK39" i="11" a="1"/>
  <c r="AK39" i="11" s="1"/>
  <c r="AK13" i="11" a="1"/>
  <c r="AK13" i="11" s="1"/>
  <c r="AK49" i="11" a="1"/>
  <c r="AK49" i="11" s="1"/>
  <c r="AK91" i="11" a="1"/>
  <c r="AK91" i="11" s="1"/>
  <c r="AK106" i="11" a="1"/>
  <c r="AK106" i="11" s="1"/>
  <c r="AN79" i="12" a="1"/>
  <c r="AN79" i="12" s="1"/>
  <c r="AM75" i="12" a="1"/>
  <c r="AM75" i="12" s="1"/>
  <c r="AN53" i="13" a="1"/>
  <c r="AN53" i="13" s="1"/>
  <c r="AL54" i="13" a="1"/>
  <c r="AL54" i="13" s="1"/>
  <c r="AK37" i="13" a="1"/>
  <c r="AK37" i="13" s="1"/>
  <c r="AK52" i="13" a="1"/>
  <c r="AK52" i="13" s="1"/>
  <c r="AK25" i="13" a="1"/>
  <c r="AK25" i="13" s="1"/>
  <c r="AS25" i="13" s="1"/>
  <c r="AK93" i="13" a="1"/>
  <c r="AK93" i="13" s="1"/>
  <c r="AK111" i="13" a="1"/>
  <c r="AK111" i="13" s="1"/>
  <c r="AK24" i="14" a="1"/>
  <c r="AK24" i="14" s="1"/>
  <c r="AK14" i="14" a="1"/>
  <c r="AK14" i="14" s="1"/>
  <c r="AK45" i="14" a="1"/>
  <c r="AK45" i="14" s="1"/>
  <c r="AK100" i="14" a="1"/>
  <c r="AK100" i="14" s="1"/>
  <c r="AK41" i="14" a="1"/>
  <c r="AK41" i="14" s="1"/>
  <c r="AM73" i="22" a="1"/>
  <c r="AM73" i="22" s="1"/>
  <c r="AL11" i="22" a="1"/>
  <c r="AL11" i="22" s="1"/>
  <c r="AL66" i="22" a="1"/>
  <c r="AL66" i="22" s="1"/>
  <c r="AL22" i="22" a="1"/>
  <c r="AL22" i="22" s="1"/>
  <c r="AL42" i="22" a="1"/>
  <c r="AL42" i="22" s="1"/>
  <c r="AL62" i="22" a="1"/>
  <c r="AL62" i="22" s="1"/>
  <c r="AL102" i="22" a="1"/>
  <c r="AL102" i="22" s="1"/>
  <c r="AK45" i="8" a="1"/>
  <c r="AK45" i="8" s="1"/>
  <c r="AK12" i="9" a="1"/>
  <c r="AK12" i="9" s="1"/>
  <c r="AM60" i="9" a="1"/>
  <c r="AM60" i="9" s="1"/>
  <c r="AM58" i="9" a="1"/>
  <c r="AM58" i="9" s="1"/>
  <c r="AK42" i="8" a="1"/>
  <c r="AK42" i="8" s="1"/>
  <c r="AK44" i="8" a="1"/>
  <c r="AK44" i="8" s="1"/>
  <c r="AK20" i="8" a="1"/>
  <c r="AK20" i="8" s="1"/>
  <c r="AK92" i="8" a="1"/>
  <c r="AK92" i="8" s="1"/>
  <c r="AK93" i="8" a="1"/>
  <c r="AK93" i="8" s="1"/>
  <c r="AK54" i="8" a="1"/>
  <c r="AK54" i="8" s="1"/>
  <c r="AN55" i="11" a="1"/>
  <c r="AN55" i="11" s="1"/>
  <c r="AN56" i="11" a="1"/>
  <c r="AN56" i="11" s="1"/>
  <c r="AN89" i="11" a="1"/>
  <c r="AN89" i="11" s="1"/>
  <c r="AN67" i="11" a="1"/>
  <c r="AN67" i="11" s="1"/>
  <c r="AN110" i="11" a="1"/>
  <c r="AN110" i="11" s="1"/>
  <c r="AK21" i="11" a="1"/>
  <c r="AK21" i="11" s="1"/>
  <c r="AK51" i="11" a="1"/>
  <c r="AK51" i="11" s="1"/>
  <c r="AK24" i="11" a="1"/>
  <c r="AK24" i="11" s="1"/>
  <c r="AK72" i="11" a="1"/>
  <c r="AK72" i="11" s="1"/>
  <c r="AK97" i="11" a="1"/>
  <c r="AK97" i="11" s="1"/>
  <c r="AK79" i="11" a="1"/>
  <c r="AK79" i="11" s="1"/>
  <c r="AM77" i="12" a="1"/>
  <c r="AM77" i="12" s="1"/>
  <c r="AN78" i="12" a="1"/>
  <c r="AN78" i="12" s="1"/>
  <c r="AL53" i="13" a="1"/>
  <c r="AL53" i="13" s="1"/>
  <c r="AL56" i="13" a="1"/>
  <c r="AL56" i="13" s="1"/>
  <c r="AK12" i="13" a="1"/>
  <c r="AK12" i="13" s="1"/>
  <c r="AK19" i="13" a="1"/>
  <c r="AK19" i="13" s="1"/>
  <c r="AK26" i="13" a="1"/>
  <c r="AK26" i="13" s="1"/>
  <c r="AK103" i="13" a="1"/>
  <c r="AK103" i="13" s="1"/>
  <c r="AK108" i="13" a="1"/>
  <c r="AK108" i="13" s="1"/>
  <c r="AL40" i="14" a="1"/>
  <c r="AL40" i="14" s="1"/>
  <c r="AL36" i="14" a="1"/>
  <c r="AL36" i="14" s="1"/>
  <c r="AK23" i="14" a="1"/>
  <c r="AK23" i="14" s="1"/>
  <c r="AK31" i="14" a="1"/>
  <c r="AK31" i="14" s="1"/>
  <c r="AK108" i="14" a="1"/>
  <c r="AK108" i="14" s="1"/>
  <c r="AK34" i="14" a="1"/>
  <c r="AK34" i="14" s="1"/>
  <c r="AK72" i="22" a="1"/>
  <c r="AK72" i="22" s="1"/>
  <c r="AP73" i="22" a="1"/>
  <c r="AP73" i="22" s="1"/>
  <c r="AL69" i="22" a="1"/>
  <c r="AL69" i="22" s="1"/>
  <c r="AL26" i="22" a="1"/>
  <c r="AL26" i="22" s="1"/>
  <c r="AL50" i="22" a="1"/>
  <c r="AL50" i="22" s="1"/>
  <c r="AL63" i="22" a="1"/>
  <c r="AL63" i="22" s="1"/>
  <c r="AL110" i="22" a="1"/>
  <c r="AL110" i="22" s="1"/>
  <c r="AK60" i="9" a="1"/>
  <c r="AK60" i="9" s="1"/>
  <c r="AK10" i="8" a="1"/>
  <c r="AK10" i="8" s="1"/>
  <c r="AK28" i="8" a="1"/>
  <c r="AK28" i="8" s="1"/>
  <c r="AK46" i="8" a="1"/>
  <c r="AK46" i="8" s="1"/>
  <c r="AK96" i="8" a="1"/>
  <c r="AK96" i="8" s="1"/>
  <c r="AK98" i="8" a="1"/>
  <c r="AK98" i="8" s="1"/>
  <c r="AK62" i="8" a="1"/>
  <c r="AK62" i="8" s="1"/>
  <c r="AM12" i="12" a="1"/>
  <c r="AM12" i="12" s="1"/>
  <c r="AN25" i="11" a="1"/>
  <c r="AN25" i="11" s="1"/>
  <c r="AN58" i="11" a="1"/>
  <c r="AN58" i="11" s="1"/>
  <c r="AN61" i="11" a="1"/>
  <c r="AN61" i="11" s="1"/>
  <c r="AN18" i="11" a="1"/>
  <c r="AN18" i="11" s="1"/>
  <c r="AN95" i="11" a="1"/>
  <c r="AN95" i="11" s="1"/>
  <c r="AN75" i="11" a="1"/>
  <c r="AN75" i="11" s="1"/>
  <c r="AK40" i="11" a="1"/>
  <c r="AK40" i="11" s="1"/>
  <c r="AK60" i="11" a="1"/>
  <c r="AK60" i="11" s="1"/>
  <c r="AK38" i="11" a="1"/>
  <c r="AK38" i="11" s="1"/>
  <c r="AK27" i="11" a="1"/>
  <c r="AK27" i="11" s="1"/>
  <c r="AK82" i="11" a="1"/>
  <c r="AK82" i="11" s="1"/>
  <c r="AK63" i="11" a="1"/>
  <c r="AK63" i="11" s="1"/>
  <c r="AM81" i="12" a="1"/>
  <c r="AM81" i="12" s="1"/>
  <c r="AN54" i="13" a="1"/>
  <c r="AN54" i="13" s="1"/>
  <c r="AN44" i="10" a="1"/>
  <c r="AN44" i="10" s="1"/>
  <c r="AK14" i="13" a="1"/>
  <c r="AK14" i="13" s="1"/>
  <c r="AK32" i="13" a="1"/>
  <c r="AK32" i="13" s="1"/>
  <c r="AK27" i="13" a="1"/>
  <c r="AK27" i="13" s="1"/>
  <c r="AK104" i="13" a="1"/>
  <c r="AK104" i="13" s="1"/>
  <c r="AK113" i="13" a="1"/>
  <c r="AK113" i="13" s="1"/>
  <c r="AS23" i="13" s="1"/>
  <c r="AK22" i="14" a="1"/>
  <c r="AK22" i="14" s="1"/>
  <c r="AK46" i="14" a="1"/>
  <c r="AK46" i="14" s="1"/>
  <c r="AK90" i="14" a="1"/>
  <c r="AK90" i="14" s="1"/>
  <c r="AK105" i="14" a="1"/>
  <c r="AK105" i="14" s="1"/>
  <c r="AK38" i="14" a="1"/>
  <c r="AK38" i="14" s="1"/>
  <c r="AK73" i="22" a="1"/>
  <c r="AK73" i="22" s="1"/>
  <c r="AP66" i="22" a="1"/>
  <c r="AP66" i="22" s="1"/>
  <c r="AL52" i="22" a="1"/>
  <c r="AL52" i="22" s="1"/>
  <c r="AL43" i="22" a="1"/>
  <c r="AL43" i="22" s="1"/>
  <c r="AL33" i="22" a="1"/>
  <c r="AL33" i="22" s="1"/>
  <c r="AL64" i="22" a="1"/>
  <c r="AL64" i="22" s="1"/>
  <c r="AL107" i="22" a="1"/>
  <c r="AL107" i="22" s="1"/>
  <c r="AK14" i="8" a="1"/>
  <c r="AK14" i="8" s="1"/>
  <c r="AK34" i="8" a="1"/>
  <c r="AK34" i="8" s="1"/>
  <c r="AK71" i="8" a="1"/>
  <c r="AK71" i="8" s="1"/>
  <c r="AK97" i="8" a="1"/>
  <c r="AK97" i="8" s="1"/>
  <c r="AK35" i="8" a="1"/>
  <c r="AK35" i="8" s="1"/>
  <c r="AK70" i="8" a="1"/>
  <c r="AK70" i="8" s="1"/>
  <c r="AN12" i="12" a="1"/>
  <c r="AN12" i="12" s="1"/>
  <c r="AN41" i="11" a="1"/>
  <c r="AN41" i="11" s="1"/>
  <c r="AN28" i="11" a="1"/>
  <c r="AN28" i="11" s="1"/>
  <c r="AN87" i="11" a="1"/>
  <c r="AN87" i="11" s="1"/>
  <c r="AN35" i="11" a="1"/>
  <c r="AN35" i="11" s="1"/>
  <c r="AN101" i="11" a="1"/>
  <c r="AN101" i="11" s="1"/>
  <c r="AN82" i="11" a="1"/>
  <c r="AN82" i="11" s="1"/>
  <c r="AK30" i="11" a="1"/>
  <c r="AK30" i="11" s="1"/>
  <c r="AK61" i="11" a="1"/>
  <c r="AK61" i="11" s="1"/>
  <c r="AK12" i="11" a="1"/>
  <c r="AK12" i="11" s="1"/>
  <c r="AK65" i="11" a="1"/>
  <c r="AK65" i="11" s="1"/>
  <c r="AK103" i="11" a="1"/>
  <c r="AK103" i="11" s="1"/>
  <c r="AK71" i="11" a="1"/>
  <c r="AK71" i="11" s="1"/>
  <c r="AM79" i="12" a="1"/>
  <c r="AM79" i="12" s="1"/>
  <c r="AK59" i="13" a="1"/>
  <c r="AK59" i="13" s="1"/>
  <c r="AK38" i="13" a="1"/>
  <c r="AK38" i="13" s="1"/>
  <c r="AK28" i="13" a="1"/>
  <c r="AK28" i="13" s="1"/>
  <c r="AK94" i="13" a="1"/>
  <c r="AK94" i="13" s="1"/>
  <c r="AK110" i="13" a="1"/>
  <c r="AK110" i="13" s="1"/>
  <c r="AK20" i="14" a="1"/>
  <c r="AK20" i="14" s="1"/>
  <c r="AK12" i="14" a="1"/>
  <c r="AK12" i="14" s="1"/>
  <c r="AK91" i="14" a="1"/>
  <c r="AK91" i="14" s="1"/>
  <c r="AK113" i="14" a="1"/>
  <c r="AK113" i="14" s="1"/>
  <c r="AK66" i="22" a="1"/>
  <c r="AK66" i="22" s="1"/>
  <c r="AL36" i="22" a="1"/>
  <c r="AL36" i="22" s="1"/>
  <c r="AL72" i="22" a="1"/>
  <c r="AL72" i="22" s="1"/>
  <c r="AL51" i="22" a="1"/>
  <c r="AL51" i="22" s="1"/>
  <c r="AL96" i="22" a="1"/>
  <c r="AL96" i="22" s="1"/>
  <c r="AL65" i="22" a="1"/>
  <c r="AL65" i="22" s="1"/>
  <c r="AK47" i="8" a="1"/>
  <c r="AK47" i="8" s="1"/>
  <c r="AK40" i="8" a="1"/>
  <c r="AK40" i="8" s="1"/>
  <c r="AK58" i="8" a="1"/>
  <c r="AK58" i="8" s="1"/>
  <c r="AK101" i="8" a="1"/>
  <c r="AK101" i="8" s="1"/>
  <c r="AK73" i="8" a="1"/>
  <c r="AK73" i="8" s="1"/>
  <c r="AN90" i="11" a="1"/>
  <c r="AN90" i="11" s="1"/>
  <c r="AN48" i="11" a="1"/>
  <c r="AN48" i="11" s="1"/>
  <c r="AN60" i="11" a="1"/>
  <c r="AN60" i="11" s="1"/>
  <c r="AK37" i="11" a="1"/>
  <c r="AK37" i="11" s="1"/>
  <c r="AK18" i="11" a="1"/>
  <c r="AK18" i="11" s="1"/>
  <c r="AK25" i="11" a="1"/>
  <c r="AK25" i="11" s="1"/>
  <c r="AK73" i="11" a="1"/>
  <c r="AK73" i="11" s="1"/>
  <c r="AK69" i="11" a="1"/>
  <c r="AK69" i="11" s="1"/>
  <c r="AN81" i="12" a="1"/>
  <c r="AN81" i="12" s="1"/>
  <c r="AK40" i="13" a="1"/>
  <c r="AK40" i="13" s="1"/>
  <c r="AK101" i="13" a="1"/>
  <c r="AK101" i="13" s="1"/>
  <c r="AK39" i="13" a="1"/>
  <c r="AK39" i="13" s="1"/>
  <c r="AK105" i="13" a="1"/>
  <c r="AK105" i="13" s="1"/>
  <c r="AS35" i="13" s="1"/>
  <c r="AK19" i="14" a="1"/>
  <c r="AK19" i="14" s="1"/>
  <c r="AK25" i="14" a="1"/>
  <c r="AK25" i="14" s="1"/>
  <c r="AK42" i="14" a="1"/>
  <c r="AK42" i="14" s="1"/>
  <c r="AK67" i="22" a="1"/>
  <c r="AK67" i="22" s="1"/>
  <c r="AL38" i="22" a="1"/>
  <c r="AL38" i="22" s="1"/>
  <c r="AL12" i="22" a="1"/>
  <c r="AL12" i="22" s="1"/>
  <c r="AL27" i="22" a="1"/>
  <c r="AL27" i="22" s="1"/>
  <c r="AL34" i="22" a="1"/>
  <c r="AL34" i="22" s="1"/>
  <c r="AL94" i="22" a="1"/>
  <c r="AL94" i="22" s="1"/>
  <c r="AK95" i="14" a="1"/>
  <c r="AK95" i="14" s="1"/>
  <c r="AK101" i="14" a="1"/>
  <c r="AK101" i="14" s="1"/>
  <c r="AK33" i="14" a="1"/>
  <c r="AK33" i="14" s="1"/>
  <c r="AL10" i="22" a="1"/>
  <c r="AL10" i="22" s="1"/>
  <c r="AL23" i="22" a="1"/>
  <c r="AL23" i="22" s="1"/>
  <c r="AL97" i="22" a="1"/>
  <c r="AL97" i="22" s="1"/>
  <c r="AL39" i="22" a="1"/>
  <c r="AL39" i="22" s="1"/>
  <c r="AO49" i="10" a="1"/>
  <c r="AO49" i="10" s="1"/>
  <c r="AK22" i="22" a="1"/>
  <c r="AK22" i="22" s="1"/>
  <c r="AO41" i="14" a="1"/>
  <c r="AO41" i="14" s="1"/>
  <c r="AO40" i="14" a="1"/>
  <c r="AO40" i="14" s="1"/>
  <c r="AO38" i="14" a="1"/>
  <c r="AO38" i="14" s="1"/>
  <c r="AK70" i="22" a="1"/>
  <c r="AK70" i="22" s="1"/>
  <c r="AO39" i="14" a="1"/>
  <c r="AO39" i="14" s="1"/>
  <c r="AL14" i="8" a="1"/>
  <c r="AL14" i="8" s="1"/>
  <c r="AO25" i="14" a="1"/>
  <c r="AO25" i="14" s="1"/>
  <c r="AK60" i="22" a="1"/>
  <c r="AK60" i="22" s="1"/>
  <c r="AK93" i="22" a="1"/>
  <c r="AK93" i="22" s="1"/>
  <c r="AK11" i="22" a="1"/>
  <c r="AK11" i="22" s="1"/>
  <c r="AK95" i="22" a="1"/>
  <c r="AK95" i="22" s="1"/>
  <c r="AK47" i="22" a="1"/>
  <c r="AK47" i="22" s="1"/>
  <c r="AK101" i="22" a="1"/>
  <c r="AK101" i="22" s="1"/>
  <c r="AK31" i="22" a="1"/>
  <c r="AK31" i="22" s="1"/>
  <c r="AK21" i="22" a="1"/>
  <c r="AK21" i="22" s="1"/>
  <c r="AK35" i="22" a="1"/>
  <c r="AK35" i="22" s="1"/>
  <c r="AK43" i="22" a="1"/>
  <c r="AK43" i="22" s="1"/>
  <c r="AK56" i="22" a="1"/>
  <c r="AK56" i="22" s="1"/>
  <c r="AK42" i="22" a="1"/>
  <c r="AK42" i="22" s="1"/>
  <c r="AK92" i="22" a="1"/>
  <c r="AK92" i="22" s="1"/>
  <c r="AK65" i="22" a="1"/>
  <c r="AK65" i="22" s="1"/>
  <c r="AK45" i="22" a="1"/>
  <c r="AK45" i="22" s="1"/>
  <c r="AK102" i="22" a="1"/>
  <c r="AK102" i="22" s="1"/>
  <c r="AK98" i="22" a="1"/>
  <c r="AK98" i="22" s="1"/>
  <c r="AK97" i="22" a="1"/>
  <c r="AK97" i="22" s="1"/>
  <c r="AK54" i="22" a="1"/>
  <c r="AK54" i="22" s="1"/>
  <c r="AK112" i="22" a="1"/>
  <c r="AK112" i="22" s="1"/>
  <c r="AK28" i="22" a="1"/>
  <c r="AK28" i="22" s="1"/>
  <c r="AK96" i="22" a="1"/>
  <c r="AK96" i="22" s="1"/>
  <c r="AK107" i="22" a="1"/>
  <c r="AK107" i="22" s="1"/>
  <c r="AK51" i="22" a="1"/>
  <c r="AK51" i="22" s="1"/>
  <c r="AK46" i="22" a="1"/>
  <c r="AK46" i="22" s="1"/>
  <c r="AK49" i="22" a="1"/>
  <c r="AK49" i="22" s="1"/>
  <c r="AK64" i="22" a="1"/>
  <c r="AK64" i="22" s="1"/>
  <c r="AK10" i="22" a="1"/>
  <c r="AK10" i="22" s="1"/>
  <c r="AK103" i="22" a="1"/>
  <c r="AK103" i="22" s="1"/>
  <c r="AK90" i="22" a="1"/>
  <c r="AK90" i="22" s="1"/>
  <c r="AK34" i="22" a="1"/>
  <c r="AK34" i="22" s="1"/>
  <c r="AK108" i="22" a="1"/>
  <c r="AK108" i="22" s="1"/>
  <c r="AK29" i="22" a="1"/>
  <c r="AK29" i="22" s="1"/>
  <c r="AK48" i="22" a="1"/>
  <c r="AK48" i="22" s="1"/>
  <c r="AK27" i="22" a="1"/>
  <c r="AK27" i="22" s="1"/>
  <c r="AK50" i="22" a="1"/>
  <c r="AK50" i="22" s="1"/>
  <c r="AK20" i="22" a="1"/>
  <c r="AK20" i="22" s="1"/>
  <c r="AK36" i="22" a="1"/>
  <c r="AK36" i="22" s="1"/>
  <c r="AK37" i="22" a="1"/>
  <c r="AK37" i="22" s="1"/>
  <c r="AK58" i="22" a="1"/>
  <c r="AK58" i="22" s="1"/>
  <c r="AK94" i="22" a="1"/>
  <c r="AK94" i="22" s="1"/>
  <c r="AK52" i="22" a="1"/>
  <c r="AK52" i="22" s="1"/>
  <c r="AK19" i="22" a="1"/>
  <c r="AK19" i="22" s="1"/>
  <c r="AK91" i="22" a="1"/>
  <c r="AK91" i="22" s="1"/>
  <c r="AK105" i="22" a="1"/>
  <c r="AK105" i="22" s="1"/>
  <c r="AK99" i="22" a="1"/>
  <c r="AK99" i="22" s="1"/>
  <c r="AK33" i="22" a="1"/>
  <c r="AK33" i="22" s="1"/>
  <c r="AK59" i="22" a="1"/>
  <c r="AK59" i="22" s="1"/>
  <c r="AK40" i="22" a="1"/>
  <c r="AK40" i="22" s="1"/>
  <c r="AK38" i="22" a="1"/>
  <c r="AK38" i="22" s="1"/>
  <c r="AK53" i="22" a="1"/>
  <c r="AK53" i="22" s="1"/>
  <c r="AK32" i="22" a="1"/>
  <c r="AK32" i="22" s="1"/>
  <c r="AK106" i="22" a="1"/>
  <c r="AK106" i="22" s="1"/>
  <c r="AK39" i="22" a="1"/>
  <c r="AK39" i="22" s="1"/>
  <c r="AK63" i="22" a="1"/>
  <c r="AK63" i="22" s="1"/>
  <c r="AK30" i="22" a="1"/>
  <c r="AK30" i="22" s="1"/>
  <c r="AK55" i="22" a="1"/>
  <c r="AK55" i="22" s="1"/>
  <c r="AK57" i="22" a="1"/>
  <c r="AK57" i="22" s="1"/>
  <c r="AK110" i="22" a="1"/>
  <c r="AK110" i="22" s="1"/>
  <c r="AK62" i="22" a="1"/>
  <c r="AK62" i="22" s="1"/>
  <c r="AK18" i="22" a="1"/>
  <c r="AK18" i="22" s="1"/>
  <c r="AK44" i="22" a="1"/>
  <c r="AK44" i="22" s="1"/>
  <c r="AK104" i="22" a="1"/>
  <c r="AK104" i="22" s="1"/>
  <c r="AK61" i="22" a="1"/>
  <c r="AK61" i="22" s="1"/>
  <c r="AK109" i="22" a="1"/>
  <c r="AK109" i="22" s="1"/>
  <c r="AK111" i="22" a="1"/>
  <c r="AK111" i="22" s="1"/>
  <c r="AK26" i="22" a="1"/>
  <c r="AK26" i="22" s="1"/>
  <c r="AK113" i="22" a="1"/>
  <c r="AK113" i="22" s="1"/>
  <c r="AK100" i="22" a="1"/>
  <c r="AK100" i="22" s="1"/>
  <c r="AK41" i="22" a="1"/>
  <c r="AK41" i="22" s="1"/>
  <c r="AK50" i="9" a="1"/>
  <c r="AK50" i="9" s="1"/>
  <c r="AK111" i="9" a="1"/>
  <c r="AK111" i="9" s="1"/>
  <c r="AK33" i="9" a="1"/>
  <c r="AK33" i="9" s="1"/>
  <c r="AK34" i="9" a="1"/>
  <c r="AK34" i="9" s="1"/>
  <c r="AK102" i="9" a="1"/>
  <c r="AK102" i="9" s="1"/>
  <c r="AK94" i="9" a="1"/>
  <c r="AK94" i="9" s="1"/>
  <c r="AK10" i="9" a="1"/>
  <c r="AK10" i="9" s="1"/>
  <c r="AK109" i="9" a="1"/>
  <c r="AK109" i="9" s="1"/>
  <c r="AK48" i="9" a="1"/>
  <c r="AK48" i="9" s="1"/>
  <c r="AK37" i="9" a="1"/>
  <c r="AK37" i="9" s="1"/>
  <c r="AK47" i="9" a="1"/>
  <c r="AK47" i="9" s="1"/>
  <c r="AK40" i="9" a="1"/>
  <c r="AK40" i="9" s="1"/>
  <c r="AK42" i="9" a="1"/>
  <c r="AK42" i="9" s="1"/>
  <c r="AK45" i="9" a="1"/>
  <c r="AK45" i="9" s="1"/>
  <c r="AK113" i="9" a="1"/>
  <c r="AK113" i="9" s="1"/>
  <c r="AK30" i="9" a="1"/>
  <c r="AK30" i="9" s="1"/>
  <c r="AK22" i="9" a="1"/>
  <c r="AK22" i="9" s="1"/>
  <c r="AK110" i="9" a="1"/>
  <c r="AK110" i="9" s="1"/>
  <c r="AK95" i="9" a="1"/>
  <c r="AK95" i="9" s="1"/>
  <c r="AK24" i="9" a="1"/>
  <c r="AK24" i="9" s="1"/>
  <c r="AK25" i="9" a="1"/>
  <c r="AK25" i="9" s="1"/>
  <c r="AK57" i="9" a="1"/>
  <c r="AK57" i="9" s="1"/>
  <c r="AK46" i="9" a="1"/>
  <c r="AK46" i="9" s="1"/>
  <c r="AK44" i="9" a="1"/>
  <c r="AK44" i="9" s="1"/>
  <c r="AK56" i="9" a="1"/>
  <c r="AK56" i="9" s="1"/>
  <c r="AK106" i="9" a="1"/>
  <c r="AK106" i="9" s="1"/>
  <c r="AK26" i="9" a="1"/>
  <c r="AK26" i="9" s="1"/>
  <c r="AK32" i="9" a="1"/>
  <c r="AK32" i="9" s="1"/>
  <c r="AK49" i="9" a="1"/>
  <c r="AK49" i="9" s="1"/>
  <c r="AK21" i="9" a="1"/>
  <c r="AK21" i="9" s="1"/>
  <c r="AK35" i="9" a="1"/>
  <c r="AK35" i="9" s="1"/>
  <c r="AK28" i="9" a="1"/>
  <c r="AK28" i="9" s="1"/>
  <c r="AK100" i="9" a="1"/>
  <c r="AK100" i="9" s="1"/>
  <c r="AK93" i="9" a="1"/>
  <c r="AK93" i="9" s="1"/>
  <c r="AK43" i="9" a="1"/>
  <c r="AK43" i="9" s="1"/>
  <c r="AK105" i="9" a="1"/>
  <c r="AK105" i="9" s="1"/>
  <c r="AK96" i="9" a="1"/>
  <c r="AK96" i="9" s="1"/>
  <c r="AK108" i="9" a="1"/>
  <c r="AK108" i="9" s="1"/>
  <c r="AK20" i="9" a="1"/>
  <c r="AK20" i="9" s="1"/>
  <c r="AK92" i="9" a="1"/>
  <c r="AK92" i="9" s="1"/>
  <c r="AK91" i="9" a="1"/>
  <c r="AK91" i="9" s="1"/>
  <c r="AK51" i="9" a="1"/>
  <c r="AK51" i="9" s="1"/>
  <c r="AK107" i="9" a="1"/>
  <c r="AK107" i="9" s="1"/>
  <c r="AK18" i="9" a="1"/>
  <c r="AK18" i="9" s="1"/>
  <c r="AK52" i="9" a="1"/>
  <c r="AK52" i="9" s="1"/>
  <c r="AK11" i="9" a="1"/>
  <c r="AK11" i="9" s="1"/>
  <c r="AK90" i="9" a="1"/>
  <c r="AK90" i="9" s="1"/>
  <c r="AK98" i="9" a="1"/>
  <c r="AK98" i="9" s="1"/>
  <c r="AK54" i="9" a="1"/>
  <c r="AK54" i="9" s="1"/>
  <c r="AK104" i="9" a="1"/>
  <c r="AK104" i="9" s="1"/>
  <c r="AK101" i="9" a="1"/>
  <c r="AK101" i="9" s="1"/>
  <c r="AK55" i="9" a="1"/>
  <c r="AK55" i="9" s="1"/>
  <c r="AK31" i="9" a="1"/>
  <c r="AK31" i="9" s="1"/>
  <c r="AK97" i="9" a="1"/>
  <c r="AK97" i="9" s="1"/>
  <c r="AK36" i="9" a="1"/>
  <c r="AK36" i="9" s="1"/>
  <c r="AK23" i="9" a="1"/>
  <c r="AK23" i="9" s="1"/>
  <c r="AK99" i="9" a="1"/>
  <c r="AK99" i="9" s="1"/>
  <c r="AK38" i="9" a="1"/>
  <c r="AK38" i="9" s="1"/>
  <c r="AK19" i="9" a="1"/>
  <c r="AK19" i="9" s="1"/>
  <c r="AK27" i="9" a="1"/>
  <c r="AK27" i="9" s="1"/>
  <c r="AK112" i="9" a="1"/>
  <c r="AK112" i="9" s="1"/>
  <c r="AK39" i="9" a="1"/>
  <c r="AK39" i="9" s="1"/>
  <c r="AK41" i="9" a="1"/>
  <c r="AK41" i="9" s="1"/>
  <c r="AK103" i="9" a="1"/>
  <c r="AK103" i="9" s="1"/>
  <c r="AK53" i="9" a="1"/>
  <c r="AK53" i="9" s="1"/>
  <c r="AK29" i="9" a="1"/>
  <c r="AK29" i="9" s="1"/>
  <c r="AL106" i="11" a="1"/>
  <c r="AL106" i="11" s="1"/>
  <c r="AL104" i="11" a="1"/>
  <c r="AL104" i="11" s="1"/>
  <c r="AL95" i="11" a="1"/>
  <c r="AL95" i="11" s="1"/>
  <c r="AL44" i="11" a="1"/>
  <c r="AL44" i="11" s="1"/>
  <c r="AL47" i="11" a="1"/>
  <c r="AL47" i="11" s="1"/>
  <c r="AL28" i="11" a="1"/>
  <c r="AL28" i="11" s="1"/>
  <c r="AL74" i="11" a="1"/>
  <c r="AL74" i="11" s="1"/>
  <c r="AL103" i="11" a="1"/>
  <c r="AL103" i="11" s="1"/>
  <c r="AL85" i="11" a="1"/>
  <c r="AL85" i="11" s="1"/>
  <c r="AL23" i="11" a="1"/>
  <c r="AL23" i="11" s="1"/>
  <c r="AL33" i="11" a="1"/>
  <c r="AL33" i="11" s="1"/>
  <c r="AL26" i="11" a="1"/>
  <c r="AL26" i="11" s="1"/>
  <c r="AL66" i="11" a="1"/>
  <c r="AL66" i="11" s="1"/>
  <c r="AL82" i="11" a="1"/>
  <c r="AL82" i="11" s="1"/>
  <c r="AL89" i="11" a="1"/>
  <c r="AL89" i="11" s="1"/>
  <c r="AL52" i="11" a="1"/>
  <c r="AL52" i="11" s="1"/>
  <c r="AL80" i="11" a="1"/>
  <c r="AL80" i="11" s="1"/>
  <c r="AL21" i="11" a="1"/>
  <c r="AL21" i="11" s="1"/>
  <c r="AL108" i="11" a="1"/>
  <c r="AL108" i="11" s="1"/>
  <c r="AL109" i="11" a="1"/>
  <c r="AL109" i="11" s="1"/>
  <c r="AL76" i="11" a="1"/>
  <c r="AL76" i="11" s="1"/>
  <c r="AL41" i="11" a="1"/>
  <c r="AL41" i="11" s="1"/>
  <c r="AL59" i="11" a="1"/>
  <c r="AL59" i="11" s="1"/>
  <c r="AL58" i="11" a="1"/>
  <c r="AL58" i="11" s="1"/>
  <c r="AL107" i="11" a="1"/>
  <c r="AL107" i="11" s="1"/>
  <c r="AL97" i="11" a="1"/>
  <c r="AL97" i="11" s="1"/>
  <c r="AL68" i="11" a="1"/>
  <c r="AL68" i="11" s="1"/>
  <c r="AL48" i="11" a="1"/>
  <c r="AL48" i="11" s="1"/>
  <c r="AL55" i="11" a="1"/>
  <c r="AL55" i="11" s="1"/>
  <c r="AL27" i="11" a="1"/>
  <c r="AL27" i="11" s="1"/>
  <c r="AL105" i="11" a="1"/>
  <c r="AL105" i="11" s="1"/>
  <c r="AL91" i="11" a="1"/>
  <c r="AL91" i="11" s="1"/>
  <c r="AL60" i="11" a="1"/>
  <c r="AL60" i="11" s="1"/>
  <c r="AL56" i="11" a="1"/>
  <c r="AL56" i="11" s="1"/>
  <c r="AL32" i="11" a="1"/>
  <c r="AL32" i="11" s="1"/>
  <c r="AL71" i="11" a="1"/>
  <c r="AL71" i="11" s="1"/>
  <c r="AL99" i="11" a="1"/>
  <c r="AL99" i="11" s="1"/>
  <c r="AL86" i="11" a="1"/>
  <c r="AL86" i="11" s="1"/>
  <c r="AL94" i="11" a="1"/>
  <c r="AL94" i="11" s="1"/>
  <c r="AL36" i="11" a="1"/>
  <c r="AL36" i="11" s="1"/>
  <c r="AL20" i="11" a="1"/>
  <c r="AL20" i="11" s="1"/>
  <c r="AL67" i="11" a="1"/>
  <c r="AL67" i="11" s="1"/>
  <c r="AL88" i="11" a="1"/>
  <c r="AL88" i="11" s="1"/>
  <c r="AL78" i="11" a="1"/>
  <c r="AL78" i="11" s="1"/>
  <c r="AL49" i="11" a="1"/>
  <c r="AL49" i="11" s="1"/>
  <c r="AL101" i="11" a="1"/>
  <c r="AL101" i="11" s="1"/>
  <c r="AL64" i="11" a="1"/>
  <c r="AL64" i="11" s="1"/>
  <c r="AL100" i="11" a="1"/>
  <c r="AL100" i="11" s="1"/>
  <c r="AL42" i="11" a="1"/>
  <c r="AL42" i="11" s="1"/>
  <c r="AL87" i="11" a="1"/>
  <c r="AL87" i="11" s="1"/>
  <c r="AL70" i="11" a="1"/>
  <c r="AL70" i="11" s="1"/>
  <c r="AL45" i="11" a="1"/>
  <c r="AL45" i="11" s="1"/>
  <c r="AL43" i="11" a="1"/>
  <c r="AL43" i="11" s="1"/>
  <c r="AL63" i="11" a="1"/>
  <c r="AL63" i="11" s="1"/>
  <c r="AL46" i="11" a="1"/>
  <c r="AL46" i="11" s="1"/>
  <c r="AL77" i="11" a="1"/>
  <c r="AL77" i="11" s="1"/>
  <c r="AL62" i="11" a="1"/>
  <c r="AL62" i="11" s="1"/>
  <c r="AL25" i="11" a="1"/>
  <c r="AL25" i="11" s="1"/>
  <c r="AL35" i="11" a="1"/>
  <c r="AL35" i="11" s="1"/>
  <c r="AL31" i="11" a="1"/>
  <c r="AL31" i="11" s="1"/>
  <c r="AL22" i="11" a="1"/>
  <c r="AL22" i="11" s="1"/>
  <c r="AL69" i="11" a="1"/>
  <c r="AL69" i="11" s="1"/>
  <c r="AL102" i="11" a="1"/>
  <c r="AL102" i="11" s="1"/>
  <c r="AL84" i="11" a="1"/>
  <c r="AL84" i="11" s="1"/>
  <c r="AL18" i="11" a="1"/>
  <c r="AL18" i="11" s="1"/>
  <c r="AL37" i="11" a="1"/>
  <c r="AL37" i="11" s="1"/>
  <c r="AL29" i="11" a="1"/>
  <c r="AL29" i="11" s="1"/>
  <c r="AL112" i="11" a="1"/>
  <c r="AL112" i="11" s="1"/>
  <c r="AL92" i="11" a="1"/>
  <c r="AL92" i="11" s="1"/>
  <c r="AL81" i="11" a="1"/>
  <c r="AL81" i="11" s="1"/>
  <c r="AL53" i="11" a="1"/>
  <c r="AL53" i="11" s="1"/>
  <c r="AL39" i="11" a="1"/>
  <c r="AL39" i="11" s="1"/>
  <c r="AL75" i="11" a="1"/>
  <c r="AL75" i="11" s="1"/>
  <c r="AL110" i="11" a="1"/>
  <c r="AL110" i="11" s="1"/>
  <c r="AL83" i="11" a="1"/>
  <c r="AL83" i="11" s="1"/>
  <c r="AL73" i="11" a="1"/>
  <c r="AL73" i="11" s="1"/>
  <c r="AL38" i="11" a="1"/>
  <c r="AL38" i="11" s="1"/>
  <c r="AL34" i="11" a="1"/>
  <c r="AL34" i="11" s="1"/>
  <c r="AL54" i="11" a="1"/>
  <c r="AL54" i="11" s="1"/>
  <c r="AL113" i="11" a="1"/>
  <c r="AL113" i="11" s="1"/>
  <c r="AL98" i="11" a="1"/>
  <c r="AL98" i="11" s="1"/>
  <c r="AL65" i="11" a="1"/>
  <c r="AL65" i="11" s="1"/>
  <c r="AL24" i="11" a="1"/>
  <c r="AL24" i="11" s="1"/>
  <c r="AL19" i="11" a="1"/>
  <c r="AL19" i="11" s="1"/>
  <c r="AL50" i="11" a="1"/>
  <c r="AL50" i="11" s="1"/>
  <c r="AL111" i="11" a="1"/>
  <c r="AL111" i="11" s="1"/>
  <c r="AL72" i="11" a="1"/>
  <c r="AL72" i="11" s="1"/>
  <c r="AL96" i="11" a="1"/>
  <c r="AL96" i="11" s="1"/>
  <c r="AL79" i="11" a="1"/>
  <c r="AL79" i="11" s="1"/>
  <c r="AL61" i="11" a="1"/>
  <c r="AL61" i="11" s="1"/>
  <c r="AL40" i="11" a="1"/>
  <c r="AL40" i="11" s="1"/>
  <c r="AL93" i="11" a="1"/>
  <c r="AL93" i="11" s="1"/>
  <c r="AL90" i="11" a="1"/>
  <c r="AL90" i="11" s="1"/>
  <c r="AL57" i="11" a="1"/>
  <c r="AL57" i="11" s="1"/>
  <c r="AL51" i="11" a="1"/>
  <c r="AL51" i="11" s="1"/>
  <c r="AL30" i="11" a="1"/>
  <c r="AL30" i="11" s="1"/>
  <c r="AL10" i="11" a="1"/>
  <c r="AL10" i="11" s="1"/>
  <c r="AL11" i="11" a="1"/>
  <c r="AL11" i="11" s="1"/>
  <c r="AM38" i="12" a="1"/>
  <c r="AM38" i="12" s="1"/>
  <c r="AM48" i="12" a="1"/>
  <c r="AM48" i="12" s="1"/>
  <c r="AM57" i="12" a="1"/>
  <c r="AM57" i="12" s="1"/>
  <c r="AM68" i="12" a="1"/>
  <c r="AM68" i="12" s="1"/>
  <c r="AM112" i="12" a="1"/>
  <c r="AM112" i="12" s="1"/>
  <c r="AM53" i="12" a="1"/>
  <c r="AM53" i="12" s="1"/>
  <c r="AM109" i="12" a="1"/>
  <c r="AM109" i="12" s="1"/>
  <c r="AM96" i="12" a="1"/>
  <c r="AM96" i="12" s="1"/>
  <c r="AM47" i="12" a="1"/>
  <c r="AM47" i="12" s="1"/>
  <c r="AM65" i="12" a="1"/>
  <c r="AM65" i="12" s="1"/>
  <c r="AM93" i="12" a="1"/>
  <c r="AM93" i="12" s="1"/>
  <c r="AM55" i="12" a="1"/>
  <c r="AM55" i="12" s="1"/>
  <c r="AM58" i="12" a="1"/>
  <c r="AM58" i="12" s="1"/>
  <c r="AM34" i="12" a="1"/>
  <c r="AM34" i="12" s="1"/>
  <c r="AM105" i="12" a="1"/>
  <c r="AM105" i="12" s="1"/>
  <c r="AM33" i="12" a="1"/>
  <c r="AM33" i="12" s="1"/>
  <c r="AM19" i="12" a="1"/>
  <c r="AM19" i="12" s="1"/>
  <c r="AM98" i="12" a="1"/>
  <c r="AM98" i="12" s="1"/>
  <c r="AM29" i="12" a="1"/>
  <c r="AM29" i="12" s="1"/>
  <c r="AM63" i="12" a="1"/>
  <c r="AM63" i="12" s="1"/>
  <c r="AM61" i="12" a="1"/>
  <c r="AM61" i="12" s="1"/>
  <c r="AM40" i="12" a="1"/>
  <c r="AM40" i="12" s="1"/>
  <c r="AM99" i="12" a="1"/>
  <c r="AM99" i="12" s="1"/>
  <c r="AM67" i="12" a="1"/>
  <c r="AM67" i="12" s="1"/>
  <c r="AM37" i="12" a="1"/>
  <c r="AM37" i="12" s="1"/>
  <c r="AM51" i="12" a="1"/>
  <c r="AM51" i="12" s="1"/>
  <c r="AM101" i="12" a="1"/>
  <c r="AM101" i="12" s="1"/>
  <c r="AM70" i="12" a="1"/>
  <c r="AM70" i="12" s="1"/>
  <c r="AM36" i="12" a="1"/>
  <c r="AM36" i="12" s="1"/>
  <c r="AM26" i="12" a="1"/>
  <c r="AM26" i="12" s="1"/>
  <c r="AM113" i="12" a="1"/>
  <c r="AM113" i="12" s="1"/>
  <c r="AM106" i="12" a="1"/>
  <c r="AM106" i="12" s="1"/>
  <c r="AM43" i="12" a="1"/>
  <c r="AM43" i="12" s="1"/>
  <c r="AM107" i="12" a="1"/>
  <c r="AM107" i="12" s="1"/>
  <c r="AM44" i="12" a="1"/>
  <c r="AM44" i="12" s="1"/>
  <c r="AM108" i="12" a="1"/>
  <c r="AM108" i="12" s="1"/>
  <c r="AM104" i="12" a="1"/>
  <c r="AM104" i="12" s="1"/>
  <c r="AM21" i="12" a="1"/>
  <c r="AM21" i="12" s="1"/>
  <c r="AM52" i="12" a="1"/>
  <c r="AM52" i="12" s="1"/>
  <c r="AM103" i="12" a="1"/>
  <c r="AM103" i="12" s="1"/>
  <c r="AM69" i="12" a="1"/>
  <c r="AM69" i="12" s="1"/>
  <c r="AM71" i="12" a="1"/>
  <c r="AM71" i="12" s="1"/>
  <c r="AM97" i="12" a="1"/>
  <c r="AM97" i="12" s="1"/>
  <c r="AM45" i="12" a="1"/>
  <c r="AM45" i="12" s="1"/>
  <c r="AM102" i="12" a="1"/>
  <c r="AM102" i="12" s="1"/>
  <c r="AM111" i="12" a="1"/>
  <c r="AM111" i="12" s="1"/>
  <c r="AM110" i="12" a="1"/>
  <c r="AM110" i="12" s="1"/>
  <c r="AM100" i="12" a="1"/>
  <c r="AM100" i="12" s="1"/>
  <c r="AM72" i="12" a="1"/>
  <c r="AM72" i="12" s="1"/>
  <c r="AM35" i="12" a="1"/>
  <c r="AM35" i="12" s="1"/>
  <c r="AM42" i="12" a="1"/>
  <c r="AM42" i="12" s="1"/>
  <c r="AM62" i="12" a="1"/>
  <c r="AM62" i="12" s="1"/>
  <c r="AM18" i="12" a="1"/>
  <c r="AM18" i="12" s="1"/>
  <c r="AM90" i="12" a="1"/>
  <c r="AM90" i="12" s="1"/>
  <c r="AM64" i="12" a="1"/>
  <c r="AM64" i="12" s="1"/>
  <c r="AM27" i="12" a="1"/>
  <c r="AM27" i="12" s="1"/>
  <c r="AM92" i="12" a="1"/>
  <c r="AM92" i="12" s="1"/>
  <c r="AM32" i="12" a="1"/>
  <c r="AM32" i="12" s="1"/>
  <c r="AM46" i="12" a="1"/>
  <c r="AM46" i="12" s="1"/>
  <c r="AM73" i="12" a="1"/>
  <c r="AM73" i="12" s="1"/>
  <c r="AM91" i="12" a="1"/>
  <c r="AM91" i="12" s="1"/>
  <c r="AM28" i="12" a="1"/>
  <c r="AM28" i="12" s="1"/>
  <c r="AM60" i="12" a="1"/>
  <c r="AM60" i="12" s="1"/>
  <c r="AM39" i="12" a="1"/>
  <c r="AM39" i="12" s="1"/>
  <c r="AM20" i="12" a="1"/>
  <c r="AM20" i="12" s="1"/>
  <c r="AM50" i="12" a="1"/>
  <c r="AM50" i="12" s="1"/>
  <c r="AM95" i="12" a="1"/>
  <c r="AM95" i="12" s="1"/>
  <c r="AM49" i="12" a="1"/>
  <c r="AM49" i="12" s="1"/>
  <c r="AM54" i="12" a="1"/>
  <c r="AM54" i="12" s="1"/>
  <c r="AM56" i="12" a="1"/>
  <c r="AM56" i="12" s="1"/>
  <c r="AM94" i="12" a="1"/>
  <c r="AM94" i="12" s="1"/>
  <c r="AM10" i="12" a="1"/>
  <c r="AM10" i="12" s="1"/>
  <c r="AM41" i="12" a="1"/>
  <c r="AM41" i="12" s="1"/>
  <c r="AM30" i="12" a="1"/>
  <c r="AM30" i="12" s="1"/>
  <c r="AM11" i="12" a="1"/>
  <c r="AM11" i="12" s="1"/>
  <c r="AM31" i="12" a="1"/>
  <c r="AM31" i="12" s="1"/>
  <c r="AM59" i="12" a="1"/>
  <c r="AM59" i="12" s="1"/>
  <c r="AM66" i="12" a="1"/>
  <c r="AM66" i="12" s="1"/>
  <c r="AK112" i="10" a="1"/>
  <c r="AK112" i="10" s="1"/>
  <c r="AK102" i="10" a="1"/>
  <c r="AK102" i="10" s="1"/>
  <c r="AK40" i="10" a="1"/>
  <c r="AK40" i="10" s="1"/>
  <c r="AK11" i="10" a="1"/>
  <c r="AK11" i="10" s="1"/>
  <c r="AK104" i="10" a="1"/>
  <c r="AK104" i="10" s="1"/>
  <c r="AK108" i="10" a="1"/>
  <c r="AK108" i="10" s="1"/>
  <c r="AK24" i="10" a="1"/>
  <c r="AK24" i="10" s="1"/>
  <c r="AK34" i="10" a="1"/>
  <c r="AK34" i="10" s="1"/>
  <c r="AK107" i="10" a="1"/>
  <c r="AK107" i="10" s="1"/>
  <c r="AK92" i="10" a="1"/>
  <c r="AK92" i="10" s="1"/>
  <c r="AK101" i="10" a="1"/>
  <c r="AK101" i="10" s="1"/>
  <c r="AK12" i="10" a="1"/>
  <c r="AK12" i="10" s="1"/>
  <c r="AK91" i="10" a="1"/>
  <c r="AK91" i="10" s="1"/>
  <c r="AK30" i="10" a="1"/>
  <c r="AK30" i="10" s="1"/>
  <c r="AK23" i="10" a="1"/>
  <c r="AK23" i="10" s="1"/>
  <c r="AK25" i="10" a="1"/>
  <c r="AK25" i="10" s="1"/>
  <c r="AK110" i="10" a="1"/>
  <c r="AK110" i="10" s="1"/>
  <c r="AK95" i="10" a="1"/>
  <c r="AK95" i="10" s="1"/>
  <c r="AK49" i="10" a="1"/>
  <c r="AK49" i="10" s="1"/>
  <c r="AK48" i="10" a="1"/>
  <c r="AK48" i="10" s="1"/>
  <c r="AK94" i="10" a="1"/>
  <c r="AK94" i="10" s="1"/>
  <c r="AK45" i="10" a="1"/>
  <c r="AK45" i="10" s="1"/>
  <c r="AK44" i="10" a="1"/>
  <c r="AK44" i="10" s="1"/>
  <c r="AK43" i="10" a="1"/>
  <c r="AK43" i="10" s="1"/>
  <c r="AK97" i="10" a="1"/>
  <c r="AK97" i="10" s="1"/>
  <c r="AK29" i="10" a="1"/>
  <c r="AK29" i="10" s="1"/>
  <c r="AK46" i="10" a="1"/>
  <c r="AK46" i="10" s="1"/>
  <c r="AK19" i="10" a="1"/>
  <c r="AK19" i="10" s="1"/>
  <c r="AK100" i="10" a="1"/>
  <c r="AK100" i="10" s="1"/>
  <c r="AK21" i="10" a="1"/>
  <c r="AK21" i="10" s="1"/>
  <c r="AK18" i="10" a="1"/>
  <c r="AK18" i="10" s="1"/>
  <c r="AK31" i="10" a="1"/>
  <c r="AK31" i="10" s="1"/>
  <c r="AK35" i="10" a="1"/>
  <c r="AK35" i="10" s="1"/>
  <c r="AK28" i="10" a="1"/>
  <c r="AK28" i="10" s="1"/>
  <c r="AK37" i="10" a="1"/>
  <c r="AK37" i="10" s="1"/>
  <c r="AK22" i="10" a="1"/>
  <c r="AK22" i="10" s="1"/>
  <c r="AK106" i="10" a="1"/>
  <c r="AK106" i="10" s="1"/>
  <c r="AK111" i="10" a="1"/>
  <c r="AK111" i="10" s="1"/>
  <c r="AK41" i="10" a="1"/>
  <c r="AK41" i="10" s="1"/>
  <c r="AK20" i="10" a="1"/>
  <c r="AK20" i="10" s="1"/>
  <c r="AK103" i="10" a="1"/>
  <c r="AK103" i="10" s="1"/>
  <c r="AK27" i="10" a="1"/>
  <c r="AK27" i="10" s="1"/>
  <c r="AK105" i="10" a="1"/>
  <c r="AK105" i="10" s="1"/>
  <c r="AK113" i="10" a="1"/>
  <c r="AK113" i="10" s="1"/>
  <c r="AK90" i="10" a="1"/>
  <c r="AK90" i="10" s="1"/>
  <c r="AK98" i="10" a="1"/>
  <c r="AK98" i="10" s="1"/>
  <c r="AK39" i="10" a="1"/>
  <c r="AK39" i="10" s="1"/>
  <c r="AK109" i="10" a="1"/>
  <c r="AK109" i="10" s="1"/>
  <c r="AK38" i="10" a="1"/>
  <c r="AK38" i="10" s="1"/>
  <c r="AK10" i="10" a="1"/>
  <c r="AK10" i="10" s="1"/>
  <c r="AK93" i="10" a="1"/>
  <c r="AK93" i="10" s="1"/>
  <c r="AK36" i="10" a="1"/>
  <c r="AK36" i="10" s="1"/>
  <c r="AK33" i="10" a="1"/>
  <c r="AK33" i="10" s="1"/>
  <c r="AK96" i="10" a="1"/>
  <c r="AK96" i="10" s="1"/>
  <c r="AK47" i="10" a="1"/>
  <c r="AK47" i="10" s="1"/>
  <c r="AK32" i="10" a="1"/>
  <c r="AK32" i="10" s="1"/>
  <c r="AK99" i="10" a="1"/>
  <c r="AK99" i="10" s="1"/>
  <c r="AK42" i="10" a="1"/>
  <c r="AK42" i="10" s="1"/>
  <c r="AK26" i="10" a="1"/>
  <c r="AK26" i="10" s="1"/>
  <c r="AL29" i="13" a="1"/>
  <c r="AL29" i="13" s="1"/>
  <c r="AL91" i="13" a="1"/>
  <c r="AL91" i="13" s="1"/>
  <c r="AL109" i="13" a="1"/>
  <c r="AL109" i="13" s="1"/>
  <c r="AL51" i="13" a="1"/>
  <c r="AL51" i="13" s="1"/>
  <c r="AL101" i="13" a="1"/>
  <c r="AL101" i="13" s="1"/>
  <c r="AL27" i="13" a="1"/>
  <c r="AL27" i="13" s="1"/>
  <c r="AL108" i="13" a="1"/>
  <c r="AL108" i="13" s="1"/>
  <c r="AL39" i="13" a="1"/>
  <c r="AL39" i="13" s="1"/>
  <c r="AL33" i="13" a="1"/>
  <c r="AL33" i="13" s="1"/>
  <c r="AT26" i="13" s="1"/>
  <c r="AL22" i="13" a="1"/>
  <c r="AL22" i="13" s="1"/>
  <c r="AL107" i="13" a="1"/>
  <c r="AL107" i="13" s="1"/>
  <c r="AL28" i="13" a="1"/>
  <c r="AL28" i="13" s="1"/>
  <c r="AL20" i="13" a="1"/>
  <c r="AL20" i="13" s="1"/>
  <c r="AL48" i="13" a="1"/>
  <c r="AL48" i="13" s="1"/>
  <c r="AL97" i="13" a="1"/>
  <c r="AL97" i="13" s="1"/>
  <c r="AT34" i="13" s="1"/>
  <c r="AL100" i="13" a="1"/>
  <c r="AL100" i="13" s="1"/>
  <c r="AL98" i="13" a="1"/>
  <c r="AL98" i="13" s="1"/>
  <c r="AL25" i="13" a="1"/>
  <c r="AL25" i="13" s="1"/>
  <c r="AT25" i="13" s="1"/>
  <c r="AL106" i="13" a="1"/>
  <c r="AL106" i="13" s="1"/>
  <c r="AL44" i="13" a="1"/>
  <c r="AL44" i="13" s="1"/>
  <c r="AL90" i="13" a="1"/>
  <c r="AL90" i="13" s="1"/>
  <c r="AL34" i="13" a="1"/>
  <c r="AL34" i="13" s="1"/>
  <c r="AL96" i="13" a="1"/>
  <c r="AL96" i="13" s="1"/>
  <c r="AL23" i="13" a="1"/>
  <c r="AL23" i="13" s="1"/>
  <c r="AL49" i="13" a="1"/>
  <c r="AL49" i="13" s="1"/>
  <c r="AT28" i="13" s="1"/>
  <c r="AL11" i="13" a="1"/>
  <c r="AL11" i="13" s="1"/>
  <c r="AL95" i="13" a="1"/>
  <c r="AL95" i="13" s="1"/>
  <c r="AL36" i="13" a="1"/>
  <c r="AL36" i="13" s="1"/>
  <c r="AL43" i="13" a="1"/>
  <c r="AL43" i="13" s="1"/>
  <c r="AL13" i="13" a="1"/>
  <c r="AL13" i="13" s="1"/>
  <c r="AL46" i="13" a="1"/>
  <c r="AL46" i="13" s="1"/>
  <c r="AL47" i="13" a="1"/>
  <c r="AL47" i="13" s="1"/>
  <c r="AL40" i="13" a="1"/>
  <c r="AL40" i="13" s="1"/>
  <c r="AL12" i="13" a="1"/>
  <c r="AL12" i="13" s="1"/>
  <c r="AL105" i="13" a="1"/>
  <c r="AL105" i="13" s="1"/>
  <c r="AT35" i="13" s="1"/>
  <c r="AL30" i="13" a="1"/>
  <c r="AL30" i="13" s="1"/>
  <c r="AL21" i="13" a="1"/>
  <c r="AL21" i="13" s="1"/>
  <c r="AL99" i="13" a="1"/>
  <c r="AL99" i="13" s="1"/>
  <c r="AL94" i="13" a="1"/>
  <c r="AL94" i="13" s="1"/>
  <c r="AL16" i="13" a="1"/>
  <c r="AL16" i="13" s="1"/>
  <c r="AL42" i="13" a="1"/>
  <c r="AL42" i="13" s="1"/>
  <c r="AL45" i="13" a="1"/>
  <c r="AL45" i="13" s="1"/>
  <c r="AL104" i="13" a="1"/>
  <c r="AL104" i="13" s="1"/>
  <c r="AL41" i="13" a="1"/>
  <c r="AL41" i="13" s="1"/>
  <c r="AT27" i="13" s="1"/>
  <c r="AL15" i="13" a="1"/>
  <c r="AL15" i="13" s="1"/>
  <c r="AL14" i="13" a="1"/>
  <c r="AL14" i="13" s="1"/>
  <c r="AL37" i="13" a="1"/>
  <c r="AL37" i="13" s="1"/>
  <c r="AL112" i="13" a="1"/>
  <c r="AL112" i="13" s="1"/>
  <c r="AL103" i="13" a="1"/>
  <c r="AL103" i="13" s="1"/>
  <c r="AL31" i="13" a="1"/>
  <c r="AL31" i="13" s="1"/>
  <c r="AL35" i="13" a="1"/>
  <c r="AL35" i="13" s="1"/>
  <c r="AL10" i="13" a="1"/>
  <c r="AL10" i="13" s="1"/>
  <c r="AL110" i="13" a="1"/>
  <c r="AL110" i="13" s="1"/>
  <c r="AL93" i="13" a="1"/>
  <c r="AL93" i="13" s="1"/>
  <c r="AL18" i="13" a="1"/>
  <c r="AL18" i="13" s="1"/>
  <c r="AL24" i="13" a="1"/>
  <c r="AL24" i="13" s="1"/>
  <c r="AL113" i="13" a="1"/>
  <c r="AL113" i="13" s="1"/>
  <c r="AT23" i="13" s="1"/>
  <c r="AL92" i="13" a="1"/>
  <c r="AL92" i="13" s="1"/>
  <c r="AL38" i="13" a="1"/>
  <c r="AL38" i="13" s="1"/>
  <c r="AL17" i="13" a="1"/>
  <c r="AL17" i="13" s="1"/>
  <c r="AT24" i="13" s="1"/>
  <c r="AL19" i="13" a="1"/>
  <c r="AL19" i="13" s="1"/>
  <c r="AL111" i="13" a="1"/>
  <c r="AL111" i="13" s="1"/>
  <c r="AL102" i="13" a="1"/>
  <c r="AL102" i="13" s="1"/>
  <c r="AL32" i="13" a="1"/>
  <c r="AL32" i="13" s="1"/>
  <c r="AL26" i="13" a="1"/>
  <c r="AL26" i="13" s="1"/>
  <c r="AM103" i="22" a="1"/>
  <c r="AM103" i="22" s="1"/>
  <c r="AM42" i="22" a="1"/>
  <c r="AM42" i="22" s="1"/>
  <c r="AM51" i="22" a="1"/>
  <c r="AM51" i="22" s="1"/>
  <c r="AM52" i="22" a="1"/>
  <c r="AM52" i="22" s="1"/>
  <c r="AM36" i="22" a="1"/>
  <c r="AM36" i="22" s="1"/>
  <c r="AM106" i="22" a="1"/>
  <c r="AM106" i="22" s="1"/>
  <c r="AM32" i="22" a="1"/>
  <c r="AM32" i="22" s="1"/>
  <c r="AM43" i="22" a="1"/>
  <c r="AM43" i="22" s="1"/>
  <c r="AM62" i="22" a="1"/>
  <c r="AM62" i="22" s="1"/>
  <c r="AM22" i="22" a="1"/>
  <c r="AM22" i="22" s="1"/>
  <c r="AM98" i="22" a="1"/>
  <c r="AM98" i="22" s="1"/>
  <c r="AM31" i="22" a="1"/>
  <c r="AM31" i="22" s="1"/>
  <c r="AM46" i="22" a="1"/>
  <c r="AM46" i="22" s="1"/>
  <c r="AM26" i="22" a="1"/>
  <c r="AM26" i="22" s="1"/>
  <c r="AM109" i="22" a="1"/>
  <c r="AM109" i="22" s="1"/>
  <c r="AM100" i="22" a="1"/>
  <c r="AM100" i="22" s="1"/>
  <c r="AM38" i="22" a="1"/>
  <c r="AM38" i="22" s="1"/>
  <c r="AM59" i="22" a="1"/>
  <c r="AM59" i="22" s="1"/>
  <c r="AM101" i="22" a="1"/>
  <c r="AM101" i="22" s="1"/>
  <c r="AM53" i="22" a="1"/>
  <c r="AM53" i="22" s="1"/>
  <c r="AM91" i="22" a="1"/>
  <c r="AM91" i="22" s="1"/>
  <c r="AM64" i="22" a="1"/>
  <c r="AM64" i="22" s="1"/>
  <c r="AM93" i="22" a="1"/>
  <c r="AM93" i="22" s="1"/>
  <c r="AM45" i="22" a="1"/>
  <c r="AM45" i="22" s="1"/>
  <c r="AM90" i="22" a="1"/>
  <c r="AM90" i="22" s="1"/>
  <c r="AM39" i="22" a="1"/>
  <c r="AM39" i="22" s="1"/>
  <c r="AM112" i="22" a="1"/>
  <c r="AM112" i="22" s="1"/>
  <c r="AM37" i="22" a="1"/>
  <c r="AM37" i="22" s="1"/>
  <c r="AM92" i="22" a="1"/>
  <c r="AM92" i="22" s="1"/>
  <c r="AM41" i="22" a="1"/>
  <c r="AM41" i="22" s="1"/>
  <c r="AM104" i="22" a="1"/>
  <c r="AM104" i="22" s="1"/>
  <c r="AM30" i="22" a="1"/>
  <c r="AM30" i="22" s="1"/>
  <c r="AM108" i="22" a="1"/>
  <c r="AM108" i="22" s="1"/>
  <c r="AM18" i="22" a="1"/>
  <c r="AM18" i="22" s="1"/>
  <c r="AM57" i="22" a="1"/>
  <c r="AM57" i="22" s="1"/>
  <c r="AM29" i="22" a="1"/>
  <c r="AM29" i="22" s="1"/>
  <c r="AM99" i="22" a="1"/>
  <c r="AM99" i="22" s="1"/>
  <c r="AM63" i="22" a="1"/>
  <c r="AM63" i="22" s="1"/>
  <c r="AM56" i="22" a="1"/>
  <c r="AM56" i="22" s="1"/>
  <c r="AM21" i="22" a="1"/>
  <c r="AM21" i="22" s="1"/>
  <c r="AM94" i="22" a="1"/>
  <c r="AM94" i="22" s="1"/>
  <c r="AM47" i="22" a="1"/>
  <c r="AM47" i="22" s="1"/>
  <c r="AM55" i="22" a="1"/>
  <c r="AM55" i="22" s="1"/>
  <c r="AM107" i="22" a="1"/>
  <c r="AM107" i="22" s="1"/>
  <c r="AM58" i="22" a="1"/>
  <c r="AM58" i="22" s="1"/>
  <c r="AM34" i="22" a="1"/>
  <c r="AM34" i="22" s="1"/>
  <c r="AM61" i="22" a="1"/>
  <c r="AM61" i="22" s="1"/>
  <c r="AM102" i="22" a="1"/>
  <c r="AM102" i="22" s="1"/>
  <c r="AM33" i="22" a="1"/>
  <c r="AM33" i="22" s="1"/>
  <c r="AM40" i="22" a="1"/>
  <c r="AM40" i="22" s="1"/>
  <c r="AM10" i="22" a="1"/>
  <c r="AM10" i="22" s="1"/>
  <c r="AM60" i="22" a="1"/>
  <c r="AM60" i="22" s="1"/>
  <c r="AM113" i="22" a="1"/>
  <c r="AM113" i="22" s="1"/>
  <c r="AM96" i="22" a="1"/>
  <c r="AM96" i="22" s="1"/>
  <c r="AM28" i="22" a="1"/>
  <c r="AM28" i="22" s="1"/>
  <c r="AM11" i="22" a="1"/>
  <c r="AM11" i="22" s="1"/>
  <c r="AM49" i="22" a="1"/>
  <c r="AM49" i="22" s="1"/>
  <c r="AM105" i="22" a="1"/>
  <c r="AM105" i="22" s="1"/>
  <c r="AM95" i="22" a="1"/>
  <c r="AM95" i="22" s="1"/>
  <c r="AM27" i="22" a="1"/>
  <c r="AM27" i="22" s="1"/>
  <c r="AM12" i="22" a="1"/>
  <c r="AM12" i="22" s="1"/>
  <c r="AM35" i="22" a="1"/>
  <c r="AM35" i="22" s="1"/>
  <c r="AM111" i="22" a="1"/>
  <c r="AM111" i="22" s="1"/>
  <c r="AM50" i="22" a="1"/>
  <c r="AM50" i="22" s="1"/>
  <c r="AM97" i="22" a="1"/>
  <c r="AM97" i="22" s="1"/>
  <c r="AM65" i="22" a="1"/>
  <c r="AM65" i="22" s="1"/>
  <c r="AM20" i="22" a="1"/>
  <c r="AM20" i="22" s="1"/>
  <c r="AM44" i="22" a="1"/>
  <c r="AM44" i="22" s="1"/>
  <c r="AM19" i="22" a="1"/>
  <c r="AM19" i="22" s="1"/>
  <c r="AM110" i="22" a="1"/>
  <c r="AM110" i="22" s="1"/>
  <c r="AM54" i="22" a="1"/>
  <c r="AM54" i="22" s="1"/>
  <c r="AM48" i="22" a="1"/>
  <c r="AM48" i="22" s="1"/>
  <c r="AK12" i="22" a="1"/>
  <c r="AK12" i="22" s="1"/>
  <c r="AP51" i="22" a="1"/>
  <c r="AP51" i="22" s="1"/>
  <c r="AP91" i="22" a="1"/>
  <c r="AP91" i="22" s="1"/>
  <c r="AP30" i="22" a="1"/>
  <c r="AP30" i="22" s="1"/>
  <c r="AP64" i="22" a="1"/>
  <c r="AP64" i="22" s="1"/>
  <c r="AP45" i="22" a="1"/>
  <c r="AP45" i="22" s="1"/>
  <c r="AP11" i="22" a="1"/>
  <c r="AP11" i="22" s="1"/>
  <c r="AP43" i="22" a="1"/>
  <c r="AP43" i="22" s="1"/>
  <c r="AP35" i="22" a="1"/>
  <c r="AP35" i="22" s="1"/>
  <c r="AP18" i="22" a="1"/>
  <c r="AP18" i="22" s="1"/>
  <c r="AP61" i="22" a="1"/>
  <c r="AP61" i="22" s="1"/>
  <c r="AP111" i="22" a="1"/>
  <c r="AP111" i="22" s="1"/>
  <c r="AP26" i="22" a="1"/>
  <c r="AP26" i="22" s="1"/>
  <c r="AP92" i="22" a="1"/>
  <c r="AP92" i="22" s="1"/>
  <c r="AP56" i="22" a="1"/>
  <c r="AP56" i="22" s="1"/>
  <c r="AP37" i="22" a="1"/>
  <c r="AP37" i="22" s="1"/>
  <c r="AP103" i="22" a="1"/>
  <c r="AP103" i="22" s="1"/>
  <c r="AP100" i="22" a="1"/>
  <c r="AP100" i="22" s="1"/>
  <c r="AP47" i="22" a="1"/>
  <c r="AP47" i="22" s="1"/>
  <c r="AP19" i="22" a="1"/>
  <c r="AP19" i="22" s="1"/>
  <c r="AP21" i="22" a="1"/>
  <c r="AP21" i="22" s="1"/>
  <c r="AP106" i="22" a="1"/>
  <c r="AP106" i="22" s="1"/>
  <c r="AP109" i="22" a="1"/>
  <c r="AP109" i="22" s="1"/>
  <c r="AP39" i="22" a="1"/>
  <c r="AP39" i="22" s="1"/>
  <c r="AP40" i="22" a="1"/>
  <c r="AP40" i="22" s="1"/>
  <c r="AP58" i="22" a="1"/>
  <c r="AP58" i="22" s="1"/>
  <c r="AP112" i="22" a="1"/>
  <c r="AP112" i="22" s="1"/>
  <c r="AP46" i="22" a="1"/>
  <c r="AP46" i="22" s="1"/>
  <c r="AP34" i="22" a="1"/>
  <c r="AP34" i="22" s="1"/>
  <c r="AP29" i="22" a="1"/>
  <c r="AP29" i="22" s="1"/>
  <c r="AP55" i="22" a="1"/>
  <c r="AP55" i="22" s="1"/>
  <c r="AP104" i="22" a="1"/>
  <c r="AP104" i="22" s="1"/>
  <c r="AP38" i="22" a="1"/>
  <c r="AP38" i="22" s="1"/>
  <c r="AP93" i="22" a="1"/>
  <c r="AP93" i="22" s="1"/>
  <c r="AP20" i="22" a="1"/>
  <c r="AP20" i="22" s="1"/>
  <c r="AP96" i="22" a="1"/>
  <c r="AP96" i="22" s="1"/>
  <c r="AP97" i="22" a="1"/>
  <c r="AP97" i="22" s="1"/>
  <c r="AP108" i="22" a="1"/>
  <c r="AP108" i="22" s="1"/>
  <c r="AP63" i="22" a="1"/>
  <c r="AP63" i="22" s="1"/>
  <c r="AP107" i="22" a="1"/>
  <c r="AP107" i="22" s="1"/>
  <c r="AP49" i="22" a="1"/>
  <c r="AP49" i="22" s="1"/>
  <c r="AP95" i="22" a="1"/>
  <c r="AP95" i="22" s="1"/>
  <c r="AP60" i="22" a="1"/>
  <c r="AP60" i="22" s="1"/>
  <c r="AP99" i="22" a="1"/>
  <c r="AP99" i="22" s="1"/>
  <c r="AP41" i="22" a="1"/>
  <c r="AP41" i="22" s="1"/>
  <c r="AP65" i="22" a="1"/>
  <c r="AP65" i="22" s="1"/>
  <c r="AP54" i="22" a="1"/>
  <c r="AP54" i="22" s="1"/>
  <c r="AP110" i="22" a="1"/>
  <c r="AP110" i="22" s="1"/>
  <c r="AP98" i="22" a="1"/>
  <c r="AP98" i="22" s="1"/>
  <c r="AP62" i="22" a="1"/>
  <c r="AP62" i="22" s="1"/>
  <c r="AP48" i="22" a="1"/>
  <c r="AP48" i="22" s="1"/>
  <c r="AP94" i="22" a="1"/>
  <c r="AP94" i="22" s="1"/>
  <c r="AP52" i="22" a="1"/>
  <c r="AP52" i="22" s="1"/>
  <c r="AP31" i="22" a="1"/>
  <c r="AP31" i="22" s="1"/>
  <c r="AP57" i="22" a="1"/>
  <c r="AP57" i="22" s="1"/>
  <c r="AP113" i="22" a="1"/>
  <c r="AP113" i="22" s="1"/>
  <c r="AP44" i="22" a="1"/>
  <c r="AP44" i="22" s="1"/>
  <c r="AP59" i="22" a="1"/>
  <c r="AP59" i="22" s="1"/>
  <c r="AP50" i="22" a="1"/>
  <c r="AP50" i="22" s="1"/>
  <c r="AP105" i="22" a="1"/>
  <c r="AP105" i="22" s="1"/>
  <c r="AP36" i="22" a="1"/>
  <c r="AP36" i="22" s="1"/>
  <c r="AP53" i="22" a="1"/>
  <c r="AP53" i="22" s="1"/>
  <c r="AP28" i="22" a="1"/>
  <c r="AP28" i="22" s="1"/>
  <c r="AP27" i="22" a="1"/>
  <c r="AP27" i="22" s="1"/>
  <c r="AP101" i="22" a="1"/>
  <c r="AP101" i="22" s="1"/>
  <c r="AP33" i="22" a="1"/>
  <c r="AP33" i="22" s="1"/>
  <c r="AP10" i="22" a="1"/>
  <c r="AP10" i="22" s="1"/>
  <c r="AP102" i="22" a="1"/>
  <c r="AP102" i="22" s="1"/>
  <c r="AP90" i="22" a="1"/>
  <c r="AP90" i="22" s="1"/>
  <c r="AP32" i="22" a="1"/>
  <c r="AP32" i="22" s="1"/>
  <c r="AP42" i="22" a="1"/>
  <c r="AP42" i="22" s="1"/>
  <c r="AK112" i="12" a="1"/>
  <c r="AK112" i="12" s="1"/>
  <c r="AK32" i="12" a="1"/>
  <c r="AK32" i="12" s="1"/>
  <c r="AK59" i="12" a="1"/>
  <c r="AK59" i="12" s="1"/>
  <c r="AK18" i="12" a="1"/>
  <c r="AK18" i="12" s="1"/>
  <c r="AK90" i="12" a="1"/>
  <c r="AK90" i="12" s="1"/>
  <c r="AK67" i="12" a="1"/>
  <c r="AK67" i="12" s="1"/>
  <c r="AK93" i="12" a="1"/>
  <c r="AK93" i="12" s="1"/>
  <c r="AK70" i="12" a="1"/>
  <c r="AK70" i="12" s="1"/>
  <c r="AK30" i="12" a="1"/>
  <c r="AK30" i="12" s="1"/>
  <c r="AK68" i="12" a="1"/>
  <c r="AK68" i="12" s="1"/>
  <c r="AK33" i="12" a="1"/>
  <c r="AK33" i="12" s="1"/>
  <c r="AK39" i="12" a="1"/>
  <c r="AK39" i="12" s="1"/>
  <c r="AK61" i="12" a="1"/>
  <c r="AK61" i="12" s="1"/>
  <c r="AK53" i="12" a="1"/>
  <c r="AK53" i="12" s="1"/>
  <c r="AK100" i="12" a="1"/>
  <c r="AK100" i="12" s="1"/>
  <c r="AK103" i="12" a="1"/>
  <c r="AK103" i="12" s="1"/>
  <c r="AK29" i="12" a="1"/>
  <c r="AK29" i="12" s="1"/>
  <c r="AK109" i="12" a="1"/>
  <c r="AK109" i="12" s="1"/>
  <c r="AK21" i="12" a="1"/>
  <c r="AK21" i="12" s="1"/>
  <c r="AK57" i="12" a="1"/>
  <c r="AK57" i="12" s="1"/>
  <c r="AK111" i="12" a="1"/>
  <c r="AK111" i="12" s="1"/>
  <c r="AK107" i="12" a="1"/>
  <c r="AK107" i="12" s="1"/>
  <c r="AK65" i="12" a="1"/>
  <c r="AK65" i="12" s="1"/>
  <c r="AK27" i="12" a="1"/>
  <c r="AK27" i="12" s="1"/>
  <c r="AK41" i="12" a="1"/>
  <c r="AK41" i="12" s="1"/>
  <c r="AK91" i="12" a="1"/>
  <c r="AK91" i="12" s="1"/>
  <c r="AK71" i="12" a="1"/>
  <c r="AK71" i="12" s="1"/>
  <c r="AK113" i="12" a="1"/>
  <c r="AK113" i="12" s="1"/>
  <c r="AK63" i="12" a="1"/>
  <c r="AK63" i="12" s="1"/>
  <c r="AK58" i="12" a="1"/>
  <c r="AK58" i="12" s="1"/>
  <c r="AK55" i="12" a="1"/>
  <c r="AK55" i="12" s="1"/>
  <c r="AK72" i="12" a="1"/>
  <c r="AK72" i="12" s="1"/>
  <c r="AK52" i="12" a="1"/>
  <c r="AK52" i="12" s="1"/>
  <c r="AK38" i="12" a="1"/>
  <c r="AK38" i="12" s="1"/>
  <c r="AK64" i="12" a="1"/>
  <c r="AK64" i="12" s="1"/>
  <c r="AK20" i="12" a="1"/>
  <c r="AK20" i="12" s="1"/>
  <c r="AK47" i="12" a="1"/>
  <c r="AK47" i="12" s="1"/>
  <c r="AK43" i="12" a="1"/>
  <c r="AK43" i="12" s="1"/>
  <c r="AK110" i="12" a="1"/>
  <c r="AK110" i="12" s="1"/>
  <c r="AK66" i="12" a="1"/>
  <c r="AK66" i="12" s="1"/>
  <c r="AK51" i="12" a="1"/>
  <c r="AK51" i="12" s="1"/>
  <c r="AK95" i="12" a="1"/>
  <c r="AK95" i="12" s="1"/>
  <c r="AK106" i="12" a="1"/>
  <c r="AK106" i="12" s="1"/>
  <c r="AK19" i="12" a="1"/>
  <c r="AK19" i="12" s="1"/>
  <c r="AK40" i="12" a="1"/>
  <c r="AK40" i="12" s="1"/>
  <c r="AK96" i="12" a="1"/>
  <c r="AK96" i="12" s="1"/>
  <c r="AK37" i="12" a="1"/>
  <c r="AK37" i="12" s="1"/>
  <c r="AK50" i="12" a="1"/>
  <c r="AK50" i="12" s="1"/>
  <c r="AK97" i="12" a="1"/>
  <c r="AK97" i="12" s="1"/>
  <c r="AK34" i="12" a="1"/>
  <c r="AK34" i="12" s="1"/>
  <c r="AK48" i="12" a="1"/>
  <c r="AK48" i="12" s="1"/>
  <c r="AK49" i="12" a="1"/>
  <c r="AK49" i="12" s="1"/>
  <c r="AK105" i="12" a="1"/>
  <c r="AK105" i="12" s="1"/>
  <c r="AK31" i="12" a="1"/>
  <c r="AK31" i="12" s="1"/>
  <c r="AK60" i="12" a="1"/>
  <c r="AK60" i="12" s="1"/>
  <c r="AK10" i="12" a="1"/>
  <c r="AK10" i="12" s="1"/>
  <c r="AK92" i="12" a="1"/>
  <c r="AK92" i="12" s="1"/>
  <c r="AK94" i="12" a="1"/>
  <c r="AK94" i="12" s="1"/>
  <c r="AK69" i="12" a="1"/>
  <c r="AK69" i="12" s="1"/>
  <c r="AK73" i="12" a="1"/>
  <c r="AK73" i="12" s="1"/>
  <c r="AK45" i="12" a="1"/>
  <c r="AK45" i="12" s="1"/>
  <c r="AK102" i="12" a="1"/>
  <c r="AK102" i="12" s="1"/>
  <c r="AK56" i="12" a="1"/>
  <c r="AK56" i="12" s="1"/>
  <c r="AK46" i="12" a="1"/>
  <c r="AK46" i="12" s="1"/>
  <c r="AK36" i="12" a="1"/>
  <c r="AK36" i="12" s="1"/>
  <c r="AK99" i="12" a="1"/>
  <c r="AK99" i="12" s="1"/>
  <c r="AK42" i="12" a="1"/>
  <c r="AK42" i="12" s="1"/>
  <c r="AK28" i="12" a="1"/>
  <c r="AK28" i="12" s="1"/>
  <c r="AK62" i="12" a="1"/>
  <c r="AK62" i="12" s="1"/>
  <c r="AK98" i="12" a="1"/>
  <c r="AK98" i="12" s="1"/>
  <c r="AK101" i="12" a="1"/>
  <c r="AK101" i="12" s="1"/>
  <c r="AK11" i="12" a="1"/>
  <c r="AK11" i="12" s="1"/>
  <c r="AK44" i="12" a="1"/>
  <c r="AK44" i="12" s="1"/>
  <c r="AK108" i="12" a="1"/>
  <c r="AK108" i="12" s="1"/>
  <c r="AK104" i="12" a="1"/>
  <c r="AK104" i="12" s="1"/>
  <c r="AK26" i="12" a="1"/>
  <c r="AK26" i="12" s="1"/>
  <c r="AK54" i="12" a="1"/>
  <c r="AK54" i="12" s="1"/>
  <c r="AK35" i="12" a="1"/>
  <c r="AK35" i="12" s="1"/>
  <c r="AN39" i="9" a="1"/>
  <c r="AN39" i="9" s="1"/>
  <c r="AN109" i="9" a="1"/>
  <c r="AN109" i="9" s="1"/>
  <c r="AN110" i="9" a="1"/>
  <c r="AN110" i="9" s="1"/>
  <c r="AN52" i="9" a="1"/>
  <c r="AN52" i="9" s="1"/>
  <c r="AN94" i="9" a="1"/>
  <c r="AN94" i="9" s="1"/>
  <c r="AN53" i="9" a="1"/>
  <c r="AN53" i="9" s="1"/>
  <c r="AN93" i="9" a="1"/>
  <c r="AN93" i="9" s="1"/>
  <c r="AN33" i="9" a="1"/>
  <c r="AN33" i="9" s="1"/>
  <c r="AN97" i="9" a="1"/>
  <c r="AN97" i="9" s="1"/>
  <c r="AN28" i="9" a="1"/>
  <c r="AN28" i="9" s="1"/>
  <c r="AN24" i="9" a="1"/>
  <c r="AN24" i="9" s="1"/>
  <c r="AN20" i="9" a="1"/>
  <c r="AN20" i="9" s="1"/>
  <c r="AN18" i="9" a="1"/>
  <c r="AN18" i="9" s="1"/>
  <c r="AN98" i="9" a="1"/>
  <c r="AN98" i="9" s="1"/>
  <c r="AN95" i="9" a="1"/>
  <c r="AN95" i="9" s="1"/>
  <c r="AN56" i="9" a="1"/>
  <c r="AN56" i="9" s="1"/>
  <c r="AN35" i="9" a="1"/>
  <c r="AN35" i="9" s="1"/>
  <c r="AN101" i="9" a="1"/>
  <c r="AN101" i="9" s="1"/>
  <c r="AN54" i="9" a="1"/>
  <c r="AN54" i="9" s="1"/>
  <c r="AN47" i="9" a="1"/>
  <c r="AN47" i="9" s="1"/>
  <c r="AN91" i="9" a="1"/>
  <c r="AN91" i="9" s="1"/>
  <c r="AN111" i="9" a="1"/>
  <c r="AN111" i="9" s="1"/>
  <c r="AN22" i="9" a="1"/>
  <c r="AN22" i="9" s="1"/>
  <c r="AN107" i="9" a="1"/>
  <c r="AN107" i="9" s="1"/>
  <c r="AN113" i="9" a="1"/>
  <c r="AN113" i="9" s="1"/>
  <c r="AN21" i="9" a="1"/>
  <c r="AN21" i="9" s="1"/>
  <c r="AN112" i="9" a="1"/>
  <c r="AN112" i="9" s="1"/>
  <c r="AN40" i="9" a="1"/>
  <c r="AN40" i="9" s="1"/>
  <c r="AN38" i="9" a="1"/>
  <c r="AN38" i="9" s="1"/>
  <c r="AN10" i="9" a="1"/>
  <c r="AN10" i="9" s="1"/>
  <c r="AN27" i="9" a="1"/>
  <c r="AN27" i="9" s="1"/>
  <c r="AN25" i="9" a="1"/>
  <c r="AN25" i="9" s="1"/>
  <c r="AN48" i="9" a="1"/>
  <c r="AN48" i="9" s="1"/>
  <c r="AN11" i="9" a="1"/>
  <c r="AN11" i="9" s="1"/>
  <c r="AN103" i="9" a="1"/>
  <c r="AN103" i="9" s="1"/>
  <c r="AN104" i="9" a="1"/>
  <c r="AN104" i="9" s="1"/>
  <c r="AN30" i="9" a="1"/>
  <c r="AN30" i="9" s="1"/>
  <c r="AN41" i="9" a="1"/>
  <c r="AN41" i="9" s="1"/>
  <c r="AN108" i="9" a="1"/>
  <c r="AN108" i="9" s="1"/>
  <c r="AN57" i="9" a="1"/>
  <c r="AN57" i="9" s="1"/>
  <c r="AN50" i="9" a="1"/>
  <c r="AN50" i="9" s="1"/>
  <c r="AN32" i="9" a="1"/>
  <c r="AN32" i="9" s="1"/>
  <c r="AN43" i="9" a="1"/>
  <c r="AN43" i="9" s="1"/>
  <c r="AN26" i="9" a="1"/>
  <c r="AN26" i="9" s="1"/>
  <c r="AN55" i="9" a="1"/>
  <c r="AN55" i="9" s="1"/>
  <c r="AN99" i="9" a="1"/>
  <c r="AN99" i="9" s="1"/>
  <c r="AN42" i="9" a="1"/>
  <c r="AN42" i="9" s="1"/>
  <c r="AN102" i="9" a="1"/>
  <c r="AN102" i="9" s="1"/>
  <c r="AN29" i="9" a="1"/>
  <c r="AN29" i="9" s="1"/>
  <c r="AN31" i="9" a="1"/>
  <c r="AN31" i="9" s="1"/>
  <c r="AN19" i="9" a="1"/>
  <c r="AN19" i="9" s="1"/>
  <c r="AN46" i="9" a="1"/>
  <c r="AN46" i="9" s="1"/>
  <c r="AN37" i="9" a="1"/>
  <c r="AN37" i="9" s="1"/>
  <c r="AN36" i="9" a="1"/>
  <c r="AN36" i="9" s="1"/>
  <c r="AN96" i="9" a="1"/>
  <c r="AN96" i="9" s="1"/>
  <c r="AN51" i="9" a="1"/>
  <c r="AN51" i="9" s="1"/>
  <c r="AN105" i="9" a="1"/>
  <c r="AN105" i="9" s="1"/>
  <c r="AN23" i="9" a="1"/>
  <c r="AN23" i="9" s="1"/>
  <c r="AN90" i="9" a="1"/>
  <c r="AN90" i="9" s="1"/>
  <c r="AN100" i="9" a="1"/>
  <c r="AN100" i="9" s="1"/>
  <c r="AN44" i="9" a="1"/>
  <c r="AN44" i="9" s="1"/>
  <c r="AN34" i="9" a="1"/>
  <c r="AN34" i="9" s="1"/>
  <c r="AN49" i="9" a="1"/>
  <c r="AN49" i="9" s="1"/>
  <c r="AN45" i="9" a="1"/>
  <c r="AN45" i="9" s="1"/>
  <c r="AN92" i="9" a="1"/>
  <c r="AN92" i="9" s="1"/>
  <c r="AN106" i="9" a="1"/>
  <c r="AN106" i="9" s="1"/>
  <c r="AO104" i="8" a="1"/>
  <c r="AO104" i="8" s="1"/>
  <c r="AO76" i="8" a="1"/>
  <c r="AO76" i="8" s="1"/>
  <c r="AO51" i="8" a="1"/>
  <c r="AO51" i="8" s="1"/>
  <c r="AO86" i="8" a="1"/>
  <c r="AO86" i="8" s="1"/>
  <c r="AO34" i="8" a="1"/>
  <c r="AO34" i="8" s="1"/>
  <c r="AO35" i="8" a="1"/>
  <c r="AO35" i="8" s="1"/>
  <c r="AO96" i="8" a="1"/>
  <c r="AO96" i="8" s="1"/>
  <c r="AO72" i="8" a="1"/>
  <c r="AO72" i="8" s="1"/>
  <c r="AO101" i="8" a="1"/>
  <c r="AO101" i="8" s="1"/>
  <c r="AO60" i="8" a="1"/>
  <c r="AO60" i="8" s="1"/>
  <c r="AO24" i="8" a="1"/>
  <c r="AO24" i="8" s="1"/>
  <c r="AO47" i="8" a="1"/>
  <c r="AO47" i="8" s="1"/>
  <c r="AO59" i="8" a="1"/>
  <c r="AO59" i="8" s="1"/>
  <c r="AO107" i="8" a="1"/>
  <c r="AO107" i="8" s="1"/>
  <c r="AO61" i="8" a="1"/>
  <c r="AO61" i="8" s="1"/>
  <c r="AO91" i="8" a="1"/>
  <c r="AO91" i="8" s="1"/>
  <c r="AO52" i="8" a="1"/>
  <c r="AO52" i="8" s="1"/>
  <c r="AO23" i="8" a="1"/>
  <c r="AO23" i="8" s="1"/>
  <c r="AO20" i="8" a="1"/>
  <c r="AO20" i="8" s="1"/>
  <c r="AO90" i="8" a="1"/>
  <c r="AO90" i="8" s="1"/>
  <c r="AO99" i="8" a="1"/>
  <c r="AO99" i="8" s="1"/>
  <c r="AO84" i="8" a="1"/>
  <c r="AO84" i="8" s="1"/>
  <c r="AO79" i="8" a="1"/>
  <c r="AO79" i="8" s="1"/>
  <c r="AO27" i="8" a="1"/>
  <c r="AO27" i="8" s="1"/>
  <c r="AO14" i="8" a="1"/>
  <c r="AO14" i="8" s="1"/>
  <c r="AO53" i="8" a="1"/>
  <c r="AO53" i="8" s="1"/>
  <c r="AO42" i="8" a="1"/>
  <c r="AO42" i="8" s="1"/>
  <c r="AO110" i="8" a="1"/>
  <c r="AO110" i="8" s="1"/>
  <c r="AO80" i="8" a="1"/>
  <c r="AO80" i="8" s="1"/>
  <c r="AO113" i="8" a="1"/>
  <c r="AO113" i="8" s="1"/>
  <c r="AO10" i="8" a="1"/>
  <c r="AO10" i="8" s="1"/>
  <c r="AO82" i="8" a="1"/>
  <c r="AO82" i="8" s="1"/>
  <c r="AO45" i="8" a="1"/>
  <c r="AO45" i="8" s="1"/>
  <c r="AO77" i="8" a="1"/>
  <c r="AO77" i="8" s="1"/>
  <c r="AO92" i="8" a="1"/>
  <c r="AO92" i="8" s="1"/>
  <c r="AO87" i="8" a="1"/>
  <c r="AO87" i="8" s="1"/>
  <c r="AO105" i="8" a="1"/>
  <c r="AO105" i="8" s="1"/>
  <c r="AO55" i="8" a="1"/>
  <c r="AO55" i="8" s="1"/>
  <c r="AO28" i="8" a="1"/>
  <c r="AO28" i="8" s="1"/>
  <c r="AO73" i="8" a="1"/>
  <c r="AO73" i="8" s="1"/>
  <c r="AO88" i="8" a="1"/>
  <c r="AO88" i="8" s="1"/>
  <c r="AO62" i="8" a="1"/>
  <c r="AO62" i="8" s="1"/>
  <c r="AO54" i="8" a="1"/>
  <c r="AO54" i="8" s="1"/>
  <c r="AO43" i="8" a="1"/>
  <c r="AO43" i="8" s="1"/>
  <c r="AO63" i="8" a="1"/>
  <c r="AO63" i="8" s="1"/>
  <c r="AO44" i="8" a="1"/>
  <c r="AO44" i="8" s="1"/>
  <c r="AO33" i="8" a="1"/>
  <c r="AO33" i="8" s="1"/>
  <c r="AO64" i="8" a="1"/>
  <c r="AO64" i="8" s="1"/>
  <c r="AO108" i="8" a="1"/>
  <c r="AO108" i="8" s="1"/>
  <c r="AO40" i="8" a="1"/>
  <c r="AO40" i="8" s="1"/>
  <c r="AO39" i="8" a="1"/>
  <c r="AO39" i="8" s="1"/>
  <c r="AO41" i="8" a="1"/>
  <c r="AO41" i="8" s="1"/>
  <c r="AO85" i="8" a="1"/>
  <c r="AO85" i="8" s="1"/>
  <c r="AO56" i="8" a="1"/>
  <c r="AO56" i="8" s="1"/>
  <c r="AO102" i="8" a="1"/>
  <c r="AO102" i="8" s="1"/>
  <c r="AO36" i="8" a="1"/>
  <c r="AO36" i="8" s="1"/>
  <c r="AO69" i="8" a="1"/>
  <c r="AO69" i="8" s="1"/>
  <c r="AO21" i="8" a="1"/>
  <c r="AO21" i="8" s="1"/>
  <c r="AO81" i="8" a="1"/>
  <c r="AO81" i="8" s="1"/>
  <c r="AO97" i="8" a="1"/>
  <c r="AO97" i="8" s="1"/>
  <c r="AO95" i="8" a="1"/>
  <c r="AO95" i="8" s="1"/>
  <c r="AO26" i="8" a="1"/>
  <c r="AO26" i="8" s="1"/>
  <c r="AO32" i="8" a="1"/>
  <c r="AO32" i="8" s="1"/>
  <c r="AO29" i="8" a="1"/>
  <c r="AO29" i="8" s="1"/>
  <c r="AO111" i="8" a="1"/>
  <c r="AO111" i="8" s="1"/>
  <c r="AO66" i="8" a="1"/>
  <c r="AO66" i="8" s="1"/>
  <c r="AO75" i="8" a="1"/>
  <c r="AO75" i="8" s="1"/>
  <c r="AO74" i="8" a="1"/>
  <c r="AO74" i="8" s="1"/>
  <c r="AO22" i="8" a="1"/>
  <c r="AO22" i="8" s="1"/>
  <c r="AO78" i="8" a="1"/>
  <c r="AO78" i="8" s="1"/>
  <c r="AO94" i="8" a="1"/>
  <c r="AO94" i="8" s="1"/>
  <c r="AO13" i="8" a="1"/>
  <c r="AO13" i="8" s="1"/>
  <c r="AO103" i="8" a="1"/>
  <c r="AO103" i="8" s="1"/>
  <c r="AO58" i="8" a="1"/>
  <c r="AO58" i="8" s="1"/>
  <c r="AO100" i="8" a="1"/>
  <c r="AO100" i="8" s="1"/>
  <c r="AO70" i="8" a="1"/>
  <c r="AO70" i="8" s="1"/>
  <c r="AO11" i="8" a="1"/>
  <c r="AO11" i="8" s="1"/>
  <c r="AO48" i="8" a="1"/>
  <c r="AO48" i="8" s="1"/>
  <c r="AO37" i="8" a="1"/>
  <c r="AO37" i="8" s="1"/>
  <c r="AO31" i="8" a="1"/>
  <c r="AO31" i="8" s="1"/>
  <c r="AO106" i="8" a="1"/>
  <c r="AO106" i="8" s="1"/>
  <c r="AO93" i="8" a="1"/>
  <c r="AO93" i="8" s="1"/>
  <c r="AO83" i="8" a="1"/>
  <c r="AO83" i="8" s="1"/>
  <c r="AO65" i="8" a="1"/>
  <c r="AO65" i="8" s="1"/>
  <c r="AO25" i="8" a="1"/>
  <c r="AO25" i="8" s="1"/>
  <c r="AO18" i="8" a="1"/>
  <c r="AO18" i="8" s="1"/>
  <c r="AO46" i="8" a="1"/>
  <c r="AO46" i="8" s="1"/>
  <c r="AO98" i="8" a="1"/>
  <c r="AO98" i="8" s="1"/>
  <c r="AO89" i="8" a="1"/>
  <c r="AO89" i="8" s="1"/>
  <c r="AO71" i="8" a="1"/>
  <c r="AO71" i="8" s="1"/>
  <c r="AO57" i="8" a="1"/>
  <c r="AO57" i="8" s="1"/>
  <c r="AO12" i="8" a="1"/>
  <c r="AO12" i="8" s="1"/>
  <c r="AO38" i="8" a="1"/>
  <c r="AO38" i="8" s="1"/>
  <c r="AO30" i="8" a="1"/>
  <c r="AO30" i="8" s="1"/>
  <c r="AO109" i="8" a="1"/>
  <c r="AO109" i="8" s="1"/>
  <c r="AO68" i="8" a="1"/>
  <c r="AO68" i="8" s="1"/>
  <c r="AO67" i="8" a="1"/>
  <c r="AO67" i="8" s="1"/>
  <c r="AO49" i="8" a="1"/>
  <c r="AO49" i="8" s="1"/>
  <c r="AO50" i="8" a="1"/>
  <c r="AO50" i="8" s="1"/>
  <c r="AO19" i="8" a="1"/>
  <c r="AO19" i="8" s="1"/>
  <c r="AO112" i="8" a="1"/>
  <c r="AO112" i="8" s="1"/>
  <c r="AL105" i="12" a="1"/>
  <c r="AL105" i="12" s="1"/>
  <c r="AL66" i="12" a="1"/>
  <c r="AL66" i="12" s="1"/>
  <c r="AL48" i="12" a="1"/>
  <c r="AL48" i="12" s="1"/>
  <c r="AL52" i="12" a="1"/>
  <c r="AL52" i="12" s="1"/>
  <c r="AL18" i="12" a="1"/>
  <c r="AL18" i="12" s="1"/>
  <c r="AL90" i="12" a="1"/>
  <c r="AL90" i="12" s="1"/>
  <c r="AL95" i="12" a="1"/>
  <c r="AL95" i="12" s="1"/>
  <c r="AL47" i="12" a="1"/>
  <c r="AL47" i="12" s="1"/>
  <c r="AL109" i="12" a="1"/>
  <c r="AL109" i="12" s="1"/>
  <c r="AL40" i="12" a="1"/>
  <c r="AL40" i="12" s="1"/>
  <c r="AL38" i="12" a="1"/>
  <c r="AL38" i="12" s="1"/>
  <c r="AL113" i="12" a="1"/>
  <c r="AL113" i="12" s="1"/>
  <c r="AL63" i="12" a="1"/>
  <c r="AL63" i="12" s="1"/>
  <c r="AL33" i="12" a="1"/>
  <c r="AL33" i="12" s="1"/>
  <c r="AL68" i="12" a="1"/>
  <c r="AL68" i="12" s="1"/>
  <c r="AL97" i="12" a="1"/>
  <c r="AL97" i="12" s="1"/>
  <c r="AL73" i="12" a="1"/>
  <c r="AL73" i="12" s="1"/>
  <c r="AL10" i="12" a="1"/>
  <c r="AL10" i="12" s="1"/>
  <c r="AL108" i="12" a="1"/>
  <c r="AL108" i="12" s="1"/>
  <c r="AL28" i="12" a="1"/>
  <c r="AL28" i="12" s="1"/>
  <c r="AL20" i="12" a="1"/>
  <c r="AL20" i="12" s="1"/>
  <c r="AL106" i="12" a="1"/>
  <c r="AL106" i="12" s="1"/>
  <c r="AL60" i="12" a="1"/>
  <c r="AL60" i="12" s="1"/>
  <c r="AL107" i="12" a="1"/>
  <c r="AL107" i="12" s="1"/>
  <c r="AL51" i="12" a="1"/>
  <c r="AL51" i="12" s="1"/>
  <c r="AL111" i="12" a="1"/>
  <c r="AL111" i="12" s="1"/>
  <c r="AL98" i="12" a="1"/>
  <c r="AL98" i="12" s="1"/>
  <c r="AL110" i="12" a="1"/>
  <c r="AL110" i="12" s="1"/>
  <c r="AL43" i="12" a="1"/>
  <c r="AL43" i="12" s="1"/>
  <c r="AL112" i="12" a="1"/>
  <c r="AL112" i="12" s="1"/>
  <c r="AL62" i="12" a="1"/>
  <c r="AL62" i="12" s="1"/>
  <c r="AL44" i="12" a="1"/>
  <c r="AL44" i="12" s="1"/>
  <c r="AL69" i="12" a="1"/>
  <c r="AL69" i="12" s="1"/>
  <c r="AL64" i="12" a="1"/>
  <c r="AL64" i="12" s="1"/>
  <c r="AL99" i="12" a="1"/>
  <c r="AL99" i="12" s="1"/>
  <c r="AL65" i="12" a="1"/>
  <c r="AL65" i="12" s="1"/>
  <c r="AL34" i="12" a="1"/>
  <c r="AL34" i="12" s="1"/>
  <c r="AL55" i="12" a="1"/>
  <c r="AL55" i="12" s="1"/>
  <c r="AL100" i="12" a="1"/>
  <c r="AL100" i="12" s="1"/>
  <c r="AL92" i="12" a="1"/>
  <c r="AL92" i="12" s="1"/>
  <c r="AL71" i="12" a="1"/>
  <c r="AL71" i="12" s="1"/>
  <c r="AL50" i="12" a="1"/>
  <c r="AL50" i="12" s="1"/>
  <c r="AL96" i="12" a="1"/>
  <c r="AL96" i="12" s="1"/>
  <c r="AL46" i="12" a="1"/>
  <c r="AL46" i="12" s="1"/>
  <c r="AL21" i="12" a="1"/>
  <c r="AL21" i="12" s="1"/>
  <c r="AL41" i="12" a="1"/>
  <c r="AL41" i="12" s="1"/>
  <c r="AL37" i="12" a="1"/>
  <c r="AL37" i="12" s="1"/>
  <c r="AL27" i="12" a="1"/>
  <c r="AL27" i="12" s="1"/>
  <c r="AL101" i="12" a="1"/>
  <c r="AL101" i="12" s="1"/>
  <c r="AL58" i="12" a="1"/>
  <c r="AL58" i="12" s="1"/>
  <c r="AL94" i="12" a="1"/>
  <c r="AL94" i="12" s="1"/>
  <c r="AL67" i="12" a="1"/>
  <c r="AL67" i="12" s="1"/>
  <c r="AL49" i="12" a="1"/>
  <c r="AL49" i="12" s="1"/>
  <c r="AL53" i="12" a="1"/>
  <c r="AL53" i="12" s="1"/>
  <c r="AL72" i="12" a="1"/>
  <c r="AL72" i="12" s="1"/>
  <c r="AL56" i="12" a="1"/>
  <c r="AL56" i="12" s="1"/>
  <c r="AL91" i="12" a="1"/>
  <c r="AL91" i="12" s="1"/>
  <c r="AL42" i="12" a="1"/>
  <c r="AL42" i="12" s="1"/>
  <c r="AL32" i="12" a="1"/>
  <c r="AL32" i="12" s="1"/>
  <c r="AL54" i="12" a="1"/>
  <c r="AL54" i="12" s="1"/>
  <c r="AL29" i="12" a="1"/>
  <c r="AL29" i="12" s="1"/>
  <c r="AL31" i="12" a="1"/>
  <c r="AL31" i="12" s="1"/>
  <c r="AL35" i="12" a="1"/>
  <c r="AL35" i="12" s="1"/>
  <c r="AL36" i="12" a="1"/>
  <c r="AL36" i="12" s="1"/>
  <c r="AL39" i="12" a="1"/>
  <c r="AL39" i="12" s="1"/>
  <c r="AL93" i="12" a="1"/>
  <c r="AL93" i="12" s="1"/>
  <c r="AL19" i="12" a="1"/>
  <c r="AL19" i="12" s="1"/>
  <c r="AL11" i="12" a="1"/>
  <c r="AL11" i="12" s="1"/>
  <c r="AL70" i="12" a="1"/>
  <c r="AL70" i="12" s="1"/>
  <c r="AL57" i="12" a="1"/>
  <c r="AL57" i="12" s="1"/>
  <c r="AL45" i="12" a="1"/>
  <c r="AL45" i="12" s="1"/>
  <c r="AL61" i="12" a="1"/>
  <c r="AL61" i="12" s="1"/>
  <c r="AL59" i="12" a="1"/>
  <c r="AL59" i="12" s="1"/>
  <c r="AL103" i="12" a="1"/>
  <c r="AL103" i="12" s="1"/>
  <c r="AL102" i="12" a="1"/>
  <c r="AL102" i="12" s="1"/>
  <c r="AL104" i="12" a="1"/>
  <c r="AL104" i="12" s="1"/>
  <c r="AL26" i="12" a="1"/>
  <c r="AL26" i="12" s="1"/>
  <c r="AL30" i="12" a="1"/>
  <c r="AL30" i="12" s="1"/>
  <c r="AM61" i="11" a="1"/>
  <c r="AM61" i="11" s="1"/>
  <c r="AM77" i="11" a="1"/>
  <c r="AM77" i="11" s="1"/>
  <c r="AM87" i="11" a="1"/>
  <c r="AM87" i="11" s="1"/>
  <c r="AM22" i="11" a="1"/>
  <c r="AM22" i="11" s="1"/>
  <c r="AM70" i="11" a="1"/>
  <c r="AM70" i="11" s="1"/>
  <c r="AM59" i="11" a="1"/>
  <c r="AM59" i="11" s="1"/>
  <c r="AM56" i="11" a="1"/>
  <c r="AM56" i="11" s="1"/>
  <c r="AM18" i="11" a="1"/>
  <c r="AM18" i="11" s="1"/>
  <c r="AM100" i="11" a="1"/>
  <c r="AM100" i="11" s="1"/>
  <c r="AM71" i="11" a="1"/>
  <c r="AM71" i="11" s="1"/>
  <c r="AM103" i="11" a="1"/>
  <c r="AM103" i="11" s="1"/>
  <c r="AM109" i="11" a="1"/>
  <c r="AM109" i="11" s="1"/>
  <c r="AM86" i="11" a="1"/>
  <c r="AM86" i="11" s="1"/>
  <c r="AM108" i="11" a="1"/>
  <c r="AM108" i="11" s="1"/>
  <c r="AM91" i="11" a="1"/>
  <c r="AM91" i="11" s="1"/>
  <c r="AM99" i="11" a="1"/>
  <c r="AM99" i="11" s="1"/>
  <c r="AM26" i="11" a="1"/>
  <c r="AM26" i="11" s="1"/>
  <c r="AM11" i="11" a="1"/>
  <c r="AM11" i="11" s="1"/>
  <c r="AM62" i="11" a="1"/>
  <c r="AM62" i="11" s="1"/>
  <c r="AM20" i="11" a="1"/>
  <c r="AM20" i="11" s="1"/>
  <c r="AM93" i="11" a="1"/>
  <c r="AM93" i="11" s="1"/>
  <c r="AM35" i="11" a="1"/>
  <c r="AM35" i="11" s="1"/>
  <c r="AM84" i="11" a="1"/>
  <c r="AM84" i="11" s="1"/>
  <c r="AM79" i="11" a="1"/>
  <c r="AM79" i="11" s="1"/>
  <c r="AM69" i="11" a="1"/>
  <c r="AM69" i="11" s="1"/>
  <c r="AM75" i="11" a="1"/>
  <c r="AM75" i="11" s="1"/>
  <c r="AM78" i="11" a="1"/>
  <c r="AM78" i="11" s="1"/>
  <c r="AM106" i="11" a="1"/>
  <c r="AM106" i="11" s="1"/>
  <c r="AM97" i="11" a="1"/>
  <c r="AM97" i="11" s="1"/>
  <c r="AM37" i="11" a="1"/>
  <c r="AM37" i="11" s="1"/>
  <c r="AM31" i="11" a="1"/>
  <c r="AM31" i="11" s="1"/>
  <c r="AM34" i="11" a="1"/>
  <c r="AM34" i="11" s="1"/>
  <c r="AM43" i="11" a="1"/>
  <c r="AM43" i="11" s="1"/>
  <c r="AM94" i="11" a="1"/>
  <c r="AM94" i="11" s="1"/>
  <c r="AM23" i="11" a="1"/>
  <c r="AM23" i="11" s="1"/>
  <c r="AM57" i="11" a="1"/>
  <c r="AM57" i="11" s="1"/>
  <c r="AM63" i="11" a="1"/>
  <c r="AM63" i="11" s="1"/>
  <c r="AM73" i="11" a="1"/>
  <c r="AM73" i="11" s="1"/>
  <c r="AM102" i="11" a="1"/>
  <c r="AM102" i="11" s="1"/>
  <c r="AM90" i="11" a="1"/>
  <c r="AM90" i="11" s="1"/>
  <c r="AM25" i="11" a="1"/>
  <c r="AM25" i="11" s="1"/>
  <c r="AM88" i="11" a="1"/>
  <c r="AM88" i="11" s="1"/>
  <c r="AM81" i="11" a="1"/>
  <c r="AM81" i="11" s="1"/>
  <c r="AM58" i="11" a="1"/>
  <c r="AM58" i="11" s="1"/>
  <c r="AM40" i="11" a="1"/>
  <c r="AM40" i="11" s="1"/>
  <c r="AM30" i="11" a="1"/>
  <c r="AM30" i="11" s="1"/>
  <c r="AM51" i="11" a="1"/>
  <c r="AM51" i="11" s="1"/>
  <c r="AM32" i="11" a="1"/>
  <c r="AM32" i="11" s="1"/>
  <c r="AM44" i="11" a="1"/>
  <c r="AM44" i="11" s="1"/>
  <c r="AM36" i="11" a="1"/>
  <c r="AM36" i="11" s="1"/>
  <c r="AM85" i="11" a="1"/>
  <c r="AM85" i="11" s="1"/>
  <c r="AM101" i="11" a="1"/>
  <c r="AM101" i="11" s="1"/>
  <c r="AM50" i="11" a="1"/>
  <c r="AM50" i="11" s="1"/>
  <c r="AM112" i="11" a="1"/>
  <c r="AM112" i="11" s="1"/>
  <c r="AM28" i="11" a="1"/>
  <c r="AM28" i="11" s="1"/>
  <c r="AM82" i="11" a="1"/>
  <c r="AM82" i="11" s="1"/>
  <c r="AM55" i="11" a="1"/>
  <c r="AM55" i="11" s="1"/>
  <c r="AM38" i="11" a="1"/>
  <c r="AM38" i="11" s="1"/>
  <c r="AM89" i="11" a="1"/>
  <c r="AM89" i="11" s="1"/>
  <c r="AM113" i="11" a="1"/>
  <c r="AM113" i="11" s="1"/>
  <c r="AM48" i="11" a="1"/>
  <c r="AM48" i="11" s="1"/>
  <c r="AM21" i="11" a="1"/>
  <c r="AM21" i="11" s="1"/>
  <c r="AM104" i="11" a="1"/>
  <c r="AM104" i="11" s="1"/>
  <c r="AM68" i="11" a="1"/>
  <c r="AM68" i="11" s="1"/>
  <c r="AM80" i="11" a="1"/>
  <c r="AM80" i="11" s="1"/>
  <c r="AM49" i="11" a="1"/>
  <c r="AM49" i="11" s="1"/>
  <c r="AM105" i="11" a="1"/>
  <c r="AM105" i="11" s="1"/>
  <c r="AM64" i="11" a="1"/>
  <c r="AM64" i="11" s="1"/>
  <c r="AM24" i="11" a="1"/>
  <c r="AM24" i="11" s="1"/>
  <c r="AM52" i="11" a="1"/>
  <c r="AM52" i="11" s="1"/>
  <c r="AM53" i="11" a="1"/>
  <c r="AM53" i="11" s="1"/>
  <c r="AM74" i="11" a="1"/>
  <c r="AM74" i="11" s="1"/>
  <c r="AM110" i="11" a="1"/>
  <c r="AM110" i="11" s="1"/>
  <c r="AM54" i="11" a="1"/>
  <c r="AM54" i="11" s="1"/>
  <c r="AM95" i="11" a="1"/>
  <c r="AM95" i="11" s="1"/>
  <c r="AM19" i="11" a="1"/>
  <c r="AM19" i="11" s="1"/>
  <c r="AM60" i="11" a="1"/>
  <c r="AM60" i="11" s="1"/>
  <c r="AM83" i="11" a="1"/>
  <c r="AM83" i="11" s="1"/>
  <c r="AM27" i="11" a="1"/>
  <c r="AM27" i="11" s="1"/>
  <c r="AM65" i="11" a="1"/>
  <c r="AM65" i="11" s="1"/>
  <c r="AM76" i="11" a="1"/>
  <c r="AM76" i="11" s="1"/>
  <c r="AM42" i="11" a="1"/>
  <c r="AM42" i="11" s="1"/>
  <c r="AM66" i="11" a="1"/>
  <c r="AM66" i="11" s="1"/>
  <c r="AM72" i="11" a="1"/>
  <c r="AM72" i="11" s="1"/>
  <c r="AM10" i="11" a="1"/>
  <c r="AM10" i="11" s="1"/>
  <c r="AM47" i="11" a="1"/>
  <c r="AM47" i="11" s="1"/>
  <c r="AM107" i="11" a="1"/>
  <c r="AM107" i="11" s="1"/>
  <c r="AM29" i="11" a="1"/>
  <c r="AM29" i="11" s="1"/>
  <c r="AM41" i="11" a="1"/>
  <c r="AM41" i="11" s="1"/>
  <c r="AM33" i="11" a="1"/>
  <c r="AM33" i="11" s="1"/>
  <c r="AM111" i="11" a="1"/>
  <c r="AM111" i="11" s="1"/>
  <c r="AM96" i="11" a="1"/>
  <c r="AM96" i="11" s="1"/>
  <c r="AM98" i="11" a="1"/>
  <c r="AM98" i="11" s="1"/>
  <c r="AM45" i="11" a="1"/>
  <c r="AM45" i="11" s="1"/>
  <c r="AM39" i="11" a="1"/>
  <c r="AM39" i="11" s="1"/>
  <c r="AM67" i="11" a="1"/>
  <c r="AM67" i="11" s="1"/>
  <c r="AM92" i="11" a="1"/>
  <c r="AM92" i="11" s="1"/>
  <c r="AM46" i="11" a="1"/>
  <c r="AM46" i="11" s="1"/>
  <c r="AN102" i="14" a="1"/>
  <c r="AN102" i="14" s="1"/>
  <c r="AN41" i="14" a="1"/>
  <c r="AN41" i="14" s="1"/>
  <c r="AN28" i="14" a="1"/>
  <c r="AN28" i="14" s="1"/>
  <c r="AN91" i="14" a="1"/>
  <c r="AN91" i="14" s="1"/>
  <c r="AN36" i="14" a="1"/>
  <c r="AN36" i="14" s="1"/>
  <c r="AN20" i="14" a="1"/>
  <c r="AN20" i="14" s="1"/>
  <c r="AN29" i="14" a="1"/>
  <c r="AN29" i="14" s="1"/>
  <c r="AN96" i="14" a="1"/>
  <c r="AN96" i="14" s="1"/>
  <c r="AN32" i="14" a="1"/>
  <c r="AN32" i="14" s="1"/>
  <c r="AN21" i="14" a="1"/>
  <c r="AN21" i="14" s="1"/>
  <c r="AN35" i="14" a="1"/>
  <c r="AN35" i="14" s="1"/>
  <c r="AN34" i="14" a="1"/>
  <c r="AN34" i="14" s="1"/>
  <c r="AN110" i="14" a="1"/>
  <c r="AN110" i="14" s="1"/>
  <c r="AN18" i="14" a="1"/>
  <c r="AN18" i="14" s="1"/>
  <c r="AN24" i="14" a="1"/>
  <c r="AN24" i="14" s="1"/>
  <c r="AN99" i="14" a="1"/>
  <c r="AN99" i="14" s="1"/>
  <c r="AN95" i="14" a="1"/>
  <c r="AN95" i="14" s="1"/>
  <c r="AN13" i="14" a="1"/>
  <c r="AN13" i="14" s="1"/>
  <c r="AN108" i="14" a="1"/>
  <c r="AN108" i="14" s="1"/>
  <c r="AN90" i="14" a="1"/>
  <c r="AN90" i="14" s="1"/>
  <c r="AN94" i="14" a="1"/>
  <c r="AN94" i="14" s="1"/>
  <c r="AN98" i="14" a="1"/>
  <c r="AN98" i="14" s="1"/>
  <c r="AN100" i="14" a="1"/>
  <c r="AN100" i="14" s="1"/>
  <c r="AN27" i="14" a="1"/>
  <c r="AN27" i="14" s="1"/>
  <c r="AN33" i="14" a="1"/>
  <c r="AN33" i="14" s="1"/>
  <c r="AN93" i="14" a="1"/>
  <c r="AN93" i="14" s="1"/>
  <c r="AN111" i="14" a="1"/>
  <c r="AN111" i="14" s="1"/>
  <c r="AN10" i="14" a="1"/>
  <c r="AN10" i="14" s="1"/>
  <c r="AN26" i="14" a="1"/>
  <c r="AN26" i="14" s="1"/>
  <c r="AN22" i="14" a="1"/>
  <c r="AN22" i="14" s="1"/>
  <c r="AN103" i="14" a="1"/>
  <c r="AN103" i="14" s="1"/>
  <c r="AN105" i="14" a="1"/>
  <c r="AN105" i="14" s="1"/>
  <c r="AN31" i="14" a="1"/>
  <c r="AN31" i="14" s="1"/>
  <c r="AN106" i="14" a="1"/>
  <c r="AN106" i="14" s="1"/>
  <c r="AN25" i="14" a="1"/>
  <c r="AN25" i="14" s="1"/>
  <c r="AN39" i="14" a="1"/>
  <c r="AN39" i="14" s="1"/>
  <c r="AN101" i="14" a="1"/>
  <c r="AN101" i="14" s="1"/>
  <c r="AN113" i="14" a="1"/>
  <c r="AN113" i="14" s="1"/>
  <c r="AN11" i="14" a="1"/>
  <c r="AN11" i="14" s="1"/>
  <c r="AN112" i="14" a="1"/>
  <c r="AN112" i="14" s="1"/>
  <c r="AN38" i="14" a="1"/>
  <c r="AN38" i="14" s="1"/>
  <c r="AN92" i="14" a="1"/>
  <c r="AN92" i="14" s="1"/>
  <c r="AN104" i="14" a="1"/>
  <c r="AN104" i="14" s="1"/>
  <c r="AN23" i="14" a="1"/>
  <c r="AN23" i="14" s="1"/>
  <c r="AN19" i="14" a="1"/>
  <c r="AN19" i="14" s="1"/>
  <c r="AN107" i="14" a="1"/>
  <c r="AN107" i="14" s="1"/>
  <c r="AN14" i="14" a="1"/>
  <c r="AN14" i="14" s="1"/>
  <c r="AN97" i="14" a="1"/>
  <c r="AN97" i="14" s="1"/>
  <c r="AN109" i="14" a="1"/>
  <c r="AN109" i="14" s="1"/>
  <c r="AN12" i="14" a="1"/>
  <c r="AN12" i="14" s="1"/>
  <c r="AN30" i="14" a="1"/>
  <c r="AN30" i="14" s="1"/>
  <c r="AP23" i="14" a="1"/>
  <c r="AP23" i="14" s="1"/>
  <c r="AP94" i="14" a="1"/>
  <c r="AP94" i="14" s="1"/>
  <c r="AP24" i="14" a="1"/>
  <c r="AP24" i="14" s="1"/>
  <c r="AP106" i="14" a="1"/>
  <c r="AP106" i="14" s="1"/>
  <c r="AP14" i="14" a="1"/>
  <c r="AP14" i="14" s="1"/>
  <c r="AP31" i="14" a="1"/>
  <c r="AP31" i="14" s="1"/>
  <c r="AP13" i="14" a="1"/>
  <c r="AP13" i="14" s="1"/>
  <c r="AP98" i="14" a="1"/>
  <c r="AP98" i="14" s="1"/>
  <c r="AP108" i="14" a="1"/>
  <c r="AP108" i="14" s="1"/>
  <c r="AP93" i="14" a="1"/>
  <c r="AP93" i="14" s="1"/>
  <c r="AP27" i="14" a="1"/>
  <c r="AP27" i="14" s="1"/>
  <c r="AP109" i="14" a="1"/>
  <c r="AP109" i="14" s="1"/>
  <c r="AP41" i="14" a="1"/>
  <c r="AP41" i="14" s="1"/>
  <c r="AP92" i="14" a="1"/>
  <c r="AP92" i="14" s="1"/>
  <c r="AP22" i="14" a="1"/>
  <c r="AP22" i="14" s="1"/>
  <c r="AP101" i="14" a="1"/>
  <c r="AP101" i="14" s="1"/>
  <c r="AP100" i="14" a="1"/>
  <c r="AP100" i="14" s="1"/>
  <c r="AP29" i="14" a="1"/>
  <c r="AP29" i="14" s="1"/>
  <c r="AP112" i="14" a="1"/>
  <c r="AP112" i="14" s="1"/>
  <c r="AP103" i="14" a="1"/>
  <c r="AP103" i="14" s="1"/>
  <c r="AP21" i="14" a="1"/>
  <c r="AP21" i="14" s="1"/>
  <c r="AP104" i="14" a="1"/>
  <c r="AP104" i="14" s="1"/>
  <c r="AP35" i="14" a="1"/>
  <c r="AP35" i="14" s="1"/>
  <c r="AP10" i="14" a="1"/>
  <c r="AP10" i="14" s="1"/>
  <c r="AP107" i="14" a="1"/>
  <c r="AP107" i="14" s="1"/>
  <c r="AP18" i="14" a="1"/>
  <c r="AP18" i="14" s="1"/>
  <c r="AP30" i="14" a="1"/>
  <c r="AP30" i="14" s="1"/>
  <c r="AP99" i="14" a="1"/>
  <c r="AP99" i="14" s="1"/>
  <c r="AP111" i="14" a="1"/>
  <c r="AP111" i="14" s="1"/>
  <c r="AP91" i="14" a="1"/>
  <c r="AP91" i="14" s="1"/>
  <c r="AP110" i="14" a="1"/>
  <c r="AP110" i="14" s="1"/>
  <c r="AP39" i="14" a="1"/>
  <c r="AP39" i="14" s="1"/>
  <c r="AP36" i="14" a="1"/>
  <c r="AP36" i="14" s="1"/>
  <c r="AP102" i="14" a="1"/>
  <c r="AP102" i="14" s="1"/>
  <c r="AP34" i="14" a="1"/>
  <c r="AP34" i="14" s="1"/>
  <c r="AP19" i="14" a="1"/>
  <c r="AP19" i="14" s="1"/>
  <c r="AP26" i="14" a="1"/>
  <c r="AP26" i="14" s="1"/>
  <c r="AP105" i="14" a="1"/>
  <c r="AP105" i="14" s="1"/>
  <c r="AP33" i="14" a="1"/>
  <c r="AP33" i="14" s="1"/>
  <c r="AP90" i="14" a="1"/>
  <c r="AP90" i="14" s="1"/>
  <c r="AP25" i="14" a="1"/>
  <c r="AP25" i="14" s="1"/>
  <c r="AP95" i="14" a="1"/>
  <c r="AP95" i="14" s="1"/>
  <c r="AP40" i="14" a="1"/>
  <c r="AP40" i="14" s="1"/>
  <c r="AP11" i="14" a="1"/>
  <c r="AP11" i="14" s="1"/>
  <c r="AP12" i="14" a="1"/>
  <c r="AP12" i="14" s="1"/>
  <c r="AP32" i="14" a="1"/>
  <c r="AP32" i="14" s="1"/>
  <c r="AP20" i="14" a="1"/>
  <c r="AP20" i="14" s="1"/>
  <c r="AP38" i="14" a="1"/>
  <c r="AP38" i="14" s="1"/>
  <c r="AP97" i="14" a="1"/>
  <c r="AP97" i="14" s="1"/>
  <c r="AP37" i="14" a="1"/>
  <c r="AP37" i="14" s="1"/>
  <c r="AP113" i="14" a="1"/>
  <c r="AP113" i="14" s="1"/>
  <c r="AP96" i="14" a="1"/>
  <c r="AP96" i="14" s="1"/>
  <c r="AP28" i="14" a="1"/>
  <c r="AP28" i="14" s="1"/>
  <c r="AN112" i="10" a="1"/>
  <c r="AN112" i="10" s="1"/>
  <c r="AN94" i="10" a="1"/>
  <c r="AN94" i="10" s="1"/>
  <c r="AN22" i="10" a="1"/>
  <c r="AN22" i="10" s="1"/>
  <c r="AN98" i="10" a="1"/>
  <c r="AN98" i="10" s="1"/>
  <c r="AN29" i="10" a="1"/>
  <c r="AN29" i="10" s="1"/>
  <c r="AN30" i="10" a="1"/>
  <c r="AN30" i="10" s="1"/>
  <c r="AN95" i="10" a="1"/>
  <c r="AN95" i="10" s="1"/>
  <c r="AN21" i="10" a="1"/>
  <c r="AN21" i="10" s="1"/>
  <c r="AN108" i="10" a="1"/>
  <c r="AN108" i="10" s="1"/>
  <c r="AN101" i="10" a="1"/>
  <c r="AN101" i="10" s="1"/>
  <c r="AN110" i="10" a="1"/>
  <c r="AN110" i="10" s="1"/>
  <c r="AN28" i="10" a="1"/>
  <c r="AN28" i="10" s="1"/>
  <c r="AN113" i="10" a="1"/>
  <c r="AN113" i="10" s="1"/>
  <c r="AN107" i="10" a="1"/>
  <c r="AN107" i="10" s="1"/>
  <c r="AN92" i="10" a="1"/>
  <c r="AN92" i="10" s="1"/>
  <c r="AN10" i="10" a="1"/>
  <c r="AN10" i="10" s="1"/>
  <c r="AN111" i="10" a="1"/>
  <c r="AN111" i="10" s="1"/>
  <c r="AN91" i="10" a="1"/>
  <c r="AN91" i="10" s="1"/>
  <c r="AN35" i="10" a="1"/>
  <c r="AN35" i="10" s="1"/>
  <c r="AN100" i="10" a="1"/>
  <c r="AN100" i="10" s="1"/>
  <c r="AN40" i="10" a="1"/>
  <c r="AN40" i="10" s="1"/>
  <c r="AN39" i="10" a="1"/>
  <c r="AN39" i="10" s="1"/>
  <c r="AN97" i="10" a="1"/>
  <c r="AN97" i="10" s="1"/>
  <c r="AN24" i="10" a="1"/>
  <c r="AN24" i="10" s="1"/>
  <c r="AN32" i="10" a="1"/>
  <c r="AN32" i="10" s="1"/>
  <c r="AN27" i="10" a="1"/>
  <c r="AN27" i="10" s="1"/>
  <c r="AN106" i="10" a="1"/>
  <c r="AN106" i="10" s="1"/>
  <c r="AN23" i="10" a="1"/>
  <c r="AN23" i="10" s="1"/>
  <c r="AN105" i="10" a="1"/>
  <c r="AN105" i="10" s="1"/>
  <c r="AN103" i="10" a="1"/>
  <c r="AN103" i="10" s="1"/>
  <c r="AN49" i="10" a="1"/>
  <c r="AN49" i="10" s="1"/>
  <c r="AN45" i="10" a="1"/>
  <c r="AN45" i="10" s="1"/>
  <c r="AN90" i="10" a="1"/>
  <c r="AN90" i="10" s="1"/>
  <c r="AN19" i="10" a="1"/>
  <c r="AN19" i="10" s="1"/>
  <c r="AN34" i="10" a="1"/>
  <c r="AN34" i="10" s="1"/>
  <c r="AN93" i="10" a="1"/>
  <c r="AN93" i="10" s="1"/>
  <c r="AN33" i="10" a="1"/>
  <c r="AN33" i="10" s="1"/>
  <c r="AN36" i="10" a="1"/>
  <c r="AN36" i="10" s="1"/>
  <c r="AN11" i="10" a="1"/>
  <c r="AN11" i="10" s="1"/>
  <c r="AN96" i="10" a="1"/>
  <c r="AN96" i="10" s="1"/>
  <c r="AN104" i="10" a="1"/>
  <c r="AN104" i="10" s="1"/>
  <c r="AN25" i="10" a="1"/>
  <c r="AN25" i="10" s="1"/>
  <c r="AN38" i="10" a="1"/>
  <c r="AN38" i="10" s="1"/>
  <c r="AN99" i="10" a="1"/>
  <c r="AN99" i="10" s="1"/>
  <c r="AN41" i="10" a="1"/>
  <c r="AN41" i="10" s="1"/>
  <c r="AN20" i="10" a="1"/>
  <c r="AN20" i="10" s="1"/>
  <c r="AN102" i="10" a="1"/>
  <c r="AN102" i="10" s="1"/>
  <c r="AN31" i="10" a="1"/>
  <c r="AN31" i="10" s="1"/>
  <c r="AN18" i="10" a="1"/>
  <c r="AN18" i="10" s="1"/>
  <c r="AN109" i="10" a="1"/>
  <c r="AN109" i="10" s="1"/>
  <c r="AN37" i="10" a="1"/>
  <c r="AN37" i="10" s="1"/>
  <c r="AN26" i="10" a="1"/>
  <c r="AN26" i="10" s="1"/>
  <c r="AO110" i="14" a="1"/>
  <c r="AO110" i="14" s="1"/>
  <c r="AO112" i="14" a="1"/>
  <c r="AO112" i="14" s="1"/>
  <c r="AO100" i="14" a="1"/>
  <c r="AO100" i="14" s="1"/>
  <c r="AO102" i="14" a="1"/>
  <c r="AO102" i="14" s="1"/>
  <c r="AO11" i="14" a="1"/>
  <c r="AO11" i="14" s="1"/>
  <c r="AO92" i="14" a="1"/>
  <c r="AO92" i="14" s="1"/>
  <c r="AO99" i="14" a="1"/>
  <c r="AO99" i="14" s="1"/>
  <c r="AO93" i="14" a="1"/>
  <c r="AO93" i="14" s="1"/>
  <c r="AO33" i="14" a="1"/>
  <c r="AO33" i="14" s="1"/>
  <c r="AO104" i="14" a="1"/>
  <c r="AO104" i="14" s="1"/>
  <c r="AO28" i="14" a="1"/>
  <c r="AO28" i="14" s="1"/>
  <c r="AO91" i="14" a="1"/>
  <c r="AO91" i="14" s="1"/>
  <c r="AO113" i="14" a="1"/>
  <c r="AO113" i="14" s="1"/>
  <c r="AO27" i="14" a="1"/>
  <c r="AO27" i="14" s="1"/>
  <c r="AO96" i="14" a="1"/>
  <c r="AO96" i="14" s="1"/>
  <c r="AO12" i="14" a="1"/>
  <c r="AO12" i="14" s="1"/>
  <c r="AO95" i="14" a="1"/>
  <c r="AO95" i="14" s="1"/>
  <c r="AO20" i="14" a="1"/>
  <c r="AO20" i="14" s="1"/>
  <c r="AO101" i="14" a="1"/>
  <c r="AO101" i="14" s="1"/>
  <c r="AO29" i="14" a="1"/>
  <c r="AO29" i="14" s="1"/>
  <c r="AO108" i="14" a="1"/>
  <c r="AO108" i="14" s="1"/>
  <c r="AO31" i="14" a="1"/>
  <c r="AO31" i="14" s="1"/>
  <c r="AO106" i="14" a="1"/>
  <c r="AO106" i="14" s="1"/>
  <c r="AO22" i="14" a="1"/>
  <c r="AO22" i="14" s="1"/>
  <c r="AO18" i="14" a="1"/>
  <c r="AO18" i="14" s="1"/>
  <c r="AO24" i="14" a="1"/>
  <c r="AO24" i="14" s="1"/>
  <c r="AO32" i="14" a="1"/>
  <c r="AO32" i="14" s="1"/>
  <c r="AO105" i="14" a="1"/>
  <c r="AO105" i="14" s="1"/>
  <c r="AO10" i="14" a="1"/>
  <c r="AO10" i="14" s="1"/>
  <c r="AO94" i="14" a="1"/>
  <c r="AO94" i="14" s="1"/>
  <c r="AO90" i="14" a="1"/>
  <c r="AO90" i="14" s="1"/>
  <c r="AO97" i="14" a="1"/>
  <c r="AO97" i="14" s="1"/>
  <c r="AO98" i="14" a="1"/>
  <c r="AO98" i="14" s="1"/>
  <c r="AO23" i="14" a="1"/>
  <c r="AO23" i="14" s="1"/>
  <c r="AO26" i="14" a="1"/>
  <c r="AO26" i="14" s="1"/>
  <c r="AO107" i="14" a="1"/>
  <c r="AO107" i="14" s="1"/>
  <c r="AO111" i="14" a="1"/>
  <c r="AO111" i="14" s="1"/>
  <c r="AO30" i="14" a="1"/>
  <c r="AO30" i="14" s="1"/>
  <c r="AO19" i="14" a="1"/>
  <c r="AO19" i="14" s="1"/>
  <c r="AO21" i="14" a="1"/>
  <c r="AO21" i="14" s="1"/>
  <c r="AO13" i="14" a="1"/>
  <c r="AO13" i="14" s="1"/>
  <c r="AO103" i="14" a="1"/>
  <c r="AO103" i="14" s="1"/>
  <c r="AO109" i="14" a="1"/>
  <c r="AO109" i="14" s="1"/>
  <c r="AP95" i="12" a="1"/>
  <c r="AP95" i="12" s="1"/>
  <c r="AP100" i="12" a="1"/>
  <c r="AP100" i="12" s="1"/>
  <c r="AP44" i="12" a="1"/>
  <c r="AP44" i="12" s="1"/>
  <c r="AP49" i="12" a="1"/>
  <c r="AP49" i="12" s="1"/>
  <c r="AP52" i="12" a="1"/>
  <c r="AP52" i="12" s="1"/>
  <c r="AP111" i="12" a="1"/>
  <c r="AP111" i="12" s="1"/>
  <c r="AP113" i="12" a="1"/>
  <c r="AP113" i="12" s="1"/>
  <c r="AP112" i="12" a="1"/>
  <c r="AP112" i="12" s="1"/>
  <c r="AP32" i="12" a="1"/>
  <c r="AP32" i="12" s="1"/>
  <c r="AP81" i="12" a="1"/>
  <c r="AP81" i="12" s="1"/>
  <c r="AP66" i="12" a="1"/>
  <c r="AP66" i="12" s="1"/>
  <c r="AP107" i="12" a="1"/>
  <c r="AP107" i="12" s="1"/>
  <c r="AP104" i="12" a="1"/>
  <c r="AP104" i="12" s="1"/>
  <c r="AP33" i="12" a="1"/>
  <c r="AP33" i="12" s="1"/>
  <c r="AP28" i="12" a="1"/>
  <c r="AP28" i="12" s="1"/>
  <c r="AP21" i="12" a="1"/>
  <c r="AP21" i="12" s="1"/>
  <c r="AP77" i="12" a="1"/>
  <c r="AP77" i="12" s="1"/>
  <c r="AP93" i="12" a="1"/>
  <c r="AP93" i="12" s="1"/>
  <c r="AP97" i="12" a="1"/>
  <c r="AP97" i="12" s="1"/>
  <c r="AP62" i="12" a="1"/>
  <c r="AP62" i="12" s="1"/>
  <c r="AP42" i="12" a="1"/>
  <c r="AP42" i="12" s="1"/>
  <c r="AP69" i="12" a="1"/>
  <c r="AP69" i="12" s="1"/>
  <c r="AP102" i="12" a="1"/>
  <c r="AP102" i="12" s="1"/>
  <c r="AP58" i="12" a="1"/>
  <c r="AP58" i="12" s="1"/>
  <c r="AP55" i="12" a="1"/>
  <c r="AP55" i="12" s="1"/>
  <c r="AP30" i="12" a="1"/>
  <c r="AP30" i="12" s="1"/>
  <c r="AP96" i="12" a="1"/>
  <c r="AP96" i="12" s="1"/>
  <c r="AP91" i="12" a="1"/>
  <c r="AP91" i="12" s="1"/>
  <c r="AP57" i="12" a="1"/>
  <c r="AP57" i="12" s="1"/>
  <c r="AP50" i="12" a="1"/>
  <c r="AP50" i="12" s="1"/>
  <c r="AP73" i="12" a="1"/>
  <c r="AP73" i="12" s="1"/>
  <c r="AP105" i="12" a="1"/>
  <c r="AP105" i="12" s="1"/>
  <c r="AP71" i="12" a="1"/>
  <c r="AP71" i="12" s="1"/>
  <c r="AP51" i="12" a="1"/>
  <c r="AP51" i="12" s="1"/>
  <c r="AP18" i="12" a="1"/>
  <c r="AP18" i="12" s="1"/>
  <c r="AP26" i="12" a="1"/>
  <c r="AP26" i="12" s="1"/>
  <c r="AP94" i="12" a="1"/>
  <c r="AP94" i="12" s="1"/>
  <c r="AP68" i="12" a="1"/>
  <c r="AP68" i="12" s="1"/>
  <c r="AP48" i="12" a="1"/>
  <c r="AP48" i="12" s="1"/>
  <c r="AP37" i="12" a="1"/>
  <c r="AP37" i="12" s="1"/>
  <c r="AP10" i="12" a="1"/>
  <c r="AP10" i="12" s="1"/>
  <c r="AP72" i="12" a="1"/>
  <c r="AP72" i="12" s="1"/>
  <c r="AP108" i="12" a="1"/>
  <c r="AP108" i="12" s="1"/>
  <c r="AP31" i="12" a="1"/>
  <c r="AP31" i="12" s="1"/>
  <c r="AP19" i="12" a="1"/>
  <c r="AP19" i="12" s="1"/>
  <c r="AP45" i="12" a="1"/>
  <c r="AP45" i="12" s="1"/>
  <c r="AP103" i="12" a="1"/>
  <c r="AP103" i="12" s="1"/>
  <c r="AP59" i="12" a="1"/>
  <c r="AP59" i="12" s="1"/>
  <c r="AP38" i="12" a="1"/>
  <c r="AP38" i="12" s="1"/>
  <c r="AP54" i="12" a="1"/>
  <c r="AP54" i="12" s="1"/>
  <c r="AP34" i="12" a="1"/>
  <c r="AP34" i="12" s="1"/>
  <c r="AP101" i="12" a="1"/>
  <c r="AP101" i="12" s="1"/>
  <c r="AP92" i="12" a="1"/>
  <c r="AP92" i="12" s="1"/>
  <c r="AP27" i="12" a="1"/>
  <c r="AP27" i="12" s="1"/>
  <c r="AP43" i="12" a="1"/>
  <c r="AP43" i="12" s="1"/>
  <c r="AP20" i="12" a="1"/>
  <c r="AP20" i="12" s="1"/>
  <c r="AP110" i="12" a="1"/>
  <c r="AP110" i="12" s="1"/>
  <c r="AP65" i="12" a="1"/>
  <c r="AP65" i="12" s="1"/>
  <c r="AP41" i="12" a="1"/>
  <c r="AP41" i="12" s="1"/>
  <c r="AP29" i="12" a="1"/>
  <c r="AP29" i="12" s="1"/>
  <c r="AP36" i="12" a="1"/>
  <c r="AP36" i="12" s="1"/>
  <c r="AP99" i="12" a="1"/>
  <c r="AP99" i="12" s="1"/>
  <c r="AP67" i="12" a="1"/>
  <c r="AP67" i="12" s="1"/>
  <c r="AP61" i="12" a="1"/>
  <c r="AP61" i="12" s="1"/>
  <c r="AP53" i="12" a="1"/>
  <c r="AP53" i="12" s="1"/>
  <c r="AP12" i="12" a="1"/>
  <c r="AP12" i="12" s="1"/>
  <c r="AP70" i="12" a="1"/>
  <c r="AP70" i="12" s="1"/>
  <c r="AP35" i="12" a="1"/>
  <c r="AP35" i="12" s="1"/>
  <c r="AP56" i="12" a="1"/>
  <c r="AP56" i="12" s="1"/>
  <c r="AP46" i="12" a="1"/>
  <c r="AP46" i="12" s="1"/>
  <c r="AP11" i="12" a="1"/>
  <c r="AP11" i="12" s="1"/>
  <c r="AP106" i="12" a="1"/>
  <c r="AP106" i="12" s="1"/>
  <c r="AP109" i="12" a="1"/>
  <c r="AP109" i="12" s="1"/>
  <c r="AP47" i="12" a="1"/>
  <c r="AP47" i="12" s="1"/>
  <c r="AP64" i="12" a="1"/>
  <c r="AP64" i="12" s="1"/>
  <c r="AP39" i="12" a="1"/>
  <c r="AP39" i="12" s="1"/>
  <c r="AP90" i="12" a="1"/>
  <c r="AP90" i="12" s="1"/>
  <c r="AP63" i="12" a="1"/>
  <c r="AP63" i="12" s="1"/>
  <c r="AP60" i="12" a="1"/>
  <c r="AP60" i="12" s="1"/>
  <c r="AP40" i="12" a="1"/>
  <c r="AP40" i="12" s="1"/>
  <c r="AP98" i="12" a="1"/>
  <c r="AP98" i="12" s="1"/>
  <c r="AN11" i="11" a="1"/>
  <c r="AN11" i="11" s="1"/>
  <c r="AP69" i="22" a="1"/>
  <c r="AP69" i="22" s="1"/>
  <c r="AO35" i="14" a="1"/>
  <c r="AO35" i="14" s="1"/>
  <c r="AP98" i="8" a="1"/>
  <c r="AP98" i="8" s="1"/>
  <c r="AP76" i="8" a="1"/>
  <c r="AP76" i="8" s="1"/>
  <c r="AP79" i="8" a="1"/>
  <c r="AP79" i="8" s="1"/>
  <c r="AP60" i="8" a="1"/>
  <c r="AP60" i="8" s="1"/>
  <c r="AP23" i="8" a="1"/>
  <c r="AP23" i="8" s="1"/>
  <c r="AP20" i="8" a="1"/>
  <c r="AP20" i="8" s="1"/>
  <c r="AP57" i="8" a="1"/>
  <c r="AP57" i="8" s="1"/>
  <c r="AP86" i="8" a="1"/>
  <c r="AP86" i="8" s="1"/>
  <c r="AP109" i="8" a="1"/>
  <c r="AP109" i="8" s="1"/>
  <c r="AP72" i="8" a="1"/>
  <c r="AP72" i="8" s="1"/>
  <c r="AP91" i="8" a="1"/>
  <c r="AP91" i="8" s="1"/>
  <c r="AP52" i="8" a="1"/>
  <c r="AP52" i="8" s="1"/>
  <c r="AP14" i="8" a="1"/>
  <c r="AP14" i="8" s="1"/>
  <c r="AP37" i="8" a="1"/>
  <c r="AP37" i="8" s="1"/>
  <c r="AP94" i="8" a="1"/>
  <c r="AP94" i="8" s="1"/>
  <c r="AP101" i="8" a="1"/>
  <c r="AP101" i="8" s="1"/>
  <c r="AP84" i="8" a="1"/>
  <c r="AP84" i="8" s="1"/>
  <c r="AP87" i="8" a="1"/>
  <c r="AP87" i="8" s="1"/>
  <c r="AP105" i="8" a="1"/>
  <c r="AP105" i="8" s="1"/>
  <c r="AP111" i="8" a="1"/>
  <c r="AP111" i="8" s="1"/>
  <c r="AP30" i="8" a="1"/>
  <c r="AP30" i="8" s="1"/>
  <c r="AP41" i="8" a="1"/>
  <c r="AP41" i="8" s="1"/>
  <c r="AP112" i="8" a="1"/>
  <c r="AP112" i="8" s="1"/>
  <c r="AP80" i="8" a="1"/>
  <c r="AP80" i="8" s="1"/>
  <c r="AP62" i="8" a="1"/>
  <c r="AP62" i="8" s="1"/>
  <c r="AP63" i="8" a="1"/>
  <c r="AP63" i="8" s="1"/>
  <c r="AP49" i="8" a="1"/>
  <c r="AP49" i="8" s="1"/>
  <c r="AP66" i="8" a="1"/>
  <c r="AP66" i="8" s="1"/>
  <c r="AP10" i="8" a="1"/>
  <c r="AP10" i="8" s="1"/>
  <c r="AP107" i="8" a="1"/>
  <c r="AP107" i="8" s="1"/>
  <c r="AP64" i="8" a="1"/>
  <c r="AP64" i="8" s="1"/>
  <c r="AP54" i="8" a="1"/>
  <c r="AP54" i="8" s="1"/>
  <c r="AP55" i="8" a="1"/>
  <c r="AP55" i="8" s="1"/>
  <c r="AP39" i="8" a="1"/>
  <c r="AP39" i="8" s="1"/>
  <c r="AP36" i="8" a="1"/>
  <c r="AP36" i="8" s="1"/>
  <c r="AP83" i="8" a="1"/>
  <c r="AP83" i="8" s="1"/>
  <c r="AP99" i="8" a="1"/>
  <c r="AP99" i="8" s="1"/>
  <c r="AP56" i="8" a="1"/>
  <c r="AP56" i="8" s="1"/>
  <c r="AP95" i="8" a="1"/>
  <c r="AP95" i="8" s="1"/>
  <c r="AP51" i="8" a="1"/>
  <c r="AP51" i="8" s="1"/>
  <c r="AP73" i="8" a="1"/>
  <c r="AP73" i="8" s="1"/>
  <c r="AP26" i="8" a="1"/>
  <c r="AP26" i="8" s="1"/>
  <c r="AP42" i="8" a="1"/>
  <c r="AP42" i="8" s="1"/>
  <c r="AP110" i="8" a="1"/>
  <c r="AP110" i="8" s="1"/>
  <c r="AP92" i="8" a="1"/>
  <c r="AP92" i="8" s="1"/>
  <c r="AP108" i="8" a="1"/>
  <c r="AP108" i="8" s="1"/>
  <c r="AP40" i="8" a="1"/>
  <c r="AP40" i="8" s="1"/>
  <c r="AP43" i="8" a="1"/>
  <c r="AP43" i="8" s="1"/>
  <c r="AP22" i="8" a="1"/>
  <c r="AP22" i="8" s="1"/>
  <c r="AP102" i="8" a="1"/>
  <c r="AP102" i="8" s="1"/>
  <c r="AP88" i="8" a="1"/>
  <c r="AP88" i="8" s="1"/>
  <c r="AP74" i="8" a="1"/>
  <c r="AP74" i="8" s="1"/>
  <c r="AP25" i="8" a="1"/>
  <c r="AP25" i="8" s="1"/>
  <c r="AP69" i="8" a="1"/>
  <c r="AP69" i="8" s="1"/>
  <c r="AP27" i="8" a="1"/>
  <c r="AP27" i="8" s="1"/>
  <c r="AP106" i="8" a="1"/>
  <c r="AP106" i="8" s="1"/>
  <c r="AP113" i="8" a="1"/>
  <c r="AP113" i="8" s="1"/>
  <c r="AP97" i="8" a="1"/>
  <c r="AP97" i="8" s="1"/>
  <c r="AP70" i="8" a="1"/>
  <c r="AP70" i="8" s="1"/>
  <c r="AP12" i="8" a="1"/>
  <c r="AP12" i="8" s="1"/>
  <c r="AP32" i="8" a="1"/>
  <c r="AP32" i="8" s="1"/>
  <c r="AP21" i="8" a="1"/>
  <c r="AP21" i="8" s="1"/>
  <c r="AP46" i="8" a="1"/>
  <c r="AP46" i="8" s="1"/>
  <c r="AP85" i="8" a="1"/>
  <c r="AP85" i="8" s="1"/>
  <c r="AP75" i="8" a="1"/>
  <c r="AP75" i="8" s="1"/>
  <c r="AP65" i="8" a="1"/>
  <c r="AP65" i="8" s="1"/>
  <c r="AP58" i="8" a="1"/>
  <c r="AP58" i="8" s="1"/>
  <c r="AP18" i="8" a="1"/>
  <c r="AP18" i="8" s="1"/>
  <c r="AP33" i="8" a="1"/>
  <c r="AP33" i="8" s="1"/>
  <c r="AP50" i="8" a="1"/>
  <c r="AP50" i="8" s="1"/>
  <c r="AP81" i="8" a="1"/>
  <c r="AP81" i="8" s="1"/>
  <c r="AP71" i="8" a="1"/>
  <c r="AP71" i="8" s="1"/>
  <c r="AP103" i="8" a="1"/>
  <c r="AP103" i="8" s="1"/>
  <c r="AP44" i="8" a="1"/>
  <c r="AP44" i="8" s="1"/>
  <c r="AP48" i="8" a="1"/>
  <c r="AP48" i="8" s="1"/>
  <c r="AP28" i="8" a="1"/>
  <c r="AP28" i="8" s="1"/>
  <c r="AP31" i="8" a="1"/>
  <c r="AP31" i="8" s="1"/>
  <c r="AP67" i="8" a="1"/>
  <c r="AP67" i="8" s="1"/>
  <c r="AP82" i="8" a="1"/>
  <c r="AP82" i="8" s="1"/>
  <c r="AP34" i="8" a="1"/>
  <c r="AP34" i="8" s="1"/>
  <c r="AP19" i="8" a="1"/>
  <c r="AP19" i="8" s="1"/>
  <c r="AP53" i="8" a="1"/>
  <c r="AP53" i="8" s="1"/>
  <c r="AP93" i="8" a="1"/>
  <c r="AP93" i="8" s="1"/>
  <c r="AP59" i="8" a="1"/>
  <c r="AP59" i="8" s="1"/>
  <c r="AP78" i="8" a="1"/>
  <c r="AP78" i="8" s="1"/>
  <c r="AP24" i="8" a="1"/>
  <c r="AP24" i="8" s="1"/>
  <c r="AP38" i="8" a="1"/>
  <c r="AP38" i="8" s="1"/>
  <c r="AP45" i="8" a="1"/>
  <c r="AP45" i="8" s="1"/>
  <c r="AP89" i="8" a="1"/>
  <c r="AP89" i="8" s="1"/>
  <c r="AP100" i="8" a="1"/>
  <c r="AP100" i="8" s="1"/>
  <c r="AP104" i="8" a="1"/>
  <c r="AP104" i="8" s="1"/>
  <c r="AP13" i="8" a="1"/>
  <c r="AP13" i="8" s="1"/>
  <c r="AP35" i="8" a="1"/>
  <c r="AP35" i="8" s="1"/>
  <c r="AP29" i="8" a="1"/>
  <c r="AP29" i="8" s="1"/>
  <c r="AP68" i="8" a="1"/>
  <c r="AP68" i="8" s="1"/>
  <c r="AP96" i="8" a="1"/>
  <c r="AP96" i="8" s="1"/>
  <c r="AP90" i="8" a="1"/>
  <c r="AP90" i="8" s="1"/>
  <c r="AP77" i="8" a="1"/>
  <c r="AP77" i="8" s="1"/>
  <c r="AP47" i="8" a="1"/>
  <c r="AP47" i="8" s="1"/>
  <c r="AP11" i="8" a="1"/>
  <c r="AP11" i="8" s="1"/>
  <c r="AP61" i="8" a="1"/>
  <c r="AP61" i="8" s="1"/>
  <c r="AP109" i="11" a="1"/>
  <c r="AP109" i="11" s="1"/>
  <c r="AP76" i="11" a="1"/>
  <c r="AP76" i="11" s="1"/>
  <c r="AP79" i="11" a="1"/>
  <c r="AP79" i="11" s="1"/>
  <c r="AP87" i="11" a="1"/>
  <c r="AP87" i="11" s="1"/>
  <c r="AP22" i="11" a="1"/>
  <c r="AP22" i="11" s="1"/>
  <c r="AP34" i="11" a="1"/>
  <c r="AP34" i="11" s="1"/>
  <c r="AP107" i="11" a="1"/>
  <c r="AP107" i="11" s="1"/>
  <c r="AP96" i="11" a="1"/>
  <c r="AP96" i="11" s="1"/>
  <c r="AP83" i="11" a="1"/>
  <c r="AP83" i="11" s="1"/>
  <c r="AP61" i="11" a="1"/>
  <c r="AP61" i="11" s="1"/>
  <c r="AP58" i="11" a="1"/>
  <c r="AP58" i="11" s="1"/>
  <c r="AP10" i="11" a="1"/>
  <c r="AP10" i="11" s="1"/>
  <c r="AP82" i="11" a="1"/>
  <c r="AP82" i="11" s="1"/>
  <c r="AP85" i="11" a="1"/>
  <c r="AP85" i="11" s="1"/>
  <c r="AP72" i="11" a="1"/>
  <c r="AP72" i="11" s="1"/>
  <c r="AP60" i="11" a="1"/>
  <c r="AP60" i="11" s="1"/>
  <c r="AP54" i="11" a="1"/>
  <c r="AP54" i="11" s="1"/>
  <c r="AP35" i="11" a="1"/>
  <c r="AP35" i="11" s="1"/>
  <c r="AP78" i="11" a="1"/>
  <c r="AP78" i="11" s="1"/>
  <c r="AP101" i="11" a="1"/>
  <c r="AP101" i="11" s="1"/>
  <c r="AP64" i="11" a="1"/>
  <c r="AP64" i="11" s="1"/>
  <c r="AP29" i="11" a="1"/>
  <c r="AP29" i="11" s="1"/>
  <c r="AP25" i="11" a="1"/>
  <c r="AP25" i="11" s="1"/>
  <c r="AP19" i="11" a="1"/>
  <c r="AP19" i="11" s="1"/>
  <c r="AP70" i="11" a="1"/>
  <c r="AP70" i="11" s="1"/>
  <c r="AP95" i="11" a="1"/>
  <c r="AP95" i="11" s="1"/>
  <c r="AP104" i="11" a="1"/>
  <c r="AP104" i="11" s="1"/>
  <c r="AP21" i="11" a="1"/>
  <c r="AP21" i="11" s="1"/>
  <c r="AP71" i="11" a="1"/>
  <c r="AP71" i="11" s="1"/>
  <c r="AP67" i="11" a="1"/>
  <c r="AP67" i="11" s="1"/>
  <c r="AP62" i="11" a="1"/>
  <c r="AP62" i="11" s="1"/>
  <c r="AP89" i="11" a="1"/>
  <c r="AP89" i="11" s="1"/>
  <c r="AP98" i="11" a="1"/>
  <c r="AP98" i="11" s="1"/>
  <c r="AP105" i="11" a="1"/>
  <c r="AP105" i="11" s="1"/>
  <c r="AP38" i="11" a="1"/>
  <c r="AP38" i="11" s="1"/>
  <c r="AP56" i="11" a="1"/>
  <c r="AP56" i="11" s="1"/>
  <c r="AP103" i="11" a="1"/>
  <c r="AP103" i="11" s="1"/>
  <c r="AP80" i="11" a="1"/>
  <c r="AP80" i="11" s="1"/>
  <c r="AP33" i="11" a="1"/>
  <c r="AP33" i="11" s="1"/>
  <c r="AP59" i="11" a="1"/>
  <c r="AP59" i="11" s="1"/>
  <c r="AP24" i="11" a="1"/>
  <c r="AP24" i="11" s="1"/>
  <c r="AP52" i="11" a="1"/>
  <c r="AP52" i="11" s="1"/>
  <c r="AP91" i="11" a="1"/>
  <c r="AP91" i="11" s="1"/>
  <c r="AP74" i="11" a="1"/>
  <c r="AP74" i="11" s="1"/>
  <c r="AP43" i="11" a="1"/>
  <c r="AP43" i="11" s="1"/>
  <c r="AP40" i="11" a="1"/>
  <c r="AP40" i="11" s="1"/>
  <c r="AP45" i="11" a="1"/>
  <c r="AP45" i="11" s="1"/>
  <c r="AP18" i="11" a="1"/>
  <c r="AP18" i="11" s="1"/>
  <c r="AP86" i="11" a="1"/>
  <c r="AP86" i="11" s="1"/>
  <c r="AP66" i="11" a="1"/>
  <c r="AP66" i="11" s="1"/>
  <c r="AP32" i="11" a="1"/>
  <c r="AP32" i="11" s="1"/>
  <c r="AP28" i="11" a="1"/>
  <c r="AP28" i="11" s="1"/>
  <c r="AP23" i="11" a="1"/>
  <c r="AP23" i="11" s="1"/>
  <c r="AP112" i="11" a="1"/>
  <c r="AP112" i="11" s="1"/>
  <c r="AP113" i="11" a="1"/>
  <c r="AP113" i="11" s="1"/>
  <c r="AP100" i="11" a="1"/>
  <c r="AP100" i="11" s="1"/>
  <c r="AP20" i="11" a="1"/>
  <c r="AP20" i="11" s="1"/>
  <c r="AP92" i="11" a="1"/>
  <c r="AP92" i="11" s="1"/>
  <c r="AP75" i="11" a="1"/>
  <c r="AP75" i="11" s="1"/>
  <c r="AP48" i="11" a="1"/>
  <c r="AP48" i="11" s="1"/>
  <c r="AP73" i="11" a="1"/>
  <c r="AP73" i="11" s="1"/>
  <c r="AP84" i="11" a="1"/>
  <c r="AP84" i="11" s="1"/>
  <c r="AP51" i="11" a="1"/>
  <c r="AP51" i="11" s="1"/>
  <c r="AP63" i="11" a="1"/>
  <c r="AP63" i="11" s="1"/>
  <c r="AP53" i="11" a="1"/>
  <c r="AP53" i="11" s="1"/>
  <c r="AP39" i="11" a="1"/>
  <c r="AP39" i="11" s="1"/>
  <c r="AP97" i="11" a="1"/>
  <c r="AP97" i="11" s="1"/>
  <c r="AP88" i="11" a="1"/>
  <c r="AP88" i="11" s="1"/>
  <c r="AP31" i="11" a="1"/>
  <c r="AP31" i="11" s="1"/>
  <c r="AP27" i="11" a="1"/>
  <c r="AP27" i="11" s="1"/>
  <c r="AP41" i="11" a="1"/>
  <c r="AP41" i="11" s="1"/>
  <c r="AP57" i="11" a="1"/>
  <c r="AP57" i="11" s="1"/>
  <c r="AP108" i="11" a="1"/>
  <c r="AP108" i="11" s="1"/>
  <c r="AP102" i="11" a="1"/>
  <c r="AP102" i="11" s="1"/>
  <c r="AP77" i="11" a="1"/>
  <c r="AP77" i="11" s="1"/>
  <c r="AP55" i="11" a="1"/>
  <c r="AP55" i="11" s="1"/>
  <c r="AP50" i="11" a="1"/>
  <c r="AP50" i="11" s="1"/>
  <c r="AP110" i="11" a="1"/>
  <c r="AP110" i="11" s="1"/>
  <c r="AP68" i="11" a="1"/>
  <c r="AP68" i="11" s="1"/>
  <c r="AP111" i="11" a="1"/>
  <c r="AP111" i="11" s="1"/>
  <c r="AP90" i="11" a="1"/>
  <c r="AP90" i="11" s="1"/>
  <c r="AP69" i="11" a="1"/>
  <c r="AP69" i="11" s="1"/>
  <c r="AP37" i="11" a="1"/>
  <c r="AP37" i="11" s="1"/>
  <c r="AP46" i="11" a="1"/>
  <c r="AP46" i="11" s="1"/>
  <c r="AP44" i="11" a="1"/>
  <c r="AP44" i="11" s="1"/>
  <c r="AP11" i="11" a="1"/>
  <c r="AP11" i="11" s="1"/>
  <c r="AP106" i="11" a="1"/>
  <c r="AP106" i="11" s="1"/>
  <c r="AP81" i="11" a="1"/>
  <c r="AP81" i="11" s="1"/>
  <c r="AP99" i="11" a="1"/>
  <c r="AP99" i="11" s="1"/>
  <c r="AP30" i="11" a="1"/>
  <c r="AP30" i="11" s="1"/>
  <c r="AP26" i="11" a="1"/>
  <c r="AP26" i="11" s="1"/>
  <c r="AP36" i="11" a="1"/>
  <c r="AP36" i="11" s="1"/>
  <c r="AP65" i="11" a="1"/>
  <c r="AP65" i="11" s="1"/>
  <c r="AP94" i="11" a="1"/>
  <c r="AP94" i="11" s="1"/>
  <c r="AP47" i="11" a="1"/>
  <c r="AP47" i="11" s="1"/>
  <c r="AP42" i="11" a="1"/>
  <c r="AP42" i="11" s="1"/>
  <c r="AP49" i="11" a="1"/>
  <c r="AP49" i="11" s="1"/>
  <c r="AP93" i="11" a="1"/>
  <c r="AP93" i="11" s="1"/>
  <c r="AL38" i="9" a="1"/>
  <c r="AL38" i="9" s="1"/>
  <c r="AL33" i="9" a="1"/>
  <c r="AL33" i="9" s="1"/>
  <c r="AL27" i="9" a="1"/>
  <c r="AL27" i="9" s="1"/>
  <c r="AL45" i="9" a="1"/>
  <c r="AL45" i="9" s="1"/>
  <c r="AL41" i="9" a="1"/>
  <c r="AL41" i="9" s="1"/>
  <c r="AL99" i="9" a="1"/>
  <c r="AL99" i="9" s="1"/>
  <c r="AL61" i="9" a="1"/>
  <c r="AL61" i="9" s="1"/>
  <c r="AL10" i="9" a="1"/>
  <c r="AL10" i="9" s="1"/>
  <c r="AL91" i="9" a="1"/>
  <c r="AL91" i="9" s="1"/>
  <c r="AL12" i="9" a="1"/>
  <c r="AL12" i="9" s="1"/>
  <c r="AL98" i="9" a="1"/>
  <c r="AL98" i="9" s="1"/>
  <c r="AL57" i="9" a="1"/>
  <c r="AL57" i="9" s="1"/>
  <c r="AL58" i="9" a="1"/>
  <c r="AL58" i="9" s="1"/>
  <c r="AL56" i="9" a="1"/>
  <c r="AL56" i="9" s="1"/>
  <c r="AL46" i="9" a="1"/>
  <c r="AL46" i="9" s="1"/>
  <c r="AL109" i="9" a="1"/>
  <c r="AL109" i="9" s="1"/>
  <c r="AL50" i="9" a="1"/>
  <c r="AL50" i="9" s="1"/>
  <c r="AL26" i="9" a="1"/>
  <c r="AL26" i="9" s="1"/>
  <c r="AL60" i="9" a="1"/>
  <c r="AL60" i="9" s="1"/>
  <c r="AL108" i="9" a="1"/>
  <c r="AL108" i="9" s="1"/>
  <c r="AL105" i="9" a="1"/>
  <c r="AL105" i="9" s="1"/>
  <c r="AL22" i="9" a="1"/>
  <c r="AL22" i="9" s="1"/>
  <c r="AL49" i="9" a="1"/>
  <c r="AL49" i="9" s="1"/>
  <c r="AL62" i="9" a="1"/>
  <c r="AL62" i="9" s="1"/>
  <c r="AL94" i="9" a="1"/>
  <c r="AL94" i="9" s="1"/>
  <c r="AL11" i="9" a="1"/>
  <c r="AL11" i="9" s="1"/>
  <c r="AL42" i="9" a="1"/>
  <c r="AL42" i="9" s="1"/>
  <c r="AL54" i="9" a="1"/>
  <c r="AL54" i="9" s="1"/>
  <c r="AL65" i="9" a="1"/>
  <c r="AL65" i="9" s="1"/>
  <c r="AL90" i="9" a="1"/>
  <c r="AL90" i="9" s="1"/>
  <c r="AL37" i="9" a="1"/>
  <c r="AL37" i="9" s="1"/>
  <c r="AL43" i="9" a="1"/>
  <c r="AL43" i="9" s="1"/>
  <c r="AL112" i="9" a="1"/>
  <c r="AL112" i="9" s="1"/>
  <c r="AL52" i="9" a="1"/>
  <c r="AL52" i="9" s="1"/>
  <c r="AL104" i="9" a="1"/>
  <c r="AL104" i="9" s="1"/>
  <c r="AL28" i="9" a="1"/>
  <c r="AL28" i="9" s="1"/>
  <c r="AL18" i="9" a="1"/>
  <c r="AL18" i="9" s="1"/>
  <c r="AL31" i="9" a="1"/>
  <c r="AL31" i="9" s="1"/>
  <c r="AL110" i="9" a="1"/>
  <c r="AL110" i="9" s="1"/>
  <c r="AL44" i="9" a="1"/>
  <c r="AL44" i="9" s="1"/>
  <c r="AL103" i="9" a="1"/>
  <c r="AL103" i="9" s="1"/>
  <c r="AL25" i="9" a="1"/>
  <c r="AL25" i="9" s="1"/>
  <c r="AL102" i="9" a="1"/>
  <c r="AL102" i="9" s="1"/>
  <c r="AL113" i="9" a="1"/>
  <c r="AL113" i="9" s="1"/>
  <c r="AL97" i="9" a="1"/>
  <c r="AL97" i="9" s="1"/>
  <c r="AL93" i="9" a="1"/>
  <c r="AL93" i="9" s="1"/>
  <c r="AL24" i="9" a="1"/>
  <c r="AL24" i="9" s="1"/>
  <c r="AL53" i="9" a="1"/>
  <c r="AL53" i="9" s="1"/>
  <c r="AL111" i="9" a="1"/>
  <c r="AL111" i="9" s="1"/>
  <c r="AL107" i="9" a="1"/>
  <c r="AL107" i="9" s="1"/>
  <c r="AL92" i="9" a="1"/>
  <c r="AL92" i="9" s="1"/>
  <c r="AL55" i="9" a="1"/>
  <c r="AL55" i="9" s="1"/>
  <c r="AL36" i="9" a="1"/>
  <c r="AL36" i="9" s="1"/>
  <c r="AL48" i="9" a="1"/>
  <c r="AL48" i="9" s="1"/>
  <c r="AL101" i="9" a="1"/>
  <c r="AL101" i="9" s="1"/>
  <c r="AL106" i="9" a="1"/>
  <c r="AL106" i="9" s="1"/>
  <c r="AL21" i="9" a="1"/>
  <c r="AL21" i="9" s="1"/>
  <c r="AL23" i="9" a="1"/>
  <c r="AL23" i="9" s="1"/>
  <c r="AL30" i="9" a="1"/>
  <c r="AL30" i="9" s="1"/>
  <c r="AL100" i="9" a="1"/>
  <c r="AL100" i="9" s="1"/>
  <c r="AL47" i="9" a="1"/>
  <c r="AL47" i="9" s="1"/>
  <c r="AL64" i="9" a="1"/>
  <c r="AL64" i="9" s="1"/>
  <c r="AL35" i="9" a="1"/>
  <c r="AL35" i="9" s="1"/>
  <c r="AL20" i="9" a="1"/>
  <c r="AL20" i="9" s="1"/>
  <c r="AL63" i="9" a="1"/>
  <c r="AL63" i="9" s="1"/>
  <c r="AL39" i="9" a="1"/>
  <c r="AL39" i="9" s="1"/>
  <c r="AL40" i="9" a="1"/>
  <c r="AL40" i="9" s="1"/>
  <c r="AL32" i="9" a="1"/>
  <c r="AL32" i="9" s="1"/>
  <c r="AL19" i="9" a="1"/>
  <c r="AL19" i="9" s="1"/>
  <c r="AL59" i="9" a="1"/>
  <c r="AL59" i="9" s="1"/>
  <c r="AL96" i="9" a="1"/>
  <c r="AL96" i="9" s="1"/>
  <c r="AL34" i="9" a="1"/>
  <c r="AL34" i="9" s="1"/>
  <c r="AL29" i="9" a="1"/>
  <c r="AL29" i="9" s="1"/>
  <c r="AL51" i="9" a="1"/>
  <c r="AL51" i="9" s="1"/>
  <c r="AL95" i="9" a="1"/>
  <c r="AL95" i="9" s="1"/>
  <c r="AP10" i="10" a="1"/>
  <c r="AP10" i="10" s="1"/>
  <c r="AP26" i="10" a="1"/>
  <c r="AP26" i="10" s="1"/>
  <c r="AP36" i="10" a="1"/>
  <c r="AP36" i="10" s="1"/>
  <c r="AP27" i="10" a="1"/>
  <c r="AP27" i="10" s="1"/>
  <c r="AP19" i="10" a="1"/>
  <c r="AP19" i="10" s="1"/>
  <c r="AP107" i="10" a="1"/>
  <c r="AP107" i="10" s="1"/>
  <c r="AP24" i="10" a="1"/>
  <c r="AP24" i="10" s="1"/>
  <c r="AP100" i="10" a="1"/>
  <c r="AP100" i="10" s="1"/>
  <c r="AP112" i="10" a="1"/>
  <c r="AP112" i="10" s="1"/>
  <c r="AP39" i="10" a="1"/>
  <c r="AP39" i="10" s="1"/>
  <c r="AP94" i="10" a="1"/>
  <c r="AP94" i="10" s="1"/>
  <c r="AP103" i="10" a="1"/>
  <c r="AP103" i="10" s="1"/>
  <c r="AP41" i="10" a="1"/>
  <c r="AP41" i="10" s="1"/>
  <c r="AP105" i="10" a="1"/>
  <c r="AP105" i="10" s="1"/>
  <c r="AP35" i="10" a="1"/>
  <c r="AP35" i="10" s="1"/>
  <c r="AP99" i="10" a="1"/>
  <c r="AP99" i="10" s="1"/>
  <c r="AP102" i="10" a="1"/>
  <c r="AP102" i="10" s="1"/>
  <c r="AP110" i="10" a="1"/>
  <c r="AP110" i="10" s="1"/>
  <c r="AP38" i="10" a="1"/>
  <c r="AP38" i="10" s="1"/>
  <c r="AP91" i="10" a="1"/>
  <c r="AP91" i="10" s="1"/>
  <c r="AP18" i="10" a="1"/>
  <c r="AP18" i="10" s="1"/>
  <c r="AP108" i="10" a="1"/>
  <c r="AP108" i="10" s="1"/>
  <c r="AP30" i="10" a="1"/>
  <c r="AP30" i="10" s="1"/>
  <c r="AP95" i="10" a="1"/>
  <c r="AP95" i="10" s="1"/>
  <c r="AP93" i="10" a="1"/>
  <c r="AP93" i="10" s="1"/>
  <c r="AP28" i="10" a="1"/>
  <c r="AP28" i="10" s="1"/>
  <c r="AP21" i="10" a="1"/>
  <c r="AP21" i="10" s="1"/>
  <c r="AP34" i="10" a="1"/>
  <c r="AP34" i="10" s="1"/>
  <c r="AP11" i="10" a="1"/>
  <c r="AP11" i="10" s="1"/>
  <c r="AP97" i="10" a="1"/>
  <c r="AP97" i="10" s="1"/>
  <c r="AP40" i="10" a="1"/>
  <c r="AP40" i="10" s="1"/>
  <c r="AP22" i="10" a="1"/>
  <c r="AP22" i="10" s="1"/>
  <c r="AP37" i="10" a="1"/>
  <c r="AP37" i="10" s="1"/>
  <c r="AP104" i="10" a="1"/>
  <c r="AP104" i="10" s="1"/>
  <c r="AP33" i="10" a="1"/>
  <c r="AP33" i="10" s="1"/>
  <c r="AP92" i="10" a="1"/>
  <c r="AP92" i="10" s="1"/>
  <c r="AP113" i="10" a="1"/>
  <c r="AP113" i="10" s="1"/>
  <c r="AP109" i="10" a="1"/>
  <c r="AP109" i="10" s="1"/>
  <c r="AP90" i="10" a="1"/>
  <c r="AP90" i="10" s="1"/>
  <c r="AP20" i="10" a="1"/>
  <c r="AP20" i="10" s="1"/>
  <c r="AP23" i="10" a="1"/>
  <c r="AP23" i="10" s="1"/>
  <c r="AP96" i="10" a="1"/>
  <c r="AP96" i="10" s="1"/>
  <c r="AP29" i="10" a="1"/>
  <c r="AP29" i="10" s="1"/>
  <c r="AP25" i="10" a="1"/>
  <c r="AP25" i="10" s="1"/>
  <c r="AP98" i="10" a="1"/>
  <c r="AP98" i="10" s="1"/>
  <c r="AP106" i="10" a="1"/>
  <c r="AP106" i="10" s="1"/>
  <c r="AP31" i="10" a="1"/>
  <c r="AP31" i="10" s="1"/>
  <c r="AP32" i="10" a="1"/>
  <c r="AP32" i="10" s="1"/>
  <c r="AP111" i="10" a="1"/>
  <c r="AP111" i="10" s="1"/>
  <c r="AP101" i="10" a="1"/>
  <c r="AP101" i="10" s="1"/>
  <c r="AO36" i="14" a="1"/>
  <c r="AO36" i="14" s="1"/>
  <c r="AN93" i="13" a="1"/>
  <c r="AN93" i="13" s="1"/>
  <c r="AN38" i="13" a="1"/>
  <c r="AN38" i="13" s="1"/>
  <c r="AN21" i="13" a="1"/>
  <c r="AN21" i="13" s="1"/>
  <c r="AN27" i="13" a="1"/>
  <c r="AN27" i="13" s="1"/>
  <c r="AN44" i="13" a="1"/>
  <c r="AN44" i="13" s="1"/>
  <c r="AN20" i="13" a="1"/>
  <c r="AN20" i="13" s="1"/>
  <c r="AN108" i="13" a="1"/>
  <c r="AN108" i="13" s="1"/>
  <c r="AN110" i="13" a="1"/>
  <c r="AN110" i="13" s="1"/>
  <c r="AN103" i="13" a="1"/>
  <c r="AN103" i="13" s="1"/>
  <c r="AN46" i="13" a="1"/>
  <c r="AN46" i="13" s="1"/>
  <c r="AN26" i="13" a="1"/>
  <c r="AN26" i="13" s="1"/>
  <c r="AN113" i="13" a="1"/>
  <c r="AN113" i="13" s="1"/>
  <c r="AV23" i="13" s="1"/>
  <c r="AN92" i="13" a="1"/>
  <c r="AN92" i="13" s="1"/>
  <c r="AN43" i="13" a="1"/>
  <c r="AN43" i="13" s="1"/>
  <c r="AN48" i="13" a="1"/>
  <c r="AN48" i="13" s="1"/>
  <c r="AN111" i="13" a="1"/>
  <c r="AN111" i="13" s="1"/>
  <c r="AN102" i="13" a="1"/>
  <c r="AN102" i="13" s="1"/>
  <c r="AN98" i="13" a="1"/>
  <c r="AN98" i="13" s="1"/>
  <c r="AN28" i="13" a="1"/>
  <c r="AN28" i="13" s="1"/>
  <c r="AN109" i="13" a="1"/>
  <c r="AN109" i="13" s="1"/>
  <c r="AN91" i="13" a="1"/>
  <c r="AN91" i="13" s="1"/>
  <c r="AN42" i="13" a="1"/>
  <c r="AN42" i="13" s="1"/>
  <c r="AN17" i="13" a="1"/>
  <c r="AN17" i="13" s="1"/>
  <c r="AV24" i="13" s="1"/>
  <c r="AN112" i="13" a="1"/>
  <c r="AN112" i="13" s="1"/>
  <c r="AN33" i="13" a="1"/>
  <c r="AN33" i="13" s="1"/>
  <c r="AV26" i="13" s="1"/>
  <c r="AN34" i="13" a="1"/>
  <c r="AN34" i="13" s="1"/>
  <c r="AN13" i="13" a="1"/>
  <c r="AN13" i="13" s="1"/>
  <c r="AN107" i="13" a="1"/>
  <c r="AN107" i="13" s="1"/>
  <c r="AN101" i="13" a="1"/>
  <c r="AN101" i="13" s="1"/>
  <c r="AN37" i="13" a="1"/>
  <c r="AN37" i="13" s="1"/>
  <c r="AN36" i="13" a="1"/>
  <c r="AN36" i="13" s="1"/>
  <c r="AN97" i="13" a="1"/>
  <c r="AN97" i="13" s="1"/>
  <c r="AV34" i="13" s="1"/>
  <c r="AN100" i="13" a="1"/>
  <c r="AN100" i="13" s="1"/>
  <c r="AN22" i="13" a="1"/>
  <c r="AN22" i="13" s="1"/>
  <c r="AN40" i="13" a="1"/>
  <c r="AN40" i="13" s="1"/>
  <c r="AN25" i="13" a="1"/>
  <c r="AN25" i="13" s="1"/>
  <c r="AV25" i="13" s="1"/>
  <c r="AN90" i="13" a="1"/>
  <c r="AN90" i="13" s="1"/>
  <c r="AN11" i="13" a="1"/>
  <c r="AN11" i="13" s="1"/>
  <c r="AN30" i="13" a="1"/>
  <c r="AN30" i="13" s="1"/>
  <c r="AN106" i="13" a="1"/>
  <c r="AN106" i="13" s="1"/>
  <c r="AN47" i="13" a="1"/>
  <c r="AN47" i="13" s="1"/>
  <c r="AN99" i="13" a="1"/>
  <c r="AN99" i="13" s="1"/>
  <c r="AN16" i="13" a="1"/>
  <c r="AN16" i="13" s="1"/>
  <c r="AN96" i="13" a="1"/>
  <c r="AN96" i="13" s="1"/>
  <c r="AN31" i="13" a="1"/>
  <c r="AN31" i="13" s="1"/>
  <c r="AN45" i="13" a="1"/>
  <c r="AN45" i="13" s="1"/>
  <c r="AN15" i="13" a="1"/>
  <c r="AN15" i="13" s="1"/>
  <c r="AN95" i="13" a="1"/>
  <c r="AN95" i="13" s="1"/>
  <c r="AN41" i="13" a="1"/>
  <c r="AN41" i="13" s="1"/>
  <c r="AV27" i="13" s="1"/>
  <c r="AN29" i="13" a="1"/>
  <c r="AN29" i="13" s="1"/>
  <c r="AN12" i="13" a="1"/>
  <c r="AN12" i="13" s="1"/>
  <c r="AN105" i="13" a="1"/>
  <c r="AN105" i="13" s="1"/>
  <c r="AV35" i="13" s="1"/>
  <c r="AN18" i="13" a="1"/>
  <c r="AN18" i="13" s="1"/>
  <c r="AN39" i="13" a="1"/>
  <c r="AN39" i="13" s="1"/>
  <c r="AN35" i="13" a="1"/>
  <c r="AN35" i="13" s="1"/>
  <c r="AN94" i="13" a="1"/>
  <c r="AN94" i="13" s="1"/>
  <c r="AN32" i="13" a="1"/>
  <c r="AN32" i="13" s="1"/>
  <c r="AN23" i="13" a="1"/>
  <c r="AN23" i="13" s="1"/>
  <c r="AN10" i="13" a="1"/>
  <c r="AN10" i="13" s="1"/>
  <c r="AN49" i="13" a="1"/>
  <c r="AN49" i="13" s="1"/>
  <c r="AV28" i="13" s="1"/>
  <c r="AN104" i="13" a="1"/>
  <c r="AN104" i="13" s="1"/>
  <c r="AN19" i="13" a="1"/>
  <c r="AN19" i="13" s="1"/>
  <c r="AN24" i="13" a="1"/>
  <c r="AN24" i="13" s="1"/>
  <c r="AN14" i="13" a="1"/>
  <c r="AN14" i="13" s="1"/>
  <c r="AO98" i="10" a="1"/>
  <c r="AO98" i="10" s="1"/>
  <c r="AO21" i="10" a="1"/>
  <c r="AO21" i="10" s="1"/>
  <c r="AO28" i="10" a="1"/>
  <c r="AO28" i="10" s="1"/>
  <c r="AO103" i="10" a="1"/>
  <c r="AO103" i="10" s="1"/>
  <c r="AO104" i="10" a="1"/>
  <c r="AO104" i="10" s="1"/>
  <c r="AO110" i="10" a="1"/>
  <c r="AO110" i="10" s="1"/>
  <c r="AO23" i="10" a="1"/>
  <c r="AO23" i="10" s="1"/>
  <c r="AO109" i="10" a="1"/>
  <c r="AO109" i="10" s="1"/>
  <c r="AO35" i="10" a="1"/>
  <c r="AO35" i="10" s="1"/>
  <c r="AO27" i="10" a="1"/>
  <c r="AO27" i="10" s="1"/>
  <c r="AO11" i="10" a="1"/>
  <c r="AO11" i="10" s="1"/>
  <c r="AO106" i="10" a="1"/>
  <c r="AO106" i="10" s="1"/>
  <c r="AO100" i="10" a="1"/>
  <c r="AO100" i="10" s="1"/>
  <c r="AO34" i="10" a="1"/>
  <c r="AO34" i="10" s="1"/>
  <c r="AO38" i="10" a="1"/>
  <c r="AO38" i="10" s="1"/>
  <c r="AO93" i="10" a="1"/>
  <c r="AO93" i="10" s="1"/>
  <c r="AO44" i="10" a="1"/>
  <c r="AO44" i="10" s="1"/>
  <c r="AO33" i="10" a="1"/>
  <c r="AO33" i="10" s="1"/>
  <c r="AO90" i="10" a="1"/>
  <c r="AO90" i="10" s="1"/>
  <c r="AO18" i="10" a="1"/>
  <c r="AO18" i="10" s="1"/>
  <c r="AO25" i="10" a="1"/>
  <c r="AO25" i="10" s="1"/>
  <c r="AO26" i="10" a="1"/>
  <c r="AO26" i="10" s="1"/>
  <c r="AO96" i="10" a="1"/>
  <c r="AO96" i="10" s="1"/>
  <c r="AO37" i="10" a="1"/>
  <c r="AO37" i="10" s="1"/>
  <c r="AO19" i="10" a="1"/>
  <c r="AO19" i="10" s="1"/>
  <c r="AO113" i="10" a="1"/>
  <c r="AO113" i="10" s="1"/>
  <c r="AO91" i="10" a="1"/>
  <c r="AO91" i="10" s="1"/>
  <c r="AO36" i="10" a="1"/>
  <c r="AO36" i="10" s="1"/>
  <c r="AO102" i="10" a="1"/>
  <c r="AO102" i="10" s="1"/>
  <c r="AO39" i="10" a="1"/>
  <c r="AO39" i="10" s="1"/>
  <c r="AO43" i="10" a="1"/>
  <c r="AO43" i="10" s="1"/>
  <c r="AO99" i="10" a="1"/>
  <c r="AO99" i="10" s="1"/>
  <c r="AO32" i="10" a="1"/>
  <c r="AO32" i="10" s="1"/>
  <c r="AO22" i="10" a="1"/>
  <c r="AO22" i="10" s="1"/>
  <c r="AO112" i="10" a="1"/>
  <c r="AO112" i="10" s="1"/>
  <c r="AO20" i="10" a="1"/>
  <c r="AO20" i="10" s="1"/>
  <c r="AO30" i="10" a="1"/>
  <c r="AO30" i="10" s="1"/>
  <c r="AO108" i="10" a="1"/>
  <c r="AO108" i="10" s="1"/>
  <c r="AO31" i="10" a="1"/>
  <c r="AO31" i="10" s="1"/>
  <c r="AO95" i="10" a="1"/>
  <c r="AO95" i="10" s="1"/>
  <c r="AO92" i="10" a="1"/>
  <c r="AO92" i="10" s="1"/>
  <c r="AO107" i="10" a="1"/>
  <c r="AO107" i="10" s="1"/>
  <c r="AO40" i="10" a="1"/>
  <c r="AO40" i="10" s="1"/>
  <c r="AO111" i="10" a="1"/>
  <c r="AO111" i="10" s="1"/>
  <c r="AO94" i="10" a="1"/>
  <c r="AO94" i="10" s="1"/>
  <c r="AO97" i="10" a="1"/>
  <c r="AO97" i="10" s="1"/>
  <c r="AO101" i="10" a="1"/>
  <c r="AO101" i="10" s="1"/>
  <c r="AO29" i="10" a="1"/>
  <c r="AO29" i="10" s="1"/>
  <c r="AO10" i="10" a="1"/>
  <c r="AO10" i="10" s="1"/>
  <c r="AO105" i="10" a="1"/>
  <c r="AO105" i="10" s="1"/>
  <c r="AO41" i="10" a="1"/>
  <c r="AO41" i="10" s="1"/>
  <c r="AO24" i="10" a="1"/>
  <c r="AO24" i="10" s="1"/>
  <c r="AN112" i="22" a="1"/>
  <c r="AN112" i="22" s="1"/>
  <c r="AN28" i="22" a="1"/>
  <c r="AN28" i="22" s="1"/>
  <c r="AN93" i="22" a="1"/>
  <c r="AN93" i="22" s="1"/>
  <c r="AN19" i="22" a="1"/>
  <c r="AN19" i="22" s="1"/>
  <c r="AN104" i="22" a="1"/>
  <c r="AN104" i="22" s="1"/>
  <c r="AN27" i="22" a="1"/>
  <c r="AN27" i="22" s="1"/>
  <c r="AN94" i="22" a="1"/>
  <c r="AN94" i="22" s="1"/>
  <c r="AN63" i="22" a="1"/>
  <c r="AN63" i="22" s="1"/>
  <c r="AN11" i="22" a="1"/>
  <c r="AN11" i="22" s="1"/>
  <c r="AN96" i="22" a="1"/>
  <c r="AN96" i="22" s="1"/>
  <c r="AN51" i="22" a="1"/>
  <c r="AN51" i="22" s="1"/>
  <c r="AN12" i="22" a="1"/>
  <c r="AN12" i="22" s="1"/>
  <c r="AN60" i="22" a="1"/>
  <c r="AN60" i="22" s="1"/>
  <c r="AN107" i="22" a="1"/>
  <c r="AN107" i="22" s="1"/>
  <c r="AN43" i="22" a="1"/>
  <c r="AN43" i="22" s="1"/>
  <c r="AN52" i="22" a="1"/>
  <c r="AN52" i="22" s="1"/>
  <c r="AN54" i="22" a="1"/>
  <c r="AN54" i="22" s="1"/>
  <c r="AN102" i="22" a="1"/>
  <c r="AN102" i="22" s="1"/>
  <c r="AN26" i="22" a="1"/>
  <c r="AN26" i="22" s="1"/>
  <c r="AN65" i="22" a="1"/>
  <c r="AN65" i="22" s="1"/>
  <c r="AN35" i="22" a="1"/>
  <c r="AN35" i="22" s="1"/>
  <c r="AN95" i="22" a="1"/>
  <c r="AN95" i="22" s="1"/>
  <c r="AN97" i="22" a="1"/>
  <c r="AN97" i="22" s="1"/>
  <c r="AN62" i="22" a="1"/>
  <c r="AN62" i="22" s="1"/>
  <c r="AN20" i="22" a="1"/>
  <c r="AN20" i="22" s="1"/>
  <c r="AN31" i="22" a="1"/>
  <c r="AN31" i="22" s="1"/>
  <c r="AN46" i="22" a="1"/>
  <c r="AN46" i="22" s="1"/>
  <c r="AN10" i="22" a="1"/>
  <c r="AN10" i="22" s="1"/>
  <c r="AN61" i="22" a="1"/>
  <c r="AN61" i="22" s="1"/>
  <c r="AN53" i="22" a="1"/>
  <c r="AN53" i="22" s="1"/>
  <c r="AN38" i="22" a="1"/>
  <c r="AN38" i="22" s="1"/>
  <c r="AN59" i="22" a="1"/>
  <c r="AN59" i="22" s="1"/>
  <c r="AN57" i="22" a="1"/>
  <c r="AN57" i="22" s="1"/>
  <c r="AN113" i="22" a="1"/>
  <c r="AN113" i="22" s="1"/>
  <c r="AN45" i="22" a="1"/>
  <c r="AN45" i="22" s="1"/>
  <c r="AN103" i="22" a="1"/>
  <c r="AN103" i="22" s="1"/>
  <c r="AN39" i="22" a="1"/>
  <c r="AN39" i="22" s="1"/>
  <c r="AN42" i="22" a="1"/>
  <c r="AN42" i="22" s="1"/>
  <c r="AN105" i="22" a="1"/>
  <c r="AN105" i="22" s="1"/>
  <c r="AN37" i="22" a="1"/>
  <c r="AN37" i="22" s="1"/>
  <c r="AN91" i="22" a="1"/>
  <c r="AN91" i="22" s="1"/>
  <c r="AN56" i="22" a="1"/>
  <c r="AN56" i="22" s="1"/>
  <c r="AN36" i="22" a="1"/>
  <c r="AN36" i="22" s="1"/>
  <c r="AN58" i="22" a="1"/>
  <c r="AN58" i="22" s="1"/>
  <c r="AN108" i="22" a="1"/>
  <c r="AN108" i="22" s="1"/>
  <c r="AN30" i="22" a="1"/>
  <c r="AN30" i="22" s="1"/>
  <c r="AN90" i="22" a="1"/>
  <c r="AN90" i="22" s="1"/>
  <c r="AN32" i="22" a="1"/>
  <c r="AN32" i="22" s="1"/>
  <c r="AN64" i="22" a="1"/>
  <c r="AN64" i="22" s="1"/>
  <c r="AN106" i="22" a="1"/>
  <c r="AN106" i="22" s="1"/>
  <c r="AN21" i="22" a="1"/>
  <c r="AN21" i="22" s="1"/>
  <c r="AN41" i="22" a="1"/>
  <c r="AN41" i="22" s="1"/>
  <c r="AN33" i="22" a="1"/>
  <c r="AN33" i="22" s="1"/>
  <c r="AN98" i="22" a="1"/>
  <c r="AN98" i="22" s="1"/>
  <c r="AN111" i="22" a="1"/>
  <c r="AN111" i="22" s="1"/>
  <c r="AN110" i="22" a="1"/>
  <c r="AN110" i="22" s="1"/>
  <c r="AN18" i="22" a="1"/>
  <c r="AN18" i="22" s="1"/>
  <c r="AN109" i="22" a="1"/>
  <c r="AN109" i="22" s="1"/>
  <c r="AN48" i="22" a="1"/>
  <c r="AN48" i="22" s="1"/>
  <c r="AN92" i="22" a="1"/>
  <c r="AN92" i="22" s="1"/>
  <c r="AN47" i="22" a="1"/>
  <c r="AN47" i="22" s="1"/>
  <c r="AN101" i="22" a="1"/>
  <c r="AN101" i="22" s="1"/>
  <c r="AN40" i="22" a="1"/>
  <c r="AN40" i="22" s="1"/>
  <c r="AN99" i="22" a="1"/>
  <c r="AN99" i="22" s="1"/>
  <c r="AN34" i="22" a="1"/>
  <c r="AN34" i="22" s="1"/>
  <c r="AN55" i="22" a="1"/>
  <c r="AN55" i="22" s="1"/>
  <c r="AN44" i="22" a="1"/>
  <c r="AN44" i="22" s="1"/>
  <c r="AN50" i="22" a="1"/>
  <c r="AN50" i="22" s="1"/>
  <c r="AN100" i="22" a="1"/>
  <c r="AN100" i="22" s="1"/>
  <c r="AN29" i="22" a="1"/>
  <c r="AN29" i="22" s="1"/>
  <c r="AN49" i="22" a="1"/>
  <c r="AN49" i="22" s="1"/>
  <c r="AN72" i="12" a="1"/>
  <c r="AN72" i="12" s="1"/>
  <c r="AN67" i="12" a="1"/>
  <c r="AN67" i="12" s="1"/>
  <c r="AN102" i="12" a="1"/>
  <c r="AN102" i="12" s="1"/>
  <c r="AN53" i="12" a="1"/>
  <c r="AN53" i="12" s="1"/>
  <c r="AN20" i="12" a="1"/>
  <c r="AN20" i="12" s="1"/>
  <c r="AN112" i="12" a="1"/>
  <c r="AN112" i="12" s="1"/>
  <c r="AN48" i="12" a="1"/>
  <c r="AN48" i="12" s="1"/>
  <c r="AN106" i="12" a="1"/>
  <c r="AN106" i="12" s="1"/>
  <c r="AN33" i="12" a="1"/>
  <c r="AN33" i="12" s="1"/>
  <c r="AN62" i="12" a="1"/>
  <c r="AN62" i="12" s="1"/>
  <c r="AN50" i="12" a="1"/>
  <c r="AN50" i="12" s="1"/>
  <c r="AN113" i="12" a="1"/>
  <c r="AN113" i="12" s="1"/>
  <c r="AN38" i="12" a="1"/>
  <c r="AN38" i="12" s="1"/>
  <c r="AN66" i="12" a="1"/>
  <c r="AN66" i="12" s="1"/>
  <c r="AN52" i="12" a="1"/>
  <c r="AN52" i="12" s="1"/>
  <c r="AN73" i="12" a="1"/>
  <c r="AN73" i="12" s="1"/>
  <c r="AN71" i="12" a="1"/>
  <c r="AN71" i="12" s="1"/>
  <c r="AN68" i="12" a="1"/>
  <c r="AN68" i="12" s="1"/>
  <c r="AN95" i="12" a="1"/>
  <c r="AN95" i="12" s="1"/>
  <c r="AN110" i="12" a="1"/>
  <c r="AN110" i="12" s="1"/>
  <c r="AN91" i="12" a="1"/>
  <c r="AN91" i="12" s="1"/>
  <c r="AN103" i="12" a="1"/>
  <c r="AN103" i="12" s="1"/>
  <c r="AN46" i="12" a="1"/>
  <c r="AN46" i="12" s="1"/>
  <c r="AN61" i="12" a="1"/>
  <c r="AN61" i="12" s="1"/>
  <c r="AN18" i="12" a="1"/>
  <c r="AN18" i="12" s="1"/>
  <c r="AN35" i="12" a="1"/>
  <c r="AN35" i="12" s="1"/>
  <c r="AN28" i="12" a="1"/>
  <c r="AN28" i="12" s="1"/>
  <c r="AN60" i="12" a="1"/>
  <c r="AN60" i="12" s="1"/>
  <c r="AN100" i="12" a="1"/>
  <c r="AN100" i="12" s="1"/>
  <c r="AN37" i="12" a="1"/>
  <c r="AN37" i="12" s="1"/>
  <c r="AN69" i="12" a="1"/>
  <c r="AN69" i="12" s="1"/>
  <c r="AN94" i="12" a="1"/>
  <c r="AN94" i="12" s="1"/>
  <c r="AN92" i="12" a="1"/>
  <c r="AN92" i="12" s="1"/>
  <c r="AN65" i="12" a="1"/>
  <c r="AN65" i="12" s="1"/>
  <c r="AN49" i="12" a="1"/>
  <c r="AN49" i="12" s="1"/>
  <c r="AN111" i="12" a="1"/>
  <c r="AN111" i="12" s="1"/>
  <c r="AN104" i="12" a="1"/>
  <c r="AN104" i="12" s="1"/>
  <c r="AN32" i="12" a="1"/>
  <c r="AN32" i="12" s="1"/>
  <c r="AN64" i="12" a="1"/>
  <c r="AN64" i="12" s="1"/>
  <c r="AN105" i="12" a="1"/>
  <c r="AN105" i="12" s="1"/>
  <c r="AN26" i="12" a="1"/>
  <c r="AN26" i="12" s="1"/>
  <c r="AN96" i="12" a="1"/>
  <c r="AN96" i="12" s="1"/>
  <c r="AN21" i="12" a="1"/>
  <c r="AN21" i="12" s="1"/>
  <c r="AN19" i="12" a="1"/>
  <c r="AN19" i="12" s="1"/>
  <c r="AN41" i="12" a="1"/>
  <c r="AN41" i="12" s="1"/>
  <c r="AN99" i="12" a="1"/>
  <c r="AN99" i="12" s="1"/>
  <c r="AN30" i="12" a="1"/>
  <c r="AN30" i="12" s="1"/>
  <c r="AN39" i="12" a="1"/>
  <c r="AN39" i="12" s="1"/>
  <c r="AN45" i="12" a="1"/>
  <c r="AN45" i="12" s="1"/>
  <c r="AN93" i="12" a="1"/>
  <c r="AN93" i="12" s="1"/>
  <c r="AN44" i="12" a="1"/>
  <c r="AN44" i="12" s="1"/>
  <c r="AN90" i="12" a="1"/>
  <c r="AN90" i="12" s="1"/>
  <c r="AN31" i="12" a="1"/>
  <c r="AN31" i="12" s="1"/>
  <c r="AN34" i="12" a="1"/>
  <c r="AN34" i="12" s="1"/>
  <c r="AN54" i="12" a="1"/>
  <c r="AN54" i="12" s="1"/>
  <c r="AN43" i="12" a="1"/>
  <c r="AN43" i="12" s="1"/>
  <c r="AN107" i="12" a="1"/>
  <c r="AN107" i="12" s="1"/>
  <c r="AN101" i="12" a="1"/>
  <c r="AN101" i="12" s="1"/>
  <c r="AN27" i="12" a="1"/>
  <c r="AN27" i="12" s="1"/>
  <c r="AN42" i="12" a="1"/>
  <c r="AN42" i="12" s="1"/>
  <c r="AN29" i="12" a="1"/>
  <c r="AN29" i="12" s="1"/>
  <c r="AN108" i="12" a="1"/>
  <c r="AN108" i="12" s="1"/>
  <c r="AN70" i="12" a="1"/>
  <c r="AN70" i="12" s="1"/>
  <c r="AN40" i="12" a="1"/>
  <c r="AN40" i="12" s="1"/>
  <c r="AN57" i="12" a="1"/>
  <c r="AN57" i="12" s="1"/>
  <c r="AN58" i="12" a="1"/>
  <c r="AN58" i="12" s="1"/>
  <c r="AN59" i="12" a="1"/>
  <c r="AN59" i="12" s="1"/>
  <c r="AN97" i="12" a="1"/>
  <c r="AN97" i="12" s="1"/>
  <c r="AN36" i="12" a="1"/>
  <c r="AN36" i="12" s="1"/>
  <c r="AN10" i="12" a="1"/>
  <c r="AN10" i="12" s="1"/>
  <c r="AN98" i="12" a="1"/>
  <c r="AN98" i="12" s="1"/>
  <c r="AN109" i="12" a="1"/>
  <c r="AN109" i="12" s="1"/>
  <c r="AN47" i="12" a="1"/>
  <c r="AN47" i="12" s="1"/>
  <c r="AN56" i="12" a="1"/>
  <c r="AN56" i="12" s="1"/>
  <c r="AN51" i="12" a="1"/>
  <c r="AN51" i="12" s="1"/>
  <c r="AN55" i="12" a="1"/>
  <c r="AN55" i="12" s="1"/>
  <c r="AN63" i="12" a="1"/>
  <c r="AN63" i="12" s="1"/>
  <c r="AN11" i="12" a="1"/>
  <c r="AN11" i="12" s="1"/>
  <c r="AL108" i="14" a="1"/>
  <c r="AL108" i="14" s="1"/>
  <c r="AL27" i="14" a="1"/>
  <c r="AL27" i="14" s="1"/>
  <c r="AL30" i="14" a="1"/>
  <c r="AL30" i="14" s="1"/>
  <c r="AL100" i="14" a="1"/>
  <c r="AL100" i="14" s="1"/>
  <c r="AL26" i="14" a="1"/>
  <c r="AL26" i="14" s="1"/>
  <c r="AL10" i="14" a="1"/>
  <c r="AL10" i="14" s="1"/>
  <c r="AL111" i="14" a="1"/>
  <c r="AL111" i="14" s="1"/>
  <c r="AL25" i="14" a="1"/>
  <c r="AL25" i="14" s="1"/>
  <c r="AL11" i="14" a="1"/>
  <c r="AL11" i="14" s="1"/>
  <c r="AL103" i="14" a="1"/>
  <c r="AL103" i="14" s="1"/>
  <c r="AL12" i="14" a="1"/>
  <c r="AL12" i="14" s="1"/>
  <c r="AL18" i="14" a="1"/>
  <c r="AL18" i="14" s="1"/>
  <c r="AL106" i="14" a="1"/>
  <c r="AL106" i="14" s="1"/>
  <c r="AL101" i="14" a="1"/>
  <c r="AL101" i="14" s="1"/>
  <c r="AL93" i="14" a="1"/>
  <c r="AL93" i="14" s="1"/>
  <c r="AL98" i="14" a="1"/>
  <c r="AL98" i="14" s="1"/>
  <c r="AL23" i="14" a="1"/>
  <c r="AL23" i="14" s="1"/>
  <c r="AL95" i="14" a="1"/>
  <c r="AL95" i="14" s="1"/>
  <c r="AL109" i="14" a="1"/>
  <c r="AL109" i="14" s="1"/>
  <c r="AL14" i="14" a="1"/>
  <c r="AL14" i="14" s="1"/>
  <c r="AL19" i="14" a="1"/>
  <c r="AL19" i="14" s="1"/>
  <c r="AL107" i="14" a="1"/>
  <c r="AL107" i="14" s="1"/>
  <c r="AL104" i="14" a="1"/>
  <c r="AL104" i="14" s="1"/>
  <c r="AL28" i="14" a="1"/>
  <c r="AL28" i="14" s="1"/>
  <c r="AL33" i="14" a="1"/>
  <c r="AL33" i="14" s="1"/>
  <c r="AL112" i="14" a="1"/>
  <c r="AL112" i="14" s="1"/>
  <c r="AL34" i="14" a="1"/>
  <c r="AL34" i="14" s="1"/>
  <c r="AL92" i="14" a="1"/>
  <c r="AL92" i="14" s="1"/>
  <c r="AL96" i="14" a="1"/>
  <c r="AL96" i="14" s="1"/>
  <c r="AL31" i="14" a="1"/>
  <c r="AL31" i="14" s="1"/>
  <c r="AL32" i="14" a="1"/>
  <c r="AL32" i="14" s="1"/>
  <c r="AL102" i="14" a="1"/>
  <c r="AL102" i="14" s="1"/>
  <c r="AL90" i="14" a="1"/>
  <c r="AL90" i="14" s="1"/>
  <c r="AL13" i="14" a="1"/>
  <c r="AL13" i="14" s="1"/>
  <c r="AL113" i="14" a="1"/>
  <c r="AL113" i="14" s="1"/>
  <c r="AL99" i="14" a="1"/>
  <c r="AL99" i="14" s="1"/>
  <c r="AL24" i="14" a="1"/>
  <c r="AL24" i="14" s="1"/>
  <c r="AL105" i="14" a="1"/>
  <c r="AL105" i="14" s="1"/>
  <c r="AL29" i="14" a="1"/>
  <c r="AL29" i="14" s="1"/>
  <c r="AL22" i="14" a="1"/>
  <c r="AL22" i="14" s="1"/>
  <c r="AL97" i="14" a="1"/>
  <c r="AL97" i="14" s="1"/>
  <c r="AL21" i="14" a="1"/>
  <c r="AL21" i="14" s="1"/>
  <c r="AL94" i="14" a="1"/>
  <c r="AL94" i="14" s="1"/>
  <c r="AL110" i="14" a="1"/>
  <c r="AL110" i="14" s="1"/>
  <c r="AL91" i="14" a="1"/>
  <c r="AL91" i="14" s="1"/>
  <c r="AL20" i="14" a="1"/>
  <c r="AL20" i="14" s="1"/>
  <c r="AL103" i="10" a="1"/>
  <c r="AL103" i="10" s="1"/>
  <c r="AL28" i="10" a="1"/>
  <c r="AL28" i="10" s="1"/>
  <c r="AL41" i="10" a="1"/>
  <c r="AL41" i="10" s="1"/>
  <c r="AL93" i="10" a="1"/>
  <c r="AL93" i="10" s="1"/>
  <c r="AL27" i="10" a="1"/>
  <c r="AL27" i="10" s="1"/>
  <c r="AL39" i="10" a="1"/>
  <c r="AL39" i="10" s="1"/>
  <c r="AL90" i="10" a="1"/>
  <c r="AL90" i="10" s="1"/>
  <c r="AL38" i="10" a="1"/>
  <c r="AL38" i="10" s="1"/>
  <c r="AL32" i="10" a="1"/>
  <c r="AL32" i="10" s="1"/>
  <c r="AL96" i="10" a="1"/>
  <c r="AL96" i="10" s="1"/>
  <c r="AL36" i="10" a="1"/>
  <c r="AL36" i="10" s="1"/>
  <c r="AL34" i="10" a="1"/>
  <c r="AL34" i="10" s="1"/>
  <c r="AL102" i="10" a="1"/>
  <c r="AL102" i="10" s="1"/>
  <c r="AL26" i="10" a="1"/>
  <c r="AL26" i="10" s="1"/>
  <c r="AL43" i="10" a="1"/>
  <c r="AL43" i="10" s="1"/>
  <c r="AL99" i="10" a="1"/>
  <c r="AL99" i="10" s="1"/>
  <c r="AL22" i="10" a="1"/>
  <c r="AL22" i="10" s="1"/>
  <c r="AL31" i="10" a="1"/>
  <c r="AL31" i="10" s="1"/>
  <c r="AL112" i="10" a="1"/>
  <c r="AL112" i="10" s="1"/>
  <c r="AL25" i="10" a="1"/>
  <c r="AL25" i="10" s="1"/>
  <c r="AL20" i="10" a="1"/>
  <c r="AL20" i="10" s="1"/>
  <c r="AL113" i="10" a="1"/>
  <c r="AL113" i="10" s="1"/>
  <c r="AL108" i="10" a="1"/>
  <c r="AL108" i="10" s="1"/>
  <c r="AL47" i="10" a="1"/>
  <c r="AL47" i="10" s="1"/>
  <c r="AL19" i="10" a="1"/>
  <c r="AL19" i="10" s="1"/>
  <c r="AL110" i="10" a="1"/>
  <c r="AL110" i="10" s="1"/>
  <c r="AL105" i="10" a="1"/>
  <c r="AL105" i="10" s="1"/>
  <c r="AL42" i="10" a="1"/>
  <c r="AL42" i="10" s="1"/>
  <c r="AL21" i="10" a="1"/>
  <c r="AL21" i="10" s="1"/>
  <c r="AL94" i="10" a="1"/>
  <c r="AL94" i="10" s="1"/>
  <c r="AL111" i="10" a="1"/>
  <c r="AL111" i="10" s="1"/>
  <c r="AL49" i="10" a="1"/>
  <c r="AL49" i="10" s="1"/>
  <c r="AL24" i="10" a="1"/>
  <c r="AL24" i="10" s="1"/>
  <c r="AL11" i="10" a="1"/>
  <c r="AL11" i="10" s="1"/>
  <c r="AL100" i="10" a="1"/>
  <c r="AL100" i="10" s="1"/>
  <c r="AL98" i="10" a="1"/>
  <c r="AL98" i="10" s="1"/>
  <c r="AL46" i="10" a="1"/>
  <c r="AL46" i="10" s="1"/>
  <c r="AL30" i="10" a="1"/>
  <c r="AL30" i="10" s="1"/>
  <c r="AL97" i="10" a="1"/>
  <c r="AL97" i="10" s="1"/>
  <c r="AL95" i="10" a="1"/>
  <c r="AL95" i="10" s="1"/>
  <c r="AL104" i="10" a="1"/>
  <c r="AL104" i="10" s="1"/>
  <c r="AL23" i="10" a="1"/>
  <c r="AL23" i="10" s="1"/>
  <c r="AL109" i="10" a="1"/>
  <c r="AL109" i="10" s="1"/>
  <c r="AL45" i="10" a="1"/>
  <c r="AL45" i="10" s="1"/>
  <c r="AL33" i="10" a="1"/>
  <c r="AL33" i="10" s="1"/>
  <c r="AL106" i="10" a="1"/>
  <c r="AL106" i="10" s="1"/>
  <c r="AL35" i="10" a="1"/>
  <c r="AL35" i="10" s="1"/>
  <c r="AL48" i="10" a="1"/>
  <c r="AL48" i="10" s="1"/>
  <c r="AL37" i="10" a="1"/>
  <c r="AL37" i="10" s="1"/>
  <c r="AL18" i="10" a="1"/>
  <c r="AL18" i="10" s="1"/>
  <c r="AL107" i="10" a="1"/>
  <c r="AL107" i="10" s="1"/>
  <c r="AL10" i="10" a="1"/>
  <c r="AL10" i="10" s="1"/>
  <c r="AL91" i="10" a="1"/>
  <c r="AL91" i="10" s="1"/>
  <c r="AL92" i="10" a="1"/>
  <c r="AL92" i="10" s="1"/>
  <c r="AL101" i="10" a="1"/>
  <c r="AL101" i="10" s="1"/>
  <c r="AL29" i="10" a="1"/>
  <c r="AL29" i="10" s="1"/>
  <c r="AL40" i="10" a="1"/>
  <c r="AL40" i="10" s="1"/>
  <c r="AL44" i="10" a="1"/>
  <c r="AL44" i="10" s="1"/>
  <c r="AP94" i="13" a="1"/>
  <c r="AP94" i="13" s="1"/>
  <c r="AP98" i="13" a="1"/>
  <c r="AP98" i="13" s="1"/>
  <c r="AP13" i="13" a="1"/>
  <c r="AP13" i="13" s="1"/>
  <c r="AP12" i="13" a="1"/>
  <c r="AP12" i="13" s="1"/>
  <c r="AP105" i="13" a="1"/>
  <c r="AP105" i="13" s="1"/>
  <c r="AX35" i="13" s="1"/>
  <c r="AP106" i="13" a="1"/>
  <c r="AP106" i="13" s="1"/>
  <c r="AP35" i="13" a="1"/>
  <c r="AP35" i="13" s="1"/>
  <c r="AP19" i="13" a="1"/>
  <c r="AP19" i="13" s="1"/>
  <c r="AP104" i="13" a="1"/>
  <c r="AP104" i="13" s="1"/>
  <c r="AP38" i="13" a="1"/>
  <c r="AP38" i="13" s="1"/>
  <c r="AP28" i="13" a="1"/>
  <c r="AP28" i="13" s="1"/>
  <c r="AP16" i="13" a="1"/>
  <c r="AP16" i="13" s="1"/>
  <c r="AP93" i="13" a="1"/>
  <c r="AP93" i="13" s="1"/>
  <c r="AP109" i="13" a="1"/>
  <c r="AP109" i="13" s="1"/>
  <c r="AP27" i="13" a="1"/>
  <c r="AP27" i="13" s="1"/>
  <c r="AP47" i="13" a="1"/>
  <c r="AP47" i="13" s="1"/>
  <c r="AP103" i="13" a="1"/>
  <c r="AP103" i="13" s="1"/>
  <c r="AP43" i="13" a="1"/>
  <c r="AP43" i="13" s="1"/>
  <c r="AP26" i="13" a="1"/>
  <c r="AP26" i="13" s="1"/>
  <c r="AP44" i="13" a="1"/>
  <c r="AP44" i="13" s="1"/>
  <c r="AP92" i="13" a="1"/>
  <c r="AP92" i="13" s="1"/>
  <c r="AP97" i="13" a="1"/>
  <c r="AP97" i="13" s="1"/>
  <c r="AX34" i="13" s="1"/>
  <c r="AP25" i="13" a="1"/>
  <c r="AP25" i="13" s="1"/>
  <c r="AX25" i="13" s="1"/>
  <c r="AP31" i="13" a="1"/>
  <c r="AP31" i="13" s="1"/>
  <c r="AP33" i="13" a="1"/>
  <c r="AP33" i="13" s="1"/>
  <c r="AX26" i="13" s="1"/>
  <c r="AP46" i="13" a="1"/>
  <c r="AP46" i="13" s="1"/>
  <c r="AP24" i="13" a="1"/>
  <c r="AP24" i="13" s="1"/>
  <c r="AP37" i="13" a="1"/>
  <c r="AP37" i="13" s="1"/>
  <c r="AP102" i="13" a="1"/>
  <c r="AP102" i="13" s="1"/>
  <c r="AP40" i="13" a="1"/>
  <c r="AP40" i="13" s="1"/>
  <c r="AP23" i="13" a="1"/>
  <c r="AP23" i="13" s="1"/>
  <c r="AP32" i="13" a="1"/>
  <c r="AP32" i="13" s="1"/>
  <c r="AP91" i="13" a="1"/>
  <c r="AP91" i="13" s="1"/>
  <c r="AP21" i="13" a="1"/>
  <c r="AP21" i="13" s="1"/>
  <c r="AP39" i="13" a="1"/>
  <c r="AP39" i="13" s="1"/>
  <c r="AP11" i="13" a="1"/>
  <c r="AP11" i="13" s="1"/>
  <c r="AP42" i="13" a="1"/>
  <c r="AP42" i="13" s="1"/>
  <c r="AP49" i="13" a="1"/>
  <c r="AP49" i="13" s="1"/>
  <c r="AX28" i="13" s="1"/>
  <c r="AP29" i="13" a="1"/>
  <c r="AP29" i="13" s="1"/>
  <c r="AP20" i="13" a="1"/>
  <c r="AP20" i="13" s="1"/>
  <c r="AP113" i="13" a="1"/>
  <c r="AP113" i="13" s="1"/>
  <c r="AX23" i="13" s="1"/>
  <c r="AP107" i="13" a="1"/>
  <c r="AP107" i="13" s="1"/>
  <c r="AP15" i="13" a="1"/>
  <c r="AP15" i="13" s="1"/>
  <c r="AP96" i="13" a="1"/>
  <c r="AP96" i="13" s="1"/>
  <c r="AP90" i="13" a="1"/>
  <c r="AP90" i="13" s="1"/>
  <c r="AP34" i="13" a="1"/>
  <c r="AP34" i="13" s="1"/>
  <c r="AP30" i="13" a="1"/>
  <c r="AP30" i="13" s="1"/>
  <c r="AP18" i="13" a="1"/>
  <c r="AP18" i="13" s="1"/>
  <c r="AP112" i="13" a="1"/>
  <c r="AP112" i="13" s="1"/>
  <c r="AP111" i="13" a="1"/>
  <c r="AP111" i="13" s="1"/>
  <c r="AP22" i="13" a="1"/>
  <c r="AP22" i="13" s="1"/>
  <c r="AP17" i="13" a="1"/>
  <c r="AP17" i="13" s="1"/>
  <c r="AX24" i="13" s="1"/>
  <c r="AP110" i="13" a="1"/>
  <c r="AP110" i="13" s="1"/>
  <c r="AP100" i="13" a="1"/>
  <c r="AP100" i="13" s="1"/>
  <c r="AP48" i="13" a="1"/>
  <c r="AP48" i="13" s="1"/>
  <c r="AP14" i="13" a="1"/>
  <c r="AP14" i="13" s="1"/>
  <c r="AP95" i="13" a="1"/>
  <c r="AP95" i="13" s="1"/>
  <c r="AP99" i="13" a="1"/>
  <c r="AP99" i="13" s="1"/>
  <c r="AP45" i="13" a="1"/>
  <c r="AP45" i="13" s="1"/>
  <c r="AP36" i="13" a="1"/>
  <c r="AP36" i="13" s="1"/>
  <c r="AP101" i="13" a="1"/>
  <c r="AP101" i="13" s="1"/>
  <c r="AP10" i="13" a="1"/>
  <c r="AP10" i="13" s="1"/>
  <c r="AP108" i="13" a="1"/>
  <c r="AP108" i="13" s="1"/>
  <c r="AP41" i="13" a="1"/>
  <c r="AP41" i="13" s="1"/>
  <c r="AX27" i="13" s="1"/>
  <c r="AM109" i="10" a="1"/>
  <c r="AM109" i="10" s="1"/>
  <c r="AM38" i="10" a="1"/>
  <c r="AM38" i="10" s="1"/>
  <c r="AM102" i="10" a="1"/>
  <c r="AM102" i="10" s="1"/>
  <c r="AM30" i="10" a="1"/>
  <c r="AM30" i="10" s="1"/>
  <c r="AM106" i="10" a="1"/>
  <c r="AM106" i="10" s="1"/>
  <c r="AM25" i="10" a="1"/>
  <c r="AM25" i="10" s="1"/>
  <c r="AM48" i="10" a="1"/>
  <c r="AM48" i="10" s="1"/>
  <c r="AM41" i="10" a="1"/>
  <c r="AM41" i="10" s="1"/>
  <c r="AM93" i="10" a="1"/>
  <c r="AM93" i="10" s="1"/>
  <c r="AM47" i="10" a="1"/>
  <c r="AM47" i="10" s="1"/>
  <c r="AM31" i="10" a="1"/>
  <c r="AM31" i="10" s="1"/>
  <c r="AM29" i="10" a="1"/>
  <c r="AM29" i="10" s="1"/>
  <c r="AM90" i="10" a="1"/>
  <c r="AM90" i="10" s="1"/>
  <c r="AM40" i="10" a="1"/>
  <c r="AM40" i="10" s="1"/>
  <c r="AM43" i="10" a="1"/>
  <c r="AM43" i="10" s="1"/>
  <c r="AM96" i="10" a="1"/>
  <c r="AM96" i="10" s="1"/>
  <c r="AM24" i="10" a="1"/>
  <c r="AM24" i="10" s="1"/>
  <c r="AM34" i="10" a="1"/>
  <c r="AM34" i="10" s="1"/>
  <c r="AM113" i="10" a="1"/>
  <c r="AM113" i="10" s="1"/>
  <c r="AM98" i="10" a="1"/>
  <c r="AM98" i="10" s="1"/>
  <c r="AM27" i="10" a="1"/>
  <c r="AM27" i="10" s="1"/>
  <c r="AM99" i="10" a="1"/>
  <c r="AM99" i="10" s="1"/>
  <c r="AM42" i="10" a="1"/>
  <c r="AM42" i="10" s="1"/>
  <c r="AM39" i="10" a="1"/>
  <c r="AM39" i="10" s="1"/>
  <c r="AM105" i="10" a="1"/>
  <c r="AM105" i="10" s="1"/>
  <c r="AM23" i="10" a="1"/>
  <c r="AM23" i="10" s="1"/>
  <c r="AM32" i="10" a="1"/>
  <c r="AM32" i="10" s="1"/>
  <c r="AM108" i="10" a="1"/>
  <c r="AM108" i="10" s="1"/>
  <c r="AM49" i="10" a="1"/>
  <c r="AM49" i="10" s="1"/>
  <c r="AM10" i="10" a="1"/>
  <c r="AM10" i="10" s="1"/>
  <c r="AM92" i="10" a="1"/>
  <c r="AM92" i="10" s="1"/>
  <c r="AM44" i="10" a="1"/>
  <c r="AM44" i="10" s="1"/>
  <c r="AM45" i="10" a="1"/>
  <c r="AM45" i="10" s="1"/>
  <c r="AM111" i="10" a="1"/>
  <c r="AM111" i="10" s="1"/>
  <c r="AM101" i="10" a="1"/>
  <c r="AM101" i="10" s="1"/>
  <c r="AM35" i="10" a="1"/>
  <c r="AM35" i="10" s="1"/>
  <c r="AM28" i="10" a="1"/>
  <c r="AM28" i="10" s="1"/>
  <c r="AM94" i="10" a="1"/>
  <c r="AM94" i="10" s="1"/>
  <c r="AM104" i="10" a="1"/>
  <c r="AM104" i="10" s="1"/>
  <c r="AM46" i="10" a="1"/>
  <c r="AM46" i="10" s="1"/>
  <c r="AM20" i="10" a="1"/>
  <c r="AM20" i="10" s="1"/>
  <c r="AM97" i="10" a="1"/>
  <c r="AM97" i="10" s="1"/>
  <c r="AM36" i="10" a="1"/>
  <c r="AM36" i="10" s="1"/>
  <c r="AM91" i="10" a="1"/>
  <c r="AM91" i="10" s="1"/>
  <c r="AM19" i="10" a="1"/>
  <c r="AM19" i="10" s="1"/>
  <c r="AM11" i="10" a="1"/>
  <c r="AM11" i="10" s="1"/>
  <c r="AM100" i="10" a="1"/>
  <c r="AM100" i="10" s="1"/>
  <c r="AM26" i="10" a="1"/>
  <c r="AM26" i="10" s="1"/>
  <c r="AM33" i="10" a="1"/>
  <c r="AM33" i="10" s="1"/>
  <c r="AM18" i="10" a="1"/>
  <c r="AM18" i="10" s="1"/>
  <c r="AM103" i="10" a="1"/>
  <c r="AM103" i="10" s="1"/>
  <c r="AM22" i="10" a="1"/>
  <c r="AM22" i="10" s="1"/>
  <c r="AM107" i="10" a="1"/>
  <c r="AM107" i="10" s="1"/>
  <c r="AM37" i="10" a="1"/>
  <c r="AM37" i="10" s="1"/>
  <c r="AM21" i="10" a="1"/>
  <c r="AM21" i="10" s="1"/>
  <c r="AM110" i="10" a="1"/>
  <c r="AM110" i="10" s="1"/>
  <c r="AM95" i="10" a="1"/>
  <c r="AM95" i="10" s="1"/>
  <c r="AM112" i="10" a="1"/>
  <c r="AM112" i="10" s="1"/>
  <c r="AP78" i="12" a="1"/>
  <c r="AP78" i="12" s="1"/>
  <c r="AO37" i="14" a="1"/>
  <c r="AO37" i="14" s="1"/>
  <c r="AP53" i="9" a="1"/>
  <c r="AP53" i="9" s="1"/>
  <c r="AP64" i="9" a="1"/>
  <c r="AP64" i="9" s="1"/>
  <c r="AP47" i="9" a="1"/>
  <c r="AP47" i="9" s="1"/>
  <c r="AP28" i="9" a="1"/>
  <c r="AP28" i="9" s="1"/>
  <c r="AP112" i="9" a="1"/>
  <c r="AP112" i="9" s="1"/>
  <c r="AP29" i="9" a="1"/>
  <c r="AP29" i="9" s="1"/>
  <c r="AP55" i="9" a="1"/>
  <c r="AP55" i="9" s="1"/>
  <c r="AP45" i="9" a="1"/>
  <c r="AP45" i="9" s="1"/>
  <c r="AP25" i="9" a="1"/>
  <c r="AP25" i="9" s="1"/>
  <c r="AP110" i="9" a="1"/>
  <c r="AP110" i="9" s="1"/>
  <c r="AP94" i="9" a="1"/>
  <c r="AP94" i="9" s="1"/>
  <c r="AP101" i="9" a="1"/>
  <c r="AP101" i="9" s="1"/>
  <c r="AP37" i="9" a="1"/>
  <c r="AP37" i="9" s="1"/>
  <c r="AP23" i="9" a="1"/>
  <c r="AP23" i="9" s="1"/>
  <c r="AP109" i="9" a="1"/>
  <c r="AP109" i="9" s="1"/>
  <c r="AP65" i="9" a="1"/>
  <c r="AP65" i="9" s="1"/>
  <c r="AP90" i="9" a="1"/>
  <c r="AP90" i="9" s="1"/>
  <c r="AP62" i="9" a="1"/>
  <c r="AP62" i="9" s="1"/>
  <c r="AP40" i="9" a="1"/>
  <c r="AP40" i="9" s="1"/>
  <c r="AP33" i="9" a="1"/>
  <c r="AP33" i="9" s="1"/>
  <c r="AP48" i="9" a="1"/>
  <c r="AP48" i="9" s="1"/>
  <c r="AP100" i="9" a="1"/>
  <c r="AP100" i="9" s="1"/>
  <c r="AP49" i="9" a="1"/>
  <c r="AP49" i="9" s="1"/>
  <c r="AP24" i="9" a="1"/>
  <c r="AP24" i="9" s="1"/>
  <c r="AP108" i="9" a="1"/>
  <c r="AP108" i="9" s="1"/>
  <c r="AP105" i="9" a="1"/>
  <c r="AP105" i="9" s="1"/>
  <c r="AP54" i="9" a="1"/>
  <c r="AP54" i="9" s="1"/>
  <c r="AP20" i="9" a="1"/>
  <c r="AP20" i="9" s="1"/>
  <c r="AP113" i="9" a="1"/>
  <c r="AP113" i="9" s="1"/>
  <c r="AP59" i="9" a="1"/>
  <c r="AP59" i="9" s="1"/>
  <c r="AP50" i="9" a="1"/>
  <c r="AP50" i="9" s="1"/>
  <c r="AP104" i="9" a="1"/>
  <c r="AP104" i="9" s="1"/>
  <c r="AP39" i="9" a="1"/>
  <c r="AP39" i="9" s="1"/>
  <c r="AP99" i="9" a="1"/>
  <c r="AP99" i="9" s="1"/>
  <c r="AP11" i="9" a="1"/>
  <c r="AP11" i="9" s="1"/>
  <c r="AP42" i="9" a="1"/>
  <c r="AP42" i="9" s="1"/>
  <c r="AP93" i="9" a="1"/>
  <c r="AP93" i="9" s="1"/>
  <c r="AP98" i="9" a="1"/>
  <c r="AP98" i="9" s="1"/>
  <c r="AP44" i="9" a="1"/>
  <c r="AP44" i="9" s="1"/>
  <c r="AP57" i="9" a="1"/>
  <c r="AP57" i="9" s="1"/>
  <c r="AP61" i="9" a="1"/>
  <c r="AP61" i="9" s="1"/>
  <c r="AP107" i="9" a="1"/>
  <c r="AP107" i="9" s="1"/>
  <c r="AP56" i="9" a="1"/>
  <c r="AP56" i="9" s="1"/>
  <c r="AP58" i="9" a="1"/>
  <c r="AP58" i="9" s="1"/>
  <c r="AP30" i="9" a="1"/>
  <c r="AP30" i="9" s="1"/>
  <c r="AP12" i="9" a="1"/>
  <c r="AP12" i="9" s="1"/>
  <c r="AP97" i="9" a="1"/>
  <c r="AP97" i="9" s="1"/>
  <c r="AP51" i="9" a="1"/>
  <c r="AP51" i="9" s="1"/>
  <c r="AP38" i="9" a="1"/>
  <c r="AP38" i="9" s="1"/>
  <c r="AP36" i="9" a="1"/>
  <c r="AP36" i="9" s="1"/>
  <c r="AP26" i="9" a="1"/>
  <c r="AP26" i="9" s="1"/>
  <c r="AP10" i="9" a="1"/>
  <c r="AP10" i="9" s="1"/>
  <c r="AP31" i="9" a="1"/>
  <c r="AP31" i="9" s="1"/>
  <c r="AP43" i="9" a="1"/>
  <c r="AP43" i="9" s="1"/>
  <c r="AP32" i="9" a="1"/>
  <c r="AP32" i="9" s="1"/>
  <c r="AP21" i="9" a="1"/>
  <c r="AP21" i="9" s="1"/>
  <c r="AP22" i="9" a="1"/>
  <c r="AP22" i="9" s="1"/>
  <c r="AP111" i="9" a="1"/>
  <c r="AP111" i="9" s="1"/>
  <c r="AP103" i="9" a="1"/>
  <c r="AP103" i="9" s="1"/>
  <c r="AP18" i="9" a="1"/>
  <c r="AP18" i="9" s="1"/>
  <c r="AP63" i="9" a="1"/>
  <c r="AP63" i="9" s="1"/>
  <c r="AP34" i="9" a="1"/>
  <c r="AP34" i="9" s="1"/>
  <c r="AP91" i="9" a="1"/>
  <c r="AP91" i="9" s="1"/>
  <c r="AP106" i="9" a="1"/>
  <c r="AP106" i="9" s="1"/>
  <c r="AP92" i="9" a="1"/>
  <c r="AP92" i="9" s="1"/>
  <c r="AP46" i="9" a="1"/>
  <c r="AP46" i="9" s="1"/>
  <c r="AP41" i="9" a="1"/>
  <c r="AP41" i="9" s="1"/>
  <c r="AP96" i="9" a="1"/>
  <c r="AP96" i="9" s="1"/>
  <c r="AP60" i="9" a="1"/>
  <c r="AP60" i="9" s="1"/>
  <c r="AP35" i="9" a="1"/>
  <c r="AP35" i="9" s="1"/>
  <c r="AP52" i="9" a="1"/>
  <c r="AP52" i="9" s="1"/>
  <c r="AP95" i="9" a="1"/>
  <c r="AP95" i="9" s="1"/>
  <c r="AP102" i="9" a="1"/>
  <c r="AP102" i="9" s="1"/>
  <c r="AP19" i="9" a="1"/>
  <c r="AP19" i="9" s="1"/>
  <c r="AP27" i="9" a="1"/>
  <c r="AP27" i="9" s="1"/>
  <c r="AO47" i="13" a="1"/>
  <c r="AO47" i="13" s="1"/>
  <c r="AO46" i="13" a="1"/>
  <c r="AO46" i="13" s="1"/>
  <c r="AO25" i="13" a="1"/>
  <c r="AO25" i="13" s="1"/>
  <c r="AW25" i="13" s="1"/>
  <c r="AO41" i="13" a="1"/>
  <c r="AO41" i="13" s="1"/>
  <c r="AW27" i="13" s="1"/>
  <c r="AO91" i="13" a="1"/>
  <c r="AO91" i="13" s="1"/>
  <c r="AO40" i="13" a="1"/>
  <c r="AO40" i="13" s="1"/>
  <c r="AO24" i="13" a="1"/>
  <c r="AO24" i="13" s="1"/>
  <c r="AO113" i="13" a="1"/>
  <c r="AO113" i="13" s="1"/>
  <c r="AW23" i="13" s="1"/>
  <c r="AO102" i="13" a="1"/>
  <c r="AO102" i="13" s="1"/>
  <c r="AO21" i="13" a="1"/>
  <c r="AO21" i="13" s="1"/>
  <c r="AO23" i="13" a="1"/>
  <c r="AO23" i="13" s="1"/>
  <c r="AO111" i="13" a="1"/>
  <c r="AO111" i="13" s="1"/>
  <c r="AO101" i="13" a="1"/>
  <c r="AO101" i="13" s="1"/>
  <c r="AO107" i="13" a="1"/>
  <c r="AO107" i="13" s="1"/>
  <c r="AO18" i="13" a="1"/>
  <c r="AO18" i="13" s="1"/>
  <c r="AO29" i="13" a="1"/>
  <c r="AO29" i="13" s="1"/>
  <c r="AO112" i="13" a="1"/>
  <c r="AO112" i="13" s="1"/>
  <c r="AO31" i="13" a="1"/>
  <c r="AO31" i="13" s="1"/>
  <c r="AO98" i="13" a="1"/>
  <c r="AO98" i="13" s="1"/>
  <c r="AO14" i="13" a="1"/>
  <c r="AO14" i="13" s="1"/>
  <c r="AO106" i="13" a="1"/>
  <c r="AO106" i="13" s="1"/>
  <c r="AO100" i="13" a="1"/>
  <c r="AO100" i="13" s="1"/>
  <c r="AO42" i="13" a="1"/>
  <c r="AO42" i="13" s="1"/>
  <c r="AO10" i="13" a="1"/>
  <c r="AO10" i="13" s="1"/>
  <c r="AO96" i="13" a="1"/>
  <c r="AO96" i="13" s="1"/>
  <c r="AO90" i="13" a="1"/>
  <c r="AO90" i="13" s="1"/>
  <c r="AO37" i="13" a="1"/>
  <c r="AO37" i="13" s="1"/>
  <c r="AO30" i="13" a="1"/>
  <c r="AO30" i="13" s="1"/>
  <c r="AO95" i="13" a="1"/>
  <c r="AO95" i="13" s="1"/>
  <c r="AO99" i="13" a="1"/>
  <c r="AO99" i="13" s="1"/>
  <c r="AO22" i="13" a="1"/>
  <c r="AO22" i="13" s="1"/>
  <c r="AO17" i="13" a="1"/>
  <c r="AO17" i="13" s="1"/>
  <c r="AW24" i="13" s="1"/>
  <c r="AO110" i="13" a="1"/>
  <c r="AO110" i="13" s="1"/>
  <c r="AO32" i="13" a="1"/>
  <c r="AO32" i="13" s="1"/>
  <c r="AO11" i="13" a="1"/>
  <c r="AO11" i="13" s="1"/>
  <c r="AO12" i="13" a="1"/>
  <c r="AO12" i="13" s="1"/>
  <c r="AO105" i="13" a="1"/>
  <c r="AO105" i="13" s="1"/>
  <c r="AW35" i="13" s="1"/>
  <c r="AO38" i="13" a="1"/>
  <c r="AO38" i="13" s="1"/>
  <c r="AO45" i="13" a="1"/>
  <c r="AO45" i="13" s="1"/>
  <c r="AO36" i="13" a="1"/>
  <c r="AO36" i="13" s="1"/>
  <c r="AO94" i="13" a="1"/>
  <c r="AO94" i="13" s="1"/>
  <c r="AO20" i="13" a="1"/>
  <c r="AO20" i="13" s="1"/>
  <c r="AO48" i="13" a="1"/>
  <c r="AO48" i="13" s="1"/>
  <c r="AO108" i="13" a="1"/>
  <c r="AO108" i="13" s="1"/>
  <c r="AO104" i="13" a="1"/>
  <c r="AO104" i="13" s="1"/>
  <c r="AO109" i="13" a="1"/>
  <c r="AO109" i="13" s="1"/>
  <c r="AO13" i="13" a="1"/>
  <c r="AO13" i="13" s="1"/>
  <c r="AO19" i="13" a="1"/>
  <c r="AO19" i="13" s="1"/>
  <c r="AO93" i="13" a="1"/>
  <c r="AO93" i="13" s="1"/>
  <c r="AO33" i="13" a="1"/>
  <c r="AO33" i="13" s="1"/>
  <c r="AW26" i="13" s="1"/>
  <c r="AO39" i="13" a="1"/>
  <c r="AO39" i="13" s="1"/>
  <c r="AO16" i="13" a="1"/>
  <c r="AO16" i="13" s="1"/>
  <c r="AO35" i="13" a="1"/>
  <c r="AO35" i="13" s="1"/>
  <c r="AO97" i="13" a="1"/>
  <c r="AO97" i="13" s="1"/>
  <c r="AW34" i="13" s="1"/>
  <c r="AO28" i="13" a="1"/>
  <c r="AO28" i="13" s="1"/>
  <c r="AO44" i="13" a="1"/>
  <c r="AO44" i="13" s="1"/>
  <c r="AO103" i="13" a="1"/>
  <c r="AO103" i="13" s="1"/>
  <c r="AO43" i="13" a="1"/>
  <c r="AO43" i="13" s="1"/>
  <c r="AO27" i="13" a="1"/>
  <c r="AO27" i="13" s="1"/>
  <c r="AO15" i="13" a="1"/>
  <c r="AO15" i="13" s="1"/>
  <c r="AO92" i="13" a="1"/>
  <c r="AO92" i="13" s="1"/>
  <c r="AO49" i="13" a="1"/>
  <c r="AO49" i="13" s="1"/>
  <c r="AW28" i="13" s="1"/>
  <c r="AO26" i="13" a="1"/>
  <c r="AO26" i="13" s="1"/>
  <c r="AO34" i="13" a="1"/>
  <c r="AO34" i="13" s="1"/>
  <c r="AM109" i="14" a="1"/>
  <c r="AM109" i="14" s="1"/>
  <c r="AM12" i="14" a="1"/>
  <c r="AM12" i="14" s="1"/>
  <c r="AM33" i="14" a="1"/>
  <c r="AM33" i="14" s="1"/>
  <c r="AM101" i="14" a="1"/>
  <c r="AM101" i="14" s="1"/>
  <c r="AM23" i="14" a="1"/>
  <c r="AM23" i="14" s="1"/>
  <c r="AM24" i="14" a="1"/>
  <c r="AM24" i="14" s="1"/>
  <c r="AM112" i="14" a="1"/>
  <c r="AM112" i="14" s="1"/>
  <c r="AM14" i="14" a="1"/>
  <c r="AM14" i="14" s="1"/>
  <c r="AM20" i="14" a="1"/>
  <c r="AM20" i="14" s="1"/>
  <c r="AM104" i="14" a="1"/>
  <c r="AM104" i="14" s="1"/>
  <c r="AM96" i="14" a="1"/>
  <c r="AM96" i="14" s="1"/>
  <c r="AM13" i="14" a="1"/>
  <c r="AM13" i="14" s="1"/>
  <c r="AM92" i="14" a="1"/>
  <c r="AM92" i="14" s="1"/>
  <c r="AM95" i="14" a="1"/>
  <c r="AM95" i="14" s="1"/>
  <c r="AM31" i="14" a="1"/>
  <c r="AM31" i="14" s="1"/>
  <c r="AM18" i="14" a="1"/>
  <c r="AM18" i="14" s="1"/>
  <c r="AM91" i="14" a="1"/>
  <c r="AM91" i="14" s="1"/>
  <c r="AM32" i="14" a="1"/>
  <c r="AM32" i="14" s="1"/>
  <c r="AM113" i="14" a="1"/>
  <c r="AM113" i="14" s="1"/>
  <c r="AM37" i="14" a="1"/>
  <c r="AM37" i="14" s="1"/>
  <c r="AM11" i="14" a="1"/>
  <c r="AM11" i="14" s="1"/>
  <c r="AM105" i="14" a="1"/>
  <c r="AM105" i="14" s="1"/>
  <c r="AM102" i="14" a="1"/>
  <c r="AM102" i="14" s="1"/>
  <c r="AM26" i="14" a="1"/>
  <c r="AM26" i="14" s="1"/>
  <c r="AM97" i="14" a="1"/>
  <c r="AM97" i="14" s="1"/>
  <c r="AM99" i="14" a="1"/>
  <c r="AM99" i="14" s="1"/>
  <c r="AM93" i="14" a="1"/>
  <c r="AM93" i="14" s="1"/>
  <c r="AM108" i="14" a="1"/>
  <c r="AM108" i="14" s="1"/>
  <c r="AM90" i="14" a="1"/>
  <c r="AM90" i="14" s="1"/>
  <c r="AM94" i="14" a="1"/>
  <c r="AM94" i="14" s="1"/>
  <c r="AM111" i="14" a="1"/>
  <c r="AM111" i="14" s="1"/>
  <c r="AM21" i="14" a="1"/>
  <c r="AM21" i="14" s="1"/>
  <c r="AM30" i="14" a="1"/>
  <c r="AM30" i="14" s="1"/>
  <c r="AM103" i="14" a="1"/>
  <c r="AM103" i="14" s="1"/>
  <c r="AM110" i="14" a="1"/>
  <c r="AM110" i="14" s="1"/>
  <c r="AM22" i="14" a="1"/>
  <c r="AM22" i="14" s="1"/>
  <c r="AM106" i="14" a="1"/>
  <c r="AM106" i="14" s="1"/>
  <c r="AM27" i="14" a="1"/>
  <c r="AM27" i="14" s="1"/>
  <c r="AM19" i="14" a="1"/>
  <c r="AM19" i="14" s="1"/>
  <c r="AM98" i="14" a="1"/>
  <c r="AM98" i="14" s="1"/>
  <c r="AM10" i="14" a="1"/>
  <c r="AM10" i="14" s="1"/>
  <c r="AM28" i="14" a="1"/>
  <c r="AM28" i="14" s="1"/>
  <c r="AM100" i="14" a="1"/>
  <c r="AM100" i="14" s="1"/>
  <c r="AM29" i="14" a="1"/>
  <c r="AM29" i="14" s="1"/>
  <c r="AM107" i="14" a="1"/>
  <c r="AM107" i="14" s="1"/>
  <c r="AO15" i="8" a="1"/>
  <c r="AO15" i="8" s="1"/>
  <c r="AO34" i="14" a="1"/>
  <c r="AO34" i="14" s="1"/>
  <c r="AM35" i="9" a="1"/>
  <c r="AM35" i="9" s="1"/>
  <c r="AM100" i="9" a="1"/>
  <c r="AM100" i="9" s="1"/>
  <c r="AM110" i="9" a="1"/>
  <c r="AM110" i="9" s="1"/>
  <c r="AM25" i="9" a="1"/>
  <c r="AM25" i="9" s="1"/>
  <c r="AM32" i="9" a="1"/>
  <c r="AM32" i="9" s="1"/>
  <c r="AM49" i="9" a="1"/>
  <c r="AM49" i="9" s="1"/>
  <c r="AM50" i="9" a="1"/>
  <c r="AM50" i="9" s="1"/>
  <c r="AM55" i="9" a="1"/>
  <c r="AM55" i="9" s="1"/>
  <c r="AM112" i="9" a="1"/>
  <c r="AM112" i="9" s="1"/>
  <c r="AM11" i="9" a="1"/>
  <c r="AM11" i="9" s="1"/>
  <c r="AM26" i="9" a="1"/>
  <c r="AM26" i="9" s="1"/>
  <c r="AM54" i="9" a="1"/>
  <c r="AM54" i="9" s="1"/>
  <c r="AM90" i="9" a="1"/>
  <c r="AM90" i="9" s="1"/>
  <c r="AM95" i="9" a="1"/>
  <c r="AM95" i="9" s="1"/>
  <c r="AM93" i="9" a="1"/>
  <c r="AM93" i="9" s="1"/>
  <c r="AM103" i="9" a="1"/>
  <c r="AM103" i="9" s="1"/>
  <c r="AM111" i="9" a="1"/>
  <c r="AM111" i="9" s="1"/>
  <c r="AM28" i="9" a="1"/>
  <c r="AM28" i="9" s="1"/>
  <c r="AM107" i="9" a="1"/>
  <c r="AM107" i="9" s="1"/>
  <c r="AM56" i="9" a="1"/>
  <c r="AM56" i="9" s="1"/>
  <c r="AM96" i="9" a="1"/>
  <c r="AM96" i="9" s="1"/>
  <c r="AM18" i="9" a="1"/>
  <c r="AM18" i="9" s="1"/>
  <c r="AM34" i="9" a="1"/>
  <c r="AM34" i="9" s="1"/>
  <c r="AM113" i="9" a="1"/>
  <c r="AM113" i="9" s="1"/>
  <c r="AM104" i="9" a="1"/>
  <c r="AM104" i="9" s="1"/>
  <c r="AM51" i="9" a="1"/>
  <c r="AM51" i="9" s="1"/>
  <c r="AM94" i="9" a="1"/>
  <c r="AM94" i="9" s="1"/>
  <c r="AM91" i="9" a="1"/>
  <c r="AM91" i="9" s="1"/>
  <c r="AM29" i="9" a="1"/>
  <c r="AM29" i="9" s="1"/>
  <c r="AM46" i="9" a="1"/>
  <c r="AM46" i="9" s="1"/>
  <c r="AM24" i="9" a="1"/>
  <c r="AM24" i="9" s="1"/>
  <c r="AM42" i="9" a="1"/>
  <c r="AM42" i="9" s="1"/>
  <c r="AM27" i="9" a="1"/>
  <c r="AM27" i="9" s="1"/>
  <c r="AM101" i="9" a="1"/>
  <c r="AM101" i="9" s="1"/>
  <c r="AM30" i="9" a="1"/>
  <c r="AM30" i="9" s="1"/>
  <c r="AM19" i="9" a="1"/>
  <c r="AM19" i="9" s="1"/>
  <c r="AM92" i="9" a="1"/>
  <c r="AM92" i="9" s="1"/>
  <c r="AM48" i="9" a="1"/>
  <c r="AM48" i="9" s="1"/>
  <c r="AM47" i="9" a="1"/>
  <c r="AM47" i="9" s="1"/>
  <c r="AM31" i="9" a="1"/>
  <c r="AM31" i="9" s="1"/>
  <c r="AM52" i="9" a="1"/>
  <c r="AM52" i="9" s="1"/>
  <c r="AM99" i="9" a="1"/>
  <c r="AM99" i="9" s="1"/>
  <c r="AM97" i="9" a="1"/>
  <c r="AM97" i="9" s="1"/>
  <c r="AM102" i="9" a="1"/>
  <c r="AM102" i="9" s="1"/>
  <c r="AM33" i="9" a="1"/>
  <c r="AM33" i="9" s="1"/>
  <c r="AM39" i="9" a="1"/>
  <c r="AM39" i="9" s="1"/>
  <c r="AM45" i="9" a="1"/>
  <c r="AM45" i="9" s="1"/>
  <c r="AM44" i="9" a="1"/>
  <c r="AM44" i="9" s="1"/>
  <c r="AM41" i="9" a="1"/>
  <c r="AM41" i="9" s="1"/>
  <c r="AM10" i="9" a="1"/>
  <c r="AM10" i="9" s="1"/>
  <c r="AM106" i="9" a="1"/>
  <c r="AM106" i="9" s="1"/>
  <c r="AM22" i="9" a="1"/>
  <c r="AM22" i="9" s="1"/>
  <c r="AM40" i="9" a="1"/>
  <c r="AM40" i="9" s="1"/>
  <c r="AM20" i="9" a="1"/>
  <c r="AM20" i="9" s="1"/>
  <c r="AM36" i="9" a="1"/>
  <c r="AM36" i="9" s="1"/>
  <c r="AM53" i="9" a="1"/>
  <c r="AM53" i="9" s="1"/>
  <c r="AM37" i="9" a="1"/>
  <c r="AM37" i="9" s="1"/>
  <c r="AM108" i="9" a="1"/>
  <c r="AM108" i="9" s="1"/>
  <c r="AM43" i="9" a="1"/>
  <c r="AM43" i="9" s="1"/>
  <c r="AM105" i="9" a="1"/>
  <c r="AM105" i="9" s="1"/>
  <c r="AM57" i="9" a="1"/>
  <c r="AM57" i="9" s="1"/>
  <c r="AM21" i="9" a="1"/>
  <c r="AM21" i="9" s="1"/>
  <c r="AM109" i="9" a="1"/>
  <c r="AM109" i="9" s="1"/>
  <c r="AM98" i="9" a="1"/>
  <c r="AM98" i="9" s="1"/>
  <c r="AM23" i="9" a="1"/>
  <c r="AM23" i="9" s="1"/>
  <c r="AM38" i="9" a="1"/>
  <c r="AM38" i="9" s="1"/>
  <c r="AO35" i="9" a="1"/>
  <c r="AO35" i="9" s="1"/>
  <c r="AO57" i="9" a="1"/>
  <c r="AO57" i="9" s="1"/>
  <c r="AO64" i="9" a="1"/>
  <c r="AO64" i="9" s="1"/>
  <c r="AO50" i="9" a="1"/>
  <c r="AO50" i="9" s="1"/>
  <c r="AO28" i="9" a="1"/>
  <c r="AO28" i="9" s="1"/>
  <c r="AO91" i="9" a="1"/>
  <c r="AO91" i="9" s="1"/>
  <c r="AO109" i="9" a="1"/>
  <c r="AO109" i="9" s="1"/>
  <c r="AO45" i="9" a="1"/>
  <c r="AO45" i="9" s="1"/>
  <c r="AO102" i="9" a="1"/>
  <c r="AO102" i="9" s="1"/>
  <c r="AO49" i="9" a="1"/>
  <c r="AO49" i="9" s="1"/>
  <c r="AO25" i="9" a="1"/>
  <c r="AO25" i="9" s="1"/>
  <c r="AO26" i="9" a="1"/>
  <c r="AO26" i="9" s="1"/>
  <c r="AO99" i="9" a="1"/>
  <c r="AO99" i="9" s="1"/>
  <c r="AO62" i="9" a="1"/>
  <c r="AO62" i="9" s="1"/>
  <c r="AO53" i="9" a="1"/>
  <c r="AO53" i="9" s="1"/>
  <c r="AO101" i="9" a="1"/>
  <c r="AO101" i="9" s="1"/>
  <c r="AO20" i="9" a="1"/>
  <c r="AO20" i="9" s="1"/>
  <c r="AO12" i="9" a="1"/>
  <c r="AO12" i="9" s="1"/>
  <c r="AO47" i="9" a="1"/>
  <c r="AO47" i="9" s="1"/>
  <c r="AO105" i="9" a="1"/>
  <c r="AO105" i="9" s="1"/>
  <c r="AO90" i="9" a="1"/>
  <c r="AO90" i="9" s="1"/>
  <c r="AO44" i="9" a="1"/>
  <c r="AO44" i="9" s="1"/>
  <c r="AO54" i="9" a="1"/>
  <c r="AO54" i="9" s="1"/>
  <c r="AO39" i="9" a="1"/>
  <c r="AO39" i="9" s="1"/>
  <c r="AO94" i="9" a="1"/>
  <c r="AO94" i="9" s="1"/>
  <c r="AO24" i="9" a="1"/>
  <c r="AO24" i="9" s="1"/>
  <c r="AO43" i="9" a="1"/>
  <c r="AO43" i="9" s="1"/>
  <c r="AO34" i="9" a="1"/>
  <c r="AO34" i="9" s="1"/>
  <c r="AO65" i="9" a="1"/>
  <c r="AO65" i="9" s="1"/>
  <c r="AO23" i="9" a="1"/>
  <c r="AO23" i="9" s="1"/>
  <c r="AO42" i="9" a="1"/>
  <c r="AO42" i="9" s="1"/>
  <c r="AO110" i="9" a="1"/>
  <c r="AO110" i="9" s="1"/>
  <c r="AO48" i="9" a="1"/>
  <c r="AO48" i="9" s="1"/>
  <c r="AO55" i="9" a="1"/>
  <c r="AO55" i="9" s="1"/>
  <c r="AO30" i="9" a="1"/>
  <c r="AO30" i="9" s="1"/>
  <c r="AO22" i="9" a="1"/>
  <c r="AO22" i="9" s="1"/>
  <c r="AO108" i="9" a="1"/>
  <c r="AO108" i="9" s="1"/>
  <c r="AO40" i="9" a="1"/>
  <c r="AO40" i="9" s="1"/>
  <c r="AO29" i="9" a="1"/>
  <c r="AO29" i="9" s="1"/>
  <c r="AO63" i="9" a="1"/>
  <c r="AO63" i="9" s="1"/>
  <c r="AO33" i="9" a="1"/>
  <c r="AO33" i="9" s="1"/>
  <c r="AO104" i="9" a="1"/>
  <c r="AO104" i="9" s="1"/>
  <c r="AO38" i="9" a="1"/>
  <c r="AO38" i="9" s="1"/>
  <c r="AO36" i="9" a="1"/>
  <c r="AO36" i="9" s="1"/>
  <c r="AO107" i="9" a="1"/>
  <c r="AO107" i="9" s="1"/>
  <c r="AO93" i="9" a="1"/>
  <c r="AO93" i="9" s="1"/>
  <c r="AO32" i="9" a="1"/>
  <c r="AO32" i="9" s="1"/>
  <c r="AO21" i="9" a="1"/>
  <c r="AO21" i="9" s="1"/>
  <c r="AO113" i="9" a="1"/>
  <c r="AO113" i="9" s="1"/>
  <c r="AO97" i="9" a="1"/>
  <c r="AO97" i="9" s="1"/>
  <c r="AO56" i="9" a="1"/>
  <c r="AO56" i="9" s="1"/>
  <c r="AO18" i="9" a="1"/>
  <c r="AO18" i="9" s="1"/>
  <c r="AO52" i="9" a="1"/>
  <c r="AO52" i="9" s="1"/>
  <c r="AO111" i="9" a="1"/>
  <c r="AO111" i="9" s="1"/>
  <c r="AO106" i="9" a="1"/>
  <c r="AO106" i="9" s="1"/>
  <c r="AO103" i="9" a="1"/>
  <c r="AO103" i="9" s="1"/>
  <c r="AO59" i="9" a="1"/>
  <c r="AO59" i="9" s="1"/>
  <c r="AO27" i="9" a="1"/>
  <c r="AO27" i="9" s="1"/>
  <c r="AO112" i="9" a="1"/>
  <c r="AO112" i="9" s="1"/>
  <c r="AO96" i="9" a="1"/>
  <c r="AO96" i="9" s="1"/>
  <c r="AO92" i="9" a="1"/>
  <c r="AO92" i="9" s="1"/>
  <c r="AO46" i="9" a="1"/>
  <c r="AO46" i="9" s="1"/>
  <c r="AO10" i="9" a="1"/>
  <c r="AO10" i="9" s="1"/>
  <c r="AO61" i="9" a="1"/>
  <c r="AO61" i="9" s="1"/>
  <c r="AO98" i="9" a="1"/>
  <c r="AO98" i="9" s="1"/>
  <c r="AO31" i="9" a="1"/>
  <c r="AO31" i="9" s="1"/>
  <c r="AO60" i="9" a="1"/>
  <c r="AO60" i="9" s="1"/>
  <c r="AO37" i="9" a="1"/>
  <c r="AO37" i="9" s="1"/>
  <c r="AO11" i="9" a="1"/>
  <c r="AO11" i="9" s="1"/>
  <c r="AO100" i="9" a="1"/>
  <c r="AO100" i="9" s="1"/>
  <c r="AO58" i="9" a="1"/>
  <c r="AO58" i="9" s="1"/>
  <c r="AO95" i="9" a="1"/>
  <c r="AO95" i="9" s="1"/>
  <c r="AO51" i="9" a="1"/>
  <c r="AO51" i="9" s="1"/>
  <c r="AO19" i="9" a="1"/>
  <c r="AO19" i="9" s="1"/>
  <c r="AO41" i="9" a="1"/>
  <c r="AO41" i="9" s="1"/>
  <c r="AO55" i="13" a="1"/>
  <c r="AO55" i="13" s="1"/>
  <c r="AO94" i="12" a="1"/>
  <c r="AO94" i="12" s="1"/>
  <c r="AO56" i="12" a="1"/>
  <c r="AO56" i="12" s="1"/>
  <c r="AO73" i="12" a="1"/>
  <c r="AO73" i="12" s="1"/>
  <c r="AO60" i="12" a="1"/>
  <c r="AO60" i="12" s="1"/>
  <c r="AO53" i="12" a="1"/>
  <c r="AO53" i="12" s="1"/>
  <c r="AO103" i="12" a="1"/>
  <c r="AO103" i="12" s="1"/>
  <c r="AO99" i="12" a="1"/>
  <c r="AO99" i="12" s="1"/>
  <c r="AO55" i="12" a="1"/>
  <c r="AO55" i="12" s="1"/>
  <c r="AO41" i="12" a="1"/>
  <c r="AO41" i="12" s="1"/>
  <c r="AO33" i="12" a="1"/>
  <c r="AO33" i="12" s="1"/>
  <c r="AO92" i="12" a="1"/>
  <c r="AO92" i="12" s="1"/>
  <c r="AO71" i="12" a="1"/>
  <c r="AO71" i="12" s="1"/>
  <c r="AO58" i="12" a="1"/>
  <c r="AO58" i="12" s="1"/>
  <c r="AO47" i="12" a="1"/>
  <c r="AO47" i="12" s="1"/>
  <c r="AO19" i="12" a="1"/>
  <c r="AO19" i="12" s="1"/>
  <c r="AO75" i="12" a="1"/>
  <c r="AO75" i="12" s="1"/>
  <c r="AO68" i="12" a="1"/>
  <c r="AO68" i="12" s="1"/>
  <c r="AO45" i="12" a="1"/>
  <c r="AO45" i="12" s="1"/>
  <c r="AO44" i="12" a="1"/>
  <c r="AO44" i="12" s="1"/>
  <c r="AO42" i="12" a="1"/>
  <c r="AO42" i="12" s="1"/>
  <c r="AO101" i="12" a="1"/>
  <c r="AO101" i="12" s="1"/>
  <c r="AO91" i="12" a="1"/>
  <c r="AO91" i="12" s="1"/>
  <c r="AO34" i="12" a="1"/>
  <c r="AO34" i="12" s="1"/>
  <c r="AO32" i="12" a="1"/>
  <c r="AO32" i="12" s="1"/>
  <c r="AO30" i="12" a="1"/>
  <c r="AO30" i="12" s="1"/>
  <c r="AO90" i="12" a="1"/>
  <c r="AO90" i="12" s="1"/>
  <c r="AO80" i="12" a="1"/>
  <c r="AO80" i="12" s="1"/>
  <c r="AO22" i="12" a="1"/>
  <c r="AO22" i="12" s="1"/>
  <c r="AO28" i="12" a="1"/>
  <c r="AO28" i="12" s="1"/>
  <c r="AO10" i="12" a="1"/>
  <c r="AO10" i="12" s="1"/>
  <c r="AO67" i="12" a="1"/>
  <c r="AO67" i="12" s="1"/>
  <c r="AO113" i="12" a="1"/>
  <c r="AO113" i="12" s="1"/>
  <c r="AO108" i="12" a="1"/>
  <c r="AO108" i="12" s="1"/>
  <c r="AO102" i="12" a="1"/>
  <c r="AO102" i="12" s="1"/>
  <c r="AO11" i="12" a="1"/>
  <c r="AO11" i="12" s="1"/>
  <c r="AO62" i="12" a="1"/>
  <c r="AO62" i="12" s="1"/>
  <c r="AO72" i="12" a="1"/>
  <c r="AO72" i="12" s="1"/>
  <c r="AO112" i="12" a="1"/>
  <c r="AO112" i="12" s="1"/>
  <c r="AO97" i="12" a="1"/>
  <c r="AO97" i="12" s="1"/>
  <c r="AO79" i="12" a="1"/>
  <c r="AO79" i="12" s="1"/>
  <c r="AO110" i="12" a="1"/>
  <c r="AO110" i="12" s="1"/>
  <c r="AO50" i="12" a="1"/>
  <c r="AO50" i="12" s="1"/>
  <c r="AO49" i="12" a="1"/>
  <c r="AO49" i="12" s="1"/>
  <c r="AO74" i="12" a="1"/>
  <c r="AO74" i="12" s="1"/>
  <c r="AO81" i="12" a="1"/>
  <c r="AO81" i="12" s="1"/>
  <c r="AO70" i="12" a="1"/>
  <c r="AO70" i="12" s="1"/>
  <c r="AO59" i="12" a="1"/>
  <c r="AO59" i="12" s="1"/>
  <c r="AO18" i="12" a="1"/>
  <c r="AO18" i="12" s="1"/>
  <c r="AO36" i="12" a="1"/>
  <c r="AO36" i="12" s="1"/>
  <c r="AO109" i="12" a="1"/>
  <c r="AO109" i="12" s="1"/>
  <c r="AO106" i="12" a="1"/>
  <c r="AO106" i="12" s="1"/>
  <c r="AO61" i="12" a="1"/>
  <c r="AO61" i="12" s="1"/>
  <c r="AO48" i="12" a="1"/>
  <c r="AO48" i="12" s="1"/>
  <c r="AO54" i="12" a="1"/>
  <c r="AO54" i="12" s="1"/>
  <c r="AO39" i="12" a="1"/>
  <c r="AO39" i="12" s="1"/>
  <c r="AO98" i="12" a="1"/>
  <c r="AO98" i="12" s="1"/>
  <c r="AO95" i="12" a="1"/>
  <c r="AO95" i="12" s="1"/>
  <c r="AO57" i="12" a="1"/>
  <c r="AO57" i="12" s="1"/>
  <c r="AO26" i="12" a="1"/>
  <c r="AO26" i="12" s="1"/>
  <c r="AO37" i="12" a="1"/>
  <c r="AO37" i="12" s="1"/>
  <c r="AO52" i="12" a="1"/>
  <c r="AO52" i="12" s="1"/>
  <c r="AO111" i="12" a="1"/>
  <c r="AO111" i="12" s="1"/>
  <c r="AO104" i="12" a="1"/>
  <c r="AO104" i="12" s="1"/>
  <c r="AO93" i="12" a="1"/>
  <c r="AO93" i="12" s="1"/>
  <c r="AO51" i="12" a="1"/>
  <c r="AO51" i="12" s="1"/>
  <c r="AO40" i="12" a="1"/>
  <c r="AO40" i="12" s="1"/>
  <c r="AO21" i="12" a="1"/>
  <c r="AO21" i="12" s="1"/>
  <c r="AO107" i="12" a="1"/>
  <c r="AO107" i="12" s="1"/>
  <c r="AO76" i="12" a="1"/>
  <c r="AO76" i="12" s="1"/>
  <c r="AO78" i="12" a="1"/>
  <c r="AO78" i="12" s="1"/>
  <c r="AO38" i="12" a="1"/>
  <c r="AO38" i="12" s="1"/>
  <c r="AO46" i="12" a="1"/>
  <c r="AO46" i="12" s="1"/>
  <c r="AO77" i="12" a="1"/>
  <c r="AO77" i="12" s="1"/>
  <c r="AO64" i="12" a="1"/>
  <c r="AO64" i="12" s="1"/>
  <c r="AO63" i="12" a="1"/>
  <c r="AO63" i="12" s="1"/>
  <c r="AO31" i="12" a="1"/>
  <c r="AO31" i="12" s="1"/>
  <c r="AO43" i="12" a="1"/>
  <c r="AO43" i="12" s="1"/>
  <c r="AO96" i="12" a="1"/>
  <c r="AO96" i="12" s="1"/>
  <c r="AO29" i="12" a="1"/>
  <c r="AO29" i="12" s="1"/>
  <c r="AO100" i="12" a="1"/>
  <c r="AO100" i="12" s="1"/>
  <c r="AO69" i="12" a="1"/>
  <c r="AO69" i="12" s="1"/>
  <c r="AO20" i="12" a="1"/>
  <c r="AO20" i="12" s="1"/>
  <c r="AO105" i="12" a="1"/>
  <c r="AO105" i="12" s="1"/>
  <c r="AO66" i="12" a="1"/>
  <c r="AO66" i="12" s="1"/>
  <c r="AO35" i="12" a="1"/>
  <c r="AO35" i="12" s="1"/>
  <c r="AO27" i="12" a="1"/>
  <c r="AO27" i="12" s="1"/>
  <c r="AO65" i="12" a="1"/>
  <c r="AO65" i="12" s="1"/>
  <c r="AO21" i="22" a="1"/>
  <c r="AO21" i="22" s="1"/>
  <c r="AO58" i="22" a="1"/>
  <c r="AO58" i="22" s="1"/>
  <c r="AL81" i="22" a="1"/>
  <c r="AL81" i="22" s="1"/>
  <c r="AL78" i="22" a="1"/>
  <c r="AL78" i="22" s="1"/>
  <c r="AO80" i="22" a="1"/>
  <c r="AO80" i="22" s="1"/>
  <c r="AO81" i="22" a="1"/>
  <c r="AO81" i="22" s="1"/>
  <c r="AL77" i="22" a="1"/>
  <c r="AL77" i="22" s="1"/>
  <c r="AJ24" i="22"/>
  <c r="AK23" i="22" a="1"/>
  <c r="AK23" i="22" s="1"/>
  <c r="AM23" i="22" a="1"/>
  <c r="AM23" i="22" s="1"/>
  <c r="AP23" i="22" a="1"/>
  <c r="AP23" i="22" s="1"/>
  <c r="AN23" i="22" a="1"/>
  <c r="AN23" i="22" s="1"/>
  <c r="AL80" i="22" a="1"/>
  <c r="AL80" i="22" s="1"/>
  <c r="AL79" i="22" a="1"/>
  <c r="AL79" i="22" s="1"/>
  <c r="H5" i="22"/>
  <c r="O5" i="22" s="1"/>
  <c r="G5" i="22"/>
  <c r="N5" i="22" s="1"/>
  <c r="F5" i="22"/>
  <c r="M5" i="22" s="1"/>
  <c r="E5" i="22"/>
  <c r="L5" i="22" s="1"/>
  <c r="B4" i="22"/>
  <c r="D5" i="22"/>
  <c r="K5" i="22" s="1"/>
  <c r="C5" i="22"/>
  <c r="J5" i="22" s="1"/>
  <c r="AL76" i="22" a="1"/>
  <c r="AL76" i="22" s="1"/>
  <c r="AN74" i="22" a="1"/>
  <c r="AN74" i="22" s="1"/>
  <c r="Y19" i="22"/>
  <c r="AK76" i="22" a="1"/>
  <c r="AK76" i="22" s="1"/>
  <c r="AK81" i="22" a="1"/>
  <c r="AK81" i="22" s="1"/>
  <c r="AK80" i="22" a="1"/>
  <c r="AK80" i="22" s="1"/>
  <c r="AK74" i="22" a="1"/>
  <c r="AK74" i="22" s="1"/>
  <c r="AK79" i="22" a="1"/>
  <c r="AK79" i="22" s="1"/>
  <c r="AK75" i="22" a="1"/>
  <c r="AK75" i="22" s="1"/>
  <c r="AK78" i="22" a="1"/>
  <c r="AK78" i="22" s="1"/>
  <c r="AK77" i="22" a="1"/>
  <c r="AK77" i="22" s="1"/>
  <c r="AP79" i="22" a="1"/>
  <c r="AP79" i="22" s="1"/>
  <c r="AP78" i="22" a="1"/>
  <c r="AP78" i="22" s="1"/>
  <c r="AP77" i="22" a="1"/>
  <c r="AP77" i="22" s="1"/>
  <c r="AP80" i="22" a="1"/>
  <c r="AP80" i="22" s="1"/>
  <c r="AP76" i="22" a="1"/>
  <c r="AP76" i="22" s="1"/>
  <c r="AN81" i="22" a="1"/>
  <c r="AN81" i="22" s="1"/>
  <c r="AP75" i="22" a="1"/>
  <c r="AP75" i="22" s="1"/>
  <c r="AN79" i="22" a="1"/>
  <c r="AN79" i="22" s="1"/>
  <c r="AP74" i="22" a="1"/>
  <c r="AP74" i="22" s="1"/>
  <c r="AN75" i="22" a="1"/>
  <c r="AN75" i="22" s="1"/>
  <c r="AN78" i="22" a="1"/>
  <c r="AN78" i="22" s="1"/>
  <c r="AM81" i="22" a="1"/>
  <c r="AM81" i="22" s="1"/>
  <c r="AM80" i="22" a="1"/>
  <c r="AM80" i="22" s="1"/>
  <c r="AM79" i="22" a="1"/>
  <c r="AM79" i="22" s="1"/>
  <c r="AM78" i="22" a="1"/>
  <c r="AM78" i="22" s="1"/>
  <c r="AP81" i="22" a="1"/>
  <c r="AP81" i="22" s="1"/>
  <c r="AN76" i="22" a="1"/>
  <c r="AN76" i="22" s="1"/>
  <c r="AM77" i="22" a="1"/>
  <c r="AM77" i="22" s="1"/>
  <c r="AM76" i="22" a="1"/>
  <c r="AM76" i="22" s="1"/>
  <c r="AN77" i="22" a="1"/>
  <c r="AN77" i="22" s="1"/>
  <c r="AM75" i="22" a="1"/>
  <c r="AM75" i="22" s="1"/>
  <c r="AM74" i="22" a="1"/>
  <c r="AM74" i="22" s="1"/>
  <c r="AN80" i="22" a="1"/>
  <c r="AN80" i="22" s="1"/>
  <c r="AO75" i="22" a="1"/>
  <c r="AO75" i="22" s="1"/>
  <c r="AO76" i="22" a="1"/>
  <c r="AO76" i="22" s="1"/>
  <c r="AL74" i="22" a="1"/>
  <c r="AL74" i="22" s="1"/>
  <c r="AO77" i="22" a="1"/>
  <c r="AO77" i="22" s="1"/>
  <c r="AL75" i="22" a="1"/>
  <c r="AL75" i="22" s="1"/>
  <c r="AL13" i="22" a="1"/>
  <c r="AL13" i="22" s="1"/>
  <c r="AO13" i="22" a="1"/>
  <c r="AO13" i="22" s="1"/>
  <c r="AJ14" i="22"/>
  <c r="AP13" i="22" a="1"/>
  <c r="AP13" i="22" s="1"/>
  <c r="AK13" i="22" a="1"/>
  <c r="AK13" i="22" s="1"/>
  <c r="AN13" i="22" a="1"/>
  <c r="AN13" i="22" s="1"/>
  <c r="AM13" i="22" a="1"/>
  <c r="AM13" i="22" s="1"/>
  <c r="L32" i="17"/>
  <c r="L38" i="17"/>
  <c r="K73" i="19"/>
  <c r="K72" i="19"/>
  <c r="K74" i="19"/>
  <c r="K77" i="19"/>
  <c r="K78" i="19"/>
  <c r="K79" i="19"/>
  <c r="H82" i="19"/>
  <c r="H84" i="19"/>
  <c r="H83" i="19"/>
  <c r="F6" i="20"/>
  <c r="M6" i="20" s="1"/>
  <c r="D6" i="20"/>
  <c r="K6" i="20" s="1"/>
  <c r="H6" i="20"/>
  <c r="O6" i="20" s="1"/>
  <c r="G6" i="20"/>
  <c r="N6" i="20" s="1"/>
  <c r="E6" i="20"/>
  <c r="L6" i="20" s="1"/>
  <c r="C6" i="20"/>
  <c r="J6" i="20" s="1"/>
  <c r="B5" i="20"/>
  <c r="K68" i="19"/>
  <c r="K69" i="19"/>
  <c r="K67" i="19"/>
  <c r="AW19" i="20" a="1"/>
  <c r="AW19" i="20" s="1"/>
  <c r="G12" i="19" s="1"/>
  <c r="AW20" i="20" a="1"/>
  <c r="AW20" i="20" s="1"/>
  <c r="G13" i="19" s="1"/>
  <c r="AW21" i="20" a="1"/>
  <c r="AW21" i="20" s="1"/>
  <c r="G14" i="19" s="1"/>
  <c r="AW10" i="20" a="1"/>
  <c r="AW10" i="20" s="1"/>
  <c r="G3" i="19" s="1"/>
  <c r="AW22" i="20" a="1"/>
  <c r="AW22" i="20" s="1"/>
  <c r="G15" i="19" s="1"/>
  <c r="AW11" i="20" a="1"/>
  <c r="AW11" i="20" s="1"/>
  <c r="G4" i="19" s="1"/>
  <c r="AW12" i="20" a="1"/>
  <c r="AW12" i="20" s="1"/>
  <c r="G5" i="19" s="1"/>
  <c r="AW13" i="20" a="1"/>
  <c r="AW13" i="20" s="1"/>
  <c r="G6" i="19" s="1"/>
  <c r="AW15" i="20" a="1"/>
  <c r="AW15" i="20" s="1"/>
  <c r="G8" i="19" s="1"/>
  <c r="AW18" i="20" a="1"/>
  <c r="AW18" i="20" s="1"/>
  <c r="G11" i="19" s="1"/>
  <c r="AW17" i="20" a="1"/>
  <c r="AW17" i="20" s="1"/>
  <c r="G10" i="19" s="1"/>
  <c r="AW14" i="20" a="1"/>
  <c r="AW14" i="20" s="1"/>
  <c r="G7" i="19" s="1"/>
  <c r="AW16" i="20" a="1"/>
  <c r="AW16" i="20" s="1"/>
  <c r="G9" i="19" s="1"/>
  <c r="AT14" i="20" a="1"/>
  <c r="AT14" i="20" s="1"/>
  <c r="D7" i="19" s="1"/>
  <c r="AT15" i="20" a="1"/>
  <c r="AT15" i="20" s="1"/>
  <c r="D8" i="19" s="1"/>
  <c r="AT16" i="20" a="1"/>
  <c r="AT16" i="20" s="1"/>
  <c r="D9" i="19" s="1"/>
  <c r="AT17" i="20" a="1"/>
  <c r="AT17" i="20" s="1"/>
  <c r="D10" i="19" s="1"/>
  <c r="AT18" i="20" a="1"/>
  <c r="AT18" i="20" s="1"/>
  <c r="D11" i="19" s="1"/>
  <c r="AT19" i="20" a="1"/>
  <c r="AT19" i="20" s="1"/>
  <c r="D12" i="19" s="1"/>
  <c r="AT20" i="20" a="1"/>
  <c r="AT20" i="20" s="1"/>
  <c r="D13" i="19" s="1"/>
  <c r="AT21" i="20" a="1"/>
  <c r="AT21" i="20" s="1"/>
  <c r="D14" i="19" s="1"/>
  <c r="AT22" i="20" a="1"/>
  <c r="AT22" i="20" s="1"/>
  <c r="D15" i="19" s="1"/>
  <c r="AT13" i="20" a="1"/>
  <c r="AT13" i="20" s="1"/>
  <c r="D6" i="19" s="1"/>
  <c r="AT12" i="20" a="1"/>
  <c r="AT12" i="20" s="1"/>
  <c r="D5" i="19" s="1"/>
  <c r="AT10" i="20" a="1"/>
  <c r="AT10" i="20" s="1"/>
  <c r="D3" i="19" s="1"/>
  <c r="AT11" i="20" a="1"/>
  <c r="AT11" i="20" s="1"/>
  <c r="D4" i="19" s="1"/>
  <c r="H32" i="19"/>
  <c r="H34" i="19"/>
  <c r="H33" i="19"/>
  <c r="AU16" i="20" a="1"/>
  <c r="AU16" i="20" s="1"/>
  <c r="E9" i="19" s="1"/>
  <c r="AU17" i="20" a="1"/>
  <c r="AU17" i="20" s="1"/>
  <c r="E10" i="19" s="1"/>
  <c r="AU18" i="20" a="1"/>
  <c r="AU18" i="20" s="1"/>
  <c r="E11" i="19" s="1"/>
  <c r="AU19" i="20" a="1"/>
  <c r="AU19" i="20" s="1"/>
  <c r="E12" i="19" s="1"/>
  <c r="AU20" i="20" a="1"/>
  <c r="AU20" i="20" s="1"/>
  <c r="E13" i="19" s="1"/>
  <c r="AU21" i="20" a="1"/>
  <c r="AU21" i="20" s="1"/>
  <c r="E14" i="19" s="1"/>
  <c r="AU22" i="20" a="1"/>
  <c r="AU22" i="20" s="1"/>
  <c r="E15" i="19" s="1"/>
  <c r="AU11" i="20" a="1"/>
  <c r="AU11" i="20" s="1"/>
  <c r="E4" i="19" s="1"/>
  <c r="AU13" i="20" a="1"/>
  <c r="AU13" i="20" s="1"/>
  <c r="E6" i="19" s="1"/>
  <c r="AU12" i="20" a="1"/>
  <c r="AU12" i="20" s="1"/>
  <c r="E5" i="19" s="1"/>
  <c r="AU10" i="20" a="1"/>
  <c r="AU10" i="20" s="1"/>
  <c r="E3" i="19" s="1"/>
  <c r="AU15" i="20" a="1"/>
  <c r="AU15" i="20" s="1"/>
  <c r="E8" i="19" s="1"/>
  <c r="AU14" i="20" a="1"/>
  <c r="AU14" i="20" s="1"/>
  <c r="E7" i="19" s="1"/>
  <c r="H77" i="19"/>
  <c r="H78" i="19"/>
  <c r="H79" i="19"/>
  <c r="H72" i="19"/>
  <c r="H73" i="19"/>
  <c r="H74" i="19"/>
  <c r="H85" i="19"/>
  <c r="H67" i="19"/>
  <c r="H69" i="19"/>
  <c r="H68" i="19"/>
  <c r="K48" i="19"/>
  <c r="K47" i="19"/>
  <c r="K49" i="19"/>
  <c r="H62" i="19"/>
  <c r="H64" i="19"/>
  <c r="H63" i="19"/>
  <c r="K64" i="19"/>
  <c r="K62" i="19"/>
  <c r="K63" i="19"/>
  <c r="H57" i="19"/>
  <c r="H58" i="19"/>
  <c r="H59" i="19"/>
  <c r="K53" i="19"/>
  <c r="K54" i="19"/>
  <c r="K52" i="19"/>
  <c r="H52" i="19"/>
  <c r="H54" i="19"/>
  <c r="H53" i="19"/>
  <c r="K39" i="19"/>
  <c r="K38" i="19"/>
  <c r="K37" i="19"/>
  <c r="H47" i="19"/>
  <c r="H49" i="19"/>
  <c r="H48" i="19"/>
  <c r="J99" i="19"/>
  <c r="J110" i="19"/>
  <c r="J120" i="19"/>
  <c r="J123" i="19"/>
  <c r="J129" i="19"/>
  <c r="J106" i="19"/>
  <c r="J130" i="19"/>
  <c r="J121" i="19"/>
  <c r="J93" i="19"/>
  <c r="J114" i="19"/>
  <c r="J103" i="19"/>
  <c r="J109" i="19"/>
  <c r="J126" i="19"/>
  <c r="J127" i="19"/>
  <c r="J117" i="19"/>
  <c r="J132" i="19"/>
  <c r="K59" i="19"/>
  <c r="K57" i="19"/>
  <c r="K58" i="19"/>
  <c r="M103" i="19"/>
  <c r="M110" i="19"/>
  <c r="M131" i="19"/>
  <c r="M94" i="19"/>
  <c r="M104" i="19"/>
  <c r="M92" i="19"/>
  <c r="M108" i="19"/>
  <c r="M128" i="19"/>
  <c r="M129" i="19"/>
  <c r="M111" i="19"/>
  <c r="M95" i="19"/>
  <c r="M102" i="19"/>
  <c r="M124" i="19"/>
  <c r="M132" i="19"/>
  <c r="M127" i="19"/>
  <c r="M91" i="19"/>
  <c r="M126" i="19"/>
  <c r="M88" i="19"/>
  <c r="M130" i="19"/>
  <c r="M123" i="19"/>
  <c r="M109" i="19"/>
  <c r="M93" i="19"/>
  <c r="M105" i="19"/>
  <c r="M106" i="19"/>
  <c r="M125" i="19"/>
  <c r="M107" i="19"/>
  <c r="H42" i="19"/>
  <c r="H44" i="19"/>
  <c r="H43" i="19"/>
  <c r="H50" i="19"/>
  <c r="K43" i="19"/>
  <c r="K42" i="19"/>
  <c r="K44" i="19"/>
  <c r="L127" i="19"/>
  <c r="L102" i="19"/>
  <c r="L114" i="19"/>
  <c r="L124" i="19"/>
  <c r="L123" i="19"/>
  <c r="L126" i="19"/>
  <c r="L116" i="19"/>
  <c r="L115" i="19"/>
  <c r="L113" i="19"/>
  <c r="L103" i="19"/>
  <c r="L105" i="19"/>
  <c r="L97" i="19"/>
  <c r="L104" i="19"/>
  <c r="L125" i="19"/>
  <c r="L91" i="19"/>
  <c r="L128" i="19"/>
  <c r="H37" i="19"/>
  <c r="H39" i="19"/>
  <c r="H38" i="19"/>
  <c r="K33" i="19"/>
  <c r="K32" i="19"/>
  <c r="K34" i="19"/>
  <c r="H109" i="19"/>
  <c r="H120" i="19"/>
  <c r="H115" i="19"/>
  <c r="H90" i="19"/>
  <c r="H103" i="19"/>
  <c r="H88" i="19"/>
  <c r="H113" i="19"/>
  <c r="H102" i="19"/>
  <c r="H124" i="19"/>
  <c r="H126" i="19"/>
  <c r="H99" i="19"/>
  <c r="H94" i="19"/>
  <c r="H114" i="19"/>
  <c r="H92" i="19"/>
  <c r="H107" i="19"/>
  <c r="H93" i="19"/>
  <c r="H117" i="19"/>
  <c r="H104" i="19"/>
  <c r="H129" i="19"/>
  <c r="H97" i="19"/>
  <c r="H118" i="19"/>
  <c r="H98" i="19"/>
  <c r="H91" i="19"/>
  <c r="H100" i="19"/>
  <c r="H123" i="19"/>
  <c r="H106" i="19"/>
  <c r="K93" i="19"/>
  <c r="K127" i="19"/>
  <c r="K99" i="19"/>
  <c r="K126" i="19"/>
  <c r="K110" i="19"/>
  <c r="K94" i="19"/>
  <c r="K97" i="19"/>
  <c r="K116" i="19"/>
  <c r="K111" i="19"/>
  <c r="K91" i="19"/>
  <c r="K88" i="19"/>
  <c r="K103" i="19"/>
  <c r="K114" i="19"/>
  <c r="K104" i="19"/>
  <c r="K105" i="19"/>
  <c r="K101" i="19"/>
  <c r="K128" i="19"/>
  <c r="K100" i="19"/>
  <c r="K132" i="19"/>
  <c r="K115" i="19"/>
  <c r="K121" i="19"/>
  <c r="K109" i="19"/>
  <c r="K122" i="19"/>
  <c r="K120" i="19"/>
  <c r="K95" i="19"/>
  <c r="K90" i="19"/>
  <c r="H80" i="19"/>
  <c r="K82" i="19"/>
  <c r="K84" i="19"/>
  <c r="K83" i="19"/>
  <c r="I109" i="19"/>
  <c r="I104" i="19"/>
  <c r="I111" i="19"/>
  <c r="I122" i="19"/>
  <c r="I129" i="19"/>
  <c r="I131" i="19"/>
  <c r="I100" i="19"/>
  <c r="I128" i="19"/>
  <c r="I132" i="19"/>
  <c r="I124" i="19"/>
  <c r="I94" i="19"/>
  <c r="I107" i="19"/>
  <c r="I120" i="19"/>
  <c r="I126" i="19"/>
  <c r="I115" i="19"/>
  <c r="I118" i="19"/>
  <c r="H62" i="17"/>
  <c r="H63" i="17"/>
  <c r="H64" i="17"/>
  <c r="J80" i="17"/>
  <c r="J77" i="17"/>
  <c r="J79" i="17"/>
  <c r="J78" i="17"/>
  <c r="K74" i="17"/>
  <c r="K72" i="17"/>
  <c r="K73" i="17"/>
  <c r="J90" i="17"/>
  <c r="J115" i="17"/>
  <c r="J118" i="17"/>
  <c r="J92" i="17"/>
  <c r="J95" i="17"/>
  <c r="J111" i="17"/>
  <c r="J102" i="17"/>
  <c r="J119" i="17"/>
  <c r="J128" i="17"/>
  <c r="J116" i="17"/>
  <c r="J104" i="17"/>
  <c r="J107" i="17"/>
  <c r="J98" i="17"/>
  <c r="J113" i="17"/>
  <c r="J125" i="17"/>
  <c r="J94" i="17"/>
  <c r="J124" i="17"/>
  <c r="J105" i="17"/>
  <c r="J88" i="17"/>
  <c r="J91" i="17"/>
  <c r="J122" i="17"/>
  <c r="J101" i="17"/>
  <c r="J100" i="17"/>
  <c r="J108" i="17"/>
  <c r="J97" i="17"/>
  <c r="J131" i="17"/>
  <c r="K94" i="17"/>
  <c r="K122" i="17"/>
  <c r="K101" i="17"/>
  <c r="K105" i="17"/>
  <c r="K128" i="17"/>
  <c r="K97" i="17"/>
  <c r="K109" i="17"/>
  <c r="K132" i="17"/>
  <c r="K90" i="17"/>
  <c r="K121" i="17"/>
  <c r="K116" i="17"/>
  <c r="K111" i="17"/>
  <c r="K120" i="17"/>
  <c r="K100" i="17"/>
  <c r="K104" i="17"/>
  <c r="K110" i="17"/>
  <c r="K99" i="17"/>
  <c r="K91" i="17"/>
  <c r="K126" i="17"/>
  <c r="K114" i="17"/>
  <c r="K88" i="17"/>
  <c r="K115" i="17"/>
  <c r="K103" i="17"/>
  <c r="K127" i="17"/>
  <c r="K93" i="17"/>
  <c r="K95" i="17"/>
  <c r="H48" i="17"/>
  <c r="H47" i="17"/>
  <c r="H49" i="17"/>
  <c r="H50" i="17"/>
  <c r="L63" i="17"/>
  <c r="L62" i="17"/>
  <c r="J39" i="17"/>
  <c r="J40" i="17"/>
  <c r="J84" i="17"/>
  <c r="J82" i="17"/>
  <c r="J85" i="17"/>
  <c r="J83" i="17"/>
  <c r="H34" i="17"/>
  <c r="K67" i="17"/>
  <c r="K69" i="17"/>
  <c r="K68" i="17"/>
  <c r="M123" i="17"/>
  <c r="M104" i="17"/>
  <c r="M88" i="17"/>
  <c r="M91" i="17"/>
  <c r="M130" i="17"/>
  <c r="M125" i="17"/>
  <c r="M105" i="17"/>
  <c r="M126" i="17"/>
  <c r="M131" i="17"/>
  <c r="M129" i="17"/>
  <c r="M132" i="17"/>
  <c r="M95" i="17"/>
  <c r="M109" i="17"/>
  <c r="M92" i="17"/>
  <c r="M103" i="17"/>
  <c r="M111" i="17"/>
  <c r="M110" i="17"/>
  <c r="M107" i="17"/>
  <c r="M93" i="17"/>
  <c r="M128" i="17"/>
  <c r="M108" i="17"/>
  <c r="M124" i="17"/>
  <c r="M106" i="17"/>
  <c r="M127" i="17"/>
  <c r="M94" i="17"/>
  <c r="M102" i="17"/>
  <c r="H39" i="17"/>
  <c r="J73" i="17"/>
  <c r="J75" i="17"/>
  <c r="J74" i="17"/>
  <c r="J72" i="17"/>
  <c r="K79" i="17"/>
  <c r="K77" i="17"/>
  <c r="K78" i="17"/>
  <c r="H77" i="17"/>
  <c r="H78" i="17"/>
  <c r="H79" i="17"/>
  <c r="L48" i="17"/>
  <c r="L47" i="17"/>
  <c r="H33" i="17"/>
  <c r="J33" i="17"/>
  <c r="H65" i="17"/>
  <c r="L52" i="17"/>
  <c r="L53" i="17"/>
  <c r="P35" i="17"/>
  <c r="Q35" i="17" s="1"/>
  <c r="H35" i="17"/>
  <c r="J38" i="17"/>
  <c r="L94" i="17"/>
  <c r="L129" i="17"/>
  <c r="L130" i="17"/>
  <c r="L110" i="17"/>
  <c r="L95" i="17"/>
  <c r="L99" i="17"/>
  <c r="L117" i="17"/>
  <c r="L101" i="17"/>
  <c r="L92" i="17"/>
  <c r="L108" i="17"/>
  <c r="L122" i="17"/>
  <c r="L109" i="17"/>
  <c r="L106" i="17"/>
  <c r="L132" i="17"/>
  <c r="L98" i="17"/>
  <c r="L100" i="17"/>
  <c r="L111" i="17"/>
  <c r="L119" i="17"/>
  <c r="L93" i="17"/>
  <c r="L120" i="17"/>
  <c r="L90" i="17"/>
  <c r="L121" i="17"/>
  <c r="L131" i="17"/>
  <c r="L118" i="17"/>
  <c r="L107" i="17"/>
  <c r="L88" i="17"/>
  <c r="H97" i="17"/>
  <c r="H100" i="17"/>
  <c r="H104" i="17"/>
  <c r="H113" i="17"/>
  <c r="H120" i="17"/>
  <c r="H123" i="17"/>
  <c r="H107" i="17"/>
  <c r="H129" i="17"/>
  <c r="H126" i="17"/>
  <c r="H90" i="17"/>
  <c r="H94" i="17"/>
  <c r="H118" i="17"/>
  <c r="H99" i="17"/>
  <c r="H91" i="17"/>
  <c r="H88" i="17"/>
  <c r="H92" i="17"/>
  <c r="H98" i="17"/>
  <c r="H124" i="17"/>
  <c r="H114" i="17"/>
  <c r="H109" i="17"/>
  <c r="H106" i="17"/>
  <c r="H102" i="17"/>
  <c r="H103" i="17"/>
  <c r="H93" i="17"/>
  <c r="H117" i="17"/>
  <c r="H115" i="17"/>
  <c r="H72" i="17"/>
  <c r="H73" i="17"/>
  <c r="H74" i="17"/>
  <c r="L73" i="17"/>
  <c r="L72" i="17"/>
  <c r="H38" i="17"/>
  <c r="H67" i="17"/>
  <c r="H69" i="17"/>
  <c r="H68" i="17"/>
  <c r="AT21" i="18" a="1"/>
  <c r="AT21" i="18" s="1"/>
  <c r="D14" i="17" s="1"/>
  <c r="AT22" i="18" a="1"/>
  <c r="AT22" i="18" s="1"/>
  <c r="D15" i="17" s="1"/>
  <c r="AT13" i="18" a="1"/>
  <c r="AT13" i="18" s="1"/>
  <c r="D6" i="17" s="1"/>
  <c r="AT17" i="18" a="1"/>
  <c r="AT17" i="18" s="1"/>
  <c r="D10" i="17" s="1"/>
  <c r="AT18" i="18" a="1"/>
  <c r="AT18" i="18" s="1"/>
  <c r="D11" i="17" s="1"/>
  <c r="AT19" i="18" a="1"/>
  <c r="AT19" i="18" s="1"/>
  <c r="D12" i="17" s="1"/>
  <c r="AT10" i="18" a="1"/>
  <c r="AT10" i="18" s="1"/>
  <c r="D3" i="17" s="1"/>
  <c r="AT15" i="18" a="1"/>
  <c r="AT15" i="18" s="1"/>
  <c r="D8" i="17" s="1"/>
  <c r="AT12" i="18" a="1"/>
  <c r="AT12" i="18" s="1"/>
  <c r="D5" i="17" s="1"/>
  <c r="AT20" i="18" a="1"/>
  <c r="AT20" i="18" s="1"/>
  <c r="D13" i="17" s="1"/>
  <c r="AT16" i="18" a="1"/>
  <c r="AT16" i="18" s="1"/>
  <c r="D9" i="17" s="1"/>
  <c r="AT14" i="18" a="1"/>
  <c r="AT14" i="18" s="1"/>
  <c r="D7" i="17" s="1"/>
  <c r="AT11" i="18" a="1"/>
  <c r="AT11" i="18" s="1"/>
  <c r="D4" i="17" s="1"/>
  <c r="I122" i="17"/>
  <c r="N122" i="17" s="1"/>
  <c r="I115" i="17"/>
  <c r="I109" i="17"/>
  <c r="I131" i="17"/>
  <c r="I120" i="17"/>
  <c r="I111" i="17"/>
  <c r="N111" i="17" s="1"/>
  <c r="I104" i="17"/>
  <c r="I128" i="17"/>
  <c r="N128" i="17" s="1"/>
  <c r="I124" i="17"/>
  <c r="I132" i="17"/>
  <c r="I126" i="17"/>
  <c r="I94" i="17"/>
  <c r="I129" i="17"/>
  <c r="I107" i="17"/>
  <c r="I118" i="17"/>
  <c r="I100" i="17"/>
  <c r="K62" i="17"/>
  <c r="K63" i="17"/>
  <c r="K64" i="17"/>
  <c r="J44" i="17"/>
  <c r="J42" i="17"/>
  <c r="J45" i="17"/>
  <c r="J43" i="17"/>
  <c r="H42" i="17"/>
  <c r="H43" i="17"/>
  <c r="H44" i="17"/>
  <c r="H82" i="17"/>
  <c r="H83" i="17"/>
  <c r="H84" i="17"/>
  <c r="L57" i="17"/>
  <c r="L58" i="17"/>
  <c r="H80" i="17"/>
  <c r="H40" i="17"/>
  <c r="P40" i="17"/>
  <c r="Q40" i="17" s="1"/>
  <c r="J57" i="17"/>
  <c r="J60" i="17"/>
  <c r="J58" i="17"/>
  <c r="J59" i="17"/>
  <c r="K58" i="17"/>
  <c r="K59" i="17"/>
  <c r="K57" i="17"/>
  <c r="L43" i="17"/>
  <c r="L42" i="17"/>
  <c r="H57" i="17"/>
  <c r="H58" i="17"/>
  <c r="H59" i="17"/>
  <c r="L82" i="17"/>
  <c r="L83" i="17"/>
  <c r="L78" i="17"/>
  <c r="L77" i="17"/>
  <c r="J50" i="17"/>
  <c r="J49" i="17"/>
  <c r="J48" i="17"/>
  <c r="J47" i="17"/>
  <c r="L68" i="17"/>
  <c r="L67" i="17"/>
  <c r="E4" i="18"/>
  <c r="L4" i="18" s="1"/>
  <c r="G4" i="18"/>
  <c r="N4" i="18" s="1"/>
  <c r="F4" i="18"/>
  <c r="M4" i="18" s="1"/>
  <c r="D4" i="18"/>
  <c r="K4" i="18" s="1"/>
  <c r="C4" i="18"/>
  <c r="J4" i="18" s="1"/>
  <c r="H4" i="18"/>
  <c r="O4" i="18" s="1"/>
  <c r="K44" i="17"/>
  <c r="K43" i="17"/>
  <c r="K42" i="17"/>
  <c r="K84" i="17"/>
  <c r="K83" i="17"/>
  <c r="K82" i="17"/>
  <c r="J68" i="17"/>
  <c r="J69" i="17"/>
  <c r="J70" i="17"/>
  <c r="J67" i="17"/>
  <c r="H70" i="17"/>
  <c r="H52" i="17"/>
  <c r="H54" i="17"/>
  <c r="H53" i="17"/>
  <c r="J64" i="17"/>
  <c r="J62" i="17"/>
  <c r="J63" i="17"/>
  <c r="J65" i="17"/>
  <c r="K54" i="17"/>
  <c r="K53" i="17"/>
  <c r="K52" i="17"/>
  <c r="J52" i="17"/>
  <c r="J53" i="17"/>
  <c r="J55" i="17"/>
  <c r="J54" i="17"/>
  <c r="K48" i="17"/>
  <c r="K47" i="17"/>
  <c r="K49" i="17"/>
  <c r="H5" i="14"/>
  <c r="O5" i="14" s="1"/>
  <c r="G5" i="14"/>
  <c r="N5" i="14" s="1"/>
  <c r="F5" i="14"/>
  <c r="M5" i="14" s="1"/>
  <c r="E5" i="14"/>
  <c r="L5" i="14" s="1"/>
  <c r="B4" i="14"/>
  <c r="D5" i="14"/>
  <c r="K5" i="14" s="1"/>
  <c r="C5" i="14"/>
  <c r="J5" i="14" s="1"/>
  <c r="AK44" i="14" a="1"/>
  <c r="AK44" i="14" s="1"/>
  <c r="Y15" i="14"/>
  <c r="AO47" i="14" a="1"/>
  <c r="AO47" i="14" s="1"/>
  <c r="AO46" i="14" a="1"/>
  <c r="AO46" i="14" s="1"/>
  <c r="AO44" i="14" a="1"/>
  <c r="AO44" i="14" s="1"/>
  <c r="AO48" i="14" a="1"/>
  <c r="AO48" i="14" s="1"/>
  <c r="AO43" i="14" a="1"/>
  <c r="AO43" i="14" s="1"/>
  <c r="AO45" i="14" a="1"/>
  <c r="AO45" i="14" s="1"/>
  <c r="AK49" i="14" a="1"/>
  <c r="AK49" i="14" s="1"/>
  <c r="AO49" i="14" a="1"/>
  <c r="AO49" i="14" s="1"/>
  <c r="AO42" i="14" a="1"/>
  <c r="AO42" i="14" s="1"/>
  <c r="AL48" i="14" a="1"/>
  <c r="AL48" i="14" s="1"/>
  <c r="AL42" i="14" a="1"/>
  <c r="AL42" i="14" s="1"/>
  <c r="AN46" i="14" a="1"/>
  <c r="AN46" i="14" s="1"/>
  <c r="AM43" i="14" a="1"/>
  <c r="AM43" i="14" s="1"/>
  <c r="AL46" i="14" a="1"/>
  <c r="AL46" i="14" s="1"/>
  <c r="AP42" i="14" a="1"/>
  <c r="AP42" i="14" s="1"/>
  <c r="AP44" i="14" a="1"/>
  <c r="AP44" i="14" s="1"/>
  <c r="AP48" i="14" a="1"/>
  <c r="AP48" i="14" s="1"/>
  <c r="AM49" i="14" a="1"/>
  <c r="AM49" i="14" s="1"/>
  <c r="AM42" i="14" a="1"/>
  <c r="AM42" i="14" s="1"/>
  <c r="AP49" i="14" a="1"/>
  <c r="AP49" i="14" s="1"/>
  <c r="AN43" i="14" a="1"/>
  <c r="AN43" i="14" s="1"/>
  <c r="AP43" i="14" a="1"/>
  <c r="AP43" i="14" s="1"/>
  <c r="AM47" i="14" a="1"/>
  <c r="AM47" i="14" s="1"/>
  <c r="AL45" i="14" a="1"/>
  <c r="AL45" i="14" s="1"/>
  <c r="AM48" i="14" a="1"/>
  <c r="AM48" i="14" s="1"/>
  <c r="AP47" i="14" a="1"/>
  <c r="AP47" i="14" s="1"/>
  <c r="AL43" i="14" a="1"/>
  <c r="AL43" i="14" s="1"/>
  <c r="AN49" i="14" a="1"/>
  <c r="AN49" i="14" s="1"/>
  <c r="AN42" i="14" a="1"/>
  <c r="AN42" i="14" s="1"/>
  <c r="AM46" i="14" a="1"/>
  <c r="AM46" i="14" s="1"/>
  <c r="AL47" i="14" a="1"/>
  <c r="AL47" i="14" s="1"/>
  <c r="AL44" i="14" a="1"/>
  <c r="AL44" i="14" s="1"/>
  <c r="AN47" i="14" a="1"/>
  <c r="AN47" i="14" s="1"/>
  <c r="AP46" i="14" a="1"/>
  <c r="AP46" i="14" s="1"/>
  <c r="AP45" i="14" a="1"/>
  <c r="AP45" i="14" s="1"/>
  <c r="AL49" i="14" a="1"/>
  <c r="AL49" i="14" s="1"/>
  <c r="AN48" i="14" a="1"/>
  <c r="AN48" i="14" s="1"/>
  <c r="AN45" i="14" a="1"/>
  <c r="AN45" i="14" s="1"/>
  <c r="AN44" i="14" a="1"/>
  <c r="AN44" i="14" s="1"/>
  <c r="AM45" i="14" a="1"/>
  <c r="AM45" i="14" s="1"/>
  <c r="AM44" i="14" a="1"/>
  <c r="AM44" i="14" s="1"/>
  <c r="AP15" i="14" a="1"/>
  <c r="AP15" i="14" s="1"/>
  <c r="AJ16" i="14"/>
  <c r="AO15" i="14" a="1"/>
  <c r="AO15" i="14" s="1"/>
  <c r="AM15" i="14" a="1"/>
  <c r="AM15" i="14" s="1"/>
  <c r="AL15" i="14" a="1"/>
  <c r="AL15" i="14" s="1"/>
  <c r="AN15" i="14" a="1"/>
  <c r="AN15" i="14" s="1"/>
  <c r="AK15" i="14" a="1"/>
  <c r="AK15" i="14" s="1"/>
  <c r="G4" i="10"/>
  <c r="N4" i="10" s="1"/>
  <c r="F4" i="10"/>
  <c r="M4" i="10" s="1"/>
  <c r="E4" i="10"/>
  <c r="L4" i="10" s="1"/>
  <c r="H4" i="10"/>
  <c r="O4" i="10" s="1"/>
  <c r="D4" i="10"/>
  <c r="K4" i="10" s="1"/>
  <c r="C4" i="10"/>
  <c r="J4" i="10" s="1"/>
  <c r="H6" i="11"/>
  <c r="O6" i="11" s="1"/>
  <c r="G6" i="11"/>
  <c r="N6" i="11" s="1"/>
  <c r="E6" i="11"/>
  <c r="L6" i="11" s="1"/>
  <c r="B5" i="11"/>
  <c r="F6" i="11"/>
  <c r="M6" i="11" s="1"/>
  <c r="D6" i="11"/>
  <c r="K6" i="11" s="1"/>
  <c r="C6" i="11"/>
  <c r="J6" i="11" s="1"/>
  <c r="AK61" i="13" a="1"/>
  <c r="AK61" i="13" s="1"/>
  <c r="Y17" i="13"/>
  <c r="AO62" i="13" a="1"/>
  <c r="AO62" i="13" s="1"/>
  <c r="AN63" i="13" a="1"/>
  <c r="AN63" i="13" s="1"/>
  <c r="AN58" i="13" a="1"/>
  <c r="AN58" i="13" s="1"/>
  <c r="AN61" i="13" a="1"/>
  <c r="AN61" i="13" s="1"/>
  <c r="AP61" i="13" a="1"/>
  <c r="AP61" i="13" s="1"/>
  <c r="AN64" i="13" a="1"/>
  <c r="AN64" i="13" s="1"/>
  <c r="AL64" i="13" a="1"/>
  <c r="AL64" i="13" s="1"/>
  <c r="AP65" i="13" a="1"/>
  <c r="AP65" i="13" s="1"/>
  <c r="AX30" i="13" s="1"/>
  <c r="AP63" i="13" a="1"/>
  <c r="AP63" i="13" s="1"/>
  <c r="AO60" i="13" a="1"/>
  <c r="AO60" i="13" s="1"/>
  <c r="AN60" i="13" a="1"/>
  <c r="AN60" i="13" s="1"/>
  <c r="AP59" i="13" a="1"/>
  <c r="AP59" i="13" s="1"/>
  <c r="AL60" i="13" a="1"/>
  <c r="AL60" i="13" s="1"/>
  <c r="AP62" i="13" a="1"/>
  <c r="AP62" i="13" s="1"/>
  <c r="AP58" i="13" a="1"/>
  <c r="AP58" i="13" s="1"/>
  <c r="AN62" i="13" a="1"/>
  <c r="AN62" i="13" s="1"/>
  <c r="AO65" i="13" a="1"/>
  <c r="AO65" i="13" s="1"/>
  <c r="AW30" i="13" s="1"/>
  <c r="AO64" i="13" a="1"/>
  <c r="AO64" i="13" s="1"/>
  <c r="AO61" i="13" a="1"/>
  <c r="AO61" i="13" s="1"/>
  <c r="AL65" i="13" a="1"/>
  <c r="AL65" i="13" s="1"/>
  <c r="AT30" i="13" s="1"/>
  <c r="AL63" i="13" a="1"/>
  <c r="AL63" i="13" s="1"/>
  <c r="AL62" i="13" a="1"/>
  <c r="AL62" i="13" s="1"/>
  <c r="AP64" i="13" a="1"/>
  <c r="AP64" i="13" s="1"/>
  <c r="AN65" i="13" a="1"/>
  <c r="AN65" i="13" s="1"/>
  <c r="AV30" i="13" s="1"/>
  <c r="AN59" i="13" a="1"/>
  <c r="AN59" i="13" s="1"/>
  <c r="AL59" i="13" a="1"/>
  <c r="AL59" i="13" s="1"/>
  <c r="AL58" i="13" a="1"/>
  <c r="AL58" i="13" s="1"/>
  <c r="AO58" i="13" a="1"/>
  <c r="AO58" i="13" s="1"/>
  <c r="AO63" i="13" a="1"/>
  <c r="AO63" i="13" s="1"/>
  <c r="AP60" i="13" a="1"/>
  <c r="AP60" i="13" s="1"/>
  <c r="AO59" i="13" a="1"/>
  <c r="AO59" i="13" s="1"/>
  <c r="AL61" i="13" a="1"/>
  <c r="AL61" i="13" s="1"/>
  <c r="C4" i="12"/>
  <c r="J4" i="12" s="1"/>
  <c r="G4" i="12"/>
  <c r="N4" i="12" s="1"/>
  <c r="F4" i="12"/>
  <c r="M4" i="12" s="1"/>
  <c r="H4" i="12"/>
  <c r="O4" i="12" s="1"/>
  <c r="E4" i="12"/>
  <c r="L4" i="12" s="1"/>
  <c r="D4" i="12"/>
  <c r="K4" i="12" s="1"/>
  <c r="AO13" i="10" a="1"/>
  <c r="AO13" i="10" s="1"/>
  <c r="AL13" i="10" a="1"/>
  <c r="AL13" i="10" s="1"/>
  <c r="AJ14" i="10"/>
  <c r="AP13" i="10" a="1"/>
  <c r="AP13" i="10" s="1"/>
  <c r="AN13" i="10" a="1"/>
  <c r="AN13" i="10" s="1"/>
  <c r="AM13" i="10" a="1"/>
  <c r="AM13" i="10" s="1"/>
  <c r="AK13" i="10" a="1"/>
  <c r="AK13" i="10" s="1"/>
  <c r="AJ24" i="12"/>
  <c r="AK23" i="12" a="1"/>
  <c r="AK23" i="12" s="1"/>
  <c r="AN23" i="12" a="1"/>
  <c r="AN23" i="12" s="1"/>
  <c r="AM23" i="12" a="1"/>
  <c r="AM23" i="12" s="1"/>
  <c r="AL23" i="12" a="1"/>
  <c r="AL23" i="12" s="1"/>
  <c r="AO23" i="12" a="1"/>
  <c r="AO23" i="12" s="1"/>
  <c r="AP23" i="12" a="1"/>
  <c r="AP23" i="12" s="1"/>
  <c r="AK63" i="13" a="1"/>
  <c r="AK63" i="13" s="1"/>
  <c r="AJ14" i="12"/>
  <c r="AM13" i="12" a="1"/>
  <c r="AM13" i="12" s="1"/>
  <c r="AL13" i="12" a="1"/>
  <c r="AL13" i="12" s="1"/>
  <c r="AN13" i="12" a="1"/>
  <c r="AN13" i="12" s="1"/>
  <c r="AK13" i="12" a="1"/>
  <c r="AK13" i="12" s="1"/>
  <c r="AP13" i="12" a="1"/>
  <c r="AP13" i="12" s="1"/>
  <c r="AO13" i="12" a="1"/>
  <c r="AO13" i="12" s="1"/>
  <c r="AK58" i="13" a="1"/>
  <c r="AK58" i="13" s="1"/>
  <c r="AN82" i="12" a="1"/>
  <c r="AN82" i="12" s="1"/>
  <c r="AK86" i="12" a="1"/>
  <c r="AK86" i="12" s="1"/>
  <c r="AN88" i="12" a="1"/>
  <c r="AN88" i="12" s="1"/>
  <c r="AK84" i="12" a="1"/>
  <c r="AK84" i="12" s="1"/>
  <c r="AL84" i="12" a="1"/>
  <c r="AL84" i="12" s="1"/>
  <c r="AM85" i="12" a="1"/>
  <c r="AM85" i="12" s="1"/>
  <c r="AN89" i="12" a="1"/>
  <c r="AN89" i="12" s="1"/>
  <c r="AN86" i="12" a="1"/>
  <c r="AN86" i="12" s="1"/>
  <c r="AN87" i="12" a="1"/>
  <c r="AN87" i="12" s="1"/>
  <c r="AL88" i="12" a="1"/>
  <c r="AL88" i="12" s="1"/>
  <c r="AL83" i="12" a="1"/>
  <c r="AL83" i="12" s="1"/>
  <c r="AM83" i="12" a="1"/>
  <c r="AM83" i="12" s="1"/>
  <c r="AM88" i="12" a="1"/>
  <c r="AM88" i="12" s="1"/>
  <c r="AK83" i="12" a="1"/>
  <c r="AK83" i="12" s="1"/>
  <c r="AN83" i="12" a="1"/>
  <c r="AN83" i="12" s="1"/>
  <c r="AM82" i="12" a="1"/>
  <c r="AM82" i="12" s="1"/>
  <c r="AM89" i="12" a="1"/>
  <c r="AM89" i="12" s="1"/>
  <c r="AN85" i="12" a="1"/>
  <c r="AN85" i="12" s="1"/>
  <c r="AL87" i="12" a="1"/>
  <c r="AL87" i="12" s="1"/>
  <c r="AL89" i="12" a="1"/>
  <c r="AL89" i="12" s="1"/>
  <c r="AL85" i="12" a="1"/>
  <c r="AL85" i="12" s="1"/>
  <c r="AK82" i="12" a="1"/>
  <c r="AK82" i="12" s="1"/>
  <c r="AM84" i="12" a="1"/>
  <c r="AM84" i="12" s="1"/>
  <c r="AL82" i="12" a="1"/>
  <c r="AL82" i="12" s="1"/>
  <c r="AK85" i="12" a="1"/>
  <c r="AK85" i="12" s="1"/>
  <c r="AL86" i="12" a="1"/>
  <c r="AL86" i="12" s="1"/>
  <c r="AM87" i="12" a="1"/>
  <c r="AM87" i="12" s="1"/>
  <c r="AK88" i="12" a="1"/>
  <c r="AK88" i="12" s="1"/>
  <c r="AK89" i="12" a="1"/>
  <c r="AK89" i="12" s="1"/>
  <c r="AK87" i="12" a="1"/>
  <c r="AK87" i="12" s="1"/>
  <c r="AM86" i="12" a="1"/>
  <c r="AM86" i="12" s="1"/>
  <c r="AN84" i="12" a="1"/>
  <c r="AN84" i="12" s="1"/>
  <c r="AO86" i="12" a="1"/>
  <c r="AO86" i="12" s="1"/>
  <c r="AO84" i="12" a="1"/>
  <c r="AO84" i="12" s="1"/>
  <c r="AP86" i="12" a="1"/>
  <c r="AP86" i="12" s="1"/>
  <c r="AO85" i="12" a="1"/>
  <c r="AO85" i="12" s="1"/>
  <c r="AP85" i="12" a="1"/>
  <c r="AP85" i="12" s="1"/>
  <c r="AP89" i="12" a="1"/>
  <c r="AP89" i="12" s="1"/>
  <c r="AP83" i="12" a="1"/>
  <c r="AP83" i="12" s="1"/>
  <c r="AO82" i="12" a="1"/>
  <c r="AO82" i="12" s="1"/>
  <c r="AO88" i="12" a="1"/>
  <c r="AO88" i="12" s="1"/>
  <c r="AP82" i="12" a="1"/>
  <c r="AP82" i="12" s="1"/>
  <c r="AP87" i="12" a="1"/>
  <c r="AP87" i="12" s="1"/>
  <c r="AO83" i="12" a="1"/>
  <c r="AO83" i="12" s="1"/>
  <c r="AP88" i="12" a="1"/>
  <c r="AP88" i="12" s="1"/>
  <c r="AO87" i="12" a="1"/>
  <c r="AO87" i="12" s="1"/>
  <c r="AO89" i="12" a="1"/>
  <c r="AO89" i="12" s="1"/>
  <c r="AP84" i="12" a="1"/>
  <c r="AP84" i="12" s="1"/>
  <c r="Y16" i="10"/>
  <c r="AP53" i="10" a="1"/>
  <c r="AP53" i="10" s="1"/>
  <c r="AP50" i="10" a="1"/>
  <c r="AP50" i="10" s="1"/>
  <c r="AP51" i="10" a="1"/>
  <c r="AP51" i="10" s="1"/>
  <c r="AP52" i="10" a="1"/>
  <c r="AP52" i="10" s="1"/>
  <c r="AP54" i="10" a="1"/>
  <c r="AP54" i="10" s="1"/>
  <c r="AP55" i="10" a="1"/>
  <c r="AP55" i="10" s="1"/>
  <c r="AP56" i="10" a="1"/>
  <c r="AP56" i="10" s="1"/>
  <c r="AP57" i="10" a="1"/>
  <c r="AP57" i="10" s="1"/>
  <c r="AO54" i="10" a="1"/>
  <c r="AO54" i="10" s="1"/>
  <c r="AN55" i="10" a="1"/>
  <c r="AN55" i="10" s="1"/>
  <c r="AO50" i="10" a="1"/>
  <c r="AO50" i="10" s="1"/>
  <c r="AN57" i="10" a="1"/>
  <c r="AN57" i="10" s="1"/>
  <c r="AK53" i="10" a="1"/>
  <c r="AK53" i="10" s="1"/>
  <c r="AK56" i="10" a="1"/>
  <c r="AK56" i="10" s="1"/>
  <c r="AO55" i="10" a="1"/>
  <c r="AO55" i="10" s="1"/>
  <c r="AM51" i="10" a="1"/>
  <c r="AM51" i="10" s="1"/>
  <c r="AL55" i="10" a="1"/>
  <c r="AL55" i="10" s="1"/>
  <c r="AN56" i="10" a="1"/>
  <c r="AN56" i="10" s="1"/>
  <c r="AM57" i="10" a="1"/>
  <c r="AM57" i="10" s="1"/>
  <c r="AO56" i="10" a="1"/>
  <c r="AO56" i="10" s="1"/>
  <c r="AO57" i="10" a="1"/>
  <c r="AO57" i="10" s="1"/>
  <c r="AN53" i="10" a="1"/>
  <c r="AN53" i="10" s="1"/>
  <c r="AK52" i="10" a="1"/>
  <c r="AK52" i="10" s="1"/>
  <c r="AM52" i="10" a="1"/>
  <c r="AM52" i="10" s="1"/>
  <c r="AL56" i="10" a="1"/>
  <c r="AL56" i="10" s="1"/>
  <c r="AL54" i="10" a="1"/>
  <c r="AL54" i="10" s="1"/>
  <c r="AK57" i="10" a="1"/>
  <c r="AK57" i="10" s="1"/>
  <c r="AK54" i="10" a="1"/>
  <c r="AK54" i="10" s="1"/>
  <c r="AN51" i="10" a="1"/>
  <c r="AN51" i="10" s="1"/>
  <c r="AM53" i="10" a="1"/>
  <c r="AM53" i="10" s="1"/>
  <c r="AL52" i="10" a="1"/>
  <c r="AL52" i="10" s="1"/>
  <c r="AK50" i="10" a="1"/>
  <c r="AK50" i="10" s="1"/>
  <c r="AK51" i="10" a="1"/>
  <c r="AK51" i="10" s="1"/>
  <c r="AK55" i="10" a="1"/>
  <c r="AK55" i="10" s="1"/>
  <c r="AN54" i="10" a="1"/>
  <c r="AN54" i="10" s="1"/>
  <c r="AM56" i="10" a="1"/>
  <c r="AM56" i="10" s="1"/>
  <c r="AL57" i="10" a="1"/>
  <c r="AL57" i="10" s="1"/>
  <c r="AM55" i="10" a="1"/>
  <c r="AM55" i="10" s="1"/>
  <c r="AM50" i="10" a="1"/>
  <c r="AM50" i="10" s="1"/>
  <c r="AL53" i="10" a="1"/>
  <c r="AL53" i="10" s="1"/>
  <c r="AO53" i="10" a="1"/>
  <c r="AO53" i="10" s="1"/>
  <c r="AL50" i="10" a="1"/>
  <c r="AL50" i="10" s="1"/>
  <c r="AO51" i="10" a="1"/>
  <c r="AO51" i="10" s="1"/>
  <c r="AL51" i="10" a="1"/>
  <c r="AL51" i="10" s="1"/>
  <c r="AN52" i="10" a="1"/>
  <c r="AN52" i="10" s="1"/>
  <c r="AO52" i="10" a="1"/>
  <c r="AO52" i="10" s="1"/>
  <c r="AN50" i="10" a="1"/>
  <c r="AN50" i="10" s="1"/>
  <c r="AM54" i="10" a="1"/>
  <c r="AM54" i="10" s="1"/>
  <c r="AK64" i="13" a="1"/>
  <c r="AK64" i="13" s="1"/>
  <c r="G5" i="13"/>
  <c r="N5" i="13" s="1"/>
  <c r="E5" i="13"/>
  <c r="L5" i="13" s="1"/>
  <c r="B4" i="13"/>
  <c r="C5" i="13"/>
  <c r="J5" i="13" s="1"/>
  <c r="F5" i="13"/>
  <c r="M5" i="13" s="1"/>
  <c r="D5" i="13"/>
  <c r="K5" i="13" s="1"/>
  <c r="H5" i="13"/>
  <c r="O5" i="13" s="1"/>
  <c r="AK62" i="13" a="1"/>
  <c r="AK62" i="13" s="1"/>
  <c r="AJ14" i="11"/>
  <c r="AM13" i="11" a="1"/>
  <c r="AM13" i="11" s="1"/>
  <c r="AP13" i="11" a="1"/>
  <c r="AP13" i="11" s="1"/>
  <c r="AL13" i="11" a="1"/>
  <c r="AL13" i="11" s="1"/>
  <c r="AM62" i="13" a="1"/>
  <c r="AM62" i="13" s="1"/>
  <c r="AJ14" i="9"/>
  <c r="AN13" i="9" a="1"/>
  <c r="AN13" i="9" s="1"/>
  <c r="AM13" i="9" a="1"/>
  <c r="AM13" i="9" s="1"/>
  <c r="AK13" i="9" a="1"/>
  <c r="AK13" i="9" s="1"/>
  <c r="AL13" i="9" a="1"/>
  <c r="AL13" i="9" s="1"/>
  <c r="AO13" i="9" a="1"/>
  <c r="AO13" i="9" s="1"/>
  <c r="AP13" i="9" a="1"/>
  <c r="AP13" i="9" s="1"/>
  <c r="Y18" i="9"/>
  <c r="AK68" i="9" a="1"/>
  <c r="AK68" i="9" s="1"/>
  <c r="AK66" i="9" a="1"/>
  <c r="AK66" i="9" s="1"/>
  <c r="AK70" i="9" a="1"/>
  <c r="AK70" i="9" s="1"/>
  <c r="AK71" i="9" a="1"/>
  <c r="AK71" i="9" s="1"/>
  <c r="AM70" i="9" a="1"/>
  <c r="AM70" i="9" s="1"/>
  <c r="AN67" i="9" a="1"/>
  <c r="AN67" i="9" s="1"/>
  <c r="AN66" i="9" a="1"/>
  <c r="AN66" i="9" s="1"/>
  <c r="AK67" i="9" a="1"/>
  <c r="AK67" i="9" s="1"/>
  <c r="AN73" i="9" a="1"/>
  <c r="AN73" i="9" s="1"/>
  <c r="AN72" i="9" a="1"/>
  <c r="AN72" i="9" s="1"/>
  <c r="AN71" i="9" a="1"/>
  <c r="AN71" i="9" s="1"/>
  <c r="AM66" i="9" a="1"/>
  <c r="AM66" i="9" s="1"/>
  <c r="AK69" i="9" a="1"/>
  <c r="AK69" i="9" s="1"/>
  <c r="AM73" i="9" a="1"/>
  <c r="AM73" i="9" s="1"/>
  <c r="AM68" i="9" a="1"/>
  <c r="AM68" i="9" s="1"/>
  <c r="AN69" i="9" a="1"/>
  <c r="AN69" i="9" s="1"/>
  <c r="AM67" i="9" a="1"/>
  <c r="AM67" i="9" s="1"/>
  <c r="AM72" i="9" a="1"/>
  <c r="AM72" i="9" s="1"/>
  <c r="AM69" i="9" a="1"/>
  <c r="AM69" i="9" s="1"/>
  <c r="AK72" i="9" a="1"/>
  <c r="AK72" i="9" s="1"/>
  <c r="AN70" i="9" a="1"/>
  <c r="AN70" i="9" s="1"/>
  <c r="AK73" i="9" a="1"/>
  <c r="AK73" i="9" s="1"/>
  <c r="AM71" i="9" a="1"/>
  <c r="AM71" i="9" s="1"/>
  <c r="AN68" i="9" a="1"/>
  <c r="AN68" i="9" s="1"/>
  <c r="AP69" i="9" a="1"/>
  <c r="AP69" i="9" s="1"/>
  <c r="AL66" i="9" a="1"/>
  <c r="AL66" i="9" s="1"/>
  <c r="AO69" i="9" a="1"/>
  <c r="AO69" i="9" s="1"/>
  <c r="AO70" i="9" a="1"/>
  <c r="AO70" i="9" s="1"/>
  <c r="AO68" i="9" a="1"/>
  <c r="AO68" i="9" s="1"/>
  <c r="AP72" i="9" a="1"/>
  <c r="AP72" i="9" s="1"/>
  <c r="AP66" i="9" a="1"/>
  <c r="AP66" i="9" s="1"/>
  <c r="AL68" i="9" a="1"/>
  <c r="AL68" i="9" s="1"/>
  <c r="AP71" i="9" a="1"/>
  <c r="AP71" i="9" s="1"/>
  <c r="AL71" i="9" a="1"/>
  <c r="AL71" i="9" s="1"/>
  <c r="AL73" i="9" a="1"/>
  <c r="AL73" i="9" s="1"/>
  <c r="AP73" i="9" a="1"/>
  <c r="AP73" i="9" s="1"/>
  <c r="AL67" i="9" a="1"/>
  <c r="AL67" i="9" s="1"/>
  <c r="AL70" i="9" a="1"/>
  <c r="AL70" i="9" s="1"/>
  <c r="AL69" i="9" a="1"/>
  <c r="AL69" i="9" s="1"/>
  <c r="AO71" i="9" a="1"/>
  <c r="AO71" i="9" s="1"/>
  <c r="AL72" i="9" a="1"/>
  <c r="AL72" i="9" s="1"/>
  <c r="AP70" i="9" a="1"/>
  <c r="AP70" i="9" s="1"/>
  <c r="AP67" i="9" a="1"/>
  <c r="AP67" i="9" s="1"/>
  <c r="AO73" i="9" a="1"/>
  <c r="AO73" i="9" s="1"/>
  <c r="AO72" i="9" a="1"/>
  <c r="AO72" i="9" s="1"/>
  <c r="AP68" i="9" a="1"/>
  <c r="AP68" i="9" s="1"/>
  <c r="AO66" i="9" a="1"/>
  <c r="AO66" i="9" s="1"/>
  <c r="AO67" i="9" a="1"/>
  <c r="AO67" i="9" s="1"/>
  <c r="E5" i="8"/>
  <c r="L5" i="8" s="1"/>
  <c r="B4" i="8"/>
  <c r="D5" i="8"/>
  <c r="K5" i="8" s="1"/>
  <c r="F5" i="8"/>
  <c r="M5" i="8" s="1"/>
  <c r="H5" i="8"/>
  <c r="O5" i="8" s="1"/>
  <c r="G5" i="8"/>
  <c r="N5" i="8" s="1"/>
  <c r="C5" i="8"/>
  <c r="J5" i="8" s="1"/>
  <c r="AJ17" i="8"/>
  <c r="AW35" i="8" s="1"/>
  <c r="AO16" i="8" a="1"/>
  <c r="AO16" i="8" s="1"/>
  <c r="AP16" i="8" a="1"/>
  <c r="AP16" i="8" s="1"/>
  <c r="AX26" i="8"/>
  <c r="AS25" i="8"/>
  <c r="AU28" i="8"/>
  <c r="AP113" i="6" a="1"/>
  <c r="AP113" i="6" s="1"/>
  <c r="AX23" i="6" s="1"/>
  <c r="AP99" i="6" a="1"/>
  <c r="AP99" i="6" s="1"/>
  <c r="AP83" i="6" a="1"/>
  <c r="AP83" i="6" s="1"/>
  <c r="AP70" i="6" a="1"/>
  <c r="AP70" i="6" s="1"/>
  <c r="AP55" i="6" a="1"/>
  <c r="AP55" i="6" s="1"/>
  <c r="AP40" i="6" a="1"/>
  <c r="AP40" i="6" s="1"/>
  <c r="AP26" i="6" a="1"/>
  <c r="AP26" i="6" s="1"/>
  <c r="AP10" i="6" a="1"/>
  <c r="AP10" i="6" s="1"/>
  <c r="AP80" i="6" a="1"/>
  <c r="AP80" i="6" s="1"/>
  <c r="AP22" i="6" a="1"/>
  <c r="AP22" i="6" s="1"/>
  <c r="AP94" i="6" a="1"/>
  <c r="AP94" i="6" s="1"/>
  <c r="AP65" i="6" a="1"/>
  <c r="AP65" i="6" s="1"/>
  <c r="AX30" i="6" s="1"/>
  <c r="AP64" i="6" a="1"/>
  <c r="AP64" i="6" s="1"/>
  <c r="AP107" i="6" a="1"/>
  <c r="AP107" i="6" s="1"/>
  <c r="AP49" i="6" a="1"/>
  <c r="AP49" i="6" s="1"/>
  <c r="AX28" i="6" s="1"/>
  <c r="AP77" i="6" a="1"/>
  <c r="AP77" i="6" s="1"/>
  <c r="AP105" i="6" a="1"/>
  <c r="AP105" i="6" s="1"/>
  <c r="AP47" i="6" a="1"/>
  <c r="AP47" i="6" s="1"/>
  <c r="AP89" i="6" a="1"/>
  <c r="AP89" i="6" s="1"/>
  <c r="AX33" i="6" s="1"/>
  <c r="AP88" i="6" a="1"/>
  <c r="AP88" i="6" s="1"/>
  <c r="AP15" i="6" a="1"/>
  <c r="AP15" i="6" s="1"/>
  <c r="AP103" i="6" a="1"/>
  <c r="AP103" i="6" s="1"/>
  <c r="AP44" i="6" a="1"/>
  <c r="AP44" i="6" s="1"/>
  <c r="AP86" i="6" a="1"/>
  <c r="AP86" i="6" s="1"/>
  <c r="AP28" i="6" a="1"/>
  <c r="AP28" i="6" s="1"/>
  <c r="AP101" i="6" a="1"/>
  <c r="AP101" i="6" s="1"/>
  <c r="AP12" i="6" a="1"/>
  <c r="AP12" i="6" s="1"/>
  <c r="AP56" i="6" a="1"/>
  <c r="AP56" i="6" s="1"/>
  <c r="AP112" i="6" a="1"/>
  <c r="AP112" i="6" s="1"/>
  <c r="AP98" i="6" a="1"/>
  <c r="AP98" i="6" s="1"/>
  <c r="AP82" i="6" a="1"/>
  <c r="AP82" i="6" s="1"/>
  <c r="AP69" i="6" a="1"/>
  <c r="AP69" i="6" s="1"/>
  <c r="AP39" i="6" a="1"/>
  <c r="AP39" i="6" s="1"/>
  <c r="AP25" i="6" a="1"/>
  <c r="AP25" i="6" s="1"/>
  <c r="AX25" i="6" s="1"/>
  <c r="AP36" i="6" a="1"/>
  <c r="AP36" i="6" s="1"/>
  <c r="AP50" i="6" a="1"/>
  <c r="AP50" i="6" s="1"/>
  <c r="AP78" i="6" a="1"/>
  <c r="AP78" i="6" s="1"/>
  <c r="AP19" i="6" a="1"/>
  <c r="AP19" i="6" s="1"/>
  <c r="AP106" i="6" a="1"/>
  <c r="AP106" i="6" s="1"/>
  <c r="AP48" i="6" a="1"/>
  <c r="AP48" i="6" s="1"/>
  <c r="AP61" i="6" a="1"/>
  <c r="AP61" i="6" s="1"/>
  <c r="AP75" i="6" a="1"/>
  <c r="AP75" i="6" s="1"/>
  <c r="AP31" i="6" a="1"/>
  <c r="AP31" i="6" s="1"/>
  <c r="AP45" i="6" a="1"/>
  <c r="AP45" i="6" s="1"/>
  <c r="AP58" i="6" a="1"/>
  <c r="AP58" i="6" s="1"/>
  <c r="AP14" i="6" a="1"/>
  <c r="AP14" i="6" s="1"/>
  <c r="AP73" i="6" a="1"/>
  <c r="AP73" i="6" s="1"/>
  <c r="AX31" i="6" s="1"/>
  <c r="AP13" i="6" a="1"/>
  <c r="AP13" i="6" s="1"/>
  <c r="AP42" i="6" a="1"/>
  <c r="AP42" i="6" s="1"/>
  <c r="AP71" i="6" a="1"/>
  <c r="AP71" i="6" s="1"/>
  <c r="AP11" i="6" a="1"/>
  <c r="AP11" i="6" s="1"/>
  <c r="AP111" i="6" a="1"/>
  <c r="AP111" i="6" s="1"/>
  <c r="AP97" i="6" a="1"/>
  <c r="AP97" i="6" s="1"/>
  <c r="AX34" i="6" s="1"/>
  <c r="AP81" i="6" a="1"/>
  <c r="AP81" i="6" s="1"/>
  <c r="AX32" i="6" s="1"/>
  <c r="AP68" i="6" a="1"/>
  <c r="AP68" i="6" s="1"/>
  <c r="AP54" i="6" a="1"/>
  <c r="AP54" i="6" s="1"/>
  <c r="AP38" i="6" a="1"/>
  <c r="AP38" i="6" s="1"/>
  <c r="AP24" i="6" a="1"/>
  <c r="AP24" i="6" s="1"/>
  <c r="AP109" i="6" a="1"/>
  <c r="AP109" i="6" s="1"/>
  <c r="AP66" i="6" a="1"/>
  <c r="AP66" i="6" s="1"/>
  <c r="AP108" i="6" a="1"/>
  <c r="AP108" i="6" s="1"/>
  <c r="AP51" i="6" a="1"/>
  <c r="AP51" i="6" s="1"/>
  <c r="AP93" i="6" a="1"/>
  <c r="AP93" i="6" s="1"/>
  <c r="AP20" i="6" a="1"/>
  <c r="AP20" i="6" s="1"/>
  <c r="AP63" i="6" a="1"/>
  <c r="AP63" i="6" s="1"/>
  <c r="AP62" i="6" a="1"/>
  <c r="AP62" i="6" s="1"/>
  <c r="AP33" i="6" a="1"/>
  <c r="AP33" i="6" s="1"/>
  <c r="AX26" i="6" s="1"/>
  <c r="AP90" i="6" a="1"/>
  <c r="AP90" i="6" s="1"/>
  <c r="AP32" i="6" a="1"/>
  <c r="AP32" i="6" s="1"/>
  <c r="AP104" i="6" a="1"/>
  <c r="AP104" i="6" s="1"/>
  <c r="AP46" i="6" a="1"/>
  <c r="AP46" i="6" s="1"/>
  <c r="AP59" i="6" a="1"/>
  <c r="AP59" i="6" s="1"/>
  <c r="AP87" i="6" a="1"/>
  <c r="AP87" i="6" s="1"/>
  <c r="AP102" i="6" a="1"/>
  <c r="AP102" i="6" s="1"/>
  <c r="AP43" i="6" a="1"/>
  <c r="AP43" i="6" s="1"/>
  <c r="AP85" i="6" a="1"/>
  <c r="AP85" i="6" s="1"/>
  <c r="AP100" i="6" a="1"/>
  <c r="AP100" i="6" s="1"/>
  <c r="AP41" i="6" a="1"/>
  <c r="AP41" i="6" s="1"/>
  <c r="AX27" i="6" s="1"/>
  <c r="AP110" i="6" a="1"/>
  <c r="AP110" i="6" s="1"/>
  <c r="AP96" i="6" a="1"/>
  <c r="AP96" i="6" s="1"/>
  <c r="AP67" i="6" a="1"/>
  <c r="AP67" i="6" s="1"/>
  <c r="AP53" i="6" a="1"/>
  <c r="AP53" i="6" s="1"/>
  <c r="AP37" i="6" a="1"/>
  <c r="AP37" i="6" s="1"/>
  <c r="AP23" i="6" a="1"/>
  <c r="AP23" i="6" s="1"/>
  <c r="AP95" i="6" a="1"/>
  <c r="AP95" i="6" s="1"/>
  <c r="AP52" i="6" a="1"/>
  <c r="AP52" i="6" s="1"/>
  <c r="AP79" i="6" a="1"/>
  <c r="AP79" i="6" s="1"/>
  <c r="AP21" i="6" a="1"/>
  <c r="AP21" i="6" s="1"/>
  <c r="AP35" i="6" a="1"/>
  <c r="AP35" i="6" s="1"/>
  <c r="AP92" i="6" a="1"/>
  <c r="AP92" i="6" s="1"/>
  <c r="AP34" i="6" a="1"/>
  <c r="AP34" i="6" s="1"/>
  <c r="AP91" i="6" a="1"/>
  <c r="AP91" i="6" s="1"/>
  <c r="AP18" i="6" a="1"/>
  <c r="AP18" i="6" s="1"/>
  <c r="AP76" i="6" a="1"/>
  <c r="AP76" i="6" s="1"/>
  <c r="AP17" i="6" a="1"/>
  <c r="AP17" i="6" s="1"/>
  <c r="AX24" i="6" s="1"/>
  <c r="AP60" i="6" a="1"/>
  <c r="AP60" i="6" s="1"/>
  <c r="AP16" i="6" a="1"/>
  <c r="AP16" i="6" s="1"/>
  <c r="AP30" i="6" a="1"/>
  <c r="AP30" i="6" s="1"/>
  <c r="AP74" i="6" a="1"/>
  <c r="AP74" i="6" s="1"/>
  <c r="AP29" i="6" a="1"/>
  <c r="AP29" i="6" s="1"/>
  <c r="AP57" i="6" a="1"/>
  <c r="AP57" i="6" s="1"/>
  <c r="AX29" i="6" s="1"/>
  <c r="AP72" i="6" a="1"/>
  <c r="AP72" i="6" s="1"/>
  <c r="AP84" i="6" a="1"/>
  <c r="AP84" i="6" s="1"/>
  <c r="AP27" i="6" a="1"/>
  <c r="AP27" i="6" s="1"/>
  <c r="AS12" i="6" a="1"/>
  <c r="AS12" i="6" s="1"/>
  <c r="C5" i="5" s="1"/>
  <c r="AS14" i="6" a="1"/>
  <c r="AS14" i="6" s="1"/>
  <c r="C7" i="5" s="1"/>
  <c r="AS15" i="6" a="1"/>
  <c r="AS15" i="6" s="1"/>
  <c r="C8" i="5" s="1"/>
  <c r="AS21" i="6" a="1"/>
  <c r="AS21" i="6" s="1"/>
  <c r="C14" i="5" s="1"/>
  <c r="AS20" i="6" a="1"/>
  <c r="AS20" i="6" s="1"/>
  <c r="C13" i="5" s="1"/>
  <c r="AS13" i="6" a="1"/>
  <c r="AS13" i="6" s="1"/>
  <c r="C6" i="5" s="1"/>
  <c r="AS17" i="6" a="1"/>
  <c r="AS17" i="6" s="1"/>
  <c r="C10" i="5" s="1"/>
  <c r="AS11" i="6" a="1"/>
  <c r="AS11" i="6" s="1"/>
  <c r="C4" i="5" s="1"/>
  <c r="AS10" i="6" a="1"/>
  <c r="AS10" i="6" s="1"/>
  <c r="C3" i="5" s="1"/>
  <c r="AS22" i="6" a="1"/>
  <c r="AS22" i="6" s="1"/>
  <c r="C15" i="5" s="1"/>
  <c r="AS19" i="6" a="1"/>
  <c r="AS19" i="6" s="1"/>
  <c r="C12" i="5" s="1"/>
  <c r="AS16" i="6" a="1"/>
  <c r="AS16" i="6" s="1"/>
  <c r="C9" i="5" s="1"/>
  <c r="AS18" i="6" a="1"/>
  <c r="AS18" i="6" s="1"/>
  <c r="C11" i="5" s="1"/>
  <c r="P58" i="5"/>
  <c r="Q58" i="5" s="1"/>
  <c r="P85" i="5"/>
  <c r="Q85" i="5" s="1"/>
  <c r="G78" i="5"/>
  <c r="P78" i="5"/>
  <c r="Q78" i="5" s="1"/>
  <c r="B80" i="5"/>
  <c r="P79" i="5"/>
  <c r="Q79" i="5" s="1"/>
  <c r="P75" i="5"/>
  <c r="Q75" i="5" s="1"/>
  <c r="P64" i="5"/>
  <c r="Q64" i="5" s="1"/>
  <c r="P65" i="5"/>
  <c r="Q65" i="5" s="1"/>
  <c r="P60" i="5"/>
  <c r="Q60" i="5" s="1"/>
  <c r="P55" i="5"/>
  <c r="Q55" i="5" s="1"/>
  <c r="P45" i="5"/>
  <c r="Q45" i="5" s="1"/>
  <c r="P40" i="5"/>
  <c r="Q40" i="5" s="1"/>
  <c r="AO88" i="6" a="1"/>
  <c r="AO88" i="6" s="1"/>
  <c r="AO78" i="6" a="1"/>
  <c r="AO78" i="6" s="1"/>
  <c r="AO68" i="6" a="1"/>
  <c r="AO68" i="6" s="1"/>
  <c r="AO63" i="6" a="1"/>
  <c r="AO63" i="6" s="1"/>
  <c r="AO58" i="6" a="1"/>
  <c r="AO58" i="6" s="1"/>
  <c r="AO48" i="6" a="1"/>
  <c r="AO48" i="6" s="1"/>
  <c r="AO28" i="6" a="1"/>
  <c r="AO28" i="6" s="1"/>
  <c r="AO67" i="6" a="1"/>
  <c r="AO67" i="6" s="1"/>
  <c r="AO97" i="6" a="1"/>
  <c r="AO97" i="6" s="1"/>
  <c r="AW34" i="6" s="1"/>
  <c r="AO52" i="6" a="1"/>
  <c r="AO52" i="6" s="1"/>
  <c r="AO32" i="6" a="1"/>
  <c r="AO32" i="6" s="1"/>
  <c r="AO17" i="6" a="1"/>
  <c r="AO17" i="6" s="1"/>
  <c r="AW24" i="6" s="1"/>
  <c r="AO81" i="6" a="1"/>
  <c r="AO81" i="6" s="1"/>
  <c r="AW32" i="6" s="1"/>
  <c r="AO42" i="6" a="1"/>
  <c r="AO42" i="6" s="1"/>
  <c r="AO86" i="6" a="1"/>
  <c r="AO86" i="6" s="1"/>
  <c r="AO76" i="6" a="1"/>
  <c r="AO76" i="6" s="1"/>
  <c r="AO71" i="6" a="1"/>
  <c r="AO71" i="6" s="1"/>
  <c r="AO46" i="6" a="1"/>
  <c r="AO46" i="6" s="1"/>
  <c r="AO21" i="6" a="1"/>
  <c r="AO21" i="6" s="1"/>
  <c r="AO111" i="6" a="1"/>
  <c r="AO111" i="6" s="1"/>
  <c r="AO41" i="6" a="1"/>
  <c r="AO41" i="6" s="1"/>
  <c r="AW27" i="6" s="1"/>
  <c r="AO85" i="6" a="1"/>
  <c r="AO85" i="6" s="1"/>
  <c r="AO70" i="6" a="1"/>
  <c r="AO70" i="6" s="1"/>
  <c r="AO55" i="6" a="1"/>
  <c r="AO55" i="6" s="1"/>
  <c r="AO20" i="6" a="1"/>
  <c r="AO20" i="6" s="1"/>
  <c r="AO105" i="6" a="1"/>
  <c r="AO105" i="6" s="1"/>
  <c r="AO45" i="6" a="1"/>
  <c r="AO45" i="6" s="1"/>
  <c r="AO25" i="6" a="1"/>
  <c r="AO25" i="6" s="1"/>
  <c r="AW25" i="6" s="1"/>
  <c r="AO64" i="6" a="1"/>
  <c r="AO64" i="6" s="1"/>
  <c r="AO69" i="6" a="1"/>
  <c r="AO69" i="6" s="1"/>
  <c r="AO29" i="6" a="1"/>
  <c r="AO29" i="6" s="1"/>
  <c r="AO104" i="6" a="1"/>
  <c r="AO104" i="6" s="1"/>
  <c r="AO74" i="6" a="1"/>
  <c r="AO74" i="6" s="1"/>
  <c r="AO39" i="6" a="1"/>
  <c r="AO39" i="6" s="1"/>
  <c r="AO14" i="6" a="1"/>
  <c r="AO14" i="6" s="1"/>
  <c r="AO113" i="6" a="1"/>
  <c r="AO113" i="6" s="1"/>
  <c r="AW23" i="6" s="1"/>
  <c r="AO108" i="6" a="1"/>
  <c r="AO108" i="6" s="1"/>
  <c r="AO98" i="6" a="1"/>
  <c r="AO98" i="6" s="1"/>
  <c r="AO93" i="6" a="1"/>
  <c r="AO93" i="6" s="1"/>
  <c r="AO73" i="6" a="1"/>
  <c r="AO73" i="6" s="1"/>
  <c r="AW31" i="6" s="1"/>
  <c r="AO53" i="6" a="1"/>
  <c r="AO53" i="6" s="1"/>
  <c r="AO38" i="6" a="1"/>
  <c r="AO38" i="6" s="1"/>
  <c r="AO33" i="6" a="1"/>
  <c r="AO33" i="6" s="1"/>
  <c r="AW26" i="6" s="1"/>
  <c r="AO23" i="6" a="1"/>
  <c r="AO23" i="6" s="1"/>
  <c r="AO18" i="6" a="1"/>
  <c r="AO18" i="6" s="1"/>
  <c r="AO13" i="6" a="1"/>
  <c r="AO13" i="6" s="1"/>
  <c r="AO77" i="6" a="1"/>
  <c r="AO77" i="6" s="1"/>
  <c r="AO92" i="6" a="1"/>
  <c r="AO92" i="6" s="1"/>
  <c r="AO47" i="6" a="1"/>
  <c r="AO47" i="6" s="1"/>
  <c r="AO27" i="6" a="1"/>
  <c r="AO27" i="6" s="1"/>
  <c r="AO12" i="6" a="1"/>
  <c r="AO12" i="6" s="1"/>
  <c r="AO107" i="6" a="1"/>
  <c r="AO107" i="6" s="1"/>
  <c r="AO61" i="6" a="1"/>
  <c r="AO61" i="6" s="1"/>
  <c r="AO91" i="6" a="1"/>
  <c r="AO91" i="6" s="1"/>
  <c r="AO51" i="6" a="1"/>
  <c r="AO51" i="6" s="1"/>
  <c r="AO26" i="6" a="1"/>
  <c r="AO26" i="6" s="1"/>
  <c r="AO11" i="6" a="1"/>
  <c r="AO11" i="6" s="1"/>
  <c r="AO101" i="6" a="1"/>
  <c r="AO101" i="6" s="1"/>
  <c r="AO16" i="6" a="1"/>
  <c r="AO16" i="6" s="1"/>
  <c r="AO65" i="6" a="1"/>
  <c r="AO65" i="6" s="1"/>
  <c r="AW30" i="6" s="1"/>
  <c r="AO75" i="6" a="1"/>
  <c r="AO75" i="6" s="1"/>
  <c r="AO50" i="6" a="1"/>
  <c r="AO50" i="6" s="1"/>
  <c r="AO10" i="6" a="1"/>
  <c r="AO10" i="6" s="1"/>
  <c r="AO100" i="6" a="1"/>
  <c r="AO100" i="6" s="1"/>
  <c r="AO40" i="6" a="1"/>
  <c r="AO40" i="6" s="1"/>
  <c r="AO15" i="6" a="1"/>
  <c r="AO15" i="6" s="1"/>
  <c r="AO84" i="6" a="1"/>
  <c r="AO84" i="6" s="1"/>
  <c r="AO89" i="6" a="1"/>
  <c r="AO89" i="6" s="1"/>
  <c r="AW33" i="6" s="1"/>
  <c r="AO49" i="6" a="1"/>
  <c r="AO49" i="6" s="1"/>
  <c r="AW28" i="6" s="1"/>
  <c r="AO99" i="6" a="1"/>
  <c r="AO99" i="6" s="1"/>
  <c r="AO54" i="6" a="1"/>
  <c r="AO54" i="6" s="1"/>
  <c r="AO34" i="6" a="1"/>
  <c r="AO34" i="6" s="1"/>
  <c r="AO83" i="6" a="1"/>
  <c r="AO83" i="6" s="1"/>
  <c r="AO103" i="6" a="1"/>
  <c r="AO103" i="6" s="1"/>
  <c r="AO82" i="6" a="1"/>
  <c r="AO82" i="6" s="1"/>
  <c r="AO43" i="6" a="1"/>
  <c r="AO43" i="6" s="1"/>
  <c r="AO87" i="6" a="1"/>
  <c r="AO87" i="6" s="1"/>
  <c r="AO62" i="6" a="1"/>
  <c r="AO62" i="6" s="1"/>
  <c r="AO57" i="6" a="1"/>
  <c r="AO57" i="6" s="1"/>
  <c r="AW29" i="6" s="1"/>
  <c r="AO112" i="6" a="1"/>
  <c r="AO112" i="6" s="1"/>
  <c r="AO72" i="6" a="1"/>
  <c r="AO72" i="6" s="1"/>
  <c r="AO37" i="6" a="1"/>
  <c r="AO37" i="6" s="1"/>
  <c r="AO22" i="6" a="1"/>
  <c r="AO22" i="6" s="1"/>
  <c r="AO102" i="6" a="1"/>
  <c r="AO102" i="6" s="1"/>
  <c r="AO66" i="6" a="1"/>
  <c r="AO66" i="6" s="1"/>
  <c r="AO96" i="6" a="1"/>
  <c r="AO96" i="6" s="1"/>
  <c r="AO56" i="6" a="1"/>
  <c r="AO56" i="6" s="1"/>
  <c r="AO31" i="6" a="1"/>
  <c r="AO31" i="6" s="1"/>
  <c r="AO106" i="6" a="1"/>
  <c r="AO106" i="6" s="1"/>
  <c r="AO36" i="6" a="1"/>
  <c r="AO36" i="6" s="1"/>
  <c r="AO80" i="6" a="1"/>
  <c r="AO80" i="6" s="1"/>
  <c r="AO90" i="6" a="1"/>
  <c r="AO90" i="6" s="1"/>
  <c r="AO60" i="6" a="1"/>
  <c r="AO60" i="6" s="1"/>
  <c r="AO30" i="6" a="1"/>
  <c r="AO30" i="6" s="1"/>
  <c r="AO110" i="6" a="1"/>
  <c r="AO110" i="6" s="1"/>
  <c r="AO95" i="6" a="1"/>
  <c r="AO95" i="6" s="1"/>
  <c r="AO35" i="6" a="1"/>
  <c r="AO35" i="6" s="1"/>
  <c r="AO79" i="6" a="1"/>
  <c r="AO79" i="6" s="1"/>
  <c r="AO59" i="6" a="1"/>
  <c r="AO59" i="6" s="1"/>
  <c r="AO19" i="6" a="1"/>
  <c r="AO19" i="6" s="1"/>
  <c r="AO109" i="6" a="1"/>
  <c r="AO109" i="6" s="1"/>
  <c r="AO94" i="6" a="1"/>
  <c r="AO94" i="6" s="1"/>
  <c r="AO44" i="6" a="1"/>
  <c r="AO44" i="6" s="1"/>
  <c r="AO24" i="6" a="1"/>
  <c r="AO24" i="6" s="1"/>
  <c r="AN106" i="6" a="1"/>
  <c r="AN106" i="6" s="1"/>
  <c r="AN72" i="6" a="1"/>
  <c r="AN72" i="6" s="1"/>
  <c r="AN23" i="6" a="1"/>
  <c r="AN23" i="6" s="1"/>
  <c r="AN19" i="6" a="1"/>
  <c r="AN19" i="6" s="1"/>
  <c r="AN97" i="6" a="1"/>
  <c r="AN97" i="6" s="1"/>
  <c r="AV34" i="6" s="1"/>
  <c r="AN18" i="6" a="1"/>
  <c r="AN18" i="6" s="1"/>
  <c r="AN89" i="6" a="1"/>
  <c r="AN89" i="6" s="1"/>
  <c r="AV33" i="6" s="1"/>
  <c r="AN33" i="6" a="1"/>
  <c r="AN33" i="6" s="1"/>
  <c r="AV26" i="6" s="1"/>
  <c r="AN108" i="6" a="1"/>
  <c r="AN108" i="6" s="1"/>
  <c r="AN74" i="6" a="1"/>
  <c r="AN74" i="6" s="1"/>
  <c r="AN21" i="6" a="1"/>
  <c r="AN21" i="6" s="1"/>
  <c r="AN66" i="6" a="1"/>
  <c r="AN66" i="6" s="1"/>
  <c r="AN92" i="6" a="1"/>
  <c r="AN92" i="6" s="1"/>
  <c r="AN51" i="6" a="1"/>
  <c r="AN51" i="6" s="1"/>
  <c r="AN111" i="6" a="1"/>
  <c r="AN111" i="6" s="1"/>
  <c r="AN73" i="6" a="1"/>
  <c r="AN73" i="6" s="1"/>
  <c r="AV31" i="6" s="1"/>
  <c r="AN80" i="6" a="1"/>
  <c r="AN80" i="6" s="1"/>
  <c r="AN43" i="6" a="1"/>
  <c r="AN43" i="6" s="1"/>
  <c r="AN91" i="6" a="1"/>
  <c r="AN91" i="6" s="1"/>
  <c r="AN16" i="6" a="1"/>
  <c r="AN16" i="6" s="1"/>
  <c r="AN76" i="6" a="1"/>
  <c r="AN76" i="6" s="1"/>
  <c r="AN102" i="6" a="1"/>
  <c r="AN102" i="6" s="1"/>
  <c r="AN98" i="6" a="1"/>
  <c r="AN98" i="6" s="1"/>
  <c r="AN79" i="6" a="1"/>
  <c r="AN79" i="6" s="1"/>
  <c r="AN68" i="6" a="1"/>
  <c r="AN68" i="6" s="1"/>
  <c r="AN64" i="6" a="1"/>
  <c r="AN64" i="6" s="1"/>
  <c r="AN53" i="6" a="1"/>
  <c r="AN53" i="6" s="1"/>
  <c r="AN42" i="6" a="1"/>
  <c r="AN42" i="6" s="1"/>
  <c r="AN38" i="6" a="1"/>
  <c r="AN38" i="6" s="1"/>
  <c r="AN45" i="6" a="1"/>
  <c r="AN45" i="6" s="1"/>
  <c r="AN67" i="6" a="1"/>
  <c r="AN67" i="6" s="1"/>
  <c r="AN37" i="6" a="1"/>
  <c r="AN37" i="6" s="1"/>
  <c r="AN78" i="6" a="1"/>
  <c r="AN78" i="6" s="1"/>
  <c r="AN29" i="6" a="1"/>
  <c r="AN29" i="6" s="1"/>
  <c r="AN59" i="6" a="1"/>
  <c r="AN59" i="6" s="1"/>
  <c r="AN55" i="6" a="1"/>
  <c r="AN55" i="6" s="1"/>
  <c r="AN96" i="6" a="1"/>
  <c r="AN96" i="6" s="1"/>
  <c r="AN17" i="6" a="1"/>
  <c r="AN17" i="6" s="1"/>
  <c r="AV24" i="6" s="1"/>
  <c r="AN62" i="6" a="1"/>
  <c r="AN62" i="6" s="1"/>
  <c r="AN28" i="6" a="1"/>
  <c r="AN28" i="6" s="1"/>
  <c r="AN47" i="6" a="1"/>
  <c r="AN47" i="6" s="1"/>
  <c r="AN24" i="6" a="1"/>
  <c r="AN24" i="6" s="1"/>
  <c r="AN103" i="6" a="1"/>
  <c r="AN103" i="6" s="1"/>
  <c r="AN65" i="6" a="1"/>
  <c r="AN65" i="6" s="1"/>
  <c r="AV30" i="6" s="1"/>
  <c r="AN39" i="6" a="1"/>
  <c r="AN39" i="6" s="1"/>
  <c r="AN87" i="6" a="1"/>
  <c r="AN87" i="6" s="1"/>
  <c r="AN61" i="6" a="1"/>
  <c r="AN61" i="6" s="1"/>
  <c r="AN35" i="6" a="1"/>
  <c r="AN35" i="6" s="1"/>
  <c r="AN12" i="6" a="1"/>
  <c r="AN12" i="6" s="1"/>
  <c r="AN57" i="6" a="1"/>
  <c r="AN57" i="6" s="1"/>
  <c r="AV29" i="6" s="1"/>
  <c r="AN113" i="6" a="1"/>
  <c r="AN113" i="6" s="1"/>
  <c r="AV23" i="6" s="1"/>
  <c r="AN94" i="6" a="1"/>
  <c r="AN94" i="6" s="1"/>
  <c r="AN90" i="6" a="1"/>
  <c r="AN90" i="6" s="1"/>
  <c r="AN49" i="6" a="1"/>
  <c r="AN49" i="6" s="1"/>
  <c r="AV28" i="6" s="1"/>
  <c r="AN34" i="6" a="1"/>
  <c r="AN34" i="6" s="1"/>
  <c r="AN30" i="6" a="1"/>
  <c r="AN30" i="6" s="1"/>
  <c r="AN15" i="6" a="1"/>
  <c r="AN15" i="6" s="1"/>
  <c r="AN11" i="6" a="1"/>
  <c r="AN11" i="6" s="1"/>
  <c r="AN101" i="6" a="1"/>
  <c r="AN101" i="6" s="1"/>
  <c r="AN52" i="6" a="1"/>
  <c r="AN52" i="6" s="1"/>
  <c r="AN112" i="6" a="1"/>
  <c r="AN112" i="6" s="1"/>
  <c r="AN63" i="6" a="1"/>
  <c r="AN63" i="6" s="1"/>
  <c r="AN14" i="6" a="1"/>
  <c r="AN14" i="6" s="1"/>
  <c r="AN104" i="6" a="1"/>
  <c r="AN104" i="6" s="1"/>
  <c r="AN44" i="6" a="1"/>
  <c r="AN44" i="6" s="1"/>
  <c r="AN70" i="6" a="1"/>
  <c r="AN70" i="6" s="1"/>
  <c r="AN88" i="6" a="1"/>
  <c r="AN88" i="6" s="1"/>
  <c r="AN36" i="6" a="1"/>
  <c r="AN36" i="6" s="1"/>
  <c r="AN13" i="6" a="1"/>
  <c r="AN13" i="6" s="1"/>
  <c r="AN84" i="6" a="1"/>
  <c r="AN84" i="6" s="1"/>
  <c r="AN107" i="6" a="1"/>
  <c r="AN107" i="6" s="1"/>
  <c r="AN69" i="6" a="1"/>
  <c r="AN69" i="6" s="1"/>
  <c r="AN54" i="6" a="1"/>
  <c r="AN54" i="6" s="1"/>
  <c r="AN95" i="6" a="1"/>
  <c r="AN95" i="6" s="1"/>
  <c r="AN50" i="6" a="1"/>
  <c r="AN50" i="6" s="1"/>
  <c r="AN31" i="6" a="1"/>
  <c r="AN31" i="6" s="1"/>
  <c r="AN83" i="6" a="1"/>
  <c r="AN83" i="6" s="1"/>
  <c r="AN27" i="6" a="1"/>
  <c r="AN27" i="6" s="1"/>
  <c r="AN109" i="6" a="1"/>
  <c r="AN109" i="6" s="1"/>
  <c r="AN86" i="6" a="1"/>
  <c r="AN86" i="6" s="1"/>
  <c r="AN75" i="6" a="1"/>
  <c r="AN75" i="6" s="1"/>
  <c r="AN60" i="6" a="1"/>
  <c r="AN60" i="6" s="1"/>
  <c r="AN26" i="6" a="1"/>
  <c r="AN26" i="6" s="1"/>
  <c r="AN105" i="6" a="1"/>
  <c r="AN105" i="6" s="1"/>
  <c r="AN82" i="6" a="1"/>
  <c r="AN82" i="6" s="1"/>
  <c r="AN56" i="6" a="1"/>
  <c r="AN56" i="6" s="1"/>
  <c r="AN22" i="6" a="1"/>
  <c r="AN22" i="6" s="1"/>
  <c r="AN71" i="6" a="1"/>
  <c r="AN71" i="6" s="1"/>
  <c r="AN41" i="6" a="1"/>
  <c r="AN41" i="6" s="1"/>
  <c r="AV27" i="6" s="1"/>
  <c r="AN93" i="6" a="1"/>
  <c r="AN93" i="6" s="1"/>
  <c r="AN48" i="6" a="1"/>
  <c r="AN48" i="6" s="1"/>
  <c r="AN10" i="6" a="1"/>
  <c r="AN10" i="6" s="1"/>
  <c r="AN85" i="6" a="1"/>
  <c r="AN85" i="6" s="1"/>
  <c r="AN81" i="6" a="1"/>
  <c r="AN81" i="6" s="1"/>
  <c r="AV32" i="6" s="1"/>
  <c r="AN25" i="6" a="1"/>
  <c r="AN25" i="6" s="1"/>
  <c r="AV25" i="6" s="1"/>
  <c r="AN100" i="6" a="1"/>
  <c r="AN100" i="6" s="1"/>
  <c r="AN40" i="6" a="1"/>
  <c r="AN40" i="6" s="1"/>
  <c r="AN77" i="6" a="1"/>
  <c r="AN77" i="6" s="1"/>
  <c r="AN32" i="6" a="1"/>
  <c r="AN32" i="6" s="1"/>
  <c r="AN58" i="6" a="1"/>
  <c r="AN58" i="6" s="1"/>
  <c r="AN20" i="6" a="1"/>
  <c r="AN20" i="6" s="1"/>
  <c r="AN99" i="6" a="1"/>
  <c r="AN99" i="6" s="1"/>
  <c r="AN110" i="6" a="1"/>
  <c r="AN110" i="6" s="1"/>
  <c r="AN46" i="6" a="1"/>
  <c r="AN46" i="6" s="1"/>
  <c r="AM89" i="6" a="1"/>
  <c r="AM89" i="6" s="1"/>
  <c r="AU33" i="6" s="1"/>
  <c r="AM86" i="6" a="1"/>
  <c r="AM86" i="6" s="1"/>
  <c r="AM80" i="6" a="1"/>
  <c r="AM80" i="6" s="1"/>
  <c r="AM77" i="6" a="1"/>
  <c r="AM77" i="6" s="1"/>
  <c r="AM68" i="6" a="1"/>
  <c r="AM68" i="6" s="1"/>
  <c r="AM62" i="6" a="1"/>
  <c r="AM62" i="6" s="1"/>
  <c r="AM59" i="6" a="1"/>
  <c r="AM59" i="6" s="1"/>
  <c r="AM56" i="6" a="1"/>
  <c r="AM56" i="6" s="1"/>
  <c r="AM53" i="6" a="1"/>
  <c r="AM53" i="6" s="1"/>
  <c r="AM50" i="6" a="1"/>
  <c r="AM50" i="6" s="1"/>
  <c r="AM47" i="6" a="1"/>
  <c r="AM47" i="6" s="1"/>
  <c r="AM44" i="6" a="1"/>
  <c r="AM44" i="6" s="1"/>
  <c r="AM38" i="6" a="1"/>
  <c r="AM38" i="6" s="1"/>
  <c r="AM35" i="6" a="1"/>
  <c r="AM35" i="6" s="1"/>
  <c r="AM58" i="6" a="1"/>
  <c r="AM58" i="6" s="1"/>
  <c r="AM46" i="6" a="1"/>
  <c r="AM46" i="6" s="1"/>
  <c r="AM91" i="6" a="1"/>
  <c r="AM91" i="6" s="1"/>
  <c r="AM43" i="6" a="1"/>
  <c r="AM43" i="6" s="1"/>
  <c r="AM87" i="6" a="1"/>
  <c r="AM87" i="6" s="1"/>
  <c r="AM63" i="6" a="1"/>
  <c r="AM63" i="6" s="1"/>
  <c r="AM75" i="6" a="1"/>
  <c r="AM75" i="6" s="1"/>
  <c r="AM54" i="6" a="1"/>
  <c r="AM54" i="6" s="1"/>
  <c r="AM36" i="6" a="1"/>
  <c r="AM36" i="6" s="1"/>
  <c r="AM108" i="6" a="1"/>
  <c r="AM108" i="6" s="1"/>
  <c r="AM14" i="6" a="1"/>
  <c r="AM14" i="6" s="1"/>
  <c r="AM26" i="6" a="1"/>
  <c r="AM26" i="6" s="1"/>
  <c r="AM65" i="6" a="1"/>
  <c r="AM65" i="6" s="1"/>
  <c r="AU30" i="6" s="1"/>
  <c r="AM98" i="6" a="1"/>
  <c r="AM98" i="6" s="1"/>
  <c r="AM95" i="6" a="1"/>
  <c r="AM95" i="6" s="1"/>
  <c r="AM92" i="6" a="1"/>
  <c r="AM92" i="6" s="1"/>
  <c r="AM74" i="6" a="1"/>
  <c r="AM74" i="6" s="1"/>
  <c r="AM71" i="6" a="1"/>
  <c r="AM71" i="6" s="1"/>
  <c r="AM41" i="6" a="1"/>
  <c r="AM41" i="6" s="1"/>
  <c r="AU27" i="6" s="1"/>
  <c r="AM85" i="6" a="1"/>
  <c r="AM85" i="6" s="1"/>
  <c r="AM61" i="6" a="1"/>
  <c r="AM61" i="6" s="1"/>
  <c r="AM49" i="6" a="1"/>
  <c r="AM49" i="6" s="1"/>
  <c r="AU28" i="6" s="1"/>
  <c r="AM97" i="6" a="1"/>
  <c r="AM97" i="6" s="1"/>
  <c r="AU34" i="6" s="1"/>
  <c r="AM70" i="6" a="1"/>
  <c r="AM70" i="6" s="1"/>
  <c r="AM112" i="6" a="1"/>
  <c r="AM112" i="6" s="1"/>
  <c r="AM18" i="6" a="1"/>
  <c r="AM18" i="6" s="1"/>
  <c r="AM24" i="6" a="1"/>
  <c r="AM24" i="6" s="1"/>
  <c r="AM66" i="6" a="1"/>
  <c r="AM66" i="6" s="1"/>
  <c r="AM33" i="6" a="1"/>
  <c r="AM33" i="6" s="1"/>
  <c r="AU26" i="6" s="1"/>
  <c r="AM78" i="6" a="1"/>
  <c r="AM78" i="6" s="1"/>
  <c r="AM60" i="6" a="1"/>
  <c r="AM60" i="6" s="1"/>
  <c r="AM39" i="6" a="1"/>
  <c r="AM39" i="6" s="1"/>
  <c r="AM42" i="6" a="1"/>
  <c r="AM42" i="6" s="1"/>
  <c r="AM102" i="6" a="1"/>
  <c r="AM102" i="6" s="1"/>
  <c r="AM11" i="6" a="1"/>
  <c r="AM11" i="6" s="1"/>
  <c r="AM23" i="6" a="1"/>
  <c r="AM23" i="6" s="1"/>
  <c r="AM32" i="6" a="1"/>
  <c r="AM32" i="6" s="1"/>
  <c r="AM104" i="6" a="1"/>
  <c r="AM104" i="6" s="1"/>
  <c r="AM101" i="6" a="1"/>
  <c r="AM101" i="6" s="1"/>
  <c r="AM19" i="6" a="1"/>
  <c r="AM19" i="6" s="1"/>
  <c r="AM10" i="6" a="1"/>
  <c r="AM10" i="6" s="1"/>
  <c r="AM25" i="6" a="1"/>
  <c r="AM25" i="6" s="1"/>
  <c r="AU25" i="6" s="1"/>
  <c r="AM82" i="6" a="1"/>
  <c r="AM82" i="6" s="1"/>
  <c r="AM67" i="6" a="1"/>
  <c r="AM67" i="6" s="1"/>
  <c r="AM52" i="6" a="1"/>
  <c r="AM52" i="6" s="1"/>
  <c r="AM34" i="6" a="1"/>
  <c r="AM34" i="6" s="1"/>
  <c r="AM73" i="6" a="1"/>
  <c r="AM73" i="6" s="1"/>
  <c r="AU31" i="6" s="1"/>
  <c r="AM94" i="6" a="1"/>
  <c r="AM94" i="6" s="1"/>
  <c r="AM106" i="6" a="1"/>
  <c r="AM106" i="6" s="1"/>
  <c r="AM21" i="6" a="1"/>
  <c r="AM21" i="6" s="1"/>
  <c r="AM12" i="6" a="1"/>
  <c r="AM12" i="6" s="1"/>
  <c r="AM27" i="6" a="1"/>
  <c r="AM27" i="6" s="1"/>
  <c r="AM81" i="6" a="1"/>
  <c r="AM81" i="6" s="1"/>
  <c r="AU32" i="6" s="1"/>
  <c r="AM48" i="6" a="1"/>
  <c r="AM48" i="6" s="1"/>
  <c r="AM90" i="6" a="1"/>
  <c r="AM90" i="6" s="1"/>
  <c r="AM69" i="6" a="1"/>
  <c r="AM69" i="6" s="1"/>
  <c r="AM51" i="6" a="1"/>
  <c r="AM51" i="6" s="1"/>
  <c r="AM99" i="6" a="1"/>
  <c r="AM99" i="6" s="1"/>
  <c r="AM20" i="6" a="1"/>
  <c r="AM20" i="6" s="1"/>
  <c r="AM111" i="6" a="1"/>
  <c r="AM111" i="6" s="1"/>
  <c r="AM113" i="6" a="1"/>
  <c r="AM113" i="6" s="1"/>
  <c r="AU23" i="6" s="1"/>
  <c r="AM110" i="6" a="1"/>
  <c r="AM110" i="6" s="1"/>
  <c r="AM107" i="6" a="1"/>
  <c r="AM107" i="6" s="1"/>
  <c r="AM28" i="6" a="1"/>
  <c r="AM28" i="6" s="1"/>
  <c r="AM22" i="6" a="1"/>
  <c r="AM22" i="6" s="1"/>
  <c r="AM16" i="6" a="1"/>
  <c r="AM16" i="6" s="1"/>
  <c r="AM13" i="6" a="1"/>
  <c r="AM13" i="6" s="1"/>
  <c r="AM64" i="6" a="1"/>
  <c r="AM64" i="6" s="1"/>
  <c r="AM31" i="6" a="1"/>
  <c r="AM31" i="6" s="1"/>
  <c r="AM88" i="6" a="1"/>
  <c r="AM88" i="6" s="1"/>
  <c r="AM79" i="6" a="1"/>
  <c r="AM79" i="6" s="1"/>
  <c r="AM55" i="6" a="1"/>
  <c r="AM55" i="6" s="1"/>
  <c r="AM37" i="6" a="1"/>
  <c r="AM37" i="6" s="1"/>
  <c r="AM76" i="6" a="1"/>
  <c r="AM76" i="6" s="1"/>
  <c r="AM40" i="6" a="1"/>
  <c r="AM40" i="6" s="1"/>
  <c r="AM100" i="6" a="1"/>
  <c r="AM100" i="6" s="1"/>
  <c r="AM109" i="6" a="1"/>
  <c r="AM109" i="6" s="1"/>
  <c r="AM103" i="6" a="1"/>
  <c r="AM103" i="6" s="1"/>
  <c r="AM15" i="6" a="1"/>
  <c r="AM15" i="6" s="1"/>
  <c r="AM30" i="6" a="1"/>
  <c r="AM30" i="6" s="1"/>
  <c r="AM84" i="6" a="1"/>
  <c r="AM84" i="6" s="1"/>
  <c r="AM57" i="6" a="1"/>
  <c r="AM57" i="6" s="1"/>
  <c r="AU29" i="6" s="1"/>
  <c r="AM96" i="6" a="1"/>
  <c r="AM96" i="6" s="1"/>
  <c r="AM72" i="6" a="1"/>
  <c r="AM72" i="6" s="1"/>
  <c r="AM45" i="6" a="1"/>
  <c r="AM45" i="6" s="1"/>
  <c r="AM93" i="6" a="1"/>
  <c r="AM93" i="6" s="1"/>
  <c r="AM105" i="6" a="1"/>
  <c r="AM105" i="6" s="1"/>
  <c r="AM17" i="6" a="1"/>
  <c r="AM17" i="6" s="1"/>
  <c r="AU24" i="6" s="1"/>
  <c r="AM29" i="6" a="1"/>
  <c r="AM29" i="6" s="1"/>
  <c r="AM83" i="6" a="1"/>
  <c r="AM83" i="6" s="1"/>
  <c r="AL106" i="6" a="1"/>
  <c r="AL106" i="6" s="1"/>
  <c r="AL101" i="6" a="1"/>
  <c r="AL101" i="6" s="1"/>
  <c r="AL83" i="6" a="1"/>
  <c r="AL83" i="6" s="1"/>
  <c r="AL63" i="6" a="1"/>
  <c r="AL63" i="6" s="1"/>
  <c r="AL58" i="6" a="1"/>
  <c r="AL58" i="6" s="1"/>
  <c r="AL48" i="6" a="1"/>
  <c r="AL48" i="6" s="1"/>
  <c r="AL38" i="6" a="1"/>
  <c r="AL38" i="6" s="1"/>
  <c r="AL33" i="6" a="1"/>
  <c r="AL33" i="6" s="1"/>
  <c r="AT26" i="6" s="1"/>
  <c r="AL10" i="6" a="1"/>
  <c r="AL10" i="6" s="1"/>
  <c r="AL70" i="6" a="1"/>
  <c r="AL70" i="6" s="1"/>
  <c r="AL105" i="6" a="1"/>
  <c r="AL105" i="6" s="1"/>
  <c r="AL87" i="6" a="1"/>
  <c r="AL87" i="6" s="1"/>
  <c r="AL62" i="6" a="1"/>
  <c r="AL62" i="6" s="1"/>
  <c r="AL14" i="6" a="1"/>
  <c r="AL14" i="6" s="1"/>
  <c r="AL34" i="6" a="1"/>
  <c r="AL34" i="6" s="1"/>
  <c r="AL102" i="6" a="1"/>
  <c r="AL102" i="6" s="1"/>
  <c r="AL54" i="6" a="1"/>
  <c r="AL54" i="6" s="1"/>
  <c r="AL11" i="6" a="1"/>
  <c r="AL11" i="6" s="1"/>
  <c r="AL69" i="6" a="1"/>
  <c r="AL69" i="6" s="1"/>
  <c r="AL21" i="6" a="1"/>
  <c r="AL21" i="6" s="1"/>
  <c r="AL99" i="6" a="1"/>
  <c r="AL99" i="6" s="1"/>
  <c r="AL66" i="6" a="1"/>
  <c r="AL66" i="6" s="1"/>
  <c r="AL86" i="6" a="1"/>
  <c r="AL86" i="6" s="1"/>
  <c r="AL111" i="6" a="1"/>
  <c r="AL111" i="6" s="1"/>
  <c r="AL88" i="6" a="1"/>
  <c r="AL88" i="6" s="1"/>
  <c r="AL78" i="6" a="1"/>
  <c r="AL78" i="6" s="1"/>
  <c r="AL68" i="6" a="1"/>
  <c r="AL68" i="6" s="1"/>
  <c r="AL53" i="6" a="1"/>
  <c r="AL53" i="6" s="1"/>
  <c r="AL43" i="6" a="1"/>
  <c r="AL43" i="6" s="1"/>
  <c r="AL20" i="6" a="1"/>
  <c r="AL20" i="6" s="1"/>
  <c r="AL15" i="6" a="1"/>
  <c r="AL15" i="6" s="1"/>
  <c r="AL50" i="6" a="1"/>
  <c r="AL50" i="6" s="1"/>
  <c r="AL17" i="6" a="1"/>
  <c r="AL17" i="6" s="1"/>
  <c r="AT24" i="6" s="1"/>
  <c r="AL27" i="6" a="1"/>
  <c r="AL27" i="6" s="1"/>
  <c r="AL57" i="6" a="1"/>
  <c r="AL57" i="6" s="1"/>
  <c r="AT29" i="6" s="1"/>
  <c r="AL110" i="6" a="1"/>
  <c r="AL110" i="6" s="1"/>
  <c r="AL67" i="6" a="1"/>
  <c r="AL67" i="6" s="1"/>
  <c r="AL19" i="6" a="1"/>
  <c r="AL19" i="6" s="1"/>
  <c r="AL29" i="6" a="1"/>
  <c r="AL29" i="6" s="1"/>
  <c r="AL92" i="6" a="1"/>
  <c r="AL92" i="6" s="1"/>
  <c r="AL112" i="6" a="1"/>
  <c r="AL112" i="6" s="1"/>
  <c r="AL79" i="6" a="1"/>
  <c r="AL79" i="6" s="1"/>
  <c r="AL44" i="6" a="1"/>
  <c r="AL44" i="6" s="1"/>
  <c r="AL74" i="6" a="1"/>
  <c r="AL74" i="6" s="1"/>
  <c r="AL16" i="6" a="1"/>
  <c r="AL16" i="6" s="1"/>
  <c r="AL81" i="6" a="1"/>
  <c r="AL81" i="6" s="1"/>
  <c r="AT32" i="6" s="1"/>
  <c r="AL46" i="6" a="1"/>
  <c r="AL46" i="6" s="1"/>
  <c r="AL51" i="6" a="1"/>
  <c r="AL51" i="6" s="1"/>
  <c r="AL18" i="6" a="1"/>
  <c r="AL18" i="6" s="1"/>
  <c r="AL71" i="6" a="1"/>
  <c r="AL71" i="6" s="1"/>
  <c r="AL73" i="6" a="1"/>
  <c r="AL73" i="6" s="1"/>
  <c r="AT31" i="6" s="1"/>
  <c r="AL30" i="6" a="1"/>
  <c r="AL30" i="6" s="1"/>
  <c r="AL25" i="6" a="1"/>
  <c r="AL25" i="6" s="1"/>
  <c r="AT25" i="6" s="1"/>
  <c r="AL60" i="6" a="1"/>
  <c r="AL60" i="6" s="1"/>
  <c r="AL40" i="6" a="1"/>
  <c r="AL40" i="6" s="1"/>
  <c r="AL90" i="6" a="1"/>
  <c r="AL90" i="6" s="1"/>
  <c r="AL37" i="6" a="1"/>
  <c r="AL37" i="6" s="1"/>
  <c r="AL100" i="6" a="1"/>
  <c r="AL100" i="6" s="1"/>
  <c r="AL77" i="6" a="1"/>
  <c r="AL77" i="6" s="1"/>
  <c r="AL47" i="6" a="1"/>
  <c r="AL47" i="6" s="1"/>
  <c r="AL42" i="6" a="1"/>
  <c r="AL42" i="6" s="1"/>
  <c r="AL64" i="6" a="1"/>
  <c r="AL64" i="6" s="1"/>
  <c r="AL107" i="6" a="1"/>
  <c r="AL107" i="6" s="1"/>
  <c r="AL59" i="6" a="1"/>
  <c r="AL59" i="6" s="1"/>
  <c r="AL39" i="6" a="1"/>
  <c r="AL39" i="6" s="1"/>
  <c r="AL26" i="6" a="1"/>
  <c r="AL26" i="6" s="1"/>
  <c r="AL31" i="6" a="1"/>
  <c r="AL31" i="6" s="1"/>
  <c r="AL94" i="6" a="1"/>
  <c r="AL94" i="6" s="1"/>
  <c r="AL56" i="6" a="1"/>
  <c r="AL56" i="6" s="1"/>
  <c r="AL76" i="6" a="1"/>
  <c r="AL76" i="6" s="1"/>
  <c r="AL28" i="6" a="1"/>
  <c r="AL28" i="6" s="1"/>
  <c r="AL96" i="6" a="1"/>
  <c r="AL96" i="6" s="1"/>
  <c r="AL23" i="6" a="1"/>
  <c r="AL23" i="6" s="1"/>
  <c r="AL108" i="6" a="1"/>
  <c r="AL108" i="6" s="1"/>
  <c r="AL103" i="6" a="1"/>
  <c r="AL103" i="6" s="1"/>
  <c r="AL98" i="6" a="1"/>
  <c r="AL98" i="6" s="1"/>
  <c r="AL93" i="6" a="1"/>
  <c r="AL93" i="6" s="1"/>
  <c r="AL65" i="6" a="1"/>
  <c r="AL65" i="6" s="1"/>
  <c r="AT30" i="6" s="1"/>
  <c r="AL55" i="6" a="1"/>
  <c r="AL55" i="6" s="1"/>
  <c r="AL35" i="6" a="1"/>
  <c r="AL35" i="6" s="1"/>
  <c r="AL113" i="6" a="1"/>
  <c r="AL113" i="6" s="1"/>
  <c r="AT23" i="6" s="1"/>
  <c r="AL85" i="6" a="1"/>
  <c r="AL85" i="6" s="1"/>
  <c r="AL80" i="6" a="1"/>
  <c r="AL80" i="6" s="1"/>
  <c r="AL75" i="6" a="1"/>
  <c r="AL75" i="6" s="1"/>
  <c r="AL45" i="6" a="1"/>
  <c r="AL45" i="6" s="1"/>
  <c r="AL12" i="6" a="1"/>
  <c r="AL12" i="6" s="1"/>
  <c r="AL22" i="6" a="1"/>
  <c r="AL22" i="6" s="1"/>
  <c r="AL95" i="6" a="1"/>
  <c r="AL95" i="6" s="1"/>
  <c r="AL32" i="6" a="1"/>
  <c r="AL32" i="6" s="1"/>
  <c r="AL82" i="6" a="1"/>
  <c r="AL82" i="6" s="1"/>
  <c r="AL52" i="6" a="1"/>
  <c r="AL52" i="6" s="1"/>
  <c r="AL72" i="6" a="1"/>
  <c r="AL72" i="6" s="1"/>
  <c r="AL97" i="6" a="1"/>
  <c r="AL97" i="6" s="1"/>
  <c r="AT34" i="6" s="1"/>
  <c r="AL24" i="6" a="1"/>
  <c r="AL24" i="6" s="1"/>
  <c r="AL84" i="6" a="1"/>
  <c r="AL84" i="6" s="1"/>
  <c r="AL49" i="6" a="1"/>
  <c r="AL49" i="6" s="1"/>
  <c r="AT28" i="6" s="1"/>
  <c r="AL89" i="6" a="1"/>
  <c r="AL89" i="6" s="1"/>
  <c r="AT33" i="6" s="1"/>
  <c r="AL104" i="6" a="1"/>
  <c r="AL104" i="6" s="1"/>
  <c r="AL109" i="6" a="1"/>
  <c r="AL109" i="6" s="1"/>
  <c r="AL61" i="6" a="1"/>
  <c r="AL61" i="6" s="1"/>
  <c r="AL36" i="6" a="1"/>
  <c r="AL36" i="6" s="1"/>
  <c r="AL41" i="6" a="1"/>
  <c r="AL41" i="6" s="1"/>
  <c r="AT27" i="6" s="1"/>
  <c r="AL13" i="6" a="1"/>
  <c r="AL13" i="6" s="1"/>
  <c r="AL91" i="6" a="1"/>
  <c r="AL91" i="6" s="1"/>
  <c r="AJ110" i="6"/>
  <c r="AJ102" i="6"/>
  <c r="AJ94" i="6"/>
  <c r="AJ86" i="6"/>
  <c r="AJ78" i="6"/>
  <c r="AJ70" i="6"/>
  <c r="AJ62" i="6"/>
  <c r="AJ54" i="6"/>
  <c r="AJ46" i="6"/>
  <c r="AJ38" i="6"/>
  <c r="AJ30" i="6"/>
  <c r="AJ22" i="6"/>
  <c r="B6" i="6"/>
  <c r="E7" i="6"/>
  <c r="L7" i="6" s="1"/>
  <c r="F7" i="6"/>
  <c r="M7" i="6" s="1"/>
  <c r="C7" i="6"/>
  <c r="J7" i="6" s="1"/>
  <c r="G7" i="6"/>
  <c r="N7" i="6" s="1"/>
  <c r="D7" i="6"/>
  <c r="K7" i="6" s="1"/>
  <c r="H7" i="6"/>
  <c r="O7" i="6" s="1"/>
  <c r="AK87" i="22" l="1" a="1"/>
  <c r="AK87" i="22" s="1"/>
  <c r="AK86" i="22" a="1"/>
  <c r="AK86" i="22" s="1"/>
  <c r="AK85" i="22" a="1"/>
  <c r="AK85" i="22" s="1"/>
  <c r="AK84" i="22" a="1"/>
  <c r="AK84" i="22" s="1"/>
  <c r="AK83" i="22" a="1"/>
  <c r="AK83" i="22" s="1"/>
  <c r="AK82" i="22" a="1"/>
  <c r="AK82" i="22" s="1"/>
  <c r="AK89" i="22" a="1"/>
  <c r="AK89" i="22" s="1"/>
  <c r="AK88" i="22" a="1"/>
  <c r="AK88" i="22" s="1"/>
  <c r="AM88" i="22" a="1"/>
  <c r="AM88" i="22" s="1"/>
  <c r="AM85" i="22" a="1"/>
  <c r="AM85" i="22" s="1"/>
  <c r="AN89" i="22" a="1"/>
  <c r="AN89" i="22" s="1"/>
  <c r="AM82" i="22" a="1"/>
  <c r="AM82" i="22" s="1"/>
  <c r="AN88" i="22" a="1"/>
  <c r="AN88" i="22" s="1"/>
  <c r="AP89" i="22" a="1"/>
  <c r="AP89" i="22" s="1"/>
  <c r="AN87" i="22" a="1"/>
  <c r="AN87" i="22" s="1"/>
  <c r="AP88" i="22" a="1"/>
  <c r="AP88" i="22" s="1"/>
  <c r="AN86" i="22" a="1"/>
  <c r="AN86" i="22" s="1"/>
  <c r="AP87" i="22" a="1"/>
  <c r="AP87" i="22" s="1"/>
  <c r="AN85" i="22" a="1"/>
  <c r="AN85" i="22" s="1"/>
  <c r="AP86" i="22" a="1"/>
  <c r="AP86" i="22" s="1"/>
  <c r="AN84" i="22" a="1"/>
  <c r="AN84" i="22" s="1"/>
  <c r="AP85" i="22" a="1"/>
  <c r="AP85" i="22" s="1"/>
  <c r="AN83" i="22" a="1"/>
  <c r="AN83" i="22" s="1"/>
  <c r="AM86" i="22" a="1"/>
  <c r="AM86" i="22" s="1"/>
  <c r="AP84" i="22" a="1"/>
  <c r="AP84" i="22" s="1"/>
  <c r="AN82" i="22" a="1"/>
  <c r="AN82" i="22" s="1"/>
  <c r="AM83" i="22" a="1"/>
  <c r="AM83" i="22" s="1"/>
  <c r="AM87" i="22" a="1"/>
  <c r="AM87" i="22" s="1"/>
  <c r="AP83" i="22" a="1"/>
  <c r="AP83" i="22" s="1"/>
  <c r="AM84" i="22" a="1"/>
  <c r="AM84" i="22" s="1"/>
  <c r="AP82" i="22" a="1"/>
  <c r="AP82" i="22" s="1"/>
  <c r="AM89" i="22" a="1"/>
  <c r="AM89" i="22" s="1"/>
  <c r="AO89" i="22" a="1"/>
  <c r="AO89" i="22" s="1"/>
  <c r="AO84" i="22" a="1"/>
  <c r="AO84" i="22" s="1"/>
  <c r="AO88" i="22" a="1"/>
  <c r="AO88" i="22" s="1"/>
  <c r="AO87" i="22" a="1"/>
  <c r="AO87" i="22" s="1"/>
  <c r="AO86" i="22" a="1"/>
  <c r="AO86" i="22" s="1"/>
  <c r="AO85" i="22" a="1"/>
  <c r="AO85" i="22" s="1"/>
  <c r="AL89" i="22" a="1"/>
  <c r="AL89" i="22" s="1"/>
  <c r="AL88" i="22" a="1"/>
  <c r="AL88" i="22" s="1"/>
  <c r="AO83" i="22" a="1"/>
  <c r="AO83" i="22" s="1"/>
  <c r="AL87" i="22" a="1"/>
  <c r="AL87" i="22" s="1"/>
  <c r="AO82" i="22" a="1"/>
  <c r="AO82" i="22" s="1"/>
  <c r="AL86" i="22" a="1"/>
  <c r="AL86" i="22" s="1"/>
  <c r="AL85" i="22" a="1"/>
  <c r="AL85" i="22" s="1"/>
  <c r="AL84" i="22" a="1"/>
  <c r="AL84" i="22" s="1"/>
  <c r="AL83" i="22" a="1"/>
  <c r="AL83" i="22" s="1"/>
  <c r="AL82" i="22" a="1"/>
  <c r="AL82" i="22" s="1"/>
  <c r="AL24" i="22" a="1"/>
  <c r="AL24" i="22" s="1"/>
  <c r="AJ25" i="22"/>
  <c r="AK24" i="22" a="1"/>
  <c r="AK24" i="22" s="1"/>
  <c r="AM24" i="22" a="1"/>
  <c r="AM24" i="22" s="1"/>
  <c r="AP24" i="22" a="1"/>
  <c r="AP24" i="22" s="1"/>
  <c r="AN24" i="22" a="1"/>
  <c r="AN24" i="22" s="1"/>
  <c r="AO24" i="22" a="1"/>
  <c r="AO24" i="22" s="1"/>
  <c r="H4" i="22"/>
  <c r="O4" i="22" s="1"/>
  <c r="G4" i="22"/>
  <c r="N4" i="22" s="1"/>
  <c r="F4" i="22"/>
  <c r="M4" i="22" s="1"/>
  <c r="E4" i="22"/>
  <c r="L4" i="22" s="1"/>
  <c r="D4" i="22"/>
  <c r="K4" i="22" s="1"/>
  <c r="C4" i="22"/>
  <c r="J4" i="22" s="1"/>
  <c r="AJ15" i="22"/>
  <c r="AP14" i="22" a="1"/>
  <c r="AP14" i="22" s="1"/>
  <c r="AK14" i="22" a="1"/>
  <c r="AK14" i="22" s="1"/>
  <c r="AM14" i="22" a="1"/>
  <c r="AM14" i="22" s="1"/>
  <c r="AN14" i="22" a="1"/>
  <c r="AN14" i="22" s="1"/>
  <c r="AO14" i="22" a="1"/>
  <c r="AO14" i="22" s="1"/>
  <c r="AL14" i="22" a="1"/>
  <c r="AL14" i="22" s="1"/>
  <c r="N94" i="17"/>
  <c r="N115" i="17"/>
  <c r="J39" i="19"/>
  <c r="J38" i="19"/>
  <c r="J40" i="19"/>
  <c r="J37" i="19"/>
  <c r="J34" i="19"/>
  <c r="J33" i="19"/>
  <c r="J32" i="19"/>
  <c r="J35" i="19"/>
  <c r="I127" i="19"/>
  <c r="N127" i="19" s="1"/>
  <c r="I114" i="19"/>
  <c r="N114" i="19" s="1"/>
  <c r="I101" i="19"/>
  <c r="I117" i="19"/>
  <c r="I103" i="19"/>
  <c r="N103" i="19" s="1"/>
  <c r="I90" i="19"/>
  <c r="I93" i="19"/>
  <c r="I125" i="19"/>
  <c r="I113" i="19"/>
  <c r="N113" i="19" s="1"/>
  <c r="I108" i="19"/>
  <c r="I88" i="19"/>
  <c r="I91" i="19"/>
  <c r="I106" i="19"/>
  <c r="I119" i="19"/>
  <c r="I123" i="19"/>
  <c r="N123" i="19" s="1"/>
  <c r="I102" i="19"/>
  <c r="I110" i="19"/>
  <c r="I116" i="19"/>
  <c r="I105" i="19"/>
  <c r="I92" i="19"/>
  <c r="I95" i="19"/>
  <c r="I121" i="19"/>
  <c r="I130" i="19"/>
  <c r="I98" i="19"/>
  <c r="I99" i="19"/>
  <c r="I97" i="19"/>
  <c r="L32" i="19"/>
  <c r="L33" i="19"/>
  <c r="J116" i="19"/>
  <c r="J94" i="19"/>
  <c r="J95" i="19"/>
  <c r="J105" i="19"/>
  <c r="J119" i="19"/>
  <c r="J111" i="19"/>
  <c r="J125" i="19"/>
  <c r="J115" i="19"/>
  <c r="N115" i="19" s="1"/>
  <c r="J88" i="19"/>
  <c r="J102" i="19"/>
  <c r="J108" i="19"/>
  <c r="J113" i="19"/>
  <c r="J122" i="19"/>
  <c r="J107" i="19"/>
  <c r="N107" i="19" s="1"/>
  <c r="J97" i="19"/>
  <c r="J98" i="19"/>
  <c r="J90" i="19"/>
  <c r="J91" i="19"/>
  <c r="J104" i="19"/>
  <c r="N104" i="19" s="1"/>
  <c r="J128" i="19"/>
  <c r="N128" i="19" s="1"/>
  <c r="J100" i="19"/>
  <c r="J124" i="19"/>
  <c r="N124" i="19" s="1"/>
  <c r="J92" i="19"/>
  <c r="J101" i="19"/>
  <c r="J118" i="19"/>
  <c r="N118" i="19" s="1"/>
  <c r="J131" i="19"/>
  <c r="N131" i="19" s="1"/>
  <c r="I82" i="19"/>
  <c r="I85" i="19"/>
  <c r="I83" i="19"/>
  <c r="I84" i="19"/>
  <c r="L122" i="19"/>
  <c r="L110" i="19"/>
  <c r="L121" i="19"/>
  <c r="L120" i="19"/>
  <c r="L95" i="19"/>
  <c r="L131" i="19"/>
  <c r="L94" i="19"/>
  <c r="L118" i="19"/>
  <c r="L132" i="19"/>
  <c r="N132" i="19" s="1"/>
  <c r="L90" i="19"/>
  <c r="L98" i="19"/>
  <c r="L101" i="19"/>
  <c r="L93" i="19"/>
  <c r="L92" i="19"/>
  <c r="L107" i="19"/>
  <c r="L100" i="19"/>
  <c r="L111" i="19"/>
  <c r="L117" i="19"/>
  <c r="L106" i="19"/>
  <c r="L109" i="19"/>
  <c r="L108" i="19"/>
  <c r="L129" i="19"/>
  <c r="L130" i="19"/>
  <c r="L99" i="19"/>
  <c r="N99" i="19" s="1"/>
  <c r="L88" i="19"/>
  <c r="L119" i="19"/>
  <c r="N126" i="19"/>
  <c r="J82" i="19"/>
  <c r="J84" i="19"/>
  <c r="J83" i="19"/>
  <c r="J85" i="19"/>
  <c r="I77" i="19"/>
  <c r="I78" i="19"/>
  <c r="I80" i="19"/>
  <c r="I79" i="19"/>
  <c r="L38" i="19"/>
  <c r="L37" i="19"/>
  <c r="J79" i="19"/>
  <c r="J78" i="19"/>
  <c r="J80" i="19"/>
  <c r="J77" i="19"/>
  <c r="I72" i="19"/>
  <c r="I75" i="19"/>
  <c r="I73" i="19"/>
  <c r="I74" i="19"/>
  <c r="L83" i="19"/>
  <c r="L82" i="19"/>
  <c r="J73" i="19"/>
  <c r="J75" i="19"/>
  <c r="J74" i="19"/>
  <c r="J72" i="19"/>
  <c r="I67" i="19"/>
  <c r="I69" i="19"/>
  <c r="I68" i="19"/>
  <c r="I70" i="19"/>
  <c r="L78" i="19"/>
  <c r="L77" i="19"/>
  <c r="J68" i="19"/>
  <c r="J70" i="19"/>
  <c r="J69" i="19"/>
  <c r="J67" i="19"/>
  <c r="I65" i="19"/>
  <c r="I62" i="19"/>
  <c r="I64" i="19"/>
  <c r="I63" i="19"/>
  <c r="L73" i="19"/>
  <c r="L72" i="19"/>
  <c r="J62" i="19"/>
  <c r="J65" i="19"/>
  <c r="J64" i="19"/>
  <c r="J63" i="19"/>
  <c r="I59" i="19"/>
  <c r="I57" i="19"/>
  <c r="I60" i="19"/>
  <c r="I58" i="19"/>
  <c r="J58" i="19"/>
  <c r="J60" i="19"/>
  <c r="J59" i="19"/>
  <c r="J57" i="19"/>
  <c r="I55" i="19"/>
  <c r="I52" i="19"/>
  <c r="I53" i="19"/>
  <c r="I54" i="19"/>
  <c r="I50" i="19"/>
  <c r="I47" i="19"/>
  <c r="I49" i="19"/>
  <c r="I48" i="19"/>
  <c r="I45" i="19"/>
  <c r="I43" i="19"/>
  <c r="I42" i="19"/>
  <c r="I44" i="19"/>
  <c r="N129" i="19"/>
  <c r="L58" i="19"/>
  <c r="L57" i="19"/>
  <c r="C5" i="20"/>
  <c r="J5" i="20" s="1"/>
  <c r="H5" i="20"/>
  <c r="O5" i="20" s="1"/>
  <c r="B4" i="20"/>
  <c r="G5" i="20"/>
  <c r="N5" i="20" s="1"/>
  <c r="F5" i="20"/>
  <c r="M5" i="20" s="1"/>
  <c r="E5" i="20"/>
  <c r="L5" i="20" s="1"/>
  <c r="D5" i="20"/>
  <c r="K5" i="20" s="1"/>
  <c r="I39" i="19"/>
  <c r="I38" i="19"/>
  <c r="N38" i="19" s="1"/>
  <c r="R38" i="19" s="1"/>
  <c r="I37" i="19"/>
  <c r="N37" i="19" s="1"/>
  <c r="R37" i="19" s="1"/>
  <c r="I40" i="19"/>
  <c r="N120" i="19"/>
  <c r="L48" i="19"/>
  <c r="L47" i="19"/>
  <c r="J42" i="19"/>
  <c r="J44" i="19"/>
  <c r="J43" i="19"/>
  <c r="J45" i="19"/>
  <c r="N109" i="19"/>
  <c r="J50" i="19"/>
  <c r="J49" i="19"/>
  <c r="J48" i="19"/>
  <c r="J47" i="19"/>
  <c r="L62" i="19"/>
  <c r="L63" i="19"/>
  <c r="L42" i="19"/>
  <c r="L43" i="19"/>
  <c r="N93" i="19"/>
  <c r="J54" i="19"/>
  <c r="J52" i="19"/>
  <c r="J55" i="19"/>
  <c r="J53" i="19"/>
  <c r="I33" i="19"/>
  <c r="I34" i="19"/>
  <c r="I35" i="19"/>
  <c r="I32" i="19"/>
  <c r="L67" i="19"/>
  <c r="L68" i="19"/>
  <c r="L52" i="19"/>
  <c r="L53" i="19"/>
  <c r="I125" i="17"/>
  <c r="N125" i="17" s="1"/>
  <c r="I123" i="17"/>
  <c r="N123" i="17" s="1"/>
  <c r="I95" i="17"/>
  <c r="N95" i="17" s="1"/>
  <c r="I127" i="17"/>
  <c r="N127" i="17" s="1"/>
  <c r="I93" i="17"/>
  <c r="N93" i="17" s="1"/>
  <c r="I88" i="17"/>
  <c r="I103" i="17"/>
  <c r="I92" i="17"/>
  <c r="N92" i="17" s="1"/>
  <c r="I121" i="17"/>
  <c r="N121" i="17" s="1"/>
  <c r="I105" i="17"/>
  <c r="N105" i="17" s="1"/>
  <c r="I98" i="17"/>
  <c r="I130" i="17"/>
  <c r="N130" i="17" s="1"/>
  <c r="I97" i="17"/>
  <c r="N97" i="17" s="1"/>
  <c r="I90" i="17"/>
  <c r="N90" i="17" s="1"/>
  <c r="I99" i="17"/>
  <c r="N99" i="17" s="1"/>
  <c r="I119" i="17"/>
  <c r="N119" i="17" s="1"/>
  <c r="I91" i="17"/>
  <c r="I102" i="17"/>
  <c r="N102" i="17" s="1"/>
  <c r="I116" i="17"/>
  <c r="N116" i="17" s="1"/>
  <c r="I101" i="17"/>
  <c r="N101" i="17" s="1"/>
  <c r="I117" i="17"/>
  <c r="N117" i="17" s="1"/>
  <c r="I113" i="17"/>
  <c r="I110" i="17"/>
  <c r="N110" i="17" s="1"/>
  <c r="I108" i="17"/>
  <c r="N108" i="17" s="1"/>
  <c r="I106" i="17"/>
  <c r="N106" i="17" s="1"/>
  <c r="I114" i="17"/>
  <c r="N114" i="17" s="1"/>
  <c r="N126" i="17"/>
  <c r="N131" i="17"/>
  <c r="I84" i="17"/>
  <c r="I85" i="17"/>
  <c r="N85" i="17" s="1"/>
  <c r="R85" i="17" s="1"/>
  <c r="I82" i="17"/>
  <c r="N82" i="17" s="1"/>
  <c r="R82" i="17" s="1"/>
  <c r="I83" i="17"/>
  <c r="N129" i="17"/>
  <c r="N103" i="17"/>
  <c r="N107" i="17"/>
  <c r="I63" i="17"/>
  <c r="N63" i="17" s="1"/>
  <c r="R63" i="17" s="1"/>
  <c r="I65" i="17"/>
  <c r="N65" i="17" s="1"/>
  <c r="R65" i="17" s="1"/>
  <c r="I64" i="17"/>
  <c r="N64" i="17" s="1"/>
  <c r="R64" i="17" s="1"/>
  <c r="I62" i="17"/>
  <c r="N120" i="17"/>
  <c r="I43" i="17"/>
  <c r="I44" i="17"/>
  <c r="I42" i="17"/>
  <c r="I45" i="17"/>
  <c r="N45" i="17" s="1"/>
  <c r="R45" i="17" s="1"/>
  <c r="I35" i="17"/>
  <c r="N35" i="17" s="1"/>
  <c r="R35" i="17" s="1"/>
  <c r="I33" i="17"/>
  <c r="N33" i="17" s="1"/>
  <c r="R33" i="17" s="1"/>
  <c r="I34" i="17"/>
  <c r="N34" i="17" s="1"/>
  <c r="R34" i="17" s="1"/>
  <c r="I32" i="17"/>
  <c r="N32" i="17" s="1"/>
  <c r="R32" i="17" s="1"/>
  <c r="N109" i="17"/>
  <c r="N113" i="17"/>
  <c r="I48" i="17"/>
  <c r="N48" i="17" s="1"/>
  <c r="R48" i="17" s="1"/>
  <c r="I47" i="17"/>
  <c r="N47" i="17" s="1"/>
  <c r="R47" i="17" s="1"/>
  <c r="I49" i="17"/>
  <c r="N49" i="17" s="1"/>
  <c r="R49" i="17" s="1"/>
  <c r="I50" i="17"/>
  <c r="N50" i="17" s="1"/>
  <c r="R50" i="17" s="1"/>
  <c r="N104" i="17"/>
  <c r="N84" i="17"/>
  <c r="R84" i="17" s="1"/>
  <c r="I60" i="17"/>
  <c r="N60" i="17" s="1"/>
  <c r="R60" i="17" s="1"/>
  <c r="I59" i="17"/>
  <c r="N59" i="17" s="1"/>
  <c r="R59" i="17" s="1"/>
  <c r="I57" i="17"/>
  <c r="N57" i="17" s="1"/>
  <c r="R57" i="17" s="1"/>
  <c r="I58" i="17"/>
  <c r="N58" i="17" s="1"/>
  <c r="R58" i="17" s="1"/>
  <c r="N124" i="17"/>
  <c r="N100" i="17"/>
  <c r="N83" i="17"/>
  <c r="R83" i="17" s="1"/>
  <c r="I77" i="17"/>
  <c r="N77" i="17" s="1"/>
  <c r="R77" i="17" s="1"/>
  <c r="I80" i="17"/>
  <c r="N80" i="17" s="1"/>
  <c r="R80" i="17" s="1"/>
  <c r="I79" i="17"/>
  <c r="N79" i="17" s="1"/>
  <c r="R79" i="17" s="1"/>
  <c r="I78" i="17"/>
  <c r="N78" i="17" s="1"/>
  <c r="R78" i="17" s="1"/>
  <c r="N98" i="17"/>
  <c r="I37" i="17"/>
  <c r="N37" i="17" s="1"/>
  <c r="R37" i="17" s="1"/>
  <c r="I40" i="17"/>
  <c r="N40" i="17" s="1"/>
  <c r="R40" i="17" s="1"/>
  <c r="I39" i="17"/>
  <c r="N39" i="17" s="1"/>
  <c r="R39" i="17" s="1"/>
  <c r="I38" i="17"/>
  <c r="N38" i="17" s="1"/>
  <c r="R38" i="17" s="1"/>
  <c r="I52" i="17"/>
  <c r="N52" i="17" s="1"/>
  <c r="R52" i="17" s="1"/>
  <c r="I53" i="17"/>
  <c r="N53" i="17" s="1"/>
  <c r="R53" i="17" s="1"/>
  <c r="I55" i="17"/>
  <c r="N55" i="17" s="1"/>
  <c r="R55" i="17" s="1"/>
  <c r="I54" i="17"/>
  <c r="N54" i="17" s="1"/>
  <c r="R54" i="17" s="1"/>
  <c r="N88" i="17"/>
  <c r="N62" i="17"/>
  <c r="R62" i="17" s="1"/>
  <c r="N44" i="17"/>
  <c r="R44" i="17" s="1"/>
  <c r="N132" i="17"/>
  <c r="N91" i="17"/>
  <c r="N43" i="17"/>
  <c r="R43" i="17" s="1"/>
  <c r="I72" i="17"/>
  <c r="I73" i="17"/>
  <c r="N73" i="17" s="1"/>
  <c r="R73" i="17" s="1"/>
  <c r="I75" i="17"/>
  <c r="N75" i="17" s="1"/>
  <c r="R75" i="17" s="1"/>
  <c r="I74" i="17"/>
  <c r="N74" i="17" s="1"/>
  <c r="R74" i="17" s="1"/>
  <c r="N72" i="17"/>
  <c r="R72" i="17" s="1"/>
  <c r="N42" i="17"/>
  <c r="R42" i="17" s="1"/>
  <c r="I68" i="17"/>
  <c r="N68" i="17" s="1"/>
  <c r="R68" i="17" s="1"/>
  <c r="I69" i="17"/>
  <c r="N69" i="17" s="1"/>
  <c r="R69" i="17" s="1"/>
  <c r="I67" i="17"/>
  <c r="N67" i="17" s="1"/>
  <c r="R67" i="17" s="1"/>
  <c r="I70" i="17"/>
  <c r="N70" i="17" s="1"/>
  <c r="R70" i="17" s="1"/>
  <c r="N118" i="17"/>
  <c r="Y16" i="14"/>
  <c r="AK52" i="14" a="1"/>
  <c r="AK52" i="14" s="1"/>
  <c r="AO54" i="14" a="1"/>
  <c r="AO54" i="14" s="1"/>
  <c r="AO53" i="14" a="1"/>
  <c r="AO53" i="14" s="1"/>
  <c r="AO55" i="14" a="1"/>
  <c r="AO55" i="14" s="1"/>
  <c r="AO52" i="14" a="1"/>
  <c r="AO52" i="14" s="1"/>
  <c r="AO56" i="14" a="1"/>
  <c r="AO56" i="14" s="1"/>
  <c r="AO51" i="14" a="1"/>
  <c r="AO51" i="14" s="1"/>
  <c r="AO57" i="14" a="1"/>
  <c r="AO57" i="14" s="1"/>
  <c r="AO50" i="14" a="1"/>
  <c r="AO50" i="14" s="1"/>
  <c r="AL52" i="14" a="1"/>
  <c r="AL52" i="14" s="1"/>
  <c r="AL56" i="14" a="1"/>
  <c r="AL56" i="14" s="1"/>
  <c r="AM51" i="14" a="1"/>
  <c r="AM51" i="14" s="1"/>
  <c r="AM55" i="14" a="1"/>
  <c r="AM55" i="14" s="1"/>
  <c r="AL54" i="14" a="1"/>
  <c r="AL54" i="14" s="1"/>
  <c r="AP50" i="14" a="1"/>
  <c r="AP50" i="14" s="1"/>
  <c r="AP51" i="14" a="1"/>
  <c r="AP51" i="14" s="1"/>
  <c r="AM57" i="14" a="1"/>
  <c r="AM57" i="14" s="1"/>
  <c r="AP57" i="14" a="1"/>
  <c r="AP57" i="14" s="1"/>
  <c r="AN54" i="14" a="1"/>
  <c r="AN54" i="14" s="1"/>
  <c r="AN51" i="14" a="1"/>
  <c r="AN51" i="14" s="1"/>
  <c r="AN50" i="14" a="1"/>
  <c r="AN50" i="14" s="1"/>
  <c r="AL53" i="14" a="1"/>
  <c r="AL53" i="14" s="1"/>
  <c r="AM56" i="14" a="1"/>
  <c r="AM56" i="14" s="1"/>
  <c r="AP55" i="14" a="1"/>
  <c r="AP55" i="14" s="1"/>
  <c r="AL51" i="14" a="1"/>
  <c r="AL51" i="14" s="1"/>
  <c r="AL55" i="14" a="1"/>
  <c r="AL55" i="14" s="1"/>
  <c r="AN57" i="14" a="1"/>
  <c r="AN57" i="14" s="1"/>
  <c r="AM54" i="14" a="1"/>
  <c r="AM54" i="14" s="1"/>
  <c r="AN55" i="14" a="1"/>
  <c r="AN55" i="14" s="1"/>
  <c r="AP54" i="14" a="1"/>
  <c r="AP54" i="14" s="1"/>
  <c r="AP56" i="14" a="1"/>
  <c r="AP56" i="14" s="1"/>
  <c r="AL50" i="14" a="1"/>
  <c r="AL50" i="14" s="1"/>
  <c r="AN52" i="14" a="1"/>
  <c r="AN52" i="14" s="1"/>
  <c r="AL57" i="14" a="1"/>
  <c r="AL57" i="14" s="1"/>
  <c r="AN56" i="14" a="1"/>
  <c r="AN56" i="14" s="1"/>
  <c r="AM53" i="14" a="1"/>
  <c r="AM53" i="14" s="1"/>
  <c r="AM52" i="14" a="1"/>
  <c r="AM52" i="14" s="1"/>
  <c r="AN53" i="14" a="1"/>
  <c r="AN53" i="14" s="1"/>
  <c r="AP52" i="14" a="1"/>
  <c r="AP52" i="14" s="1"/>
  <c r="AP53" i="14" a="1"/>
  <c r="AP53" i="14" s="1"/>
  <c r="AM50" i="14" a="1"/>
  <c r="AM50" i="14" s="1"/>
  <c r="AK57" i="14" a="1"/>
  <c r="AK57" i="14" s="1"/>
  <c r="AK50" i="14" a="1"/>
  <c r="AK50" i="14" s="1"/>
  <c r="AK56" i="14" a="1"/>
  <c r="AK56" i="14" s="1"/>
  <c r="AK55" i="14" a="1"/>
  <c r="AK55" i="14" s="1"/>
  <c r="AK54" i="14" a="1"/>
  <c r="AK54" i="14" s="1"/>
  <c r="AK53" i="14" a="1"/>
  <c r="AK53" i="14" s="1"/>
  <c r="AK51" i="14" a="1"/>
  <c r="AK51" i="14" s="1"/>
  <c r="H4" i="14"/>
  <c r="O4" i="14" s="1"/>
  <c r="G4" i="14"/>
  <c r="N4" i="14" s="1"/>
  <c r="F4" i="14"/>
  <c r="M4" i="14" s="1"/>
  <c r="E4" i="14"/>
  <c r="L4" i="14" s="1"/>
  <c r="D4" i="14"/>
  <c r="K4" i="14" s="1"/>
  <c r="C4" i="14"/>
  <c r="J4" i="14" s="1"/>
  <c r="AJ17" i="14"/>
  <c r="AO16" i="14" a="1"/>
  <c r="AO16" i="14" s="1"/>
  <c r="AL16" i="14" a="1"/>
  <c r="AL16" i="14" s="1"/>
  <c r="AP16" i="14" a="1"/>
  <c r="AP16" i="14" s="1"/>
  <c r="AM16" i="14" a="1"/>
  <c r="AM16" i="14" s="1"/>
  <c r="AN16" i="14" a="1"/>
  <c r="AN16" i="14" s="1"/>
  <c r="AK16" i="14" a="1"/>
  <c r="AK16" i="14" s="1"/>
  <c r="AW35" i="14"/>
  <c r="Y17" i="10"/>
  <c r="AN58" i="10" a="1"/>
  <c r="AN58" i="10" s="1"/>
  <c r="AM58" i="10" a="1"/>
  <c r="AM58" i="10" s="1"/>
  <c r="AP63" i="10" a="1"/>
  <c r="AP63" i="10" s="1"/>
  <c r="AP64" i="10" a="1"/>
  <c r="AP64" i="10" s="1"/>
  <c r="AP58" i="10" a="1"/>
  <c r="AP58" i="10" s="1"/>
  <c r="AP61" i="10" a="1"/>
  <c r="AP61" i="10" s="1"/>
  <c r="AP65" i="10" a="1"/>
  <c r="AP65" i="10" s="1"/>
  <c r="AP59" i="10" a="1"/>
  <c r="AP59" i="10" s="1"/>
  <c r="AP60" i="10" a="1"/>
  <c r="AP60" i="10" s="1"/>
  <c r="AP62" i="10" a="1"/>
  <c r="AP62" i="10" s="1"/>
  <c r="AL58" i="10" a="1"/>
  <c r="AL58" i="10" s="1"/>
  <c r="AL61" i="10" a="1"/>
  <c r="AL61" i="10" s="1"/>
  <c r="AK65" i="10" a="1"/>
  <c r="AK65" i="10" s="1"/>
  <c r="AO59" i="10" a="1"/>
  <c r="AO59" i="10" s="1"/>
  <c r="AO65" i="10" a="1"/>
  <c r="AO65" i="10" s="1"/>
  <c r="AN65" i="10" a="1"/>
  <c r="AN65" i="10" s="1"/>
  <c r="AO60" i="10" a="1"/>
  <c r="AO60" i="10" s="1"/>
  <c r="AO62" i="10" a="1"/>
  <c r="AO62" i="10" s="1"/>
  <c r="AN60" i="10" a="1"/>
  <c r="AN60" i="10" s="1"/>
  <c r="AM59" i="10" a="1"/>
  <c r="AM59" i="10" s="1"/>
  <c r="AO58" i="10" a="1"/>
  <c r="AO58" i="10" s="1"/>
  <c r="AM62" i="10" a="1"/>
  <c r="AM62" i="10" s="1"/>
  <c r="AN63" i="10" a="1"/>
  <c r="AN63" i="10" s="1"/>
  <c r="AK64" i="10" a="1"/>
  <c r="AK64" i="10" s="1"/>
  <c r="AM61" i="10" a="1"/>
  <c r="AM61" i="10" s="1"/>
  <c r="AN64" i="10" a="1"/>
  <c r="AN64" i="10" s="1"/>
  <c r="AM65" i="10" a="1"/>
  <c r="AM65" i="10" s="1"/>
  <c r="AK61" i="10" a="1"/>
  <c r="AK61" i="10" s="1"/>
  <c r="AK63" i="10" a="1"/>
  <c r="AK63" i="10" s="1"/>
  <c r="AK58" i="10" a="1"/>
  <c r="AK58" i="10" s="1"/>
  <c r="AK60" i="10" a="1"/>
  <c r="AK60" i="10" s="1"/>
  <c r="AN62" i="10" a="1"/>
  <c r="AN62" i="10" s="1"/>
  <c r="AO63" i="10" a="1"/>
  <c r="AO63" i="10" s="1"/>
  <c r="AM60" i="10" a="1"/>
  <c r="AM60" i="10" s="1"/>
  <c r="AO61" i="10" a="1"/>
  <c r="AO61" i="10" s="1"/>
  <c r="AL63" i="10" a="1"/>
  <c r="AL63" i="10" s="1"/>
  <c r="AL64" i="10" a="1"/>
  <c r="AL64" i="10" s="1"/>
  <c r="AL62" i="10" a="1"/>
  <c r="AL62" i="10" s="1"/>
  <c r="AN61" i="10" a="1"/>
  <c r="AN61" i="10" s="1"/>
  <c r="AL60" i="10" a="1"/>
  <c r="AL60" i="10" s="1"/>
  <c r="AK59" i="10" a="1"/>
  <c r="AK59" i="10" s="1"/>
  <c r="AO64" i="10" a="1"/>
  <c r="AO64" i="10" s="1"/>
  <c r="AN59" i="10" a="1"/>
  <c r="AN59" i="10" s="1"/>
  <c r="AL65" i="10" a="1"/>
  <c r="AL65" i="10" s="1"/>
  <c r="AM63" i="10" a="1"/>
  <c r="AM63" i="10" s="1"/>
  <c r="AM64" i="10" a="1"/>
  <c r="AM64" i="10" s="1"/>
  <c r="AL59" i="10" a="1"/>
  <c r="AL59" i="10" s="1"/>
  <c r="AK62" i="10" a="1"/>
  <c r="AK62" i="10" s="1"/>
  <c r="AJ25" i="12"/>
  <c r="AM24" i="12" a="1"/>
  <c r="AM24" i="12" s="1"/>
  <c r="AL24" i="12" a="1"/>
  <c r="AL24" i="12" s="1"/>
  <c r="AK24" i="12" a="1"/>
  <c r="AK24" i="12" s="1"/>
  <c r="AN24" i="12" a="1"/>
  <c r="AN24" i="12" s="1"/>
  <c r="AP24" i="12" a="1"/>
  <c r="AP24" i="12" s="1"/>
  <c r="AO24" i="12" a="1"/>
  <c r="AO24" i="12" s="1"/>
  <c r="Y18" i="13"/>
  <c r="AO69" i="13" a="1"/>
  <c r="AO69" i="13" s="1"/>
  <c r="AP72" i="13" a="1"/>
  <c r="AP72" i="13" s="1"/>
  <c r="AO70" i="13" a="1"/>
  <c r="AO70" i="13" s="1"/>
  <c r="AN72" i="13" a="1"/>
  <c r="AN72" i="13" s="1"/>
  <c r="AO73" i="13" a="1"/>
  <c r="AO73" i="13" s="1"/>
  <c r="AW31" i="13" s="1"/>
  <c r="AN70" i="13" a="1"/>
  <c r="AN70" i="13" s="1"/>
  <c r="AN69" i="13" a="1"/>
  <c r="AN69" i="13" s="1"/>
  <c r="AL73" i="13" a="1"/>
  <c r="AL73" i="13" s="1"/>
  <c r="AT31" i="13" s="1"/>
  <c r="AL66" i="13" a="1"/>
  <c r="AL66" i="13" s="1"/>
  <c r="AP69" i="13" a="1"/>
  <c r="AP69" i="13" s="1"/>
  <c r="AN67" i="13" a="1"/>
  <c r="AN67" i="13" s="1"/>
  <c r="AP71" i="13" a="1"/>
  <c r="AP71" i="13" s="1"/>
  <c r="AO68" i="13" a="1"/>
  <c r="AO68" i="13" s="1"/>
  <c r="AN66" i="13" a="1"/>
  <c r="AN66" i="13" s="1"/>
  <c r="AL68" i="13" a="1"/>
  <c r="AL68" i="13" s="1"/>
  <c r="AL71" i="13" a="1"/>
  <c r="AL71" i="13" s="1"/>
  <c r="AO66" i="13" a="1"/>
  <c r="AO66" i="13" s="1"/>
  <c r="AP68" i="13" a="1"/>
  <c r="AP68" i="13" s="1"/>
  <c r="AP73" i="13" a="1"/>
  <c r="AP73" i="13" s="1"/>
  <c r="AX31" i="13" s="1"/>
  <c r="AP66" i="13" a="1"/>
  <c r="AP66" i="13" s="1"/>
  <c r="AN68" i="13" a="1"/>
  <c r="AN68" i="13" s="1"/>
  <c r="AN73" i="13" a="1"/>
  <c r="AN73" i="13" s="1"/>
  <c r="AV31" i="13" s="1"/>
  <c r="AL70" i="13" a="1"/>
  <c r="AL70" i="13" s="1"/>
  <c r="AL69" i="13" a="1"/>
  <c r="AL69" i="13" s="1"/>
  <c r="AN71" i="13" a="1"/>
  <c r="AN71" i="13" s="1"/>
  <c r="AL67" i="13" a="1"/>
  <c r="AL67" i="13" s="1"/>
  <c r="AO72" i="13" a="1"/>
  <c r="AO72" i="13" s="1"/>
  <c r="AL72" i="13" a="1"/>
  <c r="AL72" i="13" s="1"/>
  <c r="AP67" i="13" a="1"/>
  <c r="AP67" i="13" s="1"/>
  <c r="AP70" i="13" a="1"/>
  <c r="AP70" i="13" s="1"/>
  <c r="AO67" i="13" a="1"/>
  <c r="AO67" i="13" s="1"/>
  <c r="AO71" i="13" a="1"/>
  <c r="AO71" i="13" s="1"/>
  <c r="AK68" i="13" a="1"/>
  <c r="AK68" i="13" s="1"/>
  <c r="AM70" i="13" a="1"/>
  <c r="AM70" i="13" s="1"/>
  <c r="AM66" i="13" a="1"/>
  <c r="AM66" i="13" s="1"/>
  <c r="AM71" i="13" a="1"/>
  <c r="AM71" i="13" s="1"/>
  <c r="AM68" i="13" a="1"/>
  <c r="AM68" i="13" s="1"/>
  <c r="AM69" i="13" a="1"/>
  <c r="AM69" i="13" s="1"/>
  <c r="AK73" i="13" a="1"/>
  <c r="AK73" i="13" s="1"/>
  <c r="AS31" i="13" s="1"/>
  <c r="AK71" i="13" a="1"/>
  <c r="AK71" i="13" s="1"/>
  <c r="AK67" i="13" a="1"/>
  <c r="AK67" i="13" s="1"/>
  <c r="AM67" i="13" a="1"/>
  <c r="AM67" i="13" s="1"/>
  <c r="AM72" i="13" a="1"/>
  <c r="AM72" i="13" s="1"/>
  <c r="AK72" i="13" a="1"/>
  <c r="AK72" i="13" s="1"/>
  <c r="AK69" i="13" a="1"/>
  <c r="AK69" i="13" s="1"/>
  <c r="AK70" i="13" a="1"/>
  <c r="AK70" i="13" s="1"/>
  <c r="AK66" i="13" a="1"/>
  <c r="AK66" i="13" s="1"/>
  <c r="AM73" i="13" a="1"/>
  <c r="AM73" i="13" s="1"/>
  <c r="AU31" i="13" s="1"/>
  <c r="AJ15" i="12"/>
  <c r="AN14" i="12" a="1"/>
  <c r="AN14" i="12" s="1"/>
  <c r="AO14" i="12" a="1"/>
  <c r="AO14" i="12" s="1"/>
  <c r="AK14" i="12" a="1"/>
  <c r="AK14" i="12" s="1"/>
  <c r="AM14" i="12" a="1"/>
  <c r="AM14" i="12" s="1"/>
  <c r="AL14" i="12" a="1"/>
  <c r="AL14" i="12" s="1"/>
  <c r="AP14" i="12" a="1"/>
  <c r="AP14" i="12" s="1"/>
  <c r="AJ15" i="11"/>
  <c r="AN14" i="11" a="1"/>
  <c r="AN14" i="11" s="1"/>
  <c r="AM14" i="11" a="1"/>
  <c r="AM14" i="11" s="1"/>
  <c r="AP14" i="11" a="1"/>
  <c r="AP14" i="11" s="1"/>
  <c r="AL14" i="11" a="1"/>
  <c r="AL14" i="11" s="1"/>
  <c r="AK14" i="11" a="1"/>
  <c r="AK14" i="11" s="1"/>
  <c r="AO14" i="11" a="1"/>
  <c r="AO14" i="11" s="1"/>
  <c r="H4" i="13"/>
  <c r="O4" i="13" s="1"/>
  <c r="D4" i="13"/>
  <c r="K4" i="13" s="1"/>
  <c r="G4" i="13"/>
  <c r="N4" i="13" s="1"/>
  <c r="F4" i="13"/>
  <c r="M4" i="13" s="1"/>
  <c r="C4" i="13"/>
  <c r="J4" i="13" s="1"/>
  <c r="E4" i="13"/>
  <c r="L4" i="13" s="1"/>
  <c r="E5" i="11"/>
  <c r="L5" i="11" s="1"/>
  <c r="B4" i="11"/>
  <c r="H5" i="11"/>
  <c r="O5" i="11" s="1"/>
  <c r="G5" i="11"/>
  <c r="N5" i="11" s="1"/>
  <c r="C5" i="11"/>
  <c r="J5" i="11" s="1"/>
  <c r="F5" i="11"/>
  <c r="M5" i="11" s="1"/>
  <c r="D5" i="11"/>
  <c r="K5" i="11" s="1"/>
  <c r="AJ15" i="10"/>
  <c r="AP14" i="10" a="1"/>
  <c r="AP14" i="10" s="1"/>
  <c r="AL14" i="10" a="1"/>
  <c r="AL14" i="10" s="1"/>
  <c r="AN14" i="10" a="1"/>
  <c r="AN14" i="10" s="1"/>
  <c r="AK14" i="10" a="1"/>
  <c r="AK14" i="10" s="1"/>
  <c r="AO14" i="10" a="1"/>
  <c r="AO14" i="10" s="1"/>
  <c r="AM14" i="10" a="1"/>
  <c r="AM14" i="10" s="1"/>
  <c r="AU26" i="8"/>
  <c r="Y19" i="9"/>
  <c r="AN81" i="9" a="1"/>
  <c r="AN81" i="9" s="1"/>
  <c r="AN78" i="9" a="1"/>
  <c r="AN78" i="9" s="1"/>
  <c r="AM75" i="9" a="1"/>
  <c r="AM75" i="9" s="1"/>
  <c r="AK75" i="9" a="1"/>
  <c r="AK75" i="9" s="1"/>
  <c r="AN76" i="9" a="1"/>
  <c r="AN76" i="9" s="1"/>
  <c r="AM76" i="9" a="1"/>
  <c r="AM76" i="9" s="1"/>
  <c r="AN77" i="9" a="1"/>
  <c r="AN77" i="9" s="1"/>
  <c r="AN75" i="9" a="1"/>
  <c r="AN75" i="9" s="1"/>
  <c r="AN80" i="9" a="1"/>
  <c r="AN80" i="9" s="1"/>
  <c r="AM74" i="9" a="1"/>
  <c r="AM74" i="9" s="1"/>
  <c r="AK80" i="9" a="1"/>
  <c r="AK80" i="9" s="1"/>
  <c r="AK77" i="9" a="1"/>
  <c r="AK77" i="9" s="1"/>
  <c r="AK81" i="9" a="1"/>
  <c r="AK81" i="9" s="1"/>
  <c r="AM80" i="9" a="1"/>
  <c r="AM80" i="9" s="1"/>
  <c r="AK79" i="9" a="1"/>
  <c r="AK79" i="9" s="1"/>
  <c r="AK76" i="9" a="1"/>
  <c r="AK76" i="9" s="1"/>
  <c r="AN79" i="9" a="1"/>
  <c r="AN79" i="9" s="1"/>
  <c r="AN74" i="9" a="1"/>
  <c r="AN74" i="9" s="1"/>
  <c r="AM78" i="9" a="1"/>
  <c r="AM78" i="9" s="1"/>
  <c r="AM81" i="9" a="1"/>
  <c r="AM81" i="9" s="1"/>
  <c r="AM77" i="9" a="1"/>
  <c r="AM77" i="9" s="1"/>
  <c r="AM79" i="9" a="1"/>
  <c r="AM79" i="9" s="1"/>
  <c r="AK74" i="9" a="1"/>
  <c r="AK74" i="9" s="1"/>
  <c r="AK78" i="9" a="1"/>
  <c r="AK78" i="9" s="1"/>
  <c r="AO80" i="9" a="1"/>
  <c r="AO80" i="9" s="1"/>
  <c r="AL81" i="9" a="1"/>
  <c r="AL81" i="9" s="1"/>
  <c r="AL74" i="9" a="1"/>
  <c r="AL74" i="9" s="1"/>
  <c r="AO77" i="9" a="1"/>
  <c r="AO77" i="9" s="1"/>
  <c r="AP80" i="9" a="1"/>
  <c r="AP80" i="9" s="1"/>
  <c r="AO81" i="9" a="1"/>
  <c r="AO81" i="9" s="1"/>
  <c r="AO79" i="9" a="1"/>
  <c r="AO79" i="9" s="1"/>
  <c r="AP76" i="9" a="1"/>
  <c r="AP76" i="9" s="1"/>
  <c r="AP74" i="9" a="1"/>
  <c r="AP74" i="9" s="1"/>
  <c r="AL78" i="9" a="1"/>
  <c r="AL78" i="9" s="1"/>
  <c r="AP79" i="9" a="1"/>
  <c r="AP79" i="9" s="1"/>
  <c r="AO76" i="9" a="1"/>
  <c r="AO76" i="9" s="1"/>
  <c r="AL75" i="9" a="1"/>
  <c r="AL75" i="9" s="1"/>
  <c r="AO78" i="9" a="1"/>
  <c r="AO78" i="9" s="1"/>
  <c r="AO74" i="9" a="1"/>
  <c r="AO74" i="9" s="1"/>
  <c r="AL77" i="9" a="1"/>
  <c r="AL77" i="9" s="1"/>
  <c r="AP75" i="9" a="1"/>
  <c r="AP75" i="9" s="1"/>
  <c r="AP78" i="9" a="1"/>
  <c r="AP78" i="9" s="1"/>
  <c r="AL80" i="9" a="1"/>
  <c r="AL80" i="9" s="1"/>
  <c r="AL76" i="9" a="1"/>
  <c r="AL76" i="9" s="1"/>
  <c r="AL79" i="9" a="1"/>
  <c r="AL79" i="9" s="1"/>
  <c r="AP77" i="9" a="1"/>
  <c r="AP77" i="9" s="1"/>
  <c r="AP81" i="9" a="1"/>
  <c r="AP81" i="9" s="1"/>
  <c r="AO75" i="9" a="1"/>
  <c r="AO75" i="9" s="1"/>
  <c r="AL17" i="8" a="1"/>
  <c r="AL17" i="8" s="1"/>
  <c r="AT24" i="8" s="1"/>
  <c r="AO17" i="8" a="1"/>
  <c r="AO17" i="8" s="1"/>
  <c r="AW14" i="8" s="1" a="1"/>
  <c r="AW14" i="8" s="1"/>
  <c r="AP17" i="8" a="1"/>
  <c r="AP17" i="8" s="1"/>
  <c r="AX24" i="8" s="1"/>
  <c r="AT29" i="8"/>
  <c r="AV27" i="8"/>
  <c r="AS23" i="8"/>
  <c r="AU31" i="8"/>
  <c r="AU32" i="8"/>
  <c r="AV35" i="8"/>
  <c r="AX31" i="8"/>
  <c r="AU33" i="8"/>
  <c r="AV32" i="8"/>
  <c r="AW25" i="8"/>
  <c r="AS27" i="8"/>
  <c r="AX33" i="8"/>
  <c r="AW29" i="8"/>
  <c r="AS29" i="8"/>
  <c r="AV25" i="8"/>
  <c r="AM17" i="8" a="1"/>
  <c r="AM17" i="8" s="1"/>
  <c r="AU24" i="8" s="1"/>
  <c r="AT28" i="8"/>
  <c r="AS35" i="8"/>
  <c r="AW34" i="8"/>
  <c r="AT26" i="8"/>
  <c r="AW31" i="8"/>
  <c r="AT25" i="8"/>
  <c r="AX30" i="8"/>
  <c r="AW26" i="8"/>
  <c r="AU25" i="8"/>
  <c r="AV33" i="8"/>
  <c r="AT34" i="8"/>
  <c r="AU34" i="8"/>
  <c r="AU23" i="8"/>
  <c r="AT33" i="8"/>
  <c r="AT30" i="8"/>
  <c r="AT27" i="8"/>
  <c r="AT35" i="8"/>
  <c r="AS30" i="8"/>
  <c r="AS28" i="8"/>
  <c r="AV29" i="8"/>
  <c r="AX27" i="8"/>
  <c r="AV26" i="8"/>
  <c r="AX35" i="8"/>
  <c r="AX28" i="8"/>
  <c r="AV31" i="8"/>
  <c r="AX25" i="8"/>
  <c r="AS34" i="8"/>
  <c r="AW33" i="8"/>
  <c r="AV23" i="8"/>
  <c r="AT32" i="8"/>
  <c r="AN17" i="8" a="1"/>
  <c r="AN17" i="8" s="1"/>
  <c r="AV24" i="8" s="1"/>
  <c r="AU27" i="8"/>
  <c r="AS26" i="8"/>
  <c r="AV34" i="8"/>
  <c r="AX29" i="8"/>
  <c r="AS33" i="8"/>
  <c r="AX34" i="8"/>
  <c r="AX32" i="8"/>
  <c r="AW28" i="8"/>
  <c r="AT31" i="8"/>
  <c r="AU29" i="8"/>
  <c r="AV30" i="8"/>
  <c r="AU30" i="8"/>
  <c r="AX23" i="8"/>
  <c r="AT23" i="8"/>
  <c r="AW30" i="8"/>
  <c r="AW27" i="8"/>
  <c r="AK17" i="8" a="1"/>
  <c r="AK17" i="8" s="1"/>
  <c r="AV28" i="8"/>
  <c r="AS32" i="8"/>
  <c r="AW23" i="8"/>
  <c r="AU35" i="8"/>
  <c r="AW32" i="8"/>
  <c r="AS31" i="8"/>
  <c r="H4" i="8"/>
  <c r="O4" i="8" s="1"/>
  <c r="F4" i="8"/>
  <c r="M4" i="8" s="1"/>
  <c r="G4" i="8"/>
  <c r="N4" i="8" s="1"/>
  <c r="E4" i="8"/>
  <c r="L4" i="8" s="1"/>
  <c r="D4" i="8"/>
  <c r="K4" i="8" s="1"/>
  <c r="C4" i="8"/>
  <c r="J4" i="8" s="1"/>
  <c r="AJ15" i="9"/>
  <c r="AM14" i="9" a="1"/>
  <c r="AM14" i="9" s="1"/>
  <c r="AK14" i="9" a="1"/>
  <c r="AK14" i="9" s="1"/>
  <c r="AN14" i="9" a="1"/>
  <c r="AN14" i="9" s="1"/>
  <c r="AL14" i="9" a="1"/>
  <c r="AL14" i="9" s="1"/>
  <c r="AP14" i="9" a="1"/>
  <c r="AP14" i="9" s="1"/>
  <c r="AO14" i="9" a="1"/>
  <c r="AO14" i="9" s="1"/>
  <c r="AX16" i="6" a="1"/>
  <c r="AX16" i="6" s="1"/>
  <c r="AX15" i="6" a="1"/>
  <c r="AX15" i="6" s="1"/>
  <c r="AX17" i="6" a="1"/>
  <c r="AX17" i="6" s="1"/>
  <c r="AX20" i="6" a="1"/>
  <c r="AX20" i="6" s="1"/>
  <c r="AX18" i="6" a="1"/>
  <c r="AX18" i="6" s="1"/>
  <c r="AX13" i="6" a="1"/>
  <c r="AX13" i="6" s="1"/>
  <c r="AX19" i="6" a="1"/>
  <c r="AX19" i="6" s="1"/>
  <c r="AX11" i="6" a="1"/>
  <c r="AX11" i="6" s="1"/>
  <c r="AX14" i="6" a="1"/>
  <c r="AX14" i="6" s="1"/>
  <c r="AX21" i="6" a="1"/>
  <c r="AX21" i="6" s="1"/>
  <c r="AX22" i="6" a="1"/>
  <c r="AX22" i="6" s="1"/>
  <c r="AX12" i="6" a="1"/>
  <c r="AX12" i="6" s="1"/>
  <c r="AX10" i="6" a="1"/>
  <c r="AX10" i="6" s="1"/>
  <c r="P80" i="5"/>
  <c r="Q80" i="5" s="1"/>
  <c r="AW21" i="6" a="1"/>
  <c r="AW21" i="6" s="1"/>
  <c r="AW22" i="6" a="1"/>
  <c r="AW22" i="6" s="1"/>
  <c r="AW14" i="6" a="1"/>
  <c r="AW14" i="6" s="1"/>
  <c r="AW11" i="6" a="1"/>
  <c r="AW11" i="6" s="1"/>
  <c r="AW16" i="6" a="1"/>
  <c r="AW16" i="6" s="1"/>
  <c r="AW20" i="6" a="1"/>
  <c r="AW20" i="6" s="1"/>
  <c r="AW13" i="6" a="1"/>
  <c r="AW13" i="6" s="1"/>
  <c r="AW18" i="6" a="1"/>
  <c r="AW18" i="6" s="1"/>
  <c r="AW19" i="6" a="1"/>
  <c r="AW19" i="6" s="1"/>
  <c r="AW12" i="6" a="1"/>
  <c r="AW12" i="6" s="1"/>
  <c r="AW17" i="6" a="1"/>
  <c r="AW17" i="6" s="1"/>
  <c r="AW10" i="6" a="1"/>
  <c r="AW10" i="6" s="1"/>
  <c r="AW15" i="6" a="1"/>
  <c r="AW15" i="6" s="1"/>
  <c r="AV19" i="6" a="1"/>
  <c r="AV19" i="6" s="1"/>
  <c r="AV14" i="6" a="1"/>
  <c r="AV14" i="6" s="1"/>
  <c r="AV16" i="6" a="1"/>
  <c r="AV16" i="6" s="1"/>
  <c r="AV17" i="6" a="1"/>
  <c r="AV17" i="6" s="1"/>
  <c r="AV10" i="6" a="1"/>
  <c r="AV10" i="6" s="1"/>
  <c r="AV22" i="6" a="1"/>
  <c r="AV22" i="6" s="1"/>
  <c r="AV11" i="6" a="1"/>
  <c r="AV11" i="6" s="1"/>
  <c r="AV21" i="6" a="1"/>
  <c r="AV21" i="6" s="1"/>
  <c r="AV13" i="6" a="1"/>
  <c r="AV13" i="6" s="1"/>
  <c r="AV18" i="6" a="1"/>
  <c r="AV18" i="6" s="1"/>
  <c r="AV12" i="6" a="1"/>
  <c r="AV12" i="6" s="1"/>
  <c r="AV15" i="6" a="1"/>
  <c r="AV15" i="6" s="1"/>
  <c r="AV20" i="6" a="1"/>
  <c r="AV20" i="6" s="1"/>
  <c r="AU21" i="6" a="1"/>
  <c r="AU21" i="6" s="1"/>
  <c r="AU13" i="6" a="1"/>
  <c r="AU13" i="6" s="1"/>
  <c r="AU15" i="6" a="1"/>
  <c r="AU15" i="6" s="1"/>
  <c r="AU20" i="6" a="1"/>
  <c r="AU20" i="6" s="1"/>
  <c r="AU11" i="6" a="1"/>
  <c r="AU11" i="6" s="1"/>
  <c r="AU16" i="6" a="1"/>
  <c r="AU16" i="6" s="1"/>
  <c r="AU18" i="6" a="1"/>
  <c r="AU18" i="6" s="1"/>
  <c r="AU17" i="6" a="1"/>
  <c r="AU17" i="6" s="1"/>
  <c r="AU19" i="6" a="1"/>
  <c r="AU19" i="6" s="1"/>
  <c r="AU14" i="6" a="1"/>
  <c r="AU14" i="6" s="1"/>
  <c r="AU10" i="6" a="1"/>
  <c r="AU10" i="6" s="1"/>
  <c r="AU12" i="6" a="1"/>
  <c r="AU12" i="6" s="1"/>
  <c r="AU22" i="6" a="1"/>
  <c r="AU22" i="6" s="1"/>
  <c r="AT21" i="6" a="1"/>
  <c r="AT21" i="6" s="1"/>
  <c r="AT15" i="6" a="1"/>
  <c r="AT15" i="6" s="1"/>
  <c r="AT22" i="6" a="1"/>
  <c r="AT22" i="6" s="1"/>
  <c r="AT13" i="6" a="1"/>
  <c r="AT13" i="6" s="1"/>
  <c r="AT18" i="6" a="1"/>
  <c r="AT18" i="6" s="1"/>
  <c r="AT14" i="6" a="1"/>
  <c r="AT14" i="6" s="1"/>
  <c r="AT19" i="6" a="1"/>
  <c r="AT19" i="6" s="1"/>
  <c r="AT11" i="6" a="1"/>
  <c r="AT11" i="6" s="1"/>
  <c r="AT20" i="6" a="1"/>
  <c r="AT20" i="6" s="1"/>
  <c r="AT16" i="6" a="1"/>
  <c r="AT16" i="6" s="1"/>
  <c r="AT12" i="6" a="1"/>
  <c r="AT12" i="6" s="1"/>
  <c r="AT17" i="6" a="1"/>
  <c r="AT17" i="6" s="1"/>
  <c r="AT10" i="6" a="1"/>
  <c r="AT10" i="6" s="1"/>
  <c r="AJ111" i="6"/>
  <c r="AJ103" i="6"/>
  <c r="AJ95" i="6"/>
  <c r="AJ87" i="6"/>
  <c r="AJ79" i="6"/>
  <c r="AJ71" i="6"/>
  <c r="AJ63" i="6"/>
  <c r="AJ55" i="6"/>
  <c r="AJ47" i="6"/>
  <c r="AJ39" i="6"/>
  <c r="AJ31" i="6"/>
  <c r="AJ23" i="6"/>
  <c r="B5" i="6"/>
  <c r="C6" i="6"/>
  <c r="J6" i="6" s="1"/>
  <c r="D6" i="6"/>
  <c r="K6" i="6" s="1"/>
  <c r="E6" i="6"/>
  <c r="L6" i="6" s="1"/>
  <c r="F6" i="6"/>
  <c r="M6" i="6" s="1"/>
  <c r="G6" i="6"/>
  <c r="N6" i="6" s="1"/>
  <c r="H6" i="6"/>
  <c r="O6" i="6" s="1"/>
  <c r="N85" i="19" l="1"/>
  <c r="R85" i="19" s="1"/>
  <c r="N39" i="19"/>
  <c r="R39" i="19" s="1"/>
  <c r="N40" i="19"/>
  <c r="R40" i="19" s="1"/>
  <c r="N33" i="19"/>
  <c r="R33" i="19" s="1"/>
  <c r="N106" i="19"/>
  <c r="N79" i="19"/>
  <c r="R79" i="19" s="1"/>
  <c r="N91" i="19"/>
  <c r="N34" i="19"/>
  <c r="R34" i="19" s="1"/>
  <c r="N32" i="19"/>
  <c r="R32" i="19" s="1"/>
  <c r="N49" i="19"/>
  <c r="R49" i="19" s="1"/>
  <c r="N97" i="19"/>
  <c r="N35" i="19"/>
  <c r="R35" i="19" s="1"/>
  <c r="N44" i="19"/>
  <c r="R44" i="19" s="1"/>
  <c r="N58" i="19"/>
  <c r="R58" i="19" s="1"/>
  <c r="N80" i="19"/>
  <c r="R80" i="19" s="1"/>
  <c r="AP15" i="22" a="1"/>
  <c r="AP15" i="22" s="1"/>
  <c r="AJ16" i="22"/>
  <c r="AK15" i="22" a="1"/>
  <c r="AK15" i="22" s="1"/>
  <c r="AM15" i="22" a="1"/>
  <c r="AM15" i="22" s="1"/>
  <c r="AN15" i="22" a="1"/>
  <c r="AN15" i="22" s="1"/>
  <c r="AL15" i="22" a="1"/>
  <c r="AL15" i="22" s="1"/>
  <c r="AO15" i="22" a="1"/>
  <c r="AO15" i="22" s="1"/>
  <c r="AK25" i="22" a="1"/>
  <c r="AK25" i="22" s="1"/>
  <c r="AP25" i="22" a="1"/>
  <c r="AP25" i="22" s="1"/>
  <c r="AN25" i="22" a="1"/>
  <c r="AN25" i="22" s="1"/>
  <c r="AM25" i="22" a="1"/>
  <c r="AM25" i="22" s="1"/>
  <c r="AO25" i="22" a="1"/>
  <c r="AO25" i="22" s="1"/>
  <c r="AL25" i="22" a="1"/>
  <c r="AL25" i="22" s="1"/>
  <c r="N72" i="19"/>
  <c r="R72" i="19" s="1"/>
  <c r="N42" i="19"/>
  <c r="R42" i="19" s="1"/>
  <c r="N88" i="19"/>
  <c r="N92" i="19"/>
  <c r="N54" i="19"/>
  <c r="R54" i="19" s="1"/>
  <c r="N77" i="19"/>
  <c r="R77" i="19" s="1"/>
  <c r="N53" i="19"/>
  <c r="R53" i="19" s="1"/>
  <c r="N74" i="19"/>
  <c r="R74" i="19" s="1"/>
  <c r="N111" i="19"/>
  <c r="N100" i="19"/>
  <c r="N78" i="19"/>
  <c r="R78" i="19" s="1"/>
  <c r="N68" i="19"/>
  <c r="R68" i="19" s="1"/>
  <c r="N69" i="19"/>
  <c r="R69" i="19" s="1"/>
  <c r="N67" i="19"/>
  <c r="R67" i="19" s="1"/>
  <c r="N102" i="19"/>
  <c r="N47" i="19"/>
  <c r="R47" i="19" s="1"/>
  <c r="N94" i="19"/>
  <c r="N48" i="19"/>
  <c r="R48" i="19" s="1"/>
  <c r="N43" i="19"/>
  <c r="R43" i="19" s="1"/>
  <c r="N63" i="19"/>
  <c r="R63" i="19" s="1"/>
  <c r="N90" i="19"/>
  <c r="N64" i="19"/>
  <c r="R64" i="19" s="1"/>
  <c r="N117" i="19"/>
  <c r="N98" i="19"/>
  <c r="N62" i="19"/>
  <c r="R62" i="19" s="1"/>
  <c r="N65" i="19"/>
  <c r="R65" i="19" s="1"/>
  <c r="N84" i="19"/>
  <c r="R84" i="19" s="1"/>
  <c r="N60" i="19"/>
  <c r="R60" i="19" s="1"/>
  <c r="N83" i="19"/>
  <c r="R83" i="19" s="1"/>
  <c r="N122" i="19"/>
  <c r="N50" i="19"/>
  <c r="R50" i="19" s="1"/>
  <c r="N57" i="19"/>
  <c r="R57" i="19" s="1"/>
  <c r="N73" i="19"/>
  <c r="R73" i="19" s="1"/>
  <c r="N52" i="19"/>
  <c r="R52" i="19" s="1"/>
  <c r="N59" i="19"/>
  <c r="R59" i="19" s="1"/>
  <c r="N82" i="19"/>
  <c r="R82" i="19" s="1"/>
  <c r="N110" i="19"/>
  <c r="N119" i="19"/>
  <c r="N108" i="19"/>
  <c r="N116" i="19"/>
  <c r="N55" i="19"/>
  <c r="R55" i="19" s="1"/>
  <c r="N125" i="19"/>
  <c r="N130" i="19"/>
  <c r="N45" i="19"/>
  <c r="R45" i="19" s="1"/>
  <c r="N121" i="19"/>
  <c r="H4" i="20"/>
  <c r="O4" i="20" s="1"/>
  <c r="E4" i="20"/>
  <c r="L4" i="20" s="1"/>
  <c r="G4" i="20"/>
  <c r="N4" i="20" s="1"/>
  <c r="F4" i="20"/>
  <c r="M4" i="20" s="1"/>
  <c r="D4" i="20"/>
  <c r="K4" i="20" s="1"/>
  <c r="C4" i="20"/>
  <c r="J4" i="20" s="1"/>
  <c r="N95" i="19"/>
  <c r="N70" i="19"/>
  <c r="R70" i="19" s="1"/>
  <c r="N75" i="19"/>
  <c r="R75" i="19" s="1"/>
  <c r="N105" i="19"/>
  <c r="N101" i="19"/>
  <c r="R86" i="17"/>
  <c r="K20" i="17" s="1"/>
  <c r="K21" i="17"/>
  <c r="AX11" i="8" a="1"/>
  <c r="AX11" i="8" s="1"/>
  <c r="AX14" i="8" a="1"/>
  <c r="AX14" i="8" s="1"/>
  <c r="AX10" i="8" a="1"/>
  <c r="AX10" i="8" s="1"/>
  <c r="AX16" i="8" a="1"/>
  <c r="AX16" i="8" s="1"/>
  <c r="AX17" i="8" a="1"/>
  <c r="AX17" i="8" s="1"/>
  <c r="AO17" i="14" a="1"/>
  <c r="AO17" i="14" s="1"/>
  <c r="AL17" i="14" a="1"/>
  <c r="AL17" i="14" s="1"/>
  <c r="AT24" i="14" s="1"/>
  <c r="AM17" i="14" a="1"/>
  <c r="AM17" i="14" s="1"/>
  <c r="AP17" i="14" a="1"/>
  <c r="AP17" i="14" s="1"/>
  <c r="AN17" i="14" a="1"/>
  <c r="AN17" i="14" s="1"/>
  <c r="AK17" i="14" a="1"/>
  <c r="AK17" i="14" s="1"/>
  <c r="AS35" i="14"/>
  <c r="AW28" i="14"/>
  <c r="AX25" i="14"/>
  <c r="AU35" i="14"/>
  <c r="AT25" i="14"/>
  <c r="AX28" i="14"/>
  <c r="AT28" i="14"/>
  <c r="AV25" i="14"/>
  <c r="AS26" i="14"/>
  <c r="AS34" i="14"/>
  <c r="AT27" i="14"/>
  <c r="AU25" i="14"/>
  <c r="AX34" i="14"/>
  <c r="AT35" i="14"/>
  <c r="AT26" i="14"/>
  <c r="AU27" i="14"/>
  <c r="AS28" i="14"/>
  <c r="AT29" i="14"/>
  <c r="AW25" i="14"/>
  <c r="AV26" i="14"/>
  <c r="AU34" i="14"/>
  <c r="AW27" i="14"/>
  <c r="AV34" i="14"/>
  <c r="AV35" i="14"/>
  <c r="AU26" i="14"/>
  <c r="AX26" i="14"/>
  <c r="AU29" i="14"/>
  <c r="AW34" i="14"/>
  <c r="AU23" i="14"/>
  <c r="AT34" i="14"/>
  <c r="AV27" i="14"/>
  <c r="AW23" i="14"/>
  <c r="AW26" i="14"/>
  <c r="AS27" i="14"/>
  <c r="AU28" i="14"/>
  <c r="AX27" i="14"/>
  <c r="AV28" i="14"/>
  <c r="AX35" i="14"/>
  <c r="AS25" i="14"/>
  <c r="AX23" i="14"/>
  <c r="AV23" i="14"/>
  <c r="AT23" i="14"/>
  <c r="AV29" i="14"/>
  <c r="AS23" i="14"/>
  <c r="AS29" i="14"/>
  <c r="AX29" i="14"/>
  <c r="AW29" i="14"/>
  <c r="AK60" i="14" a="1"/>
  <c r="AK60" i="14" s="1"/>
  <c r="Y17" i="14"/>
  <c r="AO62" i="14" a="1"/>
  <c r="AO62" i="14" s="1"/>
  <c r="AO64" i="14" a="1"/>
  <c r="AO64" i="14" s="1"/>
  <c r="AO61" i="14" a="1"/>
  <c r="AO61" i="14" s="1"/>
  <c r="AO60" i="14" a="1"/>
  <c r="AO60" i="14" s="1"/>
  <c r="AO59" i="14" a="1"/>
  <c r="AO59" i="14" s="1"/>
  <c r="AO65" i="14" a="1"/>
  <c r="AO65" i="14" s="1"/>
  <c r="AO58" i="14" a="1"/>
  <c r="AO58" i="14" s="1"/>
  <c r="AO63" i="14" a="1"/>
  <c r="AO63" i="14" s="1"/>
  <c r="AP59" i="14" a="1"/>
  <c r="AP59" i="14" s="1"/>
  <c r="AM59" i="14" a="1"/>
  <c r="AM59" i="14" s="1"/>
  <c r="AL62" i="14" a="1"/>
  <c r="AL62" i="14" s="1"/>
  <c r="AP58" i="14" a="1"/>
  <c r="AP58" i="14" s="1"/>
  <c r="AM65" i="14" a="1"/>
  <c r="AM65" i="14" s="1"/>
  <c r="AU30" i="14" s="1"/>
  <c r="AP65" i="14" a="1"/>
  <c r="AP65" i="14" s="1"/>
  <c r="AX30" i="14" s="1"/>
  <c r="AN59" i="14" a="1"/>
  <c r="AN59" i="14" s="1"/>
  <c r="AL63" i="14" a="1"/>
  <c r="AL63" i="14" s="1"/>
  <c r="AN58" i="14" a="1"/>
  <c r="AN58" i="14" s="1"/>
  <c r="AL61" i="14" a="1"/>
  <c r="AL61" i="14" s="1"/>
  <c r="AM64" i="14" a="1"/>
  <c r="AM64" i="14" s="1"/>
  <c r="AP63" i="14" a="1"/>
  <c r="AP63" i="14" s="1"/>
  <c r="AL59" i="14" a="1"/>
  <c r="AL59" i="14" s="1"/>
  <c r="AN65" i="14" a="1"/>
  <c r="AN65" i="14" s="1"/>
  <c r="AV30" i="14" s="1"/>
  <c r="AP62" i="14" a="1"/>
  <c r="AP62" i="14" s="1"/>
  <c r="AM63" i="14" a="1"/>
  <c r="AM63" i="14" s="1"/>
  <c r="AN61" i="14" a="1"/>
  <c r="AN61" i="14" s="1"/>
  <c r="AP64" i="14" a="1"/>
  <c r="AP64" i="14" s="1"/>
  <c r="AL64" i="14" a="1"/>
  <c r="AL64" i="14" s="1"/>
  <c r="AM62" i="14" a="1"/>
  <c r="AM62" i="14" s="1"/>
  <c r="AN63" i="14" a="1"/>
  <c r="AN63" i="14" s="1"/>
  <c r="AL65" i="14" a="1"/>
  <c r="AL65" i="14" s="1"/>
  <c r="AT30" i="14" s="1"/>
  <c r="AN64" i="14" a="1"/>
  <c r="AN64" i="14" s="1"/>
  <c r="AM61" i="14" a="1"/>
  <c r="AM61" i="14" s="1"/>
  <c r="AM60" i="14" a="1"/>
  <c r="AM60" i="14" s="1"/>
  <c r="AM58" i="14" a="1"/>
  <c r="AM58" i="14" s="1"/>
  <c r="AL60" i="14" a="1"/>
  <c r="AL60" i="14" s="1"/>
  <c r="AP60" i="14" a="1"/>
  <c r="AP60" i="14" s="1"/>
  <c r="AP61" i="14" a="1"/>
  <c r="AP61" i="14" s="1"/>
  <c r="AL58" i="14" a="1"/>
  <c r="AL58" i="14" s="1"/>
  <c r="AN62" i="14" a="1"/>
  <c r="AN62" i="14" s="1"/>
  <c r="AN60" i="14" a="1"/>
  <c r="AN60" i="14" s="1"/>
  <c r="AK58" i="14" a="1"/>
  <c r="AK58" i="14" s="1"/>
  <c r="AK64" i="14" a="1"/>
  <c r="AK64" i="14" s="1"/>
  <c r="AK63" i="14" a="1"/>
  <c r="AK63" i="14" s="1"/>
  <c r="AK62" i="14" a="1"/>
  <c r="AK62" i="14" s="1"/>
  <c r="AK61" i="14" a="1"/>
  <c r="AK61" i="14" s="1"/>
  <c r="AK65" i="14" a="1"/>
  <c r="AK65" i="14" s="1"/>
  <c r="AK59" i="14" a="1"/>
  <c r="AK59" i="14" s="1"/>
  <c r="Y19" i="13"/>
  <c r="AN75" i="13" a="1"/>
  <c r="AN75" i="13" s="1"/>
  <c r="AO77" i="13" a="1"/>
  <c r="AO77" i="13" s="1"/>
  <c r="AN81" i="13" a="1"/>
  <c r="AN81" i="13" s="1"/>
  <c r="AV32" i="13" s="1"/>
  <c r="AO81" i="13" a="1"/>
  <c r="AO81" i="13" s="1"/>
  <c r="AW32" i="13" s="1"/>
  <c r="AO79" i="13" a="1"/>
  <c r="AO79" i="13" s="1"/>
  <c r="AL81" i="13" a="1"/>
  <c r="AL81" i="13" s="1"/>
  <c r="AT32" i="13" s="1"/>
  <c r="AP79" i="13" a="1"/>
  <c r="AP79" i="13" s="1"/>
  <c r="AL74" i="13" a="1"/>
  <c r="AL74" i="13" s="1"/>
  <c r="AP81" i="13" a="1"/>
  <c r="AP81" i="13" s="1"/>
  <c r="AX32" i="13" s="1"/>
  <c r="AO74" i="13" a="1"/>
  <c r="AO74" i="13" s="1"/>
  <c r="AN80" i="13" a="1"/>
  <c r="AN80" i="13" s="1"/>
  <c r="AL79" i="13" a="1"/>
  <c r="AL79" i="13" s="1"/>
  <c r="AP77" i="13" a="1"/>
  <c r="AP77" i="13" s="1"/>
  <c r="AN76" i="13" a="1"/>
  <c r="AN76" i="13" s="1"/>
  <c r="AO76" i="13" a="1"/>
  <c r="AO76" i="13" s="1"/>
  <c r="AN74" i="13" a="1"/>
  <c r="AN74" i="13" s="1"/>
  <c r="AN79" i="13" a="1"/>
  <c r="AN79" i="13" s="1"/>
  <c r="AO80" i="13" a="1"/>
  <c r="AO80" i="13" s="1"/>
  <c r="AN77" i="13" a="1"/>
  <c r="AN77" i="13" s="1"/>
  <c r="AL77" i="13" a="1"/>
  <c r="AL77" i="13" s="1"/>
  <c r="AL75" i="13" a="1"/>
  <c r="AL75" i="13" s="1"/>
  <c r="AL80" i="13" a="1"/>
  <c r="AL80" i="13" s="1"/>
  <c r="AL76" i="13" a="1"/>
  <c r="AL76" i="13" s="1"/>
  <c r="AP80" i="13" a="1"/>
  <c r="AP80" i="13" s="1"/>
  <c r="AP74" i="13" a="1"/>
  <c r="AP74" i="13" s="1"/>
  <c r="AP75" i="13" a="1"/>
  <c r="AP75" i="13" s="1"/>
  <c r="AP78" i="13" a="1"/>
  <c r="AP78" i="13" s="1"/>
  <c r="AP76" i="13" a="1"/>
  <c r="AP76" i="13" s="1"/>
  <c r="AO75" i="13" a="1"/>
  <c r="AO75" i="13" s="1"/>
  <c r="AO78" i="13" a="1"/>
  <c r="AO78" i="13" s="1"/>
  <c r="AL78" i="13" a="1"/>
  <c r="AL78" i="13" s="1"/>
  <c r="AN78" i="13" a="1"/>
  <c r="AN78" i="13" s="1"/>
  <c r="AK76" i="13" a="1"/>
  <c r="AK76" i="13" s="1"/>
  <c r="AM77" i="13" a="1"/>
  <c r="AM77" i="13" s="1"/>
  <c r="AM78" i="13" a="1"/>
  <c r="AM78" i="13" s="1"/>
  <c r="AM76" i="13" a="1"/>
  <c r="AM76" i="13" s="1"/>
  <c r="AK75" i="13" a="1"/>
  <c r="AK75" i="13" s="1"/>
  <c r="AK80" i="13" a="1"/>
  <c r="AK80" i="13" s="1"/>
  <c r="AM80" i="13" a="1"/>
  <c r="AM80" i="13" s="1"/>
  <c r="AM75" i="13" a="1"/>
  <c r="AM75" i="13" s="1"/>
  <c r="AK77" i="13" a="1"/>
  <c r="AK77" i="13" s="1"/>
  <c r="AK79" i="13" a="1"/>
  <c r="AK79" i="13" s="1"/>
  <c r="AM81" i="13" a="1"/>
  <c r="AM81" i="13" s="1"/>
  <c r="AU32" i="13" s="1"/>
  <c r="AK78" i="13" a="1"/>
  <c r="AK78" i="13" s="1"/>
  <c r="AK81" i="13" a="1"/>
  <c r="AK81" i="13" s="1"/>
  <c r="AS32" i="13" s="1"/>
  <c r="AM79" i="13" a="1"/>
  <c r="AM79" i="13" s="1"/>
  <c r="AK74" i="13" a="1"/>
  <c r="AK74" i="13" s="1"/>
  <c r="AM74" i="13" a="1"/>
  <c r="AM74" i="13" s="1"/>
  <c r="H4" i="11"/>
  <c r="O4" i="11" s="1"/>
  <c r="F4" i="11"/>
  <c r="M4" i="11" s="1"/>
  <c r="E4" i="11"/>
  <c r="L4" i="11" s="1"/>
  <c r="D4" i="11"/>
  <c r="K4" i="11" s="1"/>
  <c r="C4" i="11"/>
  <c r="J4" i="11" s="1"/>
  <c r="G4" i="11"/>
  <c r="N4" i="11" s="1"/>
  <c r="AK15" i="10" a="1"/>
  <c r="AK15" i="10" s="1"/>
  <c r="AJ16" i="10"/>
  <c r="AP15" i="10" a="1"/>
  <c r="AP15" i="10" s="1"/>
  <c r="AM15" i="10" a="1"/>
  <c r="AM15" i="10" s="1"/>
  <c r="AO15" i="10" a="1"/>
  <c r="AO15" i="10" s="1"/>
  <c r="AL15" i="10" a="1"/>
  <c r="AL15" i="10" s="1"/>
  <c r="AN15" i="10" a="1"/>
  <c r="AN15" i="10" s="1"/>
  <c r="AM25" i="12" a="1"/>
  <c r="AM25" i="12" s="1"/>
  <c r="AL25" i="12" a="1"/>
  <c r="AL25" i="12" s="1"/>
  <c r="AK25" i="12" a="1"/>
  <c r="AK25" i="12" s="1"/>
  <c r="AN25" i="12" a="1"/>
  <c r="AN25" i="12" s="1"/>
  <c r="AP25" i="12" a="1"/>
  <c r="AP25" i="12" s="1"/>
  <c r="AO25" i="12" a="1"/>
  <c r="AO25" i="12" s="1"/>
  <c r="AJ16" i="11"/>
  <c r="AM15" i="11" a="1"/>
  <c r="AM15" i="11" s="1"/>
  <c r="AL15" i="11" a="1"/>
  <c r="AL15" i="11" s="1"/>
  <c r="AP15" i="11" a="1"/>
  <c r="AP15" i="11" s="1"/>
  <c r="AN15" i="11" a="1"/>
  <c r="AN15" i="11" s="1"/>
  <c r="AK15" i="11" a="1"/>
  <c r="AK15" i="11" s="1"/>
  <c r="AO15" i="11" a="1"/>
  <c r="AO15" i="11" s="1"/>
  <c r="Y18" i="10"/>
  <c r="AP73" i="10" a="1"/>
  <c r="AP73" i="10" s="1"/>
  <c r="AP68" i="10" a="1"/>
  <c r="AP68" i="10" s="1"/>
  <c r="AP70" i="10" a="1"/>
  <c r="AP70" i="10" s="1"/>
  <c r="AP69" i="10" a="1"/>
  <c r="AP69" i="10" s="1"/>
  <c r="AP72" i="10" a="1"/>
  <c r="AP72" i="10" s="1"/>
  <c r="AP67" i="10" a="1"/>
  <c r="AP67" i="10" s="1"/>
  <c r="AP71" i="10" a="1"/>
  <c r="AP71" i="10" s="1"/>
  <c r="AP66" i="10" a="1"/>
  <c r="AP66" i="10" s="1"/>
  <c r="AN69" i="10" a="1"/>
  <c r="AN69" i="10" s="1"/>
  <c r="AK73" i="10" a="1"/>
  <c r="AK73" i="10" s="1"/>
  <c r="AO70" i="10" a="1"/>
  <c r="AO70" i="10" s="1"/>
  <c r="AN70" i="10" a="1"/>
  <c r="AN70" i="10" s="1"/>
  <c r="AM71" i="10" a="1"/>
  <c r="AM71" i="10" s="1"/>
  <c r="AL70" i="10" a="1"/>
  <c r="AL70" i="10" s="1"/>
  <c r="AK69" i="10" a="1"/>
  <c r="AK69" i="10" s="1"/>
  <c r="AK72" i="10" a="1"/>
  <c r="AK72" i="10" s="1"/>
  <c r="AM70" i="10" a="1"/>
  <c r="AM70" i="10" s="1"/>
  <c r="AN72" i="10" a="1"/>
  <c r="AN72" i="10" s="1"/>
  <c r="AM66" i="10" a="1"/>
  <c r="AM66" i="10" s="1"/>
  <c r="AK67" i="10" a="1"/>
  <c r="AK67" i="10" s="1"/>
  <c r="AN71" i="10" a="1"/>
  <c r="AN71" i="10" s="1"/>
  <c r="AM68" i="10" a="1"/>
  <c r="AM68" i="10" s="1"/>
  <c r="AM69" i="10" a="1"/>
  <c r="AM69" i="10" s="1"/>
  <c r="AL71" i="10" a="1"/>
  <c r="AL71" i="10" s="1"/>
  <c r="AK70" i="10" a="1"/>
  <c r="AK70" i="10" s="1"/>
  <c r="AO73" i="10" a="1"/>
  <c r="AO73" i="10" s="1"/>
  <c r="AL68" i="10" a="1"/>
  <c r="AL68" i="10" s="1"/>
  <c r="AK71" i="10" a="1"/>
  <c r="AK71" i="10" s="1"/>
  <c r="AO69" i="10" a="1"/>
  <c r="AO69" i="10" s="1"/>
  <c r="AO72" i="10" a="1"/>
  <c r="AO72" i="10" s="1"/>
  <c r="AN68" i="10" a="1"/>
  <c r="AN68" i="10" s="1"/>
  <c r="AL72" i="10" a="1"/>
  <c r="AL72" i="10" s="1"/>
  <c r="AK68" i="10" a="1"/>
  <c r="AK68" i="10" s="1"/>
  <c r="AN67" i="10" a="1"/>
  <c r="AN67" i="10" s="1"/>
  <c r="AM73" i="10" a="1"/>
  <c r="AM73" i="10" s="1"/>
  <c r="AK66" i="10" a="1"/>
  <c r="AK66" i="10" s="1"/>
  <c r="AO68" i="10" a="1"/>
  <c r="AO68" i="10" s="1"/>
  <c r="AO71" i="10" a="1"/>
  <c r="AO71" i="10" s="1"/>
  <c r="AL73" i="10" a="1"/>
  <c r="AL73" i="10" s="1"/>
  <c r="AO66" i="10" a="1"/>
  <c r="AO66" i="10" s="1"/>
  <c r="AN66" i="10" a="1"/>
  <c r="AN66" i="10" s="1"/>
  <c r="AM67" i="10" a="1"/>
  <c r="AM67" i="10" s="1"/>
  <c r="AM72" i="10" a="1"/>
  <c r="AM72" i="10" s="1"/>
  <c r="AL66" i="10" a="1"/>
  <c r="AL66" i="10" s="1"/>
  <c r="AL69" i="10" a="1"/>
  <c r="AL69" i="10" s="1"/>
  <c r="AO67" i="10" a="1"/>
  <c r="AO67" i="10" s="1"/>
  <c r="AN73" i="10" a="1"/>
  <c r="AN73" i="10" s="1"/>
  <c r="AL67" i="10" a="1"/>
  <c r="AL67" i="10" s="1"/>
  <c r="AK15" i="12" a="1"/>
  <c r="AK15" i="12" s="1"/>
  <c r="AJ16" i="12"/>
  <c r="AN15" i="12" a="1"/>
  <c r="AN15" i="12" s="1"/>
  <c r="AL15" i="12" a="1"/>
  <c r="AL15" i="12" s="1"/>
  <c r="AM15" i="12" a="1"/>
  <c r="AM15" i="12" s="1"/>
  <c r="AO15" i="12" a="1"/>
  <c r="AO15" i="12" s="1"/>
  <c r="AP15" i="12" a="1"/>
  <c r="AP15" i="12" s="1"/>
  <c r="AM85" i="9" a="1"/>
  <c r="AM85" i="9" s="1"/>
  <c r="AK89" i="9" a="1"/>
  <c r="AK89" i="9" s="1"/>
  <c r="AN89" i="9" a="1"/>
  <c r="AN89" i="9" s="1"/>
  <c r="AK83" i="9" a="1"/>
  <c r="AK83" i="9" s="1"/>
  <c r="AM88" i="9" a="1"/>
  <c r="AM88" i="9" s="1"/>
  <c r="AM87" i="9" a="1"/>
  <c r="AM87" i="9" s="1"/>
  <c r="AM82" i="9" a="1"/>
  <c r="AM82" i="9" s="1"/>
  <c r="AK82" i="9" a="1"/>
  <c r="AK82" i="9" s="1"/>
  <c r="AN88" i="9" a="1"/>
  <c r="AN88" i="9" s="1"/>
  <c r="AN86" i="9" a="1"/>
  <c r="AN86" i="9" s="1"/>
  <c r="AK88" i="9" a="1"/>
  <c r="AK88" i="9" s="1"/>
  <c r="AM84" i="9" a="1"/>
  <c r="AM84" i="9" s="1"/>
  <c r="AN84" i="9" a="1"/>
  <c r="AN84" i="9" s="1"/>
  <c r="AK87" i="9" a="1"/>
  <c r="AK87" i="9" s="1"/>
  <c r="AN83" i="9" a="1"/>
  <c r="AN83" i="9" s="1"/>
  <c r="AM89" i="9" a="1"/>
  <c r="AM89" i="9" s="1"/>
  <c r="AN85" i="9" a="1"/>
  <c r="AN85" i="9" s="1"/>
  <c r="AK85" i="9" a="1"/>
  <c r="AK85" i="9" s="1"/>
  <c r="AK84" i="9" a="1"/>
  <c r="AK84" i="9" s="1"/>
  <c r="AM86" i="9" a="1"/>
  <c r="AM86" i="9" s="1"/>
  <c r="AN87" i="9" a="1"/>
  <c r="AN87" i="9" s="1"/>
  <c r="AK86" i="9" a="1"/>
  <c r="AK86" i="9" s="1"/>
  <c r="AM83" i="9" a="1"/>
  <c r="AM83" i="9" s="1"/>
  <c r="AN82" i="9" a="1"/>
  <c r="AN82" i="9" s="1"/>
  <c r="AO88" i="9" a="1"/>
  <c r="AO88" i="9" s="1"/>
  <c r="AL84" i="9" a="1"/>
  <c r="AL84" i="9" s="1"/>
  <c r="AP89" i="9" a="1"/>
  <c r="AP89" i="9" s="1"/>
  <c r="AP82" i="9" a="1"/>
  <c r="AP82" i="9" s="1"/>
  <c r="AO86" i="9" a="1"/>
  <c r="AO86" i="9" s="1"/>
  <c r="AP87" i="9" a="1"/>
  <c r="AP87" i="9" s="1"/>
  <c r="AP85" i="9" a="1"/>
  <c r="AP85" i="9" s="1"/>
  <c r="AL89" i="9" a="1"/>
  <c r="AL89" i="9" s="1"/>
  <c r="AO87" i="9" a="1"/>
  <c r="AO87" i="9" s="1"/>
  <c r="AL86" i="9" a="1"/>
  <c r="AL86" i="9" s="1"/>
  <c r="AP84" i="9" a="1"/>
  <c r="AP84" i="9" s="1"/>
  <c r="AO85" i="9" a="1"/>
  <c r="AO85" i="9" s="1"/>
  <c r="AO89" i="9" a="1"/>
  <c r="AO89" i="9" s="1"/>
  <c r="AL83" i="9" a="1"/>
  <c r="AL83" i="9" s="1"/>
  <c r="AO83" i="9" a="1"/>
  <c r="AO83" i="9" s="1"/>
  <c r="AP86" i="9" a="1"/>
  <c r="AP86" i="9" s="1"/>
  <c r="AO82" i="9" a="1"/>
  <c r="AO82" i="9" s="1"/>
  <c r="AL82" i="9" a="1"/>
  <c r="AL82" i="9" s="1"/>
  <c r="AO84" i="9" a="1"/>
  <c r="AO84" i="9" s="1"/>
  <c r="AL88" i="9" a="1"/>
  <c r="AL88" i="9" s="1"/>
  <c r="AL87" i="9" a="1"/>
  <c r="AL87" i="9" s="1"/>
  <c r="AL85" i="9" a="1"/>
  <c r="AL85" i="9" s="1"/>
  <c r="AP83" i="9" a="1"/>
  <c r="AP83" i="9" s="1"/>
  <c r="AP88" i="9" a="1"/>
  <c r="AP88" i="9" s="1"/>
  <c r="AX22" i="8" a="1"/>
  <c r="AX22" i="8" s="1"/>
  <c r="AW20" i="8" a="1"/>
  <c r="AW20" i="8" s="1"/>
  <c r="AW10" i="8" a="1"/>
  <c r="AW10" i="8" s="1"/>
  <c r="AW19" i="8" a="1"/>
  <c r="AW19" i="8" s="1"/>
  <c r="AW17" i="8" a="1"/>
  <c r="AW17" i="8" s="1"/>
  <c r="AW18" i="8" a="1"/>
  <c r="AW18" i="8" s="1"/>
  <c r="AW16" i="8" a="1"/>
  <c r="AW16" i="8" s="1"/>
  <c r="AS13" i="8" a="1"/>
  <c r="AS13" i="8" s="1"/>
  <c r="AS22" i="8" a="1"/>
  <c r="AS22" i="8" s="1"/>
  <c r="AS15" i="8" a="1"/>
  <c r="AS15" i="8" s="1"/>
  <c r="AS16" i="8" a="1"/>
  <c r="AS16" i="8" s="1"/>
  <c r="AS17" i="8" a="1"/>
  <c r="AS17" i="8" s="1"/>
  <c r="AS18" i="8" a="1"/>
  <c r="AS18" i="8" s="1"/>
  <c r="AS19" i="8" a="1"/>
  <c r="AS19" i="8" s="1"/>
  <c r="AS20" i="8" a="1"/>
  <c r="AS20" i="8" s="1"/>
  <c r="AS14" i="8" a="1"/>
  <c r="AS14" i="8" s="1"/>
  <c r="AS21" i="8" a="1"/>
  <c r="AS21" i="8" s="1"/>
  <c r="AS12" i="8" a="1"/>
  <c r="AS12" i="8" s="1"/>
  <c r="AS10" i="8" a="1"/>
  <c r="AS10" i="8" s="1"/>
  <c r="AS11" i="8" a="1"/>
  <c r="AS11" i="8" s="1"/>
  <c r="AW15" i="8" a="1"/>
  <c r="AW15" i="8" s="1"/>
  <c r="AW24" i="8"/>
  <c r="AW13" i="8" a="1"/>
  <c r="AW13" i="8" s="1"/>
  <c r="AV19" i="8" a="1"/>
  <c r="AV19" i="8" s="1"/>
  <c r="AV10" i="8" a="1"/>
  <c r="AV10" i="8" s="1"/>
  <c r="AV18" i="8" a="1"/>
  <c r="AV18" i="8" s="1"/>
  <c r="AV20" i="8" a="1"/>
  <c r="AV20" i="8" s="1"/>
  <c r="AV21" i="8" a="1"/>
  <c r="AV21" i="8" s="1"/>
  <c r="AV22" i="8" a="1"/>
  <c r="AV22" i="8" s="1"/>
  <c r="AV17" i="8" a="1"/>
  <c r="AV17" i="8" s="1"/>
  <c r="AV15" i="8" a="1"/>
  <c r="AV15" i="8" s="1"/>
  <c r="AV13" i="8" a="1"/>
  <c r="AV13" i="8" s="1"/>
  <c r="AV14" i="8" a="1"/>
  <c r="AV14" i="8" s="1"/>
  <c r="AV16" i="8" a="1"/>
  <c r="AV16" i="8" s="1"/>
  <c r="AV11" i="8" a="1"/>
  <c r="AV11" i="8" s="1"/>
  <c r="AV12" i="8" a="1"/>
  <c r="AV12" i="8" s="1"/>
  <c r="AS24" i="8"/>
  <c r="AW12" i="8" a="1"/>
  <c r="AW12" i="8" s="1"/>
  <c r="AW22" i="8" a="1"/>
  <c r="AW22" i="8" s="1"/>
  <c r="AT11" i="8" a="1"/>
  <c r="AT11" i="8" s="1"/>
  <c r="AT14" i="8" a="1"/>
  <c r="AT14" i="8" s="1"/>
  <c r="AT15" i="8" a="1"/>
  <c r="AT15" i="8" s="1"/>
  <c r="AT22" i="8" a="1"/>
  <c r="AT22" i="8" s="1"/>
  <c r="AT13" i="8" a="1"/>
  <c r="AT13" i="8" s="1"/>
  <c r="AT10" i="8" a="1"/>
  <c r="AT10" i="8" s="1"/>
  <c r="AT17" i="8" a="1"/>
  <c r="AT17" i="8" s="1"/>
  <c r="AT18" i="8" a="1"/>
  <c r="AT18" i="8" s="1"/>
  <c r="AT19" i="8" a="1"/>
  <c r="AT19" i="8" s="1"/>
  <c r="AT12" i="8" a="1"/>
  <c r="AT12" i="8" s="1"/>
  <c r="AT20" i="8" a="1"/>
  <c r="AT20" i="8" s="1"/>
  <c r="AT21" i="8" a="1"/>
  <c r="AT21" i="8" s="1"/>
  <c r="AT16" i="8" a="1"/>
  <c r="AT16" i="8" s="1"/>
  <c r="AJ16" i="9"/>
  <c r="AK15" i="9" a="1"/>
  <c r="AK15" i="9" s="1"/>
  <c r="AN15" i="9" a="1"/>
  <c r="AN15" i="9" s="1"/>
  <c r="AM15" i="9" a="1"/>
  <c r="AM15" i="9" s="1"/>
  <c r="AL15" i="9" a="1"/>
  <c r="AL15" i="9" s="1"/>
  <c r="AP15" i="9" a="1"/>
  <c r="AP15" i="9" s="1"/>
  <c r="AO15" i="9" a="1"/>
  <c r="AO15" i="9" s="1"/>
  <c r="AW21" i="8" a="1"/>
  <c r="AW21" i="8" s="1"/>
  <c r="AU14" i="8" a="1"/>
  <c r="AU14" i="8" s="1"/>
  <c r="AU18" i="8" a="1"/>
  <c r="AU18" i="8" s="1"/>
  <c r="AU16" i="8" a="1"/>
  <c r="AU16" i="8" s="1"/>
  <c r="AU11" i="8" a="1"/>
  <c r="AU11" i="8" s="1"/>
  <c r="AU15" i="8" a="1"/>
  <c r="AU15" i="8" s="1"/>
  <c r="AU13" i="8" a="1"/>
  <c r="AU13" i="8" s="1"/>
  <c r="AU22" i="8" a="1"/>
  <c r="AU22" i="8" s="1"/>
  <c r="AU12" i="8" a="1"/>
  <c r="AU12" i="8" s="1"/>
  <c r="AU10" i="8" a="1"/>
  <c r="AU10" i="8" s="1"/>
  <c r="AU17" i="8" a="1"/>
  <c r="AU17" i="8" s="1"/>
  <c r="AU19" i="8" a="1"/>
  <c r="AU19" i="8" s="1"/>
  <c r="AU20" i="8" a="1"/>
  <c r="AU20" i="8" s="1"/>
  <c r="AU21" i="8" a="1"/>
  <c r="AU21" i="8" s="1"/>
  <c r="AW11" i="8" a="1"/>
  <c r="AW11" i="8" s="1"/>
  <c r="AX20" i="8" a="1"/>
  <c r="AX20" i="8" s="1"/>
  <c r="AX21" i="8" a="1"/>
  <c r="AX21" i="8" s="1"/>
  <c r="AX18" i="8" a="1"/>
  <c r="AX18" i="8" s="1"/>
  <c r="AX12" i="8" a="1"/>
  <c r="AX12" i="8" s="1"/>
  <c r="AX19" i="8" a="1"/>
  <c r="AX19" i="8" s="1"/>
  <c r="AX13" i="8" a="1"/>
  <c r="AX13" i="8" s="1"/>
  <c r="AX15" i="8" a="1"/>
  <c r="AX15" i="8" s="1"/>
  <c r="AJ112" i="6"/>
  <c r="AJ104" i="6"/>
  <c r="AJ96" i="6"/>
  <c r="AJ88" i="6"/>
  <c r="AJ80" i="6"/>
  <c r="AJ72" i="6"/>
  <c r="AJ64" i="6"/>
  <c r="AJ56" i="6"/>
  <c r="AJ48" i="6"/>
  <c r="AJ40" i="6"/>
  <c r="AJ32" i="6"/>
  <c r="AJ24" i="6"/>
  <c r="B4" i="6"/>
  <c r="C5" i="6"/>
  <c r="J5" i="6" s="1"/>
  <c r="E5" i="6"/>
  <c r="L5" i="6" s="1"/>
  <c r="F5" i="6"/>
  <c r="M5" i="6" s="1"/>
  <c r="G5" i="6"/>
  <c r="N5" i="6" s="1"/>
  <c r="H5" i="6"/>
  <c r="O5" i="6" s="1"/>
  <c r="D5" i="6"/>
  <c r="K5" i="6" s="1"/>
  <c r="AT26" i="22" l="1"/>
  <c r="AS26" i="22"/>
  <c r="AJ17" i="22"/>
  <c r="AS25" i="22" s="1"/>
  <c r="AK16" i="22" a="1"/>
  <c r="AK16" i="22" s="1"/>
  <c r="AN16" i="22" a="1"/>
  <c r="AN16" i="22" s="1"/>
  <c r="AP16" i="22" a="1"/>
  <c r="AP16" i="22" s="1"/>
  <c r="AM16" i="22" a="1"/>
  <c r="AM16" i="22" s="1"/>
  <c r="AL16" i="22" a="1"/>
  <c r="AL16" i="22" s="1"/>
  <c r="AO16" i="22" a="1"/>
  <c r="AO16" i="22" s="1"/>
  <c r="AT27" i="22"/>
  <c r="AU31" i="22"/>
  <c r="AW29" i="22"/>
  <c r="AU23" i="22"/>
  <c r="AS27" i="22"/>
  <c r="AX32" i="22"/>
  <c r="AV31" i="22"/>
  <c r="AW25" i="22"/>
  <c r="AV34" i="22"/>
  <c r="AX27" i="22"/>
  <c r="AW28" i="22"/>
  <c r="AV28" i="22"/>
  <c r="AX34" i="22"/>
  <c r="AS31" i="22"/>
  <c r="AW32" i="22"/>
  <c r="AW34" i="22"/>
  <c r="AT32" i="22"/>
  <c r="AV29" i="22"/>
  <c r="AT31" i="22"/>
  <c r="AU29" i="22"/>
  <c r="AV25" i="22"/>
  <c r="AS23" i="22"/>
  <c r="AS35" i="22"/>
  <c r="AX31" i="22"/>
  <c r="AU25" i="22"/>
  <c r="AS32" i="22"/>
  <c r="AT35" i="22"/>
  <c r="AS34" i="22"/>
  <c r="AU33" i="22"/>
  <c r="AV33" i="22"/>
  <c r="AU35" i="22"/>
  <c r="AW35" i="22"/>
  <c r="AS28" i="22"/>
  <c r="AW33" i="22"/>
  <c r="AX35" i="22"/>
  <c r="K21" i="19"/>
  <c r="R86" i="19"/>
  <c r="K20" i="19" s="1"/>
  <c r="Y18" i="14"/>
  <c r="AK73" i="14" a="1"/>
  <c r="AK73" i="14" s="1"/>
  <c r="AO68" i="14" a="1"/>
  <c r="AO68" i="14" s="1"/>
  <c r="AO69" i="14" a="1"/>
  <c r="AO69" i="14" s="1"/>
  <c r="AO67" i="14" a="1"/>
  <c r="AO67" i="14" s="1"/>
  <c r="AO73" i="14" a="1"/>
  <c r="AO73" i="14" s="1"/>
  <c r="AW31" i="14" s="1"/>
  <c r="AO71" i="14" a="1"/>
  <c r="AO71" i="14" s="1"/>
  <c r="AO66" i="14" a="1"/>
  <c r="AO66" i="14" s="1"/>
  <c r="AO72" i="14" a="1"/>
  <c r="AO72" i="14" s="1"/>
  <c r="AO70" i="14" a="1"/>
  <c r="AO70" i="14" s="1"/>
  <c r="AM67" i="14" a="1"/>
  <c r="AM67" i="14" s="1"/>
  <c r="AL68" i="14" a="1"/>
  <c r="AL68" i="14" s="1"/>
  <c r="AP66" i="14" a="1"/>
  <c r="AP66" i="14" s="1"/>
  <c r="AL73" i="14" a="1"/>
  <c r="AL73" i="14" s="1"/>
  <c r="AN66" i="14" a="1"/>
  <c r="AN66" i="14" s="1"/>
  <c r="AP69" i="14" a="1"/>
  <c r="AP69" i="14" s="1"/>
  <c r="AM69" i="14" a="1"/>
  <c r="AM69" i="14" s="1"/>
  <c r="AL72" i="14" a="1"/>
  <c r="AL72" i="14" s="1"/>
  <c r="AN67" i="14" a="1"/>
  <c r="AN67" i="14" s="1"/>
  <c r="AN68" i="14" a="1"/>
  <c r="AN68" i="14" s="1"/>
  <c r="AN73" i="14" a="1"/>
  <c r="AN73" i="14" s="1"/>
  <c r="AV31" i="14" s="1"/>
  <c r="AN72" i="14" a="1"/>
  <c r="AN72" i="14" s="1"/>
  <c r="AN70" i="14" a="1"/>
  <c r="AN70" i="14" s="1"/>
  <c r="AP73" i="14" a="1"/>
  <c r="AP73" i="14" s="1"/>
  <c r="AX31" i="14" s="1"/>
  <c r="AN71" i="14" a="1"/>
  <c r="AN71" i="14" s="1"/>
  <c r="AM71" i="14" a="1"/>
  <c r="AM71" i="14" s="1"/>
  <c r="AL70" i="14" a="1"/>
  <c r="AL70" i="14" s="1"/>
  <c r="AL67" i="14" a="1"/>
  <c r="AL67" i="14" s="1"/>
  <c r="AL69" i="14" a="1"/>
  <c r="AL69" i="14" s="1"/>
  <c r="AL71" i="14" a="1"/>
  <c r="AL71" i="14" s="1"/>
  <c r="AN69" i="14" a="1"/>
  <c r="AN69" i="14" s="1"/>
  <c r="AP71" i="14" a="1"/>
  <c r="AP71" i="14" s="1"/>
  <c r="AM73" i="14" a="1"/>
  <c r="AM73" i="14" s="1"/>
  <c r="AU31" i="14" s="1"/>
  <c r="AM68" i="14" a="1"/>
  <c r="AM68" i="14" s="1"/>
  <c r="AM72" i="14" a="1"/>
  <c r="AM72" i="14" s="1"/>
  <c r="AM66" i="14" a="1"/>
  <c r="AM66" i="14" s="1"/>
  <c r="AM70" i="14" a="1"/>
  <c r="AM70" i="14" s="1"/>
  <c r="AP70" i="14" a="1"/>
  <c r="AP70" i="14" s="1"/>
  <c r="AL66" i="14" a="1"/>
  <c r="AL66" i="14" s="1"/>
  <c r="AP72" i="14" a="1"/>
  <c r="AP72" i="14" s="1"/>
  <c r="AP68" i="14" a="1"/>
  <c r="AP68" i="14" s="1"/>
  <c r="AP67" i="14" a="1"/>
  <c r="AP67" i="14" s="1"/>
  <c r="AK68" i="14" a="1"/>
  <c r="AK68" i="14" s="1"/>
  <c r="AK66" i="14" a="1"/>
  <c r="AK66" i="14" s="1"/>
  <c r="AK71" i="14" a="1"/>
  <c r="AK71" i="14" s="1"/>
  <c r="AK70" i="14" a="1"/>
  <c r="AK70" i="14" s="1"/>
  <c r="AK69" i="14" a="1"/>
  <c r="AK69" i="14" s="1"/>
  <c r="AK72" i="14" a="1"/>
  <c r="AK72" i="14" s="1"/>
  <c r="AK67" i="14" a="1"/>
  <c r="AK67" i="14" s="1"/>
  <c r="AW24" i="14"/>
  <c r="AU24" i="14"/>
  <c r="AS24" i="14"/>
  <c r="AL76" i="10" a="1"/>
  <c r="AL76" i="10" s="1"/>
  <c r="Y19" i="10"/>
  <c r="AP81" i="10" a="1"/>
  <c r="AP81" i="10" s="1"/>
  <c r="AP79" i="10" a="1"/>
  <c r="AP79" i="10" s="1"/>
  <c r="AP77" i="10" a="1"/>
  <c r="AP77" i="10" s="1"/>
  <c r="AP80" i="10" a="1"/>
  <c r="AP80" i="10" s="1"/>
  <c r="AP76" i="10" a="1"/>
  <c r="AP76" i="10" s="1"/>
  <c r="AP78" i="10" a="1"/>
  <c r="AP78" i="10" s="1"/>
  <c r="AP75" i="10" a="1"/>
  <c r="AP75" i="10" s="1"/>
  <c r="AP74" i="10" a="1"/>
  <c r="AP74" i="10" s="1"/>
  <c r="AN78" i="10" a="1"/>
  <c r="AN78" i="10" s="1"/>
  <c r="AM74" i="10" a="1"/>
  <c r="AM74" i="10" s="1"/>
  <c r="AL75" i="10" a="1"/>
  <c r="AL75" i="10" s="1"/>
  <c r="AK76" i="10" a="1"/>
  <c r="AK76" i="10" s="1"/>
  <c r="AK79" i="10" a="1"/>
  <c r="AK79" i="10" s="1"/>
  <c r="AK77" i="10" a="1"/>
  <c r="AK77" i="10" s="1"/>
  <c r="AL79" i="10" a="1"/>
  <c r="AL79" i="10" s="1"/>
  <c r="AL80" i="10" a="1"/>
  <c r="AL80" i="10" s="1"/>
  <c r="AO77" i="10" a="1"/>
  <c r="AO77" i="10" s="1"/>
  <c r="AK80" i="10" a="1"/>
  <c r="AK80" i="10" s="1"/>
  <c r="AK81" i="10" a="1"/>
  <c r="AK81" i="10" s="1"/>
  <c r="AN79" i="10" a="1"/>
  <c r="AN79" i="10" s="1"/>
  <c r="AM78" i="10" a="1"/>
  <c r="AM78" i="10" s="1"/>
  <c r="AO78" i="10" a="1"/>
  <c r="AO78" i="10" s="1"/>
  <c r="AN80" i="10" a="1"/>
  <c r="AN80" i="10" s="1"/>
  <c r="AM76" i="10" a="1"/>
  <c r="AM76" i="10" s="1"/>
  <c r="AM77" i="10" a="1"/>
  <c r="AM77" i="10" s="1"/>
  <c r="AL78" i="10" a="1"/>
  <c r="AL78" i="10" s="1"/>
  <c r="AN74" i="10" a="1"/>
  <c r="AN74" i="10" s="1"/>
  <c r="AO81" i="10" a="1"/>
  <c r="AO81" i="10" s="1"/>
  <c r="AO79" i="10" a="1"/>
  <c r="AO79" i="10" s="1"/>
  <c r="AN76" i="10" a="1"/>
  <c r="AN76" i="10" s="1"/>
  <c r="AM80" i="10" a="1"/>
  <c r="AM80" i="10" s="1"/>
  <c r="AM79" i="10" a="1"/>
  <c r="AM79" i="10" s="1"/>
  <c r="AK78" i="10" a="1"/>
  <c r="AK78" i="10" s="1"/>
  <c r="AO75" i="10" a="1"/>
  <c r="AO75" i="10" s="1"/>
  <c r="AM75" i="10" a="1"/>
  <c r="AM75" i="10" s="1"/>
  <c r="AO80" i="10" a="1"/>
  <c r="AO80" i="10" s="1"/>
  <c r="AK74" i="10" a="1"/>
  <c r="AK74" i="10" s="1"/>
  <c r="AO74" i="10" a="1"/>
  <c r="AO74" i="10" s="1"/>
  <c r="AN81" i="10" a="1"/>
  <c r="AN81" i="10" s="1"/>
  <c r="AL74" i="10" a="1"/>
  <c r="AL74" i="10" s="1"/>
  <c r="AN75" i="10" a="1"/>
  <c r="AN75" i="10" s="1"/>
  <c r="AL77" i="10" a="1"/>
  <c r="AL77" i="10" s="1"/>
  <c r="AO76" i="10" a="1"/>
  <c r="AO76" i="10" s="1"/>
  <c r="AN77" i="10" a="1"/>
  <c r="AN77" i="10" s="1"/>
  <c r="AM81" i="10" a="1"/>
  <c r="AM81" i="10" s="1"/>
  <c r="AL81" i="10" a="1"/>
  <c r="AL81" i="10" s="1"/>
  <c r="AK75" i="10" a="1"/>
  <c r="AK75" i="10" s="1"/>
  <c r="AJ17" i="11"/>
  <c r="AT34" i="11" s="1"/>
  <c r="AM16" i="11" a="1"/>
  <c r="AM16" i="11" s="1"/>
  <c r="AL16" i="11" a="1"/>
  <c r="AL16" i="11" s="1"/>
  <c r="AP16" i="11" a="1"/>
  <c r="AP16" i="11" s="1"/>
  <c r="AO16" i="11" a="1"/>
  <c r="AO16" i="11" s="1"/>
  <c r="AN16" i="11" a="1"/>
  <c r="AN16" i="11" s="1"/>
  <c r="AK16" i="11" a="1"/>
  <c r="AK16" i="11" s="1"/>
  <c r="AU28" i="11"/>
  <c r="AU34" i="11"/>
  <c r="AV35" i="11"/>
  <c r="AV31" i="11"/>
  <c r="AW34" i="11"/>
  <c r="AX27" i="11"/>
  <c r="AV28" i="11"/>
  <c r="AX28" i="11"/>
  <c r="AW35" i="11"/>
  <c r="AT29" i="11"/>
  <c r="AT27" i="11"/>
  <c r="AS23" i="11"/>
  <c r="AS30" i="11"/>
  <c r="AU35" i="11"/>
  <c r="AW29" i="11"/>
  <c r="AS27" i="11"/>
  <c r="AV27" i="11"/>
  <c r="AW27" i="11"/>
  <c r="AV32" i="11"/>
  <c r="AS32" i="11"/>
  <c r="AX30" i="11"/>
  <c r="AX32" i="11"/>
  <c r="AU31" i="11"/>
  <c r="AS34" i="11"/>
  <c r="AS33" i="11"/>
  <c r="AV25" i="11"/>
  <c r="AX34" i="11"/>
  <c r="AW28" i="11"/>
  <c r="AT28" i="11"/>
  <c r="AV29" i="11"/>
  <c r="AT31" i="11"/>
  <c r="AW26" i="11"/>
  <c r="AS31" i="11"/>
  <c r="AT32" i="11"/>
  <c r="AT26" i="11"/>
  <c r="AJ17" i="12"/>
  <c r="AX30" i="12" s="1"/>
  <c r="AK16" i="12" a="1"/>
  <c r="AK16" i="12" s="1"/>
  <c r="AL16" i="12" a="1"/>
  <c r="AL16" i="12" s="1"/>
  <c r="AN16" i="12" a="1"/>
  <c r="AN16" i="12" s="1"/>
  <c r="AM16" i="12" a="1"/>
  <c r="AM16" i="12" s="1"/>
  <c r="AO16" i="12" a="1"/>
  <c r="AO16" i="12" s="1"/>
  <c r="AP16" i="12" a="1"/>
  <c r="AP16" i="12" s="1"/>
  <c r="AS34" i="12"/>
  <c r="AT31" i="12"/>
  <c r="AX26" i="12"/>
  <c r="AW29" i="12"/>
  <c r="AV27" i="12"/>
  <c r="AT34" i="12"/>
  <c r="AT25" i="11"/>
  <c r="AT30" i="11"/>
  <c r="AW35" i="12"/>
  <c r="AX27" i="12"/>
  <c r="AX23" i="11"/>
  <c r="AT23" i="11"/>
  <c r="AT29" i="12"/>
  <c r="AU26" i="11"/>
  <c r="AX32" i="12"/>
  <c r="AM16" i="10" a="1"/>
  <c r="AM16" i="10" s="1"/>
  <c r="AJ17" i="10"/>
  <c r="AW23" i="10" s="1"/>
  <c r="AP16" i="10" a="1"/>
  <c r="AP16" i="10" s="1"/>
  <c r="AN16" i="10" a="1"/>
  <c r="AN16" i="10" s="1"/>
  <c r="AO16" i="10" a="1"/>
  <c r="AO16" i="10" s="1"/>
  <c r="AL16" i="10" a="1"/>
  <c r="AL16" i="10" s="1"/>
  <c r="AK16" i="10" a="1"/>
  <c r="AK16" i="10" s="1"/>
  <c r="AU26" i="10"/>
  <c r="AV31" i="10"/>
  <c r="AU23" i="10"/>
  <c r="AS28" i="10"/>
  <c r="AT25" i="10"/>
  <c r="AT35" i="10"/>
  <c r="AX31" i="10"/>
  <c r="AV28" i="10"/>
  <c r="AX25" i="10"/>
  <c r="AT32" i="10"/>
  <c r="AS27" i="10"/>
  <c r="AS31" i="10"/>
  <c r="AT34" i="10"/>
  <c r="AW27" i="10"/>
  <c r="AV34" i="10"/>
  <c r="AX28" i="10"/>
  <c r="AX26" i="10"/>
  <c r="AW28" i="10"/>
  <c r="AU35" i="10"/>
  <c r="AV35" i="10"/>
  <c r="AT26" i="10"/>
  <c r="AU34" i="10"/>
  <c r="AO87" i="13" a="1"/>
  <c r="AO87" i="13" s="1"/>
  <c r="AL89" i="13" a="1"/>
  <c r="AL89" i="13" s="1"/>
  <c r="AT33" i="13" s="1"/>
  <c r="AL85" i="13" a="1"/>
  <c r="AL85" i="13" s="1"/>
  <c r="AO82" i="13" a="1"/>
  <c r="AO82" i="13" s="1"/>
  <c r="AP88" i="13" a="1"/>
  <c r="AP88" i="13" s="1"/>
  <c r="AL82" i="13" a="1"/>
  <c r="AL82" i="13" s="1"/>
  <c r="AN83" i="13" a="1"/>
  <c r="AN83" i="13" s="1"/>
  <c r="AP87" i="13" a="1"/>
  <c r="AP87" i="13" s="1"/>
  <c r="AP83" i="13" a="1"/>
  <c r="AP83" i="13" s="1"/>
  <c r="AO85" i="13" a="1"/>
  <c r="AO85" i="13" s="1"/>
  <c r="AN87" i="13" a="1"/>
  <c r="AN87" i="13" s="1"/>
  <c r="AL84" i="13" a="1"/>
  <c r="AL84" i="13" s="1"/>
  <c r="AP82" i="13" a="1"/>
  <c r="AP82" i="13" s="1"/>
  <c r="AL86" i="13" a="1"/>
  <c r="AL86" i="13" s="1"/>
  <c r="AP86" i="13" a="1"/>
  <c r="AP86" i="13" s="1"/>
  <c r="AP85" i="13" a="1"/>
  <c r="AP85" i="13" s="1"/>
  <c r="AN85" i="13" a="1"/>
  <c r="AN85" i="13" s="1"/>
  <c r="AL88" i="13" a="1"/>
  <c r="AL88" i="13" s="1"/>
  <c r="AN89" i="13" a="1"/>
  <c r="AN89" i="13" s="1"/>
  <c r="AV33" i="13" s="1"/>
  <c r="AO86" i="13" a="1"/>
  <c r="AO86" i="13" s="1"/>
  <c r="AL83" i="13" a="1"/>
  <c r="AL83" i="13" s="1"/>
  <c r="AO89" i="13" a="1"/>
  <c r="AO89" i="13" s="1"/>
  <c r="AW33" i="13" s="1"/>
  <c r="AO88" i="13" a="1"/>
  <c r="AO88" i="13" s="1"/>
  <c r="AN88" i="13" a="1"/>
  <c r="AN88" i="13" s="1"/>
  <c r="AL87" i="13" a="1"/>
  <c r="AL87" i="13" s="1"/>
  <c r="AN84" i="13" a="1"/>
  <c r="AN84" i="13" s="1"/>
  <c r="AO84" i="13" a="1"/>
  <c r="AO84" i="13" s="1"/>
  <c r="AN82" i="13" a="1"/>
  <c r="AN82" i="13" s="1"/>
  <c r="AO83" i="13" a="1"/>
  <c r="AO83" i="13" s="1"/>
  <c r="AN86" i="13" a="1"/>
  <c r="AN86" i="13" s="1"/>
  <c r="AP84" i="13" a="1"/>
  <c r="AP84" i="13" s="1"/>
  <c r="AP89" i="13" a="1"/>
  <c r="AP89" i="13" s="1"/>
  <c r="AX33" i="13" s="1"/>
  <c r="AK84" i="13" a="1"/>
  <c r="AK84" i="13" s="1"/>
  <c r="AM83" i="13" a="1"/>
  <c r="AM83" i="13" s="1"/>
  <c r="AK88" i="13" a="1"/>
  <c r="AK88" i="13" s="1"/>
  <c r="AK85" i="13" a="1"/>
  <c r="AK85" i="13" s="1"/>
  <c r="AM86" i="13" a="1"/>
  <c r="AM86" i="13" s="1"/>
  <c r="AK83" i="13" a="1"/>
  <c r="AK83" i="13" s="1"/>
  <c r="AK86" i="13" a="1"/>
  <c r="AK86" i="13" s="1"/>
  <c r="AM88" i="13" a="1"/>
  <c r="AM88" i="13" s="1"/>
  <c r="AM89" i="13" a="1"/>
  <c r="AM89" i="13" s="1"/>
  <c r="AU33" i="13" s="1"/>
  <c r="AM84" i="13" a="1"/>
  <c r="AM84" i="13" s="1"/>
  <c r="AK87" i="13" a="1"/>
  <c r="AK87" i="13" s="1"/>
  <c r="AM87" i="13" a="1"/>
  <c r="AM87" i="13" s="1"/>
  <c r="AK89" i="13" a="1"/>
  <c r="AK89" i="13" s="1"/>
  <c r="AS33" i="13" s="1"/>
  <c r="AM85" i="13" a="1"/>
  <c r="AM85" i="13" s="1"/>
  <c r="AK82" i="13" a="1"/>
  <c r="AK82" i="13" s="1"/>
  <c r="AM82" i="13" a="1"/>
  <c r="AM82" i="13" s="1"/>
  <c r="AW27" i="12"/>
  <c r="AX25" i="11"/>
  <c r="AW31" i="11"/>
  <c r="AS29" i="11"/>
  <c r="AT28" i="12"/>
  <c r="AX34" i="12"/>
  <c r="AX33" i="11"/>
  <c r="AU25" i="11"/>
  <c r="AV29" i="12"/>
  <c r="AU26" i="12"/>
  <c r="AV30" i="11"/>
  <c r="AW34" i="12"/>
  <c r="AS28" i="12"/>
  <c r="AS35" i="11"/>
  <c r="AV34" i="12"/>
  <c r="AW30" i="11"/>
  <c r="AS26" i="12"/>
  <c r="AU30" i="11"/>
  <c r="AV26" i="11"/>
  <c r="AX26" i="11"/>
  <c r="AW33" i="12"/>
  <c r="AS25" i="11"/>
  <c r="AT35" i="11"/>
  <c r="AJ17" i="9"/>
  <c r="AN16" i="9" a="1"/>
  <c r="AN16" i="9" s="1"/>
  <c r="AM16" i="9" a="1"/>
  <c r="AM16" i="9" s="1"/>
  <c r="AK16" i="9" a="1"/>
  <c r="AK16" i="9" s="1"/>
  <c r="AO16" i="9" a="1"/>
  <c r="AO16" i="9" s="1"/>
  <c r="AP16" i="9" a="1"/>
  <c r="AP16" i="9" s="1"/>
  <c r="AL16" i="9" a="1"/>
  <c r="AL16" i="9" s="1"/>
  <c r="AX23" i="9"/>
  <c r="AT33" i="9"/>
  <c r="AU28" i="9"/>
  <c r="AV33" i="9"/>
  <c r="AX28" i="9"/>
  <c r="AS28" i="9"/>
  <c r="AS26" i="9"/>
  <c r="AW30" i="9"/>
  <c r="AW23" i="9"/>
  <c r="AJ113" i="6"/>
  <c r="AJ105" i="6"/>
  <c r="AJ97" i="6"/>
  <c r="AJ89" i="6"/>
  <c r="AJ81" i="6"/>
  <c r="AJ73" i="6"/>
  <c r="AJ65" i="6"/>
  <c r="AJ57" i="6"/>
  <c r="AJ49" i="6"/>
  <c r="AJ41" i="6"/>
  <c r="AJ33" i="6"/>
  <c r="AJ25" i="6"/>
  <c r="D4" i="6"/>
  <c r="K4" i="6" s="1"/>
  <c r="C4" i="6"/>
  <c r="J4" i="6" s="1"/>
  <c r="E4" i="6"/>
  <c r="L4" i="6" s="1"/>
  <c r="F4" i="6"/>
  <c r="M4" i="6" s="1"/>
  <c r="G4" i="6"/>
  <c r="N4" i="6" s="1"/>
  <c r="H4" i="6"/>
  <c r="O4" i="6" s="1"/>
  <c r="AK17" i="22" l="1" a="1"/>
  <c r="AK17" i="22" s="1"/>
  <c r="AS17" i="22" s="1" a="1"/>
  <c r="AS17" i="22" s="1"/>
  <c r="AP17" i="22" a="1"/>
  <c r="AP17" i="22" s="1"/>
  <c r="AX17" i="22" s="1" a="1"/>
  <c r="AX17" i="22" s="1"/>
  <c r="AN17" i="22" a="1"/>
  <c r="AN17" i="22" s="1"/>
  <c r="AV12" i="22" s="1" a="1"/>
  <c r="AV12" i="22" s="1"/>
  <c r="AM17" i="22" a="1"/>
  <c r="AM17" i="22" s="1"/>
  <c r="AU16" i="22" s="1" a="1"/>
  <c r="AU16" i="22" s="1"/>
  <c r="AO17" i="22" a="1"/>
  <c r="AO17" i="22" s="1"/>
  <c r="AW17" i="22" s="1" a="1"/>
  <c r="AW17" i="22" s="1"/>
  <c r="AL17" i="22" a="1"/>
  <c r="AL17" i="22" s="1"/>
  <c r="AT19" i="22" s="1" a="1"/>
  <c r="AT19" i="22" s="1"/>
  <c r="AX23" i="22"/>
  <c r="AT29" i="22"/>
  <c r="AU28" i="22"/>
  <c r="AX25" i="22"/>
  <c r="AV23" i="22"/>
  <c r="AX30" i="22"/>
  <c r="AT34" i="22"/>
  <c r="AX26" i="22"/>
  <c r="AW27" i="22"/>
  <c r="AW26" i="22"/>
  <c r="AW31" i="22"/>
  <c r="AU34" i="22"/>
  <c r="AV30" i="22"/>
  <c r="AV26" i="22"/>
  <c r="AT33" i="22"/>
  <c r="AS33" i="22"/>
  <c r="AS29" i="22"/>
  <c r="AT28" i="22"/>
  <c r="AV35" i="22"/>
  <c r="AU26" i="22"/>
  <c r="AU30" i="22"/>
  <c r="AX28" i="22"/>
  <c r="AV27" i="22"/>
  <c r="AT30" i="22"/>
  <c r="AT23" i="22"/>
  <c r="AU32" i="22"/>
  <c r="AW30" i="22"/>
  <c r="AX24" i="22"/>
  <c r="AW23" i="22"/>
  <c r="AU27" i="22"/>
  <c r="AV32" i="22"/>
  <c r="AX29" i="22"/>
  <c r="AT25" i="22"/>
  <c r="AS30" i="22"/>
  <c r="AX33" i="22"/>
  <c r="AV11" i="13" a="1"/>
  <c r="AV11" i="13" s="1"/>
  <c r="AT13" i="13" a="1"/>
  <c r="AT13" i="13" s="1"/>
  <c r="AU18" i="13" a="1"/>
  <c r="AU18" i="13" s="1"/>
  <c r="AU11" i="13" a="1"/>
  <c r="AU11" i="13" s="1"/>
  <c r="AT16" i="13" a="1"/>
  <c r="AT16" i="13" s="1"/>
  <c r="AS16" i="13" a="1"/>
  <c r="AS16" i="13" s="1"/>
  <c r="AX10" i="13" a="1"/>
  <c r="AX10" i="13" s="1"/>
  <c r="AU13" i="13" a="1"/>
  <c r="AU13" i="13" s="1"/>
  <c r="AU17" i="13" a="1"/>
  <c r="AU17" i="13" s="1"/>
  <c r="AX16" i="13" a="1"/>
  <c r="AX16" i="13" s="1"/>
  <c r="AT20" i="13" a="1"/>
  <c r="AT20" i="13" s="1"/>
  <c r="AV15" i="13" a="1"/>
  <c r="AV15" i="13" s="1"/>
  <c r="AT14" i="13" a="1"/>
  <c r="AT14" i="13" s="1"/>
  <c r="AT15" i="13" a="1"/>
  <c r="AT15" i="13" s="1"/>
  <c r="AT18" i="13" a="1"/>
  <c r="AT18" i="13" s="1"/>
  <c r="AU19" i="13" a="1"/>
  <c r="AU19" i="13" s="1"/>
  <c r="AU21" i="13" a="1"/>
  <c r="AU21" i="13" s="1"/>
  <c r="AT22" i="13" a="1"/>
  <c r="AT22" i="13" s="1"/>
  <c r="AT10" i="13" a="1"/>
  <c r="AT10" i="13" s="1"/>
  <c r="AU14" i="13" a="1"/>
  <c r="AU14" i="13" s="1"/>
  <c r="Y19" i="14"/>
  <c r="AO74" i="14" a="1"/>
  <c r="AO74" i="14" s="1"/>
  <c r="AO79" i="14" a="1"/>
  <c r="AO79" i="14" s="1"/>
  <c r="AO78" i="14" a="1"/>
  <c r="AO78" i="14" s="1"/>
  <c r="AO76" i="14" a="1"/>
  <c r="AO76" i="14" s="1"/>
  <c r="AO80" i="14" a="1"/>
  <c r="AO80" i="14" s="1"/>
  <c r="AO75" i="14" a="1"/>
  <c r="AO75" i="14" s="1"/>
  <c r="AO81" i="14" a="1"/>
  <c r="AO81" i="14" s="1"/>
  <c r="AW32" i="14" s="1"/>
  <c r="AO77" i="14" a="1"/>
  <c r="AO77" i="14" s="1"/>
  <c r="AL74" i="14" a="1"/>
  <c r="AL74" i="14" s="1"/>
  <c r="AP81" i="14" a="1"/>
  <c r="AP81" i="14" s="1"/>
  <c r="AL75" i="14" a="1"/>
  <c r="AL75" i="14" s="1"/>
  <c r="AN77" i="14" a="1"/>
  <c r="AN77" i="14" s="1"/>
  <c r="AN78" i="14" a="1"/>
  <c r="AN78" i="14" s="1"/>
  <c r="AM79" i="14" a="1"/>
  <c r="AM79" i="14" s="1"/>
  <c r="AN75" i="14" a="1"/>
  <c r="AN75" i="14" s="1"/>
  <c r="AN81" i="14" a="1"/>
  <c r="AN81" i="14" s="1"/>
  <c r="AV32" i="14" s="1"/>
  <c r="AM76" i="14" a="1"/>
  <c r="AM76" i="14" s="1"/>
  <c r="AL79" i="14" a="1"/>
  <c r="AL79" i="14" s="1"/>
  <c r="AP78" i="14" a="1"/>
  <c r="AP78" i="14" s="1"/>
  <c r="AL76" i="14" a="1"/>
  <c r="AL76" i="14" s="1"/>
  <c r="AP80" i="14" a="1"/>
  <c r="AP80" i="14" s="1"/>
  <c r="AP76" i="14" a="1"/>
  <c r="AP76" i="14" s="1"/>
  <c r="AM81" i="14" a="1"/>
  <c r="AM81" i="14" s="1"/>
  <c r="AU32" i="14" s="1"/>
  <c r="AN74" i="14" a="1"/>
  <c r="AN74" i="14" s="1"/>
  <c r="AM80" i="14" a="1"/>
  <c r="AM80" i="14" s="1"/>
  <c r="AN80" i="14" a="1"/>
  <c r="AN80" i="14" s="1"/>
  <c r="AP79" i="14" a="1"/>
  <c r="AP79" i="14" s="1"/>
  <c r="AM75" i="14" a="1"/>
  <c r="AM75" i="14" s="1"/>
  <c r="AP77" i="14" a="1"/>
  <c r="AP77" i="14" s="1"/>
  <c r="AP75" i="14" a="1"/>
  <c r="AP75" i="14" s="1"/>
  <c r="AN79" i="14" a="1"/>
  <c r="AN79" i="14" s="1"/>
  <c r="AM78" i="14" a="1"/>
  <c r="AM78" i="14" s="1"/>
  <c r="AL81" i="14" a="1"/>
  <c r="AL81" i="14" s="1"/>
  <c r="AT32" i="14" s="1"/>
  <c r="AM77" i="14" a="1"/>
  <c r="AM77" i="14" s="1"/>
  <c r="AL80" i="14" a="1"/>
  <c r="AL80" i="14" s="1"/>
  <c r="AP74" i="14" a="1"/>
  <c r="AP74" i="14" s="1"/>
  <c r="AL78" i="14" a="1"/>
  <c r="AL78" i="14" s="1"/>
  <c r="AN76" i="14" a="1"/>
  <c r="AN76" i="14" s="1"/>
  <c r="AM74" i="14" a="1"/>
  <c r="AM74" i="14" s="1"/>
  <c r="AL77" i="14" a="1"/>
  <c r="AL77" i="14" s="1"/>
  <c r="AK75" i="14" a="1"/>
  <c r="AK75" i="14" s="1"/>
  <c r="AK74" i="14" a="1"/>
  <c r="AK74" i="14" s="1"/>
  <c r="AK79" i="14" a="1"/>
  <c r="AK79" i="14" s="1"/>
  <c r="AK76" i="14" a="1"/>
  <c r="AK76" i="14" s="1"/>
  <c r="AK80" i="14" a="1"/>
  <c r="AK80" i="14" s="1"/>
  <c r="AK77" i="14" a="1"/>
  <c r="AK77" i="14" s="1"/>
  <c r="AK81" i="14" a="1"/>
  <c r="AK81" i="14" s="1"/>
  <c r="AS32" i="14" s="1"/>
  <c r="AK78" i="14" a="1"/>
  <c r="AK78" i="14" s="1"/>
  <c r="AV18" i="13" a="1"/>
  <c r="AV18" i="13" s="1"/>
  <c r="AW31" i="10"/>
  <c r="AS25" i="10"/>
  <c r="AW23" i="12"/>
  <c r="AW30" i="12"/>
  <c r="AU27" i="11"/>
  <c r="AS26" i="11"/>
  <c r="AP85" i="10" a="1"/>
  <c r="AP85" i="10" s="1"/>
  <c r="AP82" i="10" a="1"/>
  <c r="AP82" i="10" s="1"/>
  <c r="AP86" i="10" a="1"/>
  <c r="AP86" i="10" s="1"/>
  <c r="AP87" i="10" a="1"/>
  <c r="AP87" i="10" s="1"/>
  <c r="AP88" i="10" a="1"/>
  <c r="AP88" i="10" s="1"/>
  <c r="AP83" i="10" a="1"/>
  <c r="AP83" i="10" s="1"/>
  <c r="AP84" i="10" a="1"/>
  <c r="AP84" i="10" s="1"/>
  <c r="AP89" i="10" a="1"/>
  <c r="AP89" i="10" s="1"/>
  <c r="AL82" i="10" a="1"/>
  <c r="AL82" i="10" s="1"/>
  <c r="AK82" i="10" a="1"/>
  <c r="AK82" i="10" s="1"/>
  <c r="AO87" i="10" a="1"/>
  <c r="AO87" i="10" s="1"/>
  <c r="AL88" i="10" a="1"/>
  <c r="AL88" i="10" s="1"/>
  <c r="AO82" i="10" a="1"/>
  <c r="AO82" i="10" s="1"/>
  <c r="AM87" i="10" a="1"/>
  <c r="AM87" i="10" s="1"/>
  <c r="AL83" i="10" a="1"/>
  <c r="AL83" i="10" s="1"/>
  <c r="AK85" i="10" a="1"/>
  <c r="AK85" i="10" s="1"/>
  <c r="AN84" i="10" a="1"/>
  <c r="AN84" i="10" s="1"/>
  <c r="AM82" i="10" a="1"/>
  <c r="AM82" i="10" s="1"/>
  <c r="AL84" i="10" a="1"/>
  <c r="AL84" i="10" s="1"/>
  <c r="AN85" i="10" a="1"/>
  <c r="AN85" i="10" s="1"/>
  <c r="AO85" i="10" a="1"/>
  <c r="AO85" i="10" s="1"/>
  <c r="AL85" i="10" a="1"/>
  <c r="AL85" i="10" s="1"/>
  <c r="AO83" i="10" a="1"/>
  <c r="AO83" i="10" s="1"/>
  <c r="AN88" i="10" a="1"/>
  <c r="AN88" i="10" s="1"/>
  <c r="AN89" i="10" a="1"/>
  <c r="AN89" i="10" s="1"/>
  <c r="AM86" i="10" a="1"/>
  <c r="AM86" i="10" s="1"/>
  <c r="AO88" i="10" a="1"/>
  <c r="AO88" i="10" s="1"/>
  <c r="AM83" i="10" a="1"/>
  <c r="AM83" i="10" s="1"/>
  <c r="AM84" i="10" a="1"/>
  <c r="AM84" i="10" s="1"/>
  <c r="AL89" i="10" a="1"/>
  <c r="AL89" i="10" s="1"/>
  <c r="AT33" i="10" s="1"/>
  <c r="AN87" i="10" a="1"/>
  <c r="AN87" i="10" s="1"/>
  <c r="AO84" i="10" a="1"/>
  <c r="AO84" i="10" s="1"/>
  <c r="AN86" i="10" a="1"/>
  <c r="AN86" i="10" s="1"/>
  <c r="AM85" i="10" a="1"/>
  <c r="AM85" i="10" s="1"/>
  <c r="AM89" i="10" a="1"/>
  <c r="AM89" i="10" s="1"/>
  <c r="AU33" i="10" s="1"/>
  <c r="AO86" i="10" a="1"/>
  <c r="AO86" i="10" s="1"/>
  <c r="AK83" i="10" a="1"/>
  <c r="AK83" i="10" s="1"/>
  <c r="AK88" i="10" a="1"/>
  <c r="AK88" i="10" s="1"/>
  <c r="AN82" i="10" a="1"/>
  <c r="AN82" i="10" s="1"/>
  <c r="AM88" i="10" a="1"/>
  <c r="AM88" i="10" s="1"/>
  <c r="AK87" i="10" a="1"/>
  <c r="AK87" i="10" s="1"/>
  <c r="AO89" i="10" a="1"/>
  <c r="AO89" i="10" s="1"/>
  <c r="AW33" i="10" s="1"/>
  <c r="AK89" i="10" a="1"/>
  <c r="AK89" i="10" s="1"/>
  <c r="AS33" i="10" s="1"/>
  <c r="AL86" i="10" a="1"/>
  <c r="AL86" i="10" s="1"/>
  <c r="AK86" i="10" a="1"/>
  <c r="AK86" i="10" s="1"/>
  <c r="AN83" i="10" a="1"/>
  <c r="AN83" i="10" s="1"/>
  <c r="AL87" i="10" a="1"/>
  <c r="AL87" i="10" s="1"/>
  <c r="AK84" i="10" a="1"/>
  <c r="AK84" i="10" s="1"/>
  <c r="AU16" i="13" a="1"/>
  <c r="AU16" i="13" s="1"/>
  <c r="AV25" i="10"/>
  <c r="AV33" i="12"/>
  <c r="AV25" i="12"/>
  <c r="AV26" i="12"/>
  <c r="AX15" i="13" a="1"/>
  <c r="AX15" i="13" s="1"/>
  <c r="AV16" i="13" a="1"/>
  <c r="AV16" i="13" s="1"/>
  <c r="AV10" i="13" a="1"/>
  <c r="AV10" i="13" s="1"/>
  <c r="AV17" i="13" a="1"/>
  <c r="AV17" i="13" s="1"/>
  <c r="AV19" i="13" a="1"/>
  <c r="AV19" i="13" s="1"/>
  <c r="AV14" i="13" a="1"/>
  <c r="AV14" i="13" s="1"/>
  <c r="AV13" i="13" a="1"/>
  <c r="AV13" i="13" s="1"/>
  <c r="AV21" i="13" a="1"/>
  <c r="AV21" i="13" s="1"/>
  <c r="AU12" i="13" a="1"/>
  <c r="AU12" i="13" s="1"/>
  <c r="AS27" i="12"/>
  <c r="AX21" i="13" a="1"/>
  <c r="AX21" i="13" s="1"/>
  <c r="AS32" i="12"/>
  <c r="AX22" i="13" a="1"/>
  <c r="AX22" i="13" s="1"/>
  <c r="AS20" i="13" a="1"/>
  <c r="AS20" i="13" s="1"/>
  <c r="AU10" i="13" a="1"/>
  <c r="AU10" i="13" s="1"/>
  <c r="AU15" i="13" a="1"/>
  <c r="AU15" i="13" s="1"/>
  <c r="AU20" i="13" a="1"/>
  <c r="AU20" i="13" s="1"/>
  <c r="AX20" i="13" a="1"/>
  <c r="AX20" i="13" s="1"/>
  <c r="AS17" i="13" a="1"/>
  <c r="AS17" i="13" s="1"/>
  <c r="AU22" i="13" a="1"/>
  <c r="AU22" i="13" s="1"/>
  <c r="AT21" i="13" a="1"/>
  <c r="AT21" i="13" s="1"/>
  <c r="AT19" i="13" a="1"/>
  <c r="AT19" i="13" s="1"/>
  <c r="AX17" i="13" a="1"/>
  <c r="AX17" i="13" s="1"/>
  <c r="AT35" i="12"/>
  <c r="AT17" i="13" a="1"/>
  <c r="AT17" i="13" s="1"/>
  <c r="AU25" i="12"/>
  <c r="AX19" i="13" a="1"/>
  <c r="AX19" i="13" s="1"/>
  <c r="AV12" i="13" a="1"/>
  <c r="AV12" i="13" s="1"/>
  <c r="AS19" i="13" a="1"/>
  <c r="AS19" i="13" s="1"/>
  <c r="AX14" i="13" a="1"/>
  <c r="AX14" i="13" s="1"/>
  <c r="AT12" i="13" a="1"/>
  <c r="AT12" i="13" s="1"/>
  <c r="AU23" i="12"/>
  <c r="AS33" i="12"/>
  <c r="AM17" i="11" a="1"/>
  <c r="AM17" i="11" s="1"/>
  <c r="AU11" i="11" s="1" a="1"/>
  <c r="AU11" i="11" s="1"/>
  <c r="AL17" i="11" a="1"/>
  <c r="AL17" i="11" s="1"/>
  <c r="AT17" i="11" s="1" a="1"/>
  <c r="AT17" i="11" s="1"/>
  <c r="AP17" i="11" a="1"/>
  <c r="AP17" i="11" s="1"/>
  <c r="AX15" i="11" s="1" a="1"/>
  <c r="AX15" i="11" s="1"/>
  <c r="AO17" i="11" a="1"/>
  <c r="AO17" i="11" s="1"/>
  <c r="AW24" i="11" s="1"/>
  <c r="AK17" i="11" a="1"/>
  <c r="AK17" i="11" s="1"/>
  <c r="AS24" i="11" s="1"/>
  <c r="AN17" i="11" a="1"/>
  <c r="AN17" i="11" s="1"/>
  <c r="AV20" i="11" s="1" a="1"/>
  <c r="AV20" i="11" s="1"/>
  <c r="AT33" i="11"/>
  <c r="AV33" i="11"/>
  <c r="AU32" i="11"/>
  <c r="AX31" i="11"/>
  <c r="AU29" i="11"/>
  <c r="AV34" i="11"/>
  <c r="AU33" i="11"/>
  <c r="AW32" i="11"/>
  <c r="AW33" i="11"/>
  <c r="AX29" i="11"/>
  <c r="AS28" i="11"/>
  <c r="AU23" i="11"/>
  <c r="AW25" i="11"/>
  <c r="AT25" i="12"/>
  <c r="AS18" i="13" a="1"/>
  <c r="AS18" i="13" s="1"/>
  <c r="AV22" i="13" a="1"/>
  <c r="AV22" i="13" s="1"/>
  <c r="AW23" i="11"/>
  <c r="AW22" i="13" a="1"/>
  <c r="AW22" i="13" s="1"/>
  <c r="AW13" i="13" a="1"/>
  <c r="AW13" i="13" s="1"/>
  <c r="AW19" i="13" a="1"/>
  <c r="AW19" i="13" s="1"/>
  <c r="AW14" i="13" a="1"/>
  <c r="AW14" i="13" s="1"/>
  <c r="AW20" i="13" a="1"/>
  <c r="AW20" i="13" s="1"/>
  <c r="AW12" i="13" a="1"/>
  <c r="AW12" i="13" s="1"/>
  <c r="AW18" i="13" a="1"/>
  <c r="AW18" i="13" s="1"/>
  <c r="AW16" i="13" a="1"/>
  <c r="AW16" i="13" s="1"/>
  <c r="AW15" i="13" a="1"/>
  <c r="AW15" i="13" s="1"/>
  <c r="AW10" i="13" a="1"/>
  <c r="AW10" i="13" s="1"/>
  <c r="AW11" i="13" a="1"/>
  <c r="AW11" i="13" s="1"/>
  <c r="AW17" i="13" a="1"/>
  <c r="AW17" i="13" s="1"/>
  <c r="AW21" i="13" a="1"/>
  <c r="AW21" i="13" s="1"/>
  <c r="AK17" i="12" a="1"/>
  <c r="AK17" i="12" s="1"/>
  <c r="AS12" i="12" s="1" a="1"/>
  <c r="AS12" i="12" s="1"/>
  <c r="AM17" i="12" a="1"/>
  <c r="AM17" i="12" s="1"/>
  <c r="AU17" i="12" s="1" a="1"/>
  <c r="AU17" i="12" s="1"/>
  <c r="AN17" i="12" a="1"/>
  <c r="AN17" i="12" s="1"/>
  <c r="AV15" i="12" s="1" a="1"/>
  <c r="AV15" i="12" s="1"/>
  <c r="AL17" i="12" a="1"/>
  <c r="AL17" i="12" s="1"/>
  <c r="AT14" i="12" s="1" a="1"/>
  <c r="AT14" i="12" s="1"/>
  <c r="AO17" i="12" a="1"/>
  <c r="AO17" i="12" s="1"/>
  <c r="AW10" i="12" s="1" a="1"/>
  <c r="AW10" i="12" s="1"/>
  <c r="AP17" i="12" a="1"/>
  <c r="AP17" i="12" s="1"/>
  <c r="AX16" i="12" s="1" a="1"/>
  <c r="AX16" i="12" s="1"/>
  <c r="AT27" i="12"/>
  <c r="AS29" i="12"/>
  <c r="AU29" i="12"/>
  <c r="AT32" i="12"/>
  <c r="AV32" i="12"/>
  <c r="AV35" i="12"/>
  <c r="AX25" i="12"/>
  <c r="AS31" i="12"/>
  <c r="AT23" i="12"/>
  <c r="AV28" i="12"/>
  <c r="AX33" i="12"/>
  <c r="AS23" i="12"/>
  <c r="AU30" i="12"/>
  <c r="AT30" i="12"/>
  <c r="AW28" i="12"/>
  <c r="AU31" i="12"/>
  <c r="AX29" i="12"/>
  <c r="AW25" i="12"/>
  <c r="AU35" i="12"/>
  <c r="AU27" i="12"/>
  <c r="AT33" i="12"/>
  <c r="AV31" i="12"/>
  <c r="AV30" i="12"/>
  <c r="AX23" i="12"/>
  <c r="AX31" i="12"/>
  <c r="AU28" i="12"/>
  <c r="AU34" i="12"/>
  <c r="AX35" i="12"/>
  <c r="AU32" i="12"/>
  <c r="AW31" i="12"/>
  <c r="AS30" i="12"/>
  <c r="AU33" i="12"/>
  <c r="AT26" i="12"/>
  <c r="AV23" i="12"/>
  <c r="AW26" i="12"/>
  <c r="AS35" i="12"/>
  <c r="AX11" i="13" a="1"/>
  <c r="AX11" i="13" s="1"/>
  <c r="AP17" i="10" a="1"/>
  <c r="AP17" i="10" s="1"/>
  <c r="AO17" i="10" a="1"/>
  <c r="AO17" i="10" s="1"/>
  <c r="AL17" i="10" a="1"/>
  <c r="AL17" i="10" s="1"/>
  <c r="AT24" i="10" s="1"/>
  <c r="AM17" i="10" a="1"/>
  <c r="AM17" i="10" s="1"/>
  <c r="AU20" i="10" s="1" a="1"/>
  <c r="AU20" i="10" s="1"/>
  <c r="AK17" i="10" a="1"/>
  <c r="AK17" i="10" s="1"/>
  <c r="AS24" i="10" s="1"/>
  <c r="AN17" i="10" a="1"/>
  <c r="AN17" i="10" s="1"/>
  <c r="AS23" i="10"/>
  <c r="AT23" i="10"/>
  <c r="AW32" i="10"/>
  <c r="AT28" i="10"/>
  <c r="AW26" i="10"/>
  <c r="AU27" i="10"/>
  <c r="AX33" i="10"/>
  <c r="AV27" i="10"/>
  <c r="AT30" i="10"/>
  <c r="AW25" i="10"/>
  <c r="AS35" i="10"/>
  <c r="AX29" i="10"/>
  <c r="AV29" i="10"/>
  <c r="AT29" i="10"/>
  <c r="AV23" i="10"/>
  <c r="AW35" i="10"/>
  <c r="AS26" i="10"/>
  <c r="AV30" i="10"/>
  <c r="AU30" i="10"/>
  <c r="AU25" i="10"/>
  <c r="AV32" i="10"/>
  <c r="AV33" i="10"/>
  <c r="AX35" i="10"/>
  <c r="AX30" i="10"/>
  <c r="AX23" i="10"/>
  <c r="AW30" i="10"/>
  <c r="AX32" i="10"/>
  <c r="AW34" i="10"/>
  <c r="AU31" i="10"/>
  <c r="AU29" i="10"/>
  <c r="AX34" i="10"/>
  <c r="AW29" i="10"/>
  <c r="AT31" i="10"/>
  <c r="AS32" i="10"/>
  <c r="AU28" i="10"/>
  <c r="AS30" i="10"/>
  <c r="AV26" i="10"/>
  <c r="AS34" i="10"/>
  <c r="AX27" i="10"/>
  <c r="AS29" i="10"/>
  <c r="AT11" i="13" a="1"/>
  <c r="AT11" i="13" s="1"/>
  <c r="AX12" i="13" a="1"/>
  <c r="AX12" i="13" s="1"/>
  <c r="AX13" i="13" a="1"/>
  <c r="AX13" i="13" s="1"/>
  <c r="AS22" i="13" a="1"/>
  <c r="AS22" i="13" s="1"/>
  <c r="AS11" i="13" a="1"/>
  <c r="AS11" i="13" s="1"/>
  <c r="AS15" i="13" a="1"/>
  <c r="AS15" i="13" s="1"/>
  <c r="AS10" i="13" a="1"/>
  <c r="AS10" i="13" s="1"/>
  <c r="AS14" i="13" a="1"/>
  <c r="AS14" i="13" s="1"/>
  <c r="AS13" i="13" a="1"/>
  <c r="AS13" i="13" s="1"/>
  <c r="AS21" i="13" a="1"/>
  <c r="AS21" i="13" s="1"/>
  <c r="AX18" i="13" a="1"/>
  <c r="AX18" i="13" s="1"/>
  <c r="AS25" i="12"/>
  <c r="AS12" i="13" a="1"/>
  <c r="AS12" i="13" s="1"/>
  <c r="AX28" i="12"/>
  <c r="AV20" i="13" a="1"/>
  <c r="AV20" i="13" s="1"/>
  <c r="AU32" i="10"/>
  <c r="AT27" i="10"/>
  <c r="AW32" i="12"/>
  <c r="AX35" i="11"/>
  <c r="AV23" i="11"/>
  <c r="AK17" i="9" a="1"/>
  <c r="AK17" i="9" s="1"/>
  <c r="AS16" i="9" s="1" a="1"/>
  <c r="AS16" i="9" s="1"/>
  <c r="AM17" i="9" a="1"/>
  <c r="AM17" i="9" s="1"/>
  <c r="AU10" i="9" s="1" a="1"/>
  <c r="AU10" i="9" s="1"/>
  <c r="AN17" i="9" a="1"/>
  <c r="AN17" i="9" s="1"/>
  <c r="AV11" i="9" s="1" a="1"/>
  <c r="AV11" i="9" s="1"/>
  <c r="AO17" i="9" a="1"/>
  <c r="AO17" i="9" s="1"/>
  <c r="AW12" i="9" s="1" a="1"/>
  <c r="AW12" i="9" s="1"/>
  <c r="AL17" i="9" a="1"/>
  <c r="AL17" i="9" s="1"/>
  <c r="AT15" i="9" s="1" a="1"/>
  <c r="AT15" i="9" s="1"/>
  <c r="AP17" i="9" a="1"/>
  <c r="AP17" i="9" s="1"/>
  <c r="AX13" i="9" s="1" a="1"/>
  <c r="AX13" i="9" s="1"/>
  <c r="AV35" i="9"/>
  <c r="AX29" i="9"/>
  <c r="AV34" i="9"/>
  <c r="AT32" i="9"/>
  <c r="AU32" i="9"/>
  <c r="AS34" i="9"/>
  <c r="AU29" i="9"/>
  <c r="AW32" i="9"/>
  <c r="AU27" i="9"/>
  <c r="AW34" i="9"/>
  <c r="AU25" i="9"/>
  <c r="AT23" i="9"/>
  <c r="AV25" i="9"/>
  <c r="AX26" i="9"/>
  <c r="AV29" i="9"/>
  <c r="AX31" i="9"/>
  <c r="AS32" i="9"/>
  <c r="AS25" i="9"/>
  <c r="AV30" i="9"/>
  <c r="AX32" i="9"/>
  <c r="AW26" i="9"/>
  <c r="AV28" i="9"/>
  <c r="AT26" i="9"/>
  <c r="AW25" i="9"/>
  <c r="AW31" i="9"/>
  <c r="AT35" i="9"/>
  <c r="AV26" i="9"/>
  <c r="AT30" i="9"/>
  <c r="AT29" i="9"/>
  <c r="AV23" i="9"/>
  <c r="AW29" i="9"/>
  <c r="AS30" i="9"/>
  <c r="AU34" i="9"/>
  <c r="AX30" i="9"/>
  <c r="AX33" i="9"/>
  <c r="AW33" i="9"/>
  <c r="AT34" i="9"/>
  <c r="AV27" i="9"/>
  <c r="AX35" i="9"/>
  <c r="AT27" i="9"/>
  <c r="AT25" i="9"/>
  <c r="AT31" i="9"/>
  <c r="AW27" i="9"/>
  <c r="AS23" i="9"/>
  <c r="AU30" i="9"/>
  <c r="AS35" i="9"/>
  <c r="AV31" i="9"/>
  <c r="AU26" i="9"/>
  <c r="AU33" i="9"/>
  <c r="AX25" i="9"/>
  <c r="AT28" i="9"/>
  <c r="AW35" i="9"/>
  <c r="AS29" i="9"/>
  <c r="AX34" i="9"/>
  <c r="AV32" i="9"/>
  <c r="AU35" i="9"/>
  <c r="AX27" i="9"/>
  <c r="AS27" i="9"/>
  <c r="AS33" i="9"/>
  <c r="AU23" i="9"/>
  <c r="AS31" i="9"/>
  <c r="AU31" i="9"/>
  <c r="AW28" i="9"/>
  <c r="AR10" i="6"/>
  <c r="AR23" i="6" s="1"/>
  <c r="Y10" i="6"/>
  <c r="AR11" i="6"/>
  <c r="AR24" i="6" s="1"/>
  <c r="AR12" i="6"/>
  <c r="AR25" i="6" s="1"/>
  <c r="AR13" i="6"/>
  <c r="AR26" i="6" s="1"/>
  <c r="Q10" i="6"/>
  <c r="J3" i="5" s="1"/>
  <c r="AR14" i="6"/>
  <c r="AR27" i="6" s="1"/>
  <c r="Q11" i="6"/>
  <c r="AR15" i="6"/>
  <c r="AR28" i="6" s="1"/>
  <c r="Q12" i="6"/>
  <c r="AR16" i="6"/>
  <c r="Q13" i="6"/>
  <c r="AR17" i="6"/>
  <c r="Q14" i="6"/>
  <c r="AR18" i="6"/>
  <c r="Q15" i="6"/>
  <c r="AR19" i="6"/>
  <c r="Q16" i="6"/>
  <c r="AR20" i="6"/>
  <c r="AR33" i="6" s="1"/>
  <c r="Q17" i="6"/>
  <c r="AR22" i="6"/>
  <c r="Q18" i="6"/>
  <c r="Q19" i="6"/>
  <c r="Q20" i="6"/>
  <c r="C2" i="5"/>
  <c r="D2" i="5"/>
  <c r="E2" i="5"/>
  <c r="F2" i="5"/>
  <c r="K2" i="5"/>
  <c r="L2" i="5"/>
  <c r="M2" i="5"/>
  <c r="N2" i="5"/>
  <c r="AX10" i="10" l="1" a="1"/>
  <c r="AX10" i="10" s="1"/>
  <c r="AW20" i="22" a="1"/>
  <c r="AW20" i="22" s="1"/>
  <c r="AT22" i="22" a="1"/>
  <c r="AT22" i="22" s="1"/>
  <c r="AT12" i="22" a="1"/>
  <c r="AT12" i="22" s="1"/>
  <c r="AT15" i="22" a="1"/>
  <c r="AT15" i="22" s="1"/>
  <c r="AV12" i="10" a="1"/>
  <c r="AV12" i="10" s="1"/>
  <c r="AT20" i="22" a="1"/>
  <c r="AT20" i="22" s="1"/>
  <c r="AT21" i="22" a="1"/>
  <c r="AT21" i="22" s="1"/>
  <c r="AW14" i="22" a="1"/>
  <c r="AW14" i="22" s="1"/>
  <c r="AW12" i="22" a="1"/>
  <c r="AW12" i="22" s="1"/>
  <c r="AW10" i="22" a="1"/>
  <c r="AW10" i="22" s="1"/>
  <c r="AX22" i="22" a="1"/>
  <c r="AX22" i="22" s="1"/>
  <c r="AV13" i="22" a="1"/>
  <c r="AV13" i="22" s="1"/>
  <c r="AU20" i="22" a="1"/>
  <c r="AU20" i="22" s="1"/>
  <c r="AU10" i="22" a="1"/>
  <c r="AU10" i="22" s="1"/>
  <c r="AV16" i="22" a="1"/>
  <c r="AV16" i="22" s="1"/>
  <c r="AU10" i="12" a="1"/>
  <c r="AU10" i="12" s="1"/>
  <c r="AS16" i="22" a="1"/>
  <c r="AS16" i="22" s="1"/>
  <c r="AV21" i="11" a="1"/>
  <c r="AV21" i="11" s="1"/>
  <c r="AU11" i="22" a="1"/>
  <c r="AU11" i="22" s="1"/>
  <c r="AW13" i="22" a="1"/>
  <c r="AW13" i="22" s="1"/>
  <c r="AS22" i="22" a="1"/>
  <c r="AS22" i="22" s="1"/>
  <c r="AS24" i="9"/>
  <c r="AU14" i="22" a="1"/>
  <c r="AU14" i="22" s="1"/>
  <c r="AV10" i="22" a="1"/>
  <c r="AV10" i="22" s="1"/>
  <c r="AX13" i="22" a="1"/>
  <c r="AX13" i="22" s="1"/>
  <c r="AU18" i="22" a="1"/>
  <c r="AU18" i="22" s="1"/>
  <c r="AS21" i="22" a="1"/>
  <c r="AS21" i="22" s="1"/>
  <c r="AW11" i="22" a="1"/>
  <c r="AW11" i="22" s="1"/>
  <c r="AS13" i="22" a="1"/>
  <c r="AS13" i="22" s="1"/>
  <c r="AT11" i="22" a="1"/>
  <c r="AT11" i="22" s="1"/>
  <c r="AV17" i="22" a="1"/>
  <c r="AV17" i="22" s="1"/>
  <c r="AW15" i="22" a="1"/>
  <c r="AW15" i="22" s="1"/>
  <c r="AV24" i="9"/>
  <c r="AS18" i="9" a="1"/>
  <c r="AS18" i="9" s="1"/>
  <c r="AV11" i="22" a="1"/>
  <c r="AV11" i="22" s="1"/>
  <c r="AX16" i="22" a="1"/>
  <c r="AX16" i="22" s="1"/>
  <c r="AU12" i="22" a="1"/>
  <c r="AU12" i="22" s="1"/>
  <c r="AT13" i="22" a="1"/>
  <c r="AT13" i="22" s="1"/>
  <c r="AS10" i="22" a="1"/>
  <c r="AS10" i="22" s="1"/>
  <c r="AX18" i="22" a="1"/>
  <c r="AX18" i="22" s="1"/>
  <c r="AV19" i="22" a="1"/>
  <c r="AV19" i="22" s="1"/>
  <c r="AU13" i="22" a="1"/>
  <c r="AU13" i="22" s="1"/>
  <c r="AX14" i="22" a="1"/>
  <c r="AX14" i="22" s="1"/>
  <c r="AU24" i="22"/>
  <c r="AV18" i="22" a="1"/>
  <c r="AV18" i="22" s="1"/>
  <c r="AS24" i="22"/>
  <c r="AU17" i="22" a="1"/>
  <c r="AU17" i="22" s="1"/>
  <c r="AT24" i="22"/>
  <c r="AT16" i="22" a="1"/>
  <c r="AT16" i="22" s="1"/>
  <c r="AU22" i="22" a="1"/>
  <c r="AU22" i="22" s="1"/>
  <c r="AW21" i="22" a="1"/>
  <c r="AW21" i="22" s="1"/>
  <c r="AW16" i="22" a="1"/>
  <c r="AW16" i="22" s="1"/>
  <c r="AU19" i="22" a="1"/>
  <c r="AU19" i="22" s="1"/>
  <c r="AU21" i="22" a="1"/>
  <c r="AU21" i="22" s="1"/>
  <c r="AV21" i="22" a="1"/>
  <c r="AV21" i="22" s="1"/>
  <c r="AV22" i="22" a="1"/>
  <c r="AV22" i="22" s="1"/>
  <c r="AV24" i="22"/>
  <c r="AX21" i="22" a="1"/>
  <c r="AX21" i="22" s="1"/>
  <c r="AX20" i="22" a="1"/>
  <c r="AX20" i="22" s="1"/>
  <c r="AX10" i="22" a="1"/>
  <c r="AX10" i="22" s="1"/>
  <c r="AX15" i="22" a="1"/>
  <c r="AX15" i="22" s="1"/>
  <c r="AX11" i="22" a="1"/>
  <c r="AX11" i="22" s="1"/>
  <c r="AX19" i="22" a="1"/>
  <c r="AX19" i="22" s="1"/>
  <c r="AS12" i="22" a="1"/>
  <c r="AS12" i="22" s="1"/>
  <c r="AS19" i="22" a="1"/>
  <c r="AS19" i="22" s="1"/>
  <c r="AS15" i="22" a="1"/>
  <c r="AS15" i="22" s="1"/>
  <c r="AS11" i="22" a="1"/>
  <c r="AS11" i="22" s="1"/>
  <c r="AS20" i="22" a="1"/>
  <c r="AS20" i="22" s="1"/>
  <c r="AX12" i="22" a="1"/>
  <c r="AX12" i="22" s="1"/>
  <c r="AW18" i="22" a="1"/>
  <c r="AW18" i="22" s="1"/>
  <c r="AS18" i="22" a="1"/>
  <c r="AS18" i="22" s="1"/>
  <c r="AT18" i="22" a="1"/>
  <c r="AT18" i="22" s="1"/>
  <c r="AV15" i="22" a="1"/>
  <c r="AV15" i="22" s="1"/>
  <c r="AV20" i="22" a="1"/>
  <c r="AV20" i="22" s="1"/>
  <c r="AV14" i="22" a="1"/>
  <c r="AV14" i="22" s="1"/>
  <c r="AT17" i="22" a="1"/>
  <c r="AT17" i="22" s="1"/>
  <c r="AU15" i="22" a="1"/>
  <c r="AU15" i="22" s="1"/>
  <c r="AS14" i="22" a="1"/>
  <c r="AS14" i="22" s="1"/>
  <c r="AT14" i="22" a="1"/>
  <c r="AT14" i="22" s="1"/>
  <c r="AT10" i="22" a="1"/>
  <c r="AT10" i="22" s="1"/>
  <c r="AW22" i="22" a="1"/>
  <c r="AW22" i="22" s="1"/>
  <c r="AW24" i="22"/>
  <c r="AW19" i="22" a="1"/>
  <c r="AW19" i="22" s="1"/>
  <c r="AT12" i="10" a="1"/>
  <c r="AT12" i="10" s="1"/>
  <c r="AW24" i="9"/>
  <c r="AV19" i="10" a="1"/>
  <c r="AV19" i="10" s="1"/>
  <c r="AV17" i="9" a="1"/>
  <c r="AV17" i="9" s="1"/>
  <c r="AV19" i="11" a="1"/>
  <c r="AV19" i="11" s="1"/>
  <c r="AT16" i="12" a="1"/>
  <c r="AT16" i="12" s="1"/>
  <c r="AX24" i="12"/>
  <c r="AU21" i="12" a="1"/>
  <c r="AU21" i="12" s="1"/>
  <c r="AV22" i="12" a="1"/>
  <c r="AV22" i="12" s="1"/>
  <c r="AW14" i="12" a="1"/>
  <c r="AW14" i="12" s="1"/>
  <c r="AV11" i="12" a="1"/>
  <c r="AV11" i="12" s="1"/>
  <c r="AX17" i="12" a="1"/>
  <c r="AX17" i="12" s="1"/>
  <c r="AW24" i="12"/>
  <c r="AU24" i="12"/>
  <c r="AT21" i="12" a="1"/>
  <c r="AT21" i="12" s="1"/>
  <c r="AU15" i="12" a="1"/>
  <c r="AU15" i="12" s="1"/>
  <c r="AS15" i="11" a="1"/>
  <c r="AS15" i="11" s="1"/>
  <c r="AU19" i="11" a="1"/>
  <c r="AU19" i="11" s="1"/>
  <c r="AX20" i="11" a="1"/>
  <c r="AX20" i="11" s="1"/>
  <c r="AX21" i="11" a="1"/>
  <c r="AX21" i="11" s="1"/>
  <c r="AW10" i="11" a="1"/>
  <c r="AW10" i="11" s="1"/>
  <c r="AX22" i="11" a="1"/>
  <c r="AX22" i="11" s="1"/>
  <c r="AU10" i="11" a="1"/>
  <c r="AU10" i="11" s="1"/>
  <c r="AU15" i="11" a="1"/>
  <c r="AU15" i="11" s="1"/>
  <c r="AW20" i="10" a="1"/>
  <c r="AW20" i="10" s="1"/>
  <c r="AW24" i="10"/>
  <c r="AV17" i="10" a="1"/>
  <c r="AV17" i="10" s="1"/>
  <c r="AV20" i="10" a="1"/>
  <c r="AV20" i="10" s="1"/>
  <c r="AU10" i="10" a="1"/>
  <c r="AU10" i="10" s="1"/>
  <c r="AV22" i="10" a="1"/>
  <c r="AV22" i="10" s="1"/>
  <c r="AV13" i="10" a="1"/>
  <c r="AV13" i="10" s="1"/>
  <c r="AS17" i="10" a="1"/>
  <c r="AS17" i="10" s="1"/>
  <c r="AU16" i="10" a="1"/>
  <c r="AU16" i="10" s="1"/>
  <c r="AV18" i="10" a="1"/>
  <c r="AV18" i="10" s="1"/>
  <c r="AT17" i="10" a="1"/>
  <c r="AT17" i="10" s="1"/>
  <c r="AW16" i="10" a="1"/>
  <c r="AW16" i="10" s="1"/>
  <c r="AX18" i="10" a="1"/>
  <c r="AX18" i="10" s="1"/>
  <c r="AX15" i="10" a="1"/>
  <c r="AX15" i="10" s="1"/>
  <c r="AV12" i="9" a="1"/>
  <c r="AV12" i="9" s="1"/>
  <c r="AV21" i="9" a="1"/>
  <c r="AV21" i="9" s="1"/>
  <c r="AT19" i="9" a="1"/>
  <c r="AT19" i="9" s="1"/>
  <c r="AX22" i="9" a="1"/>
  <c r="AX22" i="9" s="1"/>
  <c r="AX21" i="9" a="1"/>
  <c r="AX21" i="9" s="1"/>
  <c r="AX17" i="9" a="1"/>
  <c r="AX17" i="9" s="1"/>
  <c r="AX24" i="9"/>
  <c r="AS10" i="9" a="1"/>
  <c r="AS10" i="9" s="1"/>
  <c r="AX16" i="9" a="1"/>
  <c r="AX16" i="9" s="1"/>
  <c r="AU24" i="9"/>
  <c r="AT12" i="9" a="1"/>
  <c r="AT12" i="9" s="1"/>
  <c r="AK83" i="14" a="1"/>
  <c r="AK83" i="14" s="1"/>
  <c r="AO88" i="14" a="1"/>
  <c r="AO88" i="14" s="1"/>
  <c r="AO86" i="14" a="1"/>
  <c r="AO86" i="14" s="1"/>
  <c r="AO85" i="14" a="1"/>
  <c r="AO85" i="14" s="1"/>
  <c r="AO83" i="14" a="1"/>
  <c r="AO83" i="14" s="1"/>
  <c r="AO82" i="14" a="1"/>
  <c r="AO82" i="14" s="1"/>
  <c r="AO87" i="14" a="1"/>
  <c r="AO87" i="14" s="1"/>
  <c r="AO89" i="14" a="1"/>
  <c r="AO89" i="14" s="1"/>
  <c r="AO84" i="14" a="1"/>
  <c r="AO84" i="14" s="1"/>
  <c r="AM86" i="14" a="1"/>
  <c r="AM86" i="14" s="1"/>
  <c r="AL84" i="14" a="1"/>
  <c r="AL84" i="14" s="1"/>
  <c r="AP85" i="14" a="1"/>
  <c r="AP85" i="14" s="1"/>
  <c r="AM89" i="14" a="1"/>
  <c r="AM89" i="14" s="1"/>
  <c r="AU33" i="14" s="1"/>
  <c r="AM85" i="14" a="1"/>
  <c r="AM85" i="14" s="1"/>
  <c r="AN87" i="14" a="1"/>
  <c r="AN87" i="14" s="1"/>
  <c r="AL89" i="14" a="1"/>
  <c r="AL89" i="14" s="1"/>
  <c r="AN84" i="14" a="1"/>
  <c r="AN84" i="14" s="1"/>
  <c r="AM83" i="14" a="1"/>
  <c r="AM83" i="14" s="1"/>
  <c r="AM82" i="14" a="1"/>
  <c r="AM82" i="14" s="1"/>
  <c r="AL88" i="14" a="1"/>
  <c r="AL88" i="14" s="1"/>
  <c r="AM88" i="14" a="1"/>
  <c r="AM88" i="14" s="1"/>
  <c r="AL82" i="14" a="1"/>
  <c r="AL82" i="14" s="1"/>
  <c r="AP84" i="14" a="1"/>
  <c r="AP84" i="14" s="1"/>
  <c r="AL86" i="14" a="1"/>
  <c r="AL86" i="14" s="1"/>
  <c r="AN86" i="14" a="1"/>
  <c r="AN86" i="14" s="1"/>
  <c r="AL85" i="14" a="1"/>
  <c r="AL85" i="14" s="1"/>
  <c r="AP83" i="14" a="1"/>
  <c r="AP83" i="14" s="1"/>
  <c r="AM87" i="14" a="1"/>
  <c r="AM87" i="14" s="1"/>
  <c r="AN89" i="14" a="1"/>
  <c r="AN89" i="14" s="1"/>
  <c r="AP89" i="14" a="1"/>
  <c r="AP89" i="14" s="1"/>
  <c r="AP87" i="14" a="1"/>
  <c r="AP87" i="14" s="1"/>
  <c r="AP82" i="14" a="1"/>
  <c r="AP82" i="14" s="1"/>
  <c r="AM84" i="14" a="1"/>
  <c r="AM84" i="14" s="1"/>
  <c r="AN88" i="14" a="1"/>
  <c r="AN88" i="14" s="1"/>
  <c r="AN83" i="14" a="1"/>
  <c r="AN83" i="14" s="1"/>
  <c r="AL83" i="14" a="1"/>
  <c r="AL83" i="14" s="1"/>
  <c r="AP86" i="14" a="1"/>
  <c r="AP86" i="14" s="1"/>
  <c r="AL87" i="14" a="1"/>
  <c r="AL87" i="14" s="1"/>
  <c r="AN85" i="14" a="1"/>
  <c r="AN85" i="14" s="1"/>
  <c r="AN82" i="14" a="1"/>
  <c r="AN82" i="14" s="1"/>
  <c r="AP88" i="14" a="1"/>
  <c r="AP88" i="14" s="1"/>
  <c r="AK89" i="14" a="1"/>
  <c r="AK89" i="14" s="1"/>
  <c r="AK84" i="14" a="1"/>
  <c r="AK84" i="14" s="1"/>
  <c r="AK86" i="14" a="1"/>
  <c r="AK86" i="14" s="1"/>
  <c r="AK88" i="14" a="1"/>
  <c r="AK88" i="14" s="1"/>
  <c r="AK85" i="14" a="1"/>
  <c r="AK85" i="14" s="1"/>
  <c r="AK82" i="14" a="1"/>
  <c r="AK82" i="14" s="1"/>
  <c r="AK87" i="14" a="1"/>
  <c r="AK87" i="14" s="1"/>
  <c r="AS16" i="12" a="1"/>
  <c r="AS16" i="12" s="1"/>
  <c r="AS21" i="12" a="1"/>
  <c r="AS21" i="12" s="1"/>
  <c r="AS17" i="12" a="1"/>
  <c r="AS17" i="12" s="1"/>
  <c r="AS13" i="12" a="1"/>
  <c r="AS13" i="12" s="1"/>
  <c r="AS22" i="12" a="1"/>
  <c r="AS22" i="12" s="1"/>
  <c r="AS15" i="12" a="1"/>
  <c r="AS15" i="12" s="1"/>
  <c r="AW19" i="12" a="1"/>
  <c r="AW19" i="12" s="1"/>
  <c r="AT18" i="10" a="1"/>
  <c r="AT18" i="10" s="1"/>
  <c r="AX11" i="11" a="1"/>
  <c r="AX11" i="11" s="1"/>
  <c r="AW22" i="11" a="1"/>
  <c r="AW22" i="11" s="1"/>
  <c r="AS21" i="11" a="1"/>
  <c r="AS21" i="11" s="1"/>
  <c r="AU24" i="10"/>
  <c r="AV24" i="12"/>
  <c r="AS18" i="10" a="1"/>
  <c r="AS18" i="10" s="1"/>
  <c r="AV14" i="10" a="1"/>
  <c r="AV14" i="10" s="1"/>
  <c r="AU13" i="11" a="1"/>
  <c r="AU13" i="11" s="1"/>
  <c r="AU11" i="12" a="1"/>
  <c r="AU11" i="12" s="1"/>
  <c r="AX13" i="11" a="1"/>
  <c r="AX13" i="11" s="1"/>
  <c r="AW14" i="11" a="1"/>
  <c r="AW14" i="11" s="1"/>
  <c r="AW16" i="12" a="1"/>
  <c r="AW16" i="12" s="1"/>
  <c r="AS13" i="11" a="1"/>
  <c r="AS13" i="11" s="1"/>
  <c r="AW13" i="12" a="1"/>
  <c r="AW13" i="12" s="1"/>
  <c r="AX21" i="10" a="1"/>
  <c r="AX21" i="10" s="1"/>
  <c r="AV11" i="10" a="1"/>
  <c r="AV11" i="10" s="1"/>
  <c r="AW21" i="10" a="1"/>
  <c r="AW21" i="10" s="1"/>
  <c r="AU18" i="12" a="1"/>
  <c r="AU18" i="12" s="1"/>
  <c r="AX18" i="11" a="1"/>
  <c r="AX18" i="11" s="1"/>
  <c r="AW13" i="11" a="1"/>
  <c r="AW13" i="11" s="1"/>
  <c r="AS18" i="11" a="1"/>
  <c r="AS18" i="11" s="1"/>
  <c r="AV24" i="10"/>
  <c r="AX19" i="12" a="1"/>
  <c r="AX19" i="12" s="1"/>
  <c r="AX16" i="10" a="1"/>
  <c r="AX16" i="10" s="1"/>
  <c r="AV10" i="10" a="1"/>
  <c r="AV10" i="10" s="1"/>
  <c r="AW13" i="10" a="1"/>
  <c r="AW13" i="10" s="1"/>
  <c r="AX14" i="11" a="1"/>
  <c r="AX14" i="11" s="1"/>
  <c r="AW21" i="11" a="1"/>
  <c r="AW21" i="11" s="1"/>
  <c r="AX20" i="12" a="1"/>
  <c r="AX20" i="12" s="1"/>
  <c r="AS14" i="11" a="1"/>
  <c r="AS14" i="11" s="1"/>
  <c r="AX12" i="10" a="1"/>
  <c r="AX12" i="10" s="1"/>
  <c r="AV15" i="10" a="1"/>
  <c r="AV15" i="10" s="1"/>
  <c r="AW22" i="10" a="1"/>
  <c r="AW22" i="10" s="1"/>
  <c r="AT13" i="10" a="1"/>
  <c r="AT13" i="10" s="1"/>
  <c r="AX12" i="11" a="1"/>
  <c r="AX12" i="11" s="1"/>
  <c r="AW20" i="11" a="1"/>
  <c r="AW20" i="11" s="1"/>
  <c r="AT11" i="10" a="1"/>
  <c r="AT11" i="10" s="1"/>
  <c r="AS16" i="11" a="1"/>
  <c r="AS16" i="11" s="1"/>
  <c r="AS15" i="10" a="1"/>
  <c r="AS15" i="10" s="1"/>
  <c r="AS20" i="10" a="1"/>
  <c r="AS20" i="10" s="1"/>
  <c r="AX22" i="10" a="1"/>
  <c r="AX22" i="10" s="1"/>
  <c r="AV21" i="10" a="1"/>
  <c r="AV21" i="10" s="1"/>
  <c r="AW15" i="10" a="1"/>
  <c r="AW15" i="10" s="1"/>
  <c r="AV13" i="12" a="1"/>
  <c r="AV13" i="12" s="1"/>
  <c r="AS16" i="10" a="1"/>
  <c r="AS16" i="10" s="1"/>
  <c r="AW18" i="11" a="1"/>
  <c r="AW18" i="11" s="1"/>
  <c r="AS20" i="11" a="1"/>
  <c r="AS20" i="11" s="1"/>
  <c r="AS21" i="10" a="1"/>
  <c r="AS21" i="10" s="1"/>
  <c r="AW17" i="11" a="1"/>
  <c r="AW17" i="11" s="1"/>
  <c r="AS11" i="11" a="1"/>
  <c r="AS11" i="11" s="1"/>
  <c r="AW20" i="12" a="1"/>
  <c r="AW20" i="12" s="1"/>
  <c r="AU14" i="10" a="1"/>
  <c r="AU14" i="10" s="1"/>
  <c r="AU19" i="10" a="1"/>
  <c r="AU19" i="10" s="1"/>
  <c r="AT19" i="10" a="1"/>
  <c r="AT19" i="10" s="1"/>
  <c r="AT15" i="10" a="1"/>
  <c r="AT15" i="10" s="1"/>
  <c r="AS24" i="12"/>
  <c r="AX11" i="10" a="1"/>
  <c r="AX11" i="10" s="1"/>
  <c r="AV16" i="10" a="1"/>
  <c r="AV16" i="10" s="1"/>
  <c r="AV10" i="11" a="1"/>
  <c r="AV10" i="11" s="1"/>
  <c r="AV16" i="11" a="1"/>
  <c r="AV16" i="11" s="1"/>
  <c r="AV13" i="11" a="1"/>
  <c r="AV13" i="11" s="1"/>
  <c r="AV24" i="11"/>
  <c r="AV14" i="11" a="1"/>
  <c r="AV14" i="11" s="1"/>
  <c r="AV15" i="11" a="1"/>
  <c r="AV15" i="11" s="1"/>
  <c r="AV11" i="11" a="1"/>
  <c r="AV11" i="11" s="1"/>
  <c r="AV17" i="11" a="1"/>
  <c r="AV17" i="11" s="1"/>
  <c r="AV18" i="11" a="1"/>
  <c r="AV18" i="11" s="1"/>
  <c r="AV12" i="11" a="1"/>
  <c r="AV12" i="11" s="1"/>
  <c r="AS11" i="10" a="1"/>
  <c r="AS11" i="10" s="1"/>
  <c r="AT14" i="10" a="1"/>
  <c r="AT14" i="10" s="1"/>
  <c r="AW16" i="11" a="1"/>
  <c r="AW16" i="11" s="1"/>
  <c r="AS19" i="11" a="1"/>
  <c r="AS19" i="11" s="1"/>
  <c r="AU18" i="10" a="1"/>
  <c r="AU18" i="10" s="1"/>
  <c r="AW17" i="10" a="1"/>
  <c r="AW17" i="10" s="1"/>
  <c r="AW14" i="10" a="1"/>
  <c r="AW14" i="10" s="1"/>
  <c r="AS19" i="12" a="1"/>
  <c r="AS19" i="12" s="1"/>
  <c r="AU22" i="10" a="1"/>
  <c r="AU22" i="10" s="1"/>
  <c r="AW12" i="10" a="1"/>
  <c r="AW12" i="10" s="1"/>
  <c r="AT21" i="11" a="1"/>
  <c r="AT21" i="11" s="1"/>
  <c r="AS22" i="10" a="1"/>
  <c r="AS22" i="10" s="1"/>
  <c r="AW17" i="12" a="1"/>
  <c r="AW17" i="12" s="1"/>
  <c r="AW15" i="11" a="1"/>
  <c r="AW15" i="11" s="1"/>
  <c r="AU21" i="10" a="1"/>
  <c r="AU21" i="10" s="1"/>
  <c r="AU13" i="10" a="1"/>
  <c r="AU13" i="10" s="1"/>
  <c r="AX24" i="10"/>
  <c r="AX19" i="10" a="1"/>
  <c r="AX19" i="10" s="1"/>
  <c r="AX14" i="10" a="1"/>
  <c r="AX14" i="10" s="1"/>
  <c r="AX13" i="10" a="1"/>
  <c r="AX13" i="10" s="1"/>
  <c r="AX17" i="10" a="1"/>
  <c r="AX17" i="10" s="1"/>
  <c r="AU16" i="12" a="1"/>
  <c r="AU16" i="12" s="1"/>
  <c r="AW11" i="10" a="1"/>
  <c r="AW11" i="10" s="1"/>
  <c r="AT14" i="11" a="1"/>
  <c r="AT14" i="11" s="1"/>
  <c r="AS10" i="10" a="1"/>
  <c r="AS10" i="10" s="1"/>
  <c r="AW15" i="12" a="1"/>
  <c r="AW15" i="12" s="1"/>
  <c r="AW11" i="11" a="1"/>
  <c r="AW11" i="11" s="1"/>
  <c r="AT22" i="10" a="1"/>
  <c r="AT22" i="10" s="1"/>
  <c r="AX20" i="10" a="1"/>
  <c r="AX20" i="10" s="1"/>
  <c r="AU15" i="10" a="1"/>
  <c r="AU15" i="10" s="1"/>
  <c r="AX14" i="12" a="1"/>
  <c r="AX14" i="12" s="1"/>
  <c r="AX13" i="12" a="1"/>
  <c r="AX13" i="12" s="1"/>
  <c r="AX18" i="12" a="1"/>
  <c r="AX18" i="12" s="1"/>
  <c r="AX15" i="12" a="1"/>
  <c r="AX15" i="12" s="1"/>
  <c r="AX21" i="12" a="1"/>
  <c r="AX21" i="12" s="1"/>
  <c r="AX10" i="12" a="1"/>
  <c r="AX10" i="12" s="1"/>
  <c r="AX12" i="12" a="1"/>
  <c r="AX12" i="12" s="1"/>
  <c r="AX22" i="12" a="1"/>
  <c r="AX22" i="12" s="1"/>
  <c r="AX11" i="12" a="1"/>
  <c r="AX11" i="12" s="1"/>
  <c r="AS10" i="12" a="1"/>
  <c r="AS10" i="12" s="1"/>
  <c r="AX17" i="11" a="1"/>
  <c r="AX17" i="11" s="1"/>
  <c r="AX16" i="11" a="1"/>
  <c r="AX16" i="11" s="1"/>
  <c r="AX10" i="11" a="1"/>
  <c r="AX10" i="11" s="1"/>
  <c r="AX19" i="11" a="1"/>
  <c r="AX19" i="11" s="1"/>
  <c r="AX24" i="11"/>
  <c r="AW19" i="10" a="1"/>
  <c r="AW19" i="10" s="1"/>
  <c r="AT16" i="11" a="1"/>
  <c r="AT16" i="11" s="1"/>
  <c r="AS19" i="10" a="1"/>
  <c r="AS19" i="10" s="1"/>
  <c r="AW12" i="12" a="1"/>
  <c r="AW12" i="12" s="1"/>
  <c r="AW12" i="11" a="1"/>
  <c r="AW12" i="11" s="1"/>
  <c r="AU11" i="10" a="1"/>
  <c r="AU11" i="10" s="1"/>
  <c r="AW10" i="10" a="1"/>
  <c r="AW10" i="10" s="1"/>
  <c r="AW11" i="12" a="1"/>
  <c r="AW11" i="12" s="1"/>
  <c r="AW21" i="12" a="1"/>
  <c r="AW21" i="12" s="1"/>
  <c r="AW18" i="12" a="1"/>
  <c r="AW18" i="12" s="1"/>
  <c r="AS11" i="12" a="1"/>
  <c r="AS11" i="12" s="1"/>
  <c r="AT20" i="11" a="1"/>
  <c r="AT20" i="11" s="1"/>
  <c r="AT12" i="11" a="1"/>
  <c r="AT12" i="11" s="1"/>
  <c r="AT24" i="11"/>
  <c r="AT15" i="11" a="1"/>
  <c r="AT15" i="11" s="1"/>
  <c r="AT11" i="11" a="1"/>
  <c r="AT11" i="11" s="1"/>
  <c r="AT19" i="11" a="1"/>
  <c r="AT19" i="11" s="1"/>
  <c r="AW18" i="10" a="1"/>
  <c r="AW18" i="10" s="1"/>
  <c r="AT13" i="11" a="1"/>
  <c r="AT13" i="11" s="1"/>
  <c r="AS12" i="10" a="1"/>
  <c r="AS12" i="10" s="1"/>
  <c r="AW22" i="12" a="1"/>
  <c r="AW22" i="12" s="1"/>
  <c r="AT21" i="10" a="1"/>
  <c r="AT21" i="10" s="1"/>
  <c r="AS17" i="11" a="1"/>
  <c r="AS17" i="11" s="1"/>
  <c r="AU17" i="10" a="1"/>
  <c r="AU17" i="10" s="1"/>
  <c r="AS13" i="10" a="1"/>
  <c r="AS13" i="10" s="1"/>
  <c r="AT19" i="12" a="1"/>
  <c r="AT19" i="12" s="1"/>
  <c r="AT11" i="12" a="1"/>
  <c r="AT11" i="12" s="1"/>
  <c r="AT18" i="12" a="1"/>
  <c r="AT18" i="12" s="1"/>
  <c r="AT10" i="12" a="1"/>
  <c r="AT10" i="12" s="1"/>
  <c r="AT13" i="12" a="1"/>
  <c r="AT13" i="12" s="1"/>
  <c r="AT17" i="12" a="1"/>
  <c r="AT17" i="12" s="1"/>
  <c r="AT15" i="12" a="1"/>
  <c r="AT15" i="12" s="1"/>
  <c r="AT24" i="12"/>
  <c r="AT20" i="12" a="1"/>
  <c r="AT20" i="12" s="1"/>
  <c r="AT22" i="12" a="1"/>
  <c r="AT22" i="12" s="1"/>
  <c r="AS14" i="12" a="1"/>
  <c r="AS14" i="12" s="1"/>
  <c r="AU21" i="11" a="1"/>
  <c r="AU21" i="11" s="1"/>
  <c r="AU18" i="11" a="1"/>
  <c r="AU18" i="11" s="1"/>
  <c r="AU20" i="11" a="1"/>
  <c r="AU20" i="11" s="1"/>
  <c r="AU24" i="11"/>
  <c r="AU12" i="11" a="1"/>
  <c r="AU12" i="11" s="1"/>
  <c r="AU22" i="11" a="1"/>
  <c r="AU22" i="11" s="1"/>
  <c r="AU17" i="11" a="1"/>
  <c r="AU17" i="11" s="1"/>
  <c r="AU14" i="11" a="1"/>
  <c r="AU14" i="11" s="1"/>
  <c r="AU16" i="11" a="1"/>
  <c r="AU16" i="11" s="1"/>
  <c r="AT18" i="11" a="1"/>
  <c r="AT18" i="11" s="1"/>
  <c r="AS14" i="10" a="1"/>
  <c r="AS14" i="10" s="1"/>
  <c r="AS22" i="11" a="1"/>
  <c r="AS22" i="11" s="1"/>
  <c r="AT16" i="10" a="1"/>
  <c r="AT16" i="10" s="1"/>
  <c r="AU12" i="10" a="1"/>
  <c r="AU12" i="10" s="1"/>
  <c r="AV14" i="12" a="1"/>
  <c r="AV14" i="12" s="1"/>
  <c r="AV20" i="12" a="1"/>
  <c r="AV20" i="12" s="1"/>
  <c r="AV21" i="12" a="1"/>
  <c r="AV21" i="12" s="1"/>
  <c r="AV12" i="12" a="1"/>
  <c r="AV12" i="12" s="1"/>
  <c r="AV19" i="12" a="1"/>
  <c r="AV19" i="12" s="1"/>
  <c r="AV16" i="12" a="1"/>
  <c r="AV16" i="12" s="1"/>
  <c r="AV18" i="12" a="1"/>
  <c r="AV18" i="12" s="1"/>
  <c r="AV10" i="12" a="1"/>
  <c r="AV10" i="12" s="1"/>
  <c r="AV17" i="12" a="1"/>
  <c r="AV17" i="12" s="1"/>
  <c r="AS20" i="12" a="1"/>
  <c r="AS20" i="12" s="1"/>
  <c r="AT22" i="11" a="1"/>
  <c r="AT22" i="11" s="1"/>
  <c r="AV22" i="11" a="1"/>
  <c r="AV22" i="11" s="1"/>
  <c r="AS10" i="11" a="1"/>
  <c r="AS10" i="11" s="1"/>
  <c r="AT12" i="12" a="1"/>
  <c r="AT12" i="12" s="1"/>
  <c r="AU22" i="12" a="1"/>
  <c r="AU22" i="12" s="1"/>
  <c r="AU13" i="12" a="1"/>
  <c r="AU13" i="12" s="1"/>
  <c r="AU14" i="12" a="1"/>
  <c r="AU14" i="12" s="1"/>
  <c r="AU19" i="12" a="1"/>
  <c r="AU19" i="12" s="1"/>
  <c r="AU12" i="12" a="1"/>
  <c r="AU12" i="12" s="1"/>
  <c r="AU20" i="12" a="1"/>
  <c r="AU20" i="12" s="1"/>
  <c r="AT20" i="10" a="1"/>
  <c r="AT20" i="10" s="1"/>
  <c r="AT10" i="11" a="1"/>
  <c r="AT10" i="11" s="1"/>
  <c r="AW19" i="11" a="1"/>
  <c r="AW19" i="11" s="1"/>
  <c r="AS12" i="11" a="1"/>
  <c r="AS12" i="11" s="1"/>
  <c r="AT10" i="10" a="1"/>
  <c r="AT10" i="10" s="1"/>
  <c r="AS18" i="12" a="1"/>
  <c r="AS18" i="12" s="1"/>
  <c r="AX19" i="9" a="1"/>
  <c r="AX19" i="9" s="1"/>
  <c r="AT18" i="9" a="1"/>
  <c r="AT18" i="9" s="1"/>
  <c r="AV13" i="9" a="1"/>
  <c r="AV13" i="9" s="1"/>
  <c r="AT14" i="9" a="1"/>
  <c r="AT14" i="9" s="1"/>
  <c r="AV22" i="9" a="1"/>
  <c r="AV22" i="9" s="1"/>
  <c r="AT24" i="9"/>
  <c r="AV19" i="9" a="1"/>
  <c r="AV19" i="9" s="1"/>
  <c r="AU17" i="9" a="1"/>
  <c r="AU17" i="9" s="1"/>
  <c r="AU12" i="9" a="1"/>
  <c r="AU12" i="9" s="1"/>
  <c r="AW13" i="9" a="1"/>
  <c r="AW13" i="9" s="1"/>
  <c r="AU15" i="9" a="1"/>
  <c r="AU15" i="9" s="1"/>
  <c r="AU14" i="9" a="1"/>
  <c r="AU14" i="9" s="1"/>
  <c r="AV14" i="9" a="1"/>
  <c r="AV14" i="9" s="1"/>
  <c r="AX14" i="9" a="1"/>
  <c r="AX14" i="9" s="1"/>
  <c r="AX20" i="9" a="1"/>
  <c r="AX20" i="9" s="1"/>
  <c r="AX11" i="9" a="1"/>
  <c r="AX11" i="9" s="1"/>
  <c r="AX15" i="9" a="1"/>
  <c r="AX15" i="9" s="1"/>
  <c r="AX12" i="9" a="1"/>
  <c r="AX12" i="9" s="1"/>
  <c r="AU11" i="9" a="1"/>
  <c r="AU11" i="9" s="1"/>
  <c r="AT16" i="9" a="1"/>
  <c r="AT16" i="9" s="1"/>
  <c r="AT17" i="9" a="1"/>
  <c r="AT17" i="9" s="1"/>
  <c r="AT13" i="9" a="1"/>
  <c r="AT13" i="9" s="1"/>
  <c r="AT11" i="9" a="1"/>
  <c r="AT11" i="9" s="1"/>
  <c r="AT10" i="9" a="1"/>
  <c r="AT10" i="9" s="1"/>
  <c r="AT22" i="9" a="1"/>
  <c r="AT22" i="9" s="1"/>
  <c r="AS11" i="9" a="1"/>
  <c r="AS11" i="9" s="1"/>
  <c r="AW16" i="9" a="1"/>
  <c r="AW16" i="9" s="1"/>
  <c r="AW15" i="9" a="1"/>
  <c r="AW15" i="9" s="1"/>
  <c r="AW21" i="9" a="1"/>
  <c r="AW21" i="9" s="1"/>
  <c r="AW17" i="9" a="1"/>
  <c r="AW17" i="9" s="1"/>
  <c r="AW14" i="9" a="1"/>
  <c r="AW14" i="9" s="1"/>
  <c r="AW19" i="9" a="1"/>
  <c r="AW19" i="9" s="1"/>
  <c r="AW11" i="9" a="1"/>
  <c r="AW11" i="9" s="1"/>
  <c r="AW10" i="9" a="1"/>
  <c r="AW10" i="9" s="1"/>
  <c r="AW18" i="9" a="1"/>
  <c r="AW18" i="9" s="1"/>
  <c r="AS21" i="9" a="1"/>
  <c r="AS21" i="9" s="1"/>
  <c r="AV20" i="9" a="1"/>
  <c r="AV20" i="9" s="1"/>
  <c r="AV18" i="9" a="1"/>
  <c r="AV18" i="9" s="1"/>
  <c r="AV15" i="9" a="1"/>
  <c r="AV15" i="9" s="1"/>
  <c r="AV10" i="9" a="1"/>
  <c r="AV10" i="9" s="1"/>
  <c r="AV16" i="9" a="1"/>
  <c r="AV16" i="9" s="1"/>
  <c r="AS13" i="9" a="1"/>
  <c r="AS13" i="9" s="1"/>
  <c r="AS19" i="9" a="1"/>
  <c r="AS19" i="9" s="1"/>
  <c r="AU13" i="9" a="1"/>
  <c r="AU13" i="9" s="1"/>
  <c r="AU16" i="9" a="1"/>
  <c r="AU16" i="9" s="1"/>
  <c r="AU18" i="9" a="1"/>
  <c r="AU18" i="9" s="1"/>
  <c r="AU19" i="9" a="1"/>
  <c r="AU19" i="9" s="1"/>
  <c r="AU21" i="9" a="1"/>
  <c r="AU21" i="9" s="1"/>
  <c r="AU20" i="9" a="1"/>
  <c r="AU20" i="9" s="1"/>
  <c r="AU22" i="9" a="1"/>
  <c r="AU22" i="9" s="1"/>
  <c r="AX18" i="9" a="1"/>
  <c r="AX18" i="9" s="1"/>
  <c r="AS12" i="9" a="1"/>
  <c r="AS12" i="9" s="1"/>
  <c r="AS22" i="9" a="1"/>
  <c r="AS22" i="9" s="1"/>
  <c r="AS17" i="9" a="1"/>
  <c r="AS17" i="9" s="1"/>
  <c r="AS20" i="9" a="1"/>
  <c r="AS20" i="9" s="1"/>
  <c r="AS15" i="9" a="1"/>
  <c r="AS15" i="9" s="1"/>
  <c r="AS14" i="9" a="1"/>
  <c r="AS14" i="9" s="1"/>
  <c r="AX10" i="9" a="1"/>
  <c r="AX10" i="9" s="1"/>
  <c r="AW20" i="9" a="1"/>
  <c r="AW20" i="9" s="1"/>
  <c r="AT21" i="9" a="1"/>
  <c r="AT21" i="9" s="1"/>
  <c r="AW22" i="9" a="1"/>
  <c r="AW22" i="9" s="1"/>
  <c r="AT20" i="9" a="1"/>
  <c r="AT20" i="9" s="1"/>
  <c r="Y11" i="6"/>
  <c r="AR32" i="6"/>
  <c r="B3" i="5"/>
  <c r="R11" i="6"/>
  <c r="K4" i="5" s="1"/>
  <c r="S11" i="6"/>
  <c r="T11" i="6"/>
  <c r="V11" i="6"/>
  <c r="W11" i="6"/>
  <c r="U11" i="6"/>
  <c r="R18" i="6"/>
  <c r="K11" i="5" s="1"/>
  <c r="W18" i="6"/>
  <c r="S18" i="6"/>
  <c r="T18" i="6"/>
  <c r="U18" i="6"/>
  <c r="V18" i="6"/>
  <c r="W14" i="6"/>
  <c r="R14" i="6"/>
  <c r="K7" i="5" s="1"/>
  <c r="T14" i="6"/>
  <c r="S14" i="6"/>
  <c r="U14" i="6"/>
  <c r="V14" i="6"/>
  <c r="R20" i="6"/>
  <c r="K13" i="5" s="1"/>
  <c r="S20" i="6"/>
  <c r="W20" i="6"/>
  <c r="T20" i="6"/>
  <c r="U20" i="6"/>
  <c r="V20" i="6"/>
  <c r="T16" i="6"/>
  <c r="R16" i="6"/>
  <c r="K9" i="5" s="1"/>
  <c r="U16" i="6"/>
  <c r="S16" i="6"/>
  <c r="V16" i="6"/>
  <c r="W16" i="6"/>
  <c r="S17" i="6"/>
  <c r="U17" i="6"/>
  <c r="W17" i="6"/>
  <c r="V17" i="6"/>
  <c r="R17" i="6"/>
  <c r="K10" i="5" s="1"/>
  <c r="T17" i="6"/>
  <c r="W12" i="6"/>
  <c r="U12" i="6"/>
  <c r="V12" i="6"/>
  <c r="R12" i="6"/>
  <c r="K5" i="5" s="1"/>
  <c r="S12" i="6"/>
  <c r="T12" i="6"/>
  <c r="R19" i="6"/>
  <c r="K12" i="5" s="1"/>
  <c r="S19" i="6"/>
  <c r="W19" i="6"/>
  <c r="T19" i="6"/>
  <c r="V19" i="6"/>
  <c r="U19" i="6"/>
  <c r="R15" i="6"/>
  <c r="K8" i="5" s="1"/>
  <c r="V15" i="6"/>
  <c r="S15" i="6"/>
  <c r="T15" i="6"/>
  <c r="U15" i="6"/>
  <c r="W15" i="6"/>
  <c r="V13" i="6"/>
  <c r="S13" i="6"/>
  <c r="W13" i="6"/>
  <c r="R13" i="6"/>
  <c r="K6" i="5" s="1"/>
  <c r="T13" i="6"/>
  <c r="U13" i="6"/>
  <c r="S10" i="6"/>
  <c r="T10" i="6"/>
  <c r="U10" i="6"/>
  <c r="W10" i="6"/>
  <c r="R10" i="6"/>
  <c r="V10" i="6"/>
  <c r="AR29" i="6"/>
  <c r="B32" i="5"/>
  <c r="AR31" i="6"/>
  <c r="AR35" i="6"/>
  <c r="AR30" i="6"/>
  <c r="K3" i="5" l="1"/>
  <c r="K16" i="5" s="1"/>
  <c r="R23" i="6"/>
  <c r="AU16" i="14" a="1"/>
  <c r="AU16" i="14" s="1"/>
  <c r="AV10" i="14" a="1"/>
  <c r="AV10" i="14" s="1"/>
  <c r="AW11" i="14" a="1"/>
  <c r="AW11" i="14" s="1"/>
  <c r="AW10" i="14" a="1"/>
  <c r="AW10" i="14" s="1"/>
  <c r="AW19" i="14" a="1"/>
  <c r="AW19" i="14" s="1"/>
  <c r="AU19" i="14" a="1"/>
  <c r="AU19" i="14" s="1"/>
  <c r="AU20" i="14" a="1"/>
  <c r="AU20" i="14" s="1"/>
  <c r="AU15" i="14" a="1"/>
  <c r="AU15" i="14" s="1"/>
  <c r="AT13" i="14" a="1"/>
  <c r="AT13" i="14" s="1"/>
  <c r="AU13" i="14" a="1"/>
  <c r="AU13" i="14" s="1"/>
  <c r="AT22" i="14" a="1"/>
  <c r="AT22" i="14" s="1"/>
  <c r="AU21" i="14" a="1"/>
  <c r="AU21" i="14" s="1"/>
  <c r="AU18" i="14" a="1"/>
  <c r="AU18" i="14" s="1"/>
  <c r="AX18" i="14" a="1"/>
  <c r="AX18" i="14" s="1"/>
  <c r="AS22" i="14" a="1"/>
  <c r="AS22" i="14" s="1"/>
  <c r="AT33" i="14"/>
  <c r="AT31" i="14"/>
  <c r="AT15" i="14" a="1"/>
  <c r="AT15" i="14" s="1"/>
  <c r="AX21" i="14" a="1"/>
  <c r="AX21" i="14" s="1"/>
  <c r="AV14" i="14" a="1"/>
  <c r="AV14" i="14" s="1"/>
  <c r="AT14" i="14" a="1"/>
  <c r="AT14" i="14" s="1"/>
  <c r="AX24" i="14"/>
  <c r="AX33" i="14"/>
  <c r="AX32" i="14"/>
  <c r="AW15" i="14" a="1"/>
  <c r="AW15" i="14" s="1"/>
  <c r="AS17" i="14" a="1"/>
  <c r="AS17" i="14" s="1"/>
  <c r="AX11" i="14" a="1"/>
  <c r="AX11" i="14" s="1"/>
  <c r="AS19" i="14" a="1"/>
  <c r="AS19" i="14" s="1"/>
  <c r="AV15" i="14" a="1"/>
  <c r="AV15" i="14" s="1"/>
  <c r="AS12" i="14" a="1"/>
  <c r="AS12" i="14" s="1"/>
  <c r="AT12" i="14" a="1"/>
  <c r="AT12" i="14" s="1"/>
  <c r="AV24" i="14"/>
  <c r="AV33" i="14"/>
  <c r="AU12" i="14" a="1"/>
  <c r="AU12" i="14" s="1"/>
  <c r="AX14" i="14" a="1"/>
  <c r="AX14" i="14" s="1"/>
  <c r="AT18" i="14" a="1"/>
  <c r="AT18" i="14" s="1"/>
  <c r="AV13" i="14" a="1"/>
  <c r="AV13" i="14" s="1"/>
  <c r="AX12" i="14" a="1"/>
  <c r="AX12" i="14" s="1"/>
  <c r="AV17" i="14" a="1"/>
  <c r="AV17" i="14" s="1"/>
  <c r="AW20" i="14" a="1"/>
  <c r="AW20" i="14" s="1"/>
  <c r="AT11" i="14" a="1"/>
  <c r="AT11" i="14" s="1"/>
  <c r="AX13" i="14" a="1"/>
  <c r="AX13" i="14" s="1"/>
  <c r="AV20" i="14" a="1"/>
  <c r="AV20" i="14" s="1"/>
  <c r="AS30" i="14"/>
  <c r="AS33" i="14"/>
  <c r="AS31" i="14"/>
  <c r="AX10" i="14" a="1"/>
  <c r="AX10" i="14" s="1"/>
  <c r="AT17" i="14" a="1"/>
  <c r="AT17" i="14" s="1"/>
  <c r="AV16" i="14" a="1"/>
  <c r="AV16" i="14" s="1"/>
  <c r="AX17" i="14" a="1"/>
  <c r="AX17" i="14" s="1"/>
  <c r="AV22" i="14" a="1"/>
  <c r="AV22" i="14" s="1"/>
  <c r="AU17" i="14" a="1"/>
  <c r="AU17" i="14" s="1"/>
  <c r="AT10" i="14" a="1"/>
  <c r="AT10" i="14" s="1"/>
  <c r="AW30" i="14"/>
  <c r="AW33" i="14"/>
  <c r="AU10" i="14" a="1"/>
  <c r="AU10" i="14" s="1"/>
  <c r="AV12" i="14" a="1"/>
  <c r="AV12" i="14" s="1"/>
  <c r="AT20" i="14" a="1"/>
  <c r="AT20" i="14" s="1"/>
  <c r="AT19" i="14" a="1"/>
  <c r="AT19" i="14" s="1"/>
  <c r="AS14" i="14" a="1"/>
  <c r="AS14" i="14" s="1"/>
  <c r="AU14" i="14" a="1"/>
  <c r="AU14" i="14" s="1"/>
  <c r="AV11" i="14" a="1"/>
  <c r="AV11" i="14" s="1"/>
  <c r="AT16" i="14" a="1"/>
  <c r="AT16" i="14" s="1"/>
  <c r="AX15" i="14" a="1"/>
  <c r="AX15" i="14" s="1"/>
  <c r="AS18" i="14" a="1"/>
  <c r="AS18" i="14" s="1"/>
  <c r="AW13" i="14" a="1"/>
  <c r="AW13" i="14" s="1"/>
  <c r="AW14" i="14" a="1"/>
  <c r="AW14" i="14" s="1"/>
  <c r="AS21" i="14" a="1"/>
  <c r="AS21" i="14" s="1"/>
  <c r="AV19" i="14" a="1"/>
  <c r="AV19" i="14" s="1"/>
  <c r="AU22" i="14" a="1"/>
  <c r="AU22" i="14" s="1"/>
  <c r="AW22" i="14" a="1"/>
  <c r="AW22" i="14" s="1"/>
  <c r="AS20" i="14" a="1"/>
  <c r="AS20" i="14" s="1"/>
  <c r="AV18" i="14" a="1"/>
  <c r="AV18" i="14" s="1"/>
  <c r="AT21" i="14" a="1"/>
  <c r="AT21" i="14" s="1"/>
  <c r="AW17" i="14" a="1"/>
  <c r="AW17" i="14" s="1"/>
  <c r="AS13" i="14" a="1"/>
  <c r="AS13" i="14" s="1"/>
  <c r="AS15" i="14" a="1"/>
  <c r="AS15" i="14" s="1"/>
  <c r="AV21" i="14" a="1"/>
  <c r="AV21" i="14" s="1"/>
  <c r="AU11" i="14" a="1"/>
  <c r="AU11" i="14" s="1"/>
  <c r="AW21" i="14" a="1"/>
  <c r="AW21" i="14" s="1"/>
  <c r="AS10" i="14" a="1"/>
  <c r="AS10" i="14" s="1"/>
  <c r="AW18" i="14" a="1"/>
  <c r="AW18" i="14" s="1"/>
  <c r="AS16" i="14" a="1"/>
  <c r="AS16" i="14" s="1"/>
  <c r="AW16" i="14" a="1"/>
  <c r="AW16" i="14" s="1"/>
  <c r="AX19" i="14" a="1"/>
  <c r="AX19" i="14" s="1"/>
  <c r="AX16" i="14" a="1"/>
  <c r="AX16" i="14" s="1"/>
  <c r="AX20" i="14" a="1"/>
  <c r="AX20" i="14" s="1"/>
  <c r="AS11" i="14" a="1"/>
  <c r="AS11" i="14" s="1"/>
  <c r="AW12" i="14" a="1"/>
  <c r="AW12" i="14" s="1"/>
  <c r="AX22" i="14" a="1"/>
  <c r="AX22" i="14" s="1"/>
  <c r="J119" i="5"/>
  <c r="H129" i="5"/>
  <c r="M131" i="5"/>
  <c r="M123" i="5"/>
  <c r="H126" i="5"/>
  <c r="K121" i="5"/>
  <c r="L131" i="5"/>
  <c r="M127" i="5"/>
  <c r="H120" i="5"/>
  <c r="I127" i="5"/>
  <c r="L117" i="5"/>
  <c r="H88" i="5"/>
  <c r="L121" i="5"/>
  <c r="K127" i="5"/>
  <c r="J91" i="5"/>
  <c r="M128" i="5"/>
  <c r="L118" i="5"/>
  <c r="L120" i="5"/>
  <c r="L88" i="5"/>
  <c r="L129" i="5"/>
  <c r="M132" i="5"/>
  <c r="M130" i="5"/>
  <c r="H123" i="5"/>
  <c r="I90" i="5"/>
  <c r="K120" i="5"/>
  <c r="M88" i="5"/>
  <c r="L119" i="5"/>
  <c r="L130" i="5"/>
  <c r="H118" i="5"/>
  <c r="L92" i="5"/>
  <c r="M129" i="5"/>
  <c r="J92" i="5"/>
  <c r="K126" i="5"/>
  <c r="M126" i="5"/>
  <c r="H90" i="5"/>
  <c r="I92" i="5"/>
  <c r="J90" i="5"/>
  <c r="I117" i="5"/>
  <c r="M92" i="5"/>
  <c r="K90" i="5"/>
  <c r="I123" i="5"/>
  <c r="I130" i="5"/>
  <c r="H117" i="5"/>
  <c r="M91" i="5"/>
  <c r="H124" i="5"/>
  <c r="L90" i="5"/>
  <c r="J124" i="5"/>
  <c r="K116" i="5"/>
  <c r="I116" i="5"/>
  <c r="M125" i="5"/>
  <c r="J131" i="5"/>
  <c r="J122" i="5"/>
  <c r="J116" i="5"/>
  <c r="I88" i="5"/>
  <c r="J88" i="5"/>
  <c r="L122" i="5"/>
  <c r="K128" i="5"/>
  <c r="I119" i="5"/>
  <c r="I91" i="5"/>
  <c r="H91" i="5"/>
  <c r="K93" i="5"/>
  <c r="L132" i="5"/>
  <c r="K122" i="5"/>
  <c r="M124" i="5"/>
  <c r="J128" i="5"/>
  <c r="I121" i="5"/>
  <c r="L93" i="5"/>
  <c r="J125" i="5"/>
  <c r="M93" i="5"/>
  <c r="I93" i="5"/>
  <c r="J118" i="5"/>
  <c r="H92" i="5"/>
  <c r="I125" i="5"/>
  <c r="K88" i="5"/>
  <c r="K132" i="5"/>
  <c r="K91" i="5"/>
  <c r="H93" i="5"/>
  <c r="K94" i="5"/>
  <c r="L94" i="5"/>
  <c r="M94" i="5"/>
  <c r="J94" i="5"/>
  <c r="J95" i="5"/>
  <c r="K95" i="5"/>
  <c r="L95" i="5"/>
  <c r="M95" i="5"/>
  <c r="I95" i="5"/>
  <c r="H94" i="5"/>
  <c r="M84" i="5"/>
  <c r="M85" i="5"/>
  <c r="K82" i="5"/>
  <c r="I82" i="5"/>
  <c r="M82" i="5"/>
  <c r="H82" i="5"/>
  <c r="I83" i="5"/>
  <c r="I85" i="5"/>
  <c r="K84" i="5"/>
  <c r="I84" i="5"/>
  <c r="J83" i="5"/>
  <c r="J84" i="5"/>
  <c r="H84" i="5"/>
  <c r="L83" i="5"/>
  <c r="K83" i="5"/>
  <c r="H83" i="5"/>
  <c r="J82" i="5"/>
  <c r="L82" i="5"/>
  <c r="J85" i="5"/>
  <c r="K85" i="5"/>
  <c r="M83" i="5"/>
  <c r="H85" i="5"/>
  <c r="L84" i="5"/>
  <c r="M74" i="5"/>
  <c r="K74" i="5"/>
  <c r="H77" i="5"/>
  <c r="M75" i="5"/>
  <c r="H72" i="5"/>
  <c r="M69" i="5"/>
  <c r="M80" i="5"/>
  <c r="M79" i="5"/>
  <c r="H67" i="5"/>
  <c r="K69" i="5"/>
  <c r="M70" i="5"/>
  <c r="I77" i="5"/>
  <c r="M67" i="5"/>
  <c r="J75" i="5"/>
  <c r="J72" i="5"/>
  <c r="J67" i="5"/>
  <c r="J70" i="5"/>
  <c r="K72" i="5"/>
  <c r="K73" i="5"/>
  <c r="I68" i="5"/>
  <c r="H68" i="5"/>
  <c r="I74" i="5"/>
  <c r="L77" i="5"/>
  <c r="J74" i="5"/>
  <c r="L67" i="5"/>
  <c r="H69" i="5"/>
  <c r="I69" i="5"/>
  <c r="J69" i="5"/>
  <c r="M77" i="5"/>
  <c r="I75" i="5"/>
  <c r="I72" i="5"/>
  <c r="J68" i="5"/>
  <c r="L74" i="5"/>
  <c r="K67" i="5"/>
  <c r="L72" i="5"/>
  <c r="K68" i="5"/>
  <c r="J73" i="5"/>
  <c r="K79" i="5"/>
  <c r="H74" i="5"/>
  <c r="I73" i="5"/>
  <c r="I79" i="5"/>
  <c r="I67" i="5"/>
  <c r="M72" i="5"/>
  <c r="J80" i="5"/>
  <c r="L69" i="5"/>
  <c r="L68" i="5"/>
  <c r="I70" i="5"/>
  <c r="H70" i="5"/>
  <c r="K77" i="5"/>
  <c r="H73" i="5"/>
  <c r="L73" i="5"/>
  <c r="M73" i="5"/>
  <c r="K70" i="5"/>
  <c r="L78" i="5"/>
  <c r="H79" i="5"/>
  <c r="H75" i="5"/>
  <c r="I80" i="5"/>
  <c r="J77" i="5"/>
  <c r="M68" i="5"/>
  <c r="J79" i="5"/>
  <c r="I78" i="5"/>
  <c r="K78" i="5"/>
  <c r="J78" i="5"/>
  <c r="L79" i="5"/>
  <c r="K80" i="5"/>
  <c r="K75" i="5"/>
  <c r="H78" i="5"/>
  <c r="H80" i="5"/>
  <c r="M78" i="5"/>
  <c r="P32" i="5"/>
  <c r="Q32" i="5" s="1"/>
  <c r="H32" i="5"/>
  <c r="C35" i="5"/>
  <c r="I35" i="5" s="1"/>
  <c r="F33" i="5"/>
  <c r="E34" i="5"/>
  <c r="D35" i="5"/>
  <c r="G32" i="5"/>
  <c r="M32" i="5" s="1"/>
  <c r="M34" i="5"/>
  <c r="M35" i="5"/>
  <c r="M45" i="5"/>
  <c r="M44" i="5"/>
  <c r="H42" i="5"/>
  <c r="M65" i="5"/>
  <c r="H57" i="5"/>
  <c r="M59" i="5"/>
  <c r="M42" i="5"/>
  <c r="M39" i="5"/>
  <c r="M64" i="5"/>
  <c r="H44" i="5"/>
  <c r="M50" i="5"/>
  <c r="H37" i="5"/>
  <c r="M60" i="5"/>
  <c r="M54" i="5"/>
  <c r="H47" i="5"/>
  <c r="H48" i="5"/>
  <c r="H62" i="5"/>
  <c r="M49" i="5"/>
  <c r="H39" i="5"/>
  <c r="M55" i="5"/>
  <c r="M40" i="5"/>
  <c r="H52" i="5"/>
  <c r="L48" i="5"/>
  <c r="H50" i="5"/>
  <c r="K52" i="5"/>
  <c r="K47" i="5"/>
  <c r="L52" i="5"/>
  <c r="I48" i="5"/>
  <c r="H38" i="5"/>
  <c r="J37" i="5"/>
  <c r="K57" i="5"/>
  <c r="L57" i="5"/>
  <c r="I49" i="5"/>
  <c r="J52" i="5"/>
  <c r="M52" i="5"/>
  <c r="L38" i="5"/>
  <c r="J58" i="5"/>
  <c r="H53" i="5"/>
  <c r="J54" i="5"/>
  <c r="H43" i="5"/>
  <c r="M48" i="5"/>
  <c r="J44" i="5"/>
  <c r="J48" i="5"/>
  <c r="K44" i="5"/>
  <c r="L47" i="5"/>
  <c r="I52" i="5"/>
  <c r="I38" i="5"/>
  <c r="J57" i="5"/>
  <c r="J40" i="5"/>
  <c r="I43" i="5"/>
  <c r="I65" i="5"/>
  <c r="I53" i="5"/>
  <c r="I42" i="5"/>
  <c r="I58" i="5"/>
  <c r="H63" i="5"/>
  <c r="I60" i="5"/>
  <c r="H54" i="5"/>
  <c r="I54" i="5"/>
  <c r="M47" i="5"/>
  <c r="J62" i="5"/>
  <c r="H59" i="5"/>
  <c r="I40" i="5"/>
  <c r="J38" i="5"/>
  <c r="I57" i="5"/>
  <c r="L37" i="5"/>
  <c r="I45" i="5"/>
  <c r="K48" i="5"/>
  <c r="L53" i="5"/>
  <c r="J47" i="5"/>
  <c r="K59" i="5"/>
  <c r="I37" i="5"/>
  <c r="I59" i="5"/>
  <c r="L43" i="5"/>
  <c r="I47" i="5"/>
  <c r="J65" i="5"/>
  <c r="H49" i="5"/>
  <c r="K38" i="5"/>
  <c r="J64" i="5"/>
  <c r="J55" i="5"/>
  <c r="J43" i="5"/>
  <c r="K37" i="5"/>
  <c r="K49" i="5"/>
  <c r="K39" i="5"/>
  <c r="J49" i="5"/>
  <c r="K42" i="5"/>
  <c r="K58" i="5"/>
  <c r="K43" i="5"/>
  <c r="J60" i="5"/>
  <c r="K54" i="5"/>
  <c r="J45" i="5"/>
  <c r="J39" i="5"/>
  <c r="M37" i="5"/>
  <c r="I64" i="5"/>
  <c r="J53" i="5"/>
  <c r="H58" i="5"/>
  <c r="J42" i="5"/>
  <c r="I39" i="5"/>
  <c r="M57" i="5"/>
  <c r="L63" i="5"/>
  <c r="I62" i="5"/>
  <c r="I63" i="5"/>
  <c r="J50" i="5"/>
  <c r="I55" i="5"/>
  <c r="I50" i="5"/>
  <c r="L58" i="5"/>
  <c r="K53" i="5"/>
  <c r="J59" i="5"/>
  <c r="I44" i="5"/>
  <c r="L42" i="5"/>
  <c r="L64" i="5"/>
  <c r="M43" i="5"/>
  <c r="L59" i="5"/>
  <c r="K45" i="5"/>
  <c r="L39" i="5"/>
  <c r="L49" i="5"/>
  <c r="L54" i="5"/>
  <c r="K60" i="5"/>
  <c r="K63" i="5"/>
  <c r="H45" i="5"/>
  <c r="H40" i="5"/>
  <c r="M58" i="5"/>
  <c r="K62" i="5"/>
  <c r="K50" i="5"/>
  <c r="H64" i="5"/>
  <c r="H60" i="5"/>
  <c r="K64" i="5"/>
  <c r="L44" i="5"/>
  <c r="H55" i="5"/>
  <c r="M63" i="5"/>
  <c r="M38" i="5"/>
  <c r="J63" i="5"/>
  <c r="L62" i="5"/>
  <c r="K55" i="5"/>
  <c r="H65" i="5"/>
  <c r="M62" i="5"/>
  <c r="M53" i="5"/>
  <c r="K40" i="5"/>
  <c r="K65" i="5"/>
  <c r="AX35" i="6"/>
  <c r="M90" i="5" s="1"/>
  <c r="AT35" i="6"/>
  <c r="I129" i="5" s="1"/>
  <c r="AW35" i="6"/>
  <c r="L125" i="5" s="1"/>
  <c r="AS35" i="6"/>
  <c r="AV35" i="6"/>
  <c r="K119" i="5" s="1"/>
  <c r="AU35" i="6"/>
  <c r="J93" i="5" s="1"/>
  <c r="Y12" i="6"/>
  <c r="D34" i="5"/>
  <c r="J34" i="5" s="1"/>
  <c r="D32" i="5"/>
  <c r="J32" i="5" s="1"/>
  <c r="E32" i="5"/>
  <c r="K32" i="5" s="1"/>
  <c r="D33" i="5"/>
  <c r="J33" i="5" s="1"/>
  <c r="C34" i="5"/>
  <c r="I34" i="5" s="1"/>
  <c r="B33" i="5"/>
  <c r="C33" i="5"/>
  <c r="I33" i="5" s="1"/>
  <c r="B34" i="5"/>
  <c r="E33" i="5"/>
  <c r="K33" i="5" s="1"/>
  <c r="C32" i="5"/>
  <c r="I32" i="5" s="1"/>
  <c r="F32" i="5"/>
  <c r="L32" i="5" s="1"/>
  <c r="F29" i="5"/>
  <c r="D29" i="5"/>
  <c r="E29" i="5"/>
  <c r="K17" i="5" l="1"/>
  <c r="C29" i="5"/>
  <c r="H119" i="5"/>
  <c r="C28" i="5"/>
  <c r="H116" i="5" s="1"/>
  <c r="I124" i="5"/>
  <c r="I126" i="5"/>
  <c r="L91" i="5"/>
  <c r="N91" i="5" s="1"/>
  <c r="H122" i="5"/>
  <c r="K117" i="5"/>
  <c r="L124" i="5"/>
  <c r="J132" i="5"/>
  <c r="K131" i="5"/>
  <c r="H132" i="5"/>
  <c r="K125" i="5"/>
  <c r="H95" i="5"/>
  <c r="N95" i="5" s="1"/>
  <c r="J126" i="5"/>
  <c r="K124" i="5"/>
  <c r="H127" i="5"/>
  <c r="H131" i="5"/>
  <c r="J120" i="5"/>
  <c r="I120" i="5"/>
  <c r="K123" i="5"/>
  <c r="J121" i="5"/>
  <c r="H130" i="5"/>
  <c r="I118" i="5"/>
  <c r="J130" i="5"/>
  <c r="J117" i="5"/>
  <c r="L128" i="5"/>
  <c r="I122" i="5"/>
  <c r="H128" i="5"/>
  <c r="L127" i="5"/>
  <c r="I128" i="5"/>
  <c r="L123" i="5"/>
  <c r="M120" i="5"/>
  <c r="L126" i="5"/>
  <c r="L116" i="5"/>
  <c r="J127" i="5"/>
  <c r="N90" i="5"/>
  <c r="M119" i="5"/>
  <c r="N119" i="5" s="1"/>
  <c r="J123" i="5"/>
  <c r="I94" i="5"/>
  <c r="N94" i="5" s="1"/>
  <c r="H125" i="5"/>
  <c r="M118" i="5"/>
  <c r="M117" i="5"/>
  <c r="N93" i="5"/>
  <c r="K118" i="5"/>
  <c r="K130" i="5"/>
  <c r="K129" i="5"/>
  <c r="M121" i="5"/>
  <c r="N88" i="5"/>
  <c r="I132" i="5"/>
  <c r="K92" i="5"/>
  <c r="N92" i="5" s="1"/>
  <c r="H121" i="5"/>
  <c r="J129" i="5"/>
  <c r="I131" i="5"/>
  <c r="M122" i="5"/>
  <c r="M116" i="5"/>
  <c r="N63" i="5"/>
  <c r="R63" i="5" s="1"/>
  <c r="N84" i="5"/>
  <c r="R84" i="5" s="1"/>
  <c r="N58" i="5"/>
  <c r="R58" i="5" s="1"/>
  <c r="N82" i="5"/>
  <c r="R82" i="5" s="1"/>
  <c r="N83" i="5"/>
  <c r="R83" i="5" s="1"/>
  <c r="N78" i="5"/>
  <c r="R78" i="5" s="1"/>
  <c r="N69" i="5"/>
  <c r="R69" i="5" s="1"/>
  <c r="N74" i="5"/>
  <c r="R74" i="5" s="1"/>
  <c r="N67" i="5"/>
  <c r="R67" i="5" s="1"/>
  <c r="N79" i="5"/>
  <c r="R79" i="5" s="1"/>
  <c r="N73" i="5"/>
  <c r="R73" i="5" s="1"/>
  <c r="N72" i="5"/>
  <c r="R72" i="5" s="1"/>
  <c r="N77" i="5"/>
  <c r="R77" i="5" s="1"/>
  <c r="N62" i="5"/>
  <c r="R62" i="5" s="1"/>
  <c r="N57" i="5"/>
  <c r="R57" i="5" s="1"/>
  <c r="N48" i="5"/>
  <c r="R48" i="5" s="1"/>
  <c r="N68" i="5"/>
  <c r="R68" i="5" s="1"/>
  <c r="N38" i="5"/>
  <c r="R38" i="5" s="1"/>
  <c r="N49" i="5"/>
  <c r="R49" i="5" s="1"/>
  <c r="N43" i="5"/>
  <c r="R43" i="5" s="1"/>
  <c r="N53" i="5"/>
  <c r="R53" i="5" s="1"/>
  <c r="J35" i="5"/>
  <c r="E35" i="5"/>
  <c r="K35" i="5" s="1"/>
  <c r="N42" i="5"/>
  <c r="R42" i="5" s="1"/>
  <c r="N59" i="5"/>
  <c r="R59" i="5" s="1"/>
  <c r="N54" i="5"/>
  <c r="R54" i="5" s="1"/>
  <c r="N52" i="5"/>
  <c r="R52" i="5" s="1"/>
  <c r="K34" i="5"/>
  <c r="F34" i="5"/>
  <c r="L34" i="5" s="1"/>
  <c r="L33" i="5"/>
  <c r="G33" i="5"/>
  <c r="M33" i="5" s="1"/>
  <c r="N64" i="5"/>
  <c r="R64" i="5" s="1"/>
  <c r="N37" i="5"/>
  <c r="R37" i="5" s="1"/>
  <c r="P33" i="5"/>
  <c r="Q33" i="5" s="1"/>
  <c r="B35" i="5"/>
  <c r="H33" i="5"/>
  <c r="N39" i="5"/>
  <c r="R39" i="5" s="1"/>
  <c r="N47" i="5"/>
  <c r="R47" i="5" s="1"/>
  <c r="H34" i="5"/>
  <c r="P34" i="5"/>
  <c r="Q34" i="5" s="1"/>
  <c r="N32" i="5"/>
  <c r="N44" i="5"/>
  <c r="R44" i="5" s="1"/>
  <c r="G29" i="5"/>
  <c r="L85" i="5" s="1"/>
  <c r="N85" i="5" s="1"/>
  <c r="R85" i="5" s="1"/>
  <c r="Y13" i="6"/>
  <c r="N124" i="5" l="1"/>
  <c r="N118" i="5"/>
  <c r="N116" i="5"/>
  <c r="N132" i="5"/>
  <c r="N126" i="5"/>
  <c r="N120" i="5"/>
  <c r="N127" i="5"/>
  <c r="N128" i="5"/>
  <c r="N117" i="5"/>
  <c r="N131" i="5"/>
  <c r="N122" i="5"/>
  <c r="N125" i="5"/>
  <c r="N130" i="5"/>
  <c r="N129" i="5"/>
  <c r="N123" i="5"/>
  <c r="N121" i="5"/>
  <c r="L70" i="5"/>
  <c r="N70" i="5" s="1"/>
  <c r="R70" i="5" s="1"/>
  <c r="L75" i="5"/>
  <c r="N75" i="5" s="1"/>
  <c r="R75" i="5" s="1"/>
  <c r="L80" i="5"/>
  <c r="N80" i="5" s="1"/>
  <c r="R80" i="5" s="1"/>
  <c r="N33" i="5"/>
  <c r="R33" i="5" s="1"/>
  <c r="L45" i="5"/>
  <c r="N45" i="5" s="1"/>
  <c r="R45" i="5" s="1"/>
  <c r="L55" i="5"/>
  <c r="N55" i="5" s="1"/>
  <c r="R55" i="5" s="1"/>
  <c r="L35" i="5"/>
  <c r="L65" i="5"/>
  <c r="N65" i="5" s="1"/>
  <c r="R65" i="5" s="1"/>
  <c r="L40" i="5"/>
  <c r="N40" i="5" s="1"/>
  <c r="R40" i="5" s="1"/>
  <c r="L50" i="5"/>
  <c r="N50" i="5" s="1"/>
  <c r="R50" i="5" s="1"/>
  <c r="L60" i="5"/>
  <c r="N60" i="5" s="1"/>
  <c r="R60" i="5" s="1"/>
  <c r="N34" i="5"/>
  <c r="R34" i="5" s="1"/>
  <c r="H35" i="5"/>
  <c r="P35" i="5"/>
  <c r="Q35" i="5" s="1"/>
  <c r="Y14" i="6"/>
  <c r="N35" i="5" l="1"/>
  <c r="R35" i="5" s="1"/>
  <c r="Y15" i="6"/>
  <c r="Y16" i="6" l="1"/>
  <c r="Y17" i="6" l="1"/>
  <c r="J97" i="5" l="1"/>
  <c r="L97" i="5"/>
  <c r="K97" i="5"/>
  <c r="I97" i="5"/>
  <c r="M97" i="5"/>
  <c r="H97" i="5"/>
  <c r="Y18" i="6"/>
  <c r="N97" i="5" l="1"/>
  <c r="K98" i="5"/>
  <c r="L98" i="5"/>
  <c r="M98" i="5"/>
  <c r="I98" i="5"/>
  <c r="J98" i="5"/>
  <c r="H98" i="5"/>
  <c r="Y19" i="6"/>
  <c r="N98" i="5" l="1"/>
  <c r="H99" i="5"/>
  <c r="I99" i="5"/>
  <c r="K99" i="5"/>
  <c r="L99" i="5"/>
  <c r="M99" i="5"/>
  <c r="J99" i="5"/>
  <c r="R32" i="5"/>
  <c r="N99" i="5" l="1"/>
  <c r="H100" i="5"/>
  <c r="J100" i="5"/>
  <c r="L100" i="5"/>
  <c r="I100" i="5"/>
  <c r="K100" i="5"/>
  <c r="M100" i="5"/>
  <c r="N100" i="5" l="1"/>
  <c r="I101" i="5"/>
  <c r="K101" i="5"/>
  <c r="M101" i="5"/>
  <c r="L101" i="5"/>
  <c r="H101" i="5"/>
  <c r="J101" i="5"/>
  <c r="R86" i="5"/>
  <c r="K20" i="5" s="1"/>
  <c r="N101" i="5" l="1"/>
  <c r="L102" i="5"/>
  <c r="K102" i="5"/>
  <c r="M102" i="5"/>
  <c r="J102" i="5"/>
  <c r="I102" i="5"/>
  <c r="H102" i="5"/>
  <c r="N102" i="5" l="1"/>
  <c r="H103" i="5"/>
  <c r="J103" i="5"/>
  <c r="L103" i="5"/>
  <c r="M103" i="5"/>
  <c r="I103" i="5"/>
  <c r="K103" i="5"/>
  <c r="N103" i="5" l="1"/>
  <c r="I104" i="5"/>
  <c r="H104" i="5"/>
  <c r="K104" i="5"/>
  <c r="M104" i="5"/>
  <c r="J104" i="5"/>
  <c r="L104" i="5"/>
  <c r="N104" i="5" l="1"/>
  <c r="J105" i="5"/>
  <c r="L105" i="5"/>
  <c r="M105" i="5"/>
  <c r="H105" i="5"/>
  <c r="K105" i="5"/>
  <c r="I105" i="5"/>
  <c r="N105" i="5" l="1"/>
  <c r="K106" i="5"/>
  <c r="M106" i="5"/>
  <c r="J106" i="5"/>
  <c r="L106" i="5"/>
  <c r="I106" i="5"/>
  <c r="H106" i="5"/>
  <c r="N106" i="5" l="1"/>
  <c r="I107" i="5"/>
  <c r="L107" i="5"/>
  <c r="M107" i="5"/>
  <c r="J107" i="5"/>
  <c r="K107" i="5"/>
  <c r="H107" i="5"/>
  <c r="N107" i="5" l="1"/>
  <c r="H108" i="5"/>
  <c r="J108" i="5"/>
  <c r="L108" i="5"/>
  <c r="M108" i="5"/>
  <c r="I108" i="5"/>
  <c r="K108" i="5"/>
  <c r="N108" i="5" l="1"/>
  <c r="M109" i="5"/>
  <c r="H109" i="5"/>
  <c r="I109" i="5"/>
  <c r="L109" i="5"/>
  <c r="J109" i="5"/>
  <c r="K109" i="5"/>
  <c r="N109" i="5" l="1"/>
  <c r="L110" i="5"/>
  <c r="M110" i="5"/>
  <c r="K110" i="5"/>
  <c r="J110" i="5"/>
  <c r="H110" i="5"/>
  <c r="I110" i="5"/>
  <c r="N110" i="5" l="1"/>
  <c r="H111" i="5"/>
  <c r="M111" i="5"/>
  <c r="L111" i="5"/>
  <c r="I111" i="5"/>
  <c r="K111" i="5"/>
  <c r="J111" i="5"/>
  <c r="N111" i="5" l="1"/>
  <c r="I113" i="5"/>
  <c r="M113" i="5"/>
  <c r="H113" i="5"/>
  <c r="J113" i="5"/>
  <c r="K113" i="5"/>
  <c r="L113" i="5"/>
  <c r="N113" i="5" l="1"/>
  <c r="J114" i="5"/>
  <c r="L114" i="5"/>
  <c r="H114" i="5"/>
  <c r="I114" i="5"/>
  <c r="K114" i="5"/>
  <c r="M114" i="5"/>
  <c r="N114" i="5" l="1"/>
  <c r="M115" i="5"/>
  <c r="H115" i="5"/>
  <c r="J115" i="5"/>
  <c r="K115" i="5"/>
  <c r="L115" i="5"/>
  <c r="I115" i="5"/>
  <c r="N115" i="5" l="1"/>
  <c r="K2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<sst xmlns="http://schemas.openxmlformats.org/spreadsheetml/2006/main" count="6776" uniqueCount="163">
  <si>
    <t>Whole Game</t>
  </si>
  <si>
    <t>Buy Bonus 1</t>
  </si>
  <si>
    <t>Buy Bonus 2</t>
  </si>
  <si>
    <t>Normal Game</t>
  </si>
  <si>
    <t xml:space="preserve">Game Name: </t>
  </si>
  <si>
    <t>DogHouseMegaways9700</t>
  </si>
  <si>
    <t>RTP</t>
  </si>
  <si>
    <t>Odds</t>
  </si>
  <si>
    <t>Avg.</t>
  </si>
  <si>
    <t xml:space="preserve">Number of Simulations: </t>
  </si>
  <si>
    <t>Base Game</t>
  </si>
  <si>
    <t xml:space="preserve">Number of Lines Played: </t>
  </si>
  <si>
    <t>Wheel Bonus</t>
  </si>
  <si>
    <t xml:space="preserve">Total Bet: </t>
  </si>
  <si>
    <t>Total</t>
  </si>
  <si>
    <t xml:space="preserve">Simulated Game Total RTP: </t>
  </si>
  <si>
    <t xml:space="preserve">Simulated Base Game Total RTP: </t>
  </si>
  <si>
    <t xml:space="preserve">Simulated Base Game1 Total RTP: </t>
  </si>
  <si>
    <t>Hit Frequency</t>
  </si>
  <si>
    <t xml:space="preserve">Simulated Base Game2 Total RTP: </t>
  </si>
  <si>
    <t>Max Exposure</t>
  </si>
  <si>
    <t>Credits</t>
  </si>
  <si>
    <t>with Bet</t>
  </si>
  <si>
    <t xml:space="preserve">Simulated Base Game3 Total RTP: </t>
  </si>
  <si>
    <t>Probability of Max Exposure</t>
  </si>
  <si>
    <t xml:space="preserve">in </t>
  </si>
  <si>
    <t xml:space="preserve">Simulated Base Game4 Total RTP: </t>
  </si>
  <si>
    <t>SD</t>
  </si>
  <si>
    <t xml:space="preserve">Simulated Base Game5 Total RTP: </t>
  </si>
  <si>
    <t xml:space="preserve">Simulated Base Game6 Total RTP: </t>
  </si>
  <si>
    <t xml:space="preserve">Simulated Base Game7 Total RTP: </t>
  </si>
  <si>
    <t>FG1</t>
  </si>
  <si>
    <t>FG2</t>
  </si>
  <si>
    <t xml:space="preserve">Simulated Base Game8 Total RTP: </t>
  </si>
  <si>
    <t>Buy Bet</t>
  </si>
  <si>
    <t>x Total Bet</t>
  </si>
  <si>
    <t xml:space="preserve">Simulated Base Game9 Total RTP: </t>
  </si>
  <si>
    <t>EV</t>
  </si>
  <si>
    <t xml:space="preserve">Simulated Free Game Total RTP: </t>
  </si>
  <si>
    <t>Total RTP</t>
  </si>
  <si>
    <t xml:space="preserve">Simulated Individual Free Game Total RTP: </t>
  </si>
  <si>
    <t xml:space="preserve">Simulated Base Game1 Individual RTP: </t>
  </si>
  <si>
    <t xml:space="preserve">Simulated Base Game2 Individual RTP: </t>
  </si>
  <si>
    <t>NaN</t>
  </si>
  <si>
    <t xml:space="preserve">Simulated Base Game3 Individual RTP: </t>
  </si>
  <si>
    <t xml:space="preserve">Simulated Base Game4 Individual RTP: </t>
  </si>
  <si>
    <t xml:space="preserve">Simulated Base Game5 Individual RTP: </t>
  </si>
  <si>
    <t xml:space="preserve">Simulated Base Game6 Individual RTP: </t>
  </si>
  <si>
    <t xml:space="preserve">Simulated Base Game7 Individual RTP: </t>
  </si>
  <si>
    <t xml:space="preserve">Simulated Base Game8 Individual RTP: </t>
  </si>
  <si>
    <t xml:space="preserve">Simulated Base Game9 Individual RTP: </t>
  </si>
  <si>
    <t xml:space="preserve">MLHF: </t>
  </si>
  <si>
    <t xml:space="preserve">MLHF from BG1: </t>
  </si>
  <si>
    <t xml:space="preserve">MLHF from BG2: </t>
  </si>
  <si>
    <t xml:space="preserve">MLHF from BG3: </t>
  </si>
  <si>
    <t xml:space="preserve">MLHF from BG4: </t>
  </si>
  <si>
    <t xml:space="preserve">MLHF from BG5: </t>
  </si>
  <si>
    <t xml:space="preserve">MLHF from BG6: </t>
  </si>
  <si>
    <t xml:space="preserve">MLHF from BG7: </t>
  </si>
  <si>
    <t xml:space="preserve">MLHF from BG8: </t>
  </si>
  <si>
    <t xml:space="preserve">MLHF from BG9: </t>
  </si>
  <si>
    <t xml:space="preserve">Max Liability: </t>
  </si>
  <si>
    <t xml:space="preserve">FG Triggering Odds: </t>
  </si>
  <si>
    <t xml:space="preserve">FG Triggering Odds from BG1: </t>
  </si>
  <si>
    <t xml:space="preserve">FG Triggering Odds from BG2: </t>
  </si>
  <si>
    <t>∞</t>
  </si>
  <si>
    <t xml:space="preserve">FG Triggering Odds from BG3: </t>
  </si>
  <si>
    <t xml:space="preserve">FG Triggering Odds from BG4: </t>
  </si>
  <si>
    <t xml:space="preserve">FG Triggering Odds from BG5: </t>
  </si>
  <si>
    <t xml:space="preserve">FG Triggering Odds from BG6: </t>
  </si>
  <si>
    <t xml:space="preserve">FG Triggering Odds from BG7: </t>
  </si>
  <si>
    <t xml:space="preserve">FG Triggering Odds from BG8: </t>
  </si>
  <si>
    <t xml:space="preserve">FG Triggering Odds from BG9: </t>
  </si>
  <si>
    <t xml:space="preserve">Avg. Num of FG: </t>
  </si>
  <si>
    <t xml:space="preserve">Avg. Num Sticky Wild end of FG: </t>
  </si>
  <si>
    <t xml:space="preserve">90% VI: </t>
  </si>
  <si>
    <t xml:space="preserve">95% VI: </t>
  </si>
  <si>
    <t xml:space="preserve">99% VI: </t>
  </si>
  <si>
    <t xml:space="preserve">Median Cost to Play: </t>
  </si>
  <si>
    <t xml:space="preserve">Minimum Cost to Play: </t>
  </si>
  <si>
    <t xml:space="preserve">Maximum Cost to Play: </t>
  </si>
  <si>
    <t xml:space="preserve">Median Play Time: </t>
  </si>
  <si>
    <t xml:space="preserve">Minimum Play Time: </t>
  </si>
  <si>
    <t xml:space="preserve">Maximum Play Time: </t>
  </si>
  <si>
    <t>Wild Multiplier</t>
  </si>
  <si>
    <t>Weight</t>
  </si>
  <si>
    <t>BG Type</t>
  </si>
  <si>
    <t>BG1</t>
  </si>
  <si>
    <t>BG2</t>
  </si>
  <si>
    <t>BG3</t>
  </si>
  <si>
    <t>BG4</t>
  </si>
  <si>
    <t>BG5</t>
  </si>
  <si>
    <t>BG6</t>
  </si>
  <si>
    <t>BG7</t>
  </si>
  <si>
    <t>BG8</t>
  </si>
  <si>
    <t>BG9</t>
  </si>
  <si>
    <t>Cycle</t>
  </si>
  <si>
    <t>#PttrnNum</t>
  </si>
  <si>
    <t xml:space="preserve">Pattern </t>
  </si>
  <si>
    <t>BGWeights</t>
  </si>
  <si>
    <t>BaseGame</t>
  </si>
  <si>
    <t>Weights</t>
  </si>
  <si>
    <t>Bet</t>
  </si>
  <si>
    <t>NumRows</t>
  </si>
  <si>
    <t>Opt0</t>
  </si>
  <si>
    <t>Opt1</t>
  </si>
  <si>
    <t>Trigger Rate</t>
  </si>
  <si>
    <t>State</t>
  </si>
  <si>
    <t>R1</t>
  </si>
  <si>
    <t>R2</t>
  </si>
  <si>
    <t>R3</t>
  </si>
  <si>
    <t>R4</t>
  </si>
  <si>
    <t>R5</t>
  </si>
  <si>
    <t>R6</t>
  </si>
  <si>
    <t>#Rows</t>
  </si>
  <si>
    <t>---</t>
  </si>
  <si>
    <t>Hits</t>
  </si>
  <si>
    <t>Pays</t>
  </si>
  <si>
    <t>Total Pays</t>
  </si>
  <si>
    <t>Position</t>
  </si>
  <si>
    <t>Reel 1</t>
  </si>
  <si>
    <t>Reel 2</t>
  </si>
  <si>
    <t>Reel 3</t>
  </si>
  <si>
    <t>Reel 4</t>
  </si>
  <si>
    <t>Reel 5</t>
  </si>
  <si>
    <t>Reel 6</t>
  </si>
  <si>
    <t>WC</t>
  </si>
  <si>
    <t>BB</t>
  </si>
  <si>
    <t>FF</t>
  </si>
  <si>
    <t>JJ</t>
  </si>
  <si>
    <t>HH</t>
  </si>
  <si>
    <t>AA</t>
  </si>
  <si>
    <t>KK</t>
  </si>
  <si>
    <t>GG</t>
  </si>
  <si>
    <t>CC</t>
  </si>
  <si>
    <t>BN</t>
  </si>
  <si>
    <t>DD</t>
  </si>
  <si>
    <t>EE</t>
  </si>
  <si>
    <t>LL</t>
  </si>
  <si>
    <t>#Triggering Symbol</t>
  </si>
  <si>
    <t>#FS</t>
  </si>
  <si>
    <t>#Random Wilds</t>
  </si>
  <si>
    <t>Reel</t>
  </si>
  <si>
    <t>Only Rel2,3,4,5 is available for Bursting of Wild</t>
  </si>
  <si>
    <t>FG1Weights</t>
  </si>
  <si>
    <t>FG #1</t>
  </si>
  <si>
    <t>1 Random wild</t>
  </si>
  <si>
    <t>FG #2</t>
  </si>
  <si>
    <t>1 more Random Wild</t>
  </si>
  <si>
    <t>FG #3</t>
  </si>
  <si>
    <t>2 Sticky Wild</t>
  </si>
  <si>
    <t>3 Sticky Wild</t>
  </si>
  <si>
    <t>4 Sticky Wild</t>
  </si>
  <si>
    <t>5 Sticky Wild</t>
  </si>
  <si>
    <t>6 Sticky Wild</t>
  </si>
  <si>
    <t>FG #4</t>
  </si>
  <si>
    <t>FG2Weights</t>
  </si>
  <si>
    <t>Number of Rows</t>
  </si>
  <si>
    <t>Number of Sticky</t>
  </si>
  <si>
    <t>Next Number of Rows</t>
  </si>
  <si>
    <t>Next Position</t>
  </si>
  <si>
    <t>Current State</t>
  </si>
  <si>
    <t>Next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</si>
</sst>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000000%"/>
    <numFmt numFmtId="165" formatCode="_(* #,##0_);_(* \(#,##0\);_(* &quot;-&quot;??_);_(@_)"/>
    <numFmt numFmtId="166" formatCode="0.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2" fontId="0" fillId="0" borderId="1" xfId="0" applyNumberFormat="1" applyBorder="1"/>
    <xf numFmtId="10" fontId="0" fillId="0" borderId="4" xfId="1" applyNumberFormat="1" applyFont="1" applyBorder="1"/>
    <xf numFmtId="3" fontId="1" fillId="0" borderId="0" xfId="2" applyNumberFormat="1" applyAlignment="1">
      <alignment horizontal="center"/>
    </xf>
    <xf numFmtId="0" fontId="1" fillId="0" borderId="1" xfId="2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4" xfId="2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0" xfId="2"/>
    <xf numFmtId="0" fontId="1" fillId="0" borderId="1" xfId="2" applyBorder="1"/>
    <xf numFmtId="0" fontId="1" fillId="0" borderId="4" xfId="0" applyFont="1" applyBorder="1"/>
    <xf numFmtId="0" fontId="1" fillId="0" borderId="6" xfId="0" applyFont="1" applyBorder="1"/>
    <xf numFmtId="0" fontId="1" fillId="0" borderId="8" xfId="2" applyBorder="1" applyAlignment="1">
      <alignment horizontal="center"/>
    </xf>
    <xf numFmtId="0" fontId="2" fillId="0" borderId="11" xfId="2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2" applyAlignment="1">
      <alignment horizontal="center"/>
    </xf>
    <xf numFmtId="3" fontId="1" fillId="0" borderId="5" xfId="2" applyNumberFormat="1" applyBorder="1" applyAlignment="1">
      <alignment horizontal="center"/>
    </xf>
    <xf numFmtId="3" fontId="1" fillId="0" borderId="4" xfId="2" applyNumberFormat="1" applyBorder="1" applyAlignment="1">
      <alignment horizontal="center"/>
    </xf>
    <xf numFmtId="3" fontId="1" fillId="0" borderId="3" xfId="2" applyNumberFormat="1" applyBorder="1" applyAlignment="1">
      <alignment horizontal="center"/>
    </xf>
    <xf numFmtId="3" fontId="1" fillId="0" borderId="2" xfId="2" applyNumberFormat="1" applyBorder="1" applyAlignment="1">
      <alignment horizontal="center"/>
    </xf>
    <xf numFmtId="3" fontId="1" fillId="0" borderId="1" xfId="2" applyNumberFormat="1" applyBorder="1" applyAlignment="1">
      <alignment horizontal="center"/>
    </xf>
    <xf numFmtId="0" fontId="1" fillId="0" borderId="11" xfId="2" applyBorder="1" applyAlignment="1">
      <alignment horizontal="center"/>
    </xf>
    <xf numFmtId="0" fontId="1" fillId="0" borderId="10" xfId="2" applyBorder="1" applyAlignment="1">
      <alignment horizontal="center"/>
    </xf>
    <xf numFmtId="0" fontId="1" fillId="0" borderId="9" xfId="2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9" xfId="0" quotePrefix="1" applyBorder="1"/>
    <xf numFmtId="10" fontId="0" fillId="0" borderId="0" xfId="0" applyNumberFormat="1"/>
    <xf numFmtId="0" fontId="0" fillId="0" borderId="12" xfId="0" applyBorder="1"/>
    <xf numFmtId="0" fontId="4" fillId="0" borderId="12" xfId="0" applyFont="1" applyBorder="1"/>
    <xf numFmtId="0" fontId="5" fillId="0" borderId="12" xfId="0" applyFont="1" applyBorder="1"/>
    <xf numFmtId="3" fontId="0" fillId="0" borderId="0" xfId="0" applyNumberFormat="1"/>
    <xf numFmtId="10" fontId="0" fillId="0" borderId="0" xfId="3" applyNumberFormat="1" applyFon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10" fontId="0" fillId="0" borderId="7" xfId="0" applyNumberFormat="1" applyBorder="1"/>
    <xf numFmtId="0" fontId="0" fillId="0" borderId="5" xfId="0" applyBorder="1" applyAlignment="1">
      <alignment horizontal="left"/>
    </xf>
    <xf numFmtId="165" fontId="0" fillId="0" borderId="4" xfId="4" applyNumberFormat="1" applyFont="1" applyBorder="1"/>
    <xf numFmtId="0" fontId="0" fillId="0" borderId="3" xfId="0" applyBorder="1" applyAlignment="1">
      <alignment horizontal="left"/>
    </xf>
    <xf numFmtId="0" fontId="0" fillId="0" borderId="2" xfId="0" quotePrefix="1" applyBorder="1" applyAlignment="1">
      <alignment horizontal="right"/>
    </xf>
    <xf numFmtId="10" fontId="0" fillId="0" borderId="4" xfId="0" applyNumberFormat="1" applyBorder="1"/>
    <xf numFmtId="3" fontId="0" fillId="0" borderId="1" xfId="0" applyNumberFormat="1" applyBorder="1"/>
    <xf numFmtId="16" fontId="0" fillId="0" borderId="0" xfId="0" applyNumberFormat="1"/>
    <xf numFmtId="0" fontId="5" fillId="0" borderId="0" xfId="0" applyFont="1"/>
    <xf numFmtId="166" fontId="0" fillId="0" borderId="0" xfId="3" applyNumberFormat="1" applyFont="1"/>
    <xf numFmtId="0" fontId="2" fillId="0" borderId="0" xfId="0" applyFont="1"/>
    <xf numFmtId="3" fontId="0" fillId="0" borderId="2" xfId="0" applyNumberForma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2" xfId="0" applyFont="1" applyBorder="1" applyAlignment="1">
      <alignment horizontal="center"/>
    </xf>
  </cellXfs>
  <cellStyles count="5">
    <cellStyle name="Comma" xfId="4" builtinId="3"/>
    <cellStyle name="Normal" xfId="0" builtinId="0"/>
    <cellStyle name="Normal 13" xfId="2" xr:uid="{8EC1262B-3D64-46A4-8B3F-D0453B93BDBB}"/>
    <cellStyle name="Percent" xfId="3" builtinId="5"/>
    <cellStyle name="Percent 2" xfId="1" xr:uid="{25C599A5-C7EC-41A3-B389-1677168B2C10}"/>
  </cellStyles>
  <dxfs count="55"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theme="9" tint="0.39994506668294322"/>
        </patternFill>
      </fill>
    </dxf>
    <dxf>
      <fill>
        <patternFill>
          <bgColor theme="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E599-E229-49B1-B1EC-93139CA881DA}">
  <dimension ref="B1:T65"/>
  <sheetViews>
    <sheetView zoomScale="69" workbookViewId="0">
      <selection activeCell="C12" sqref="C12"/>
    </sheetView>
  </sheetViews>
  <sheetFormatPr defaultRowHeight="14.25"/>
  <cols>
    <col min="5" max="6" width="9.28515625" bestFit="1" customWidth="1"/>
    <col min="7" max="7" width="14.42578125" bestFit="1" customWidth="1"/>
    <col min="10" max="10" width="36.5703125" bestFit="1" customWidth="1"/>
    <col min="11" max="11" width="12.85546875" bestFit="1" customWidth="1"/>
    <col min="13" max="13" width="36.42578125" bestFit="1" customWidth="1"/>
    <col min="14" max="14" width="20.42578125" bestFit="1" customWidth="1"/>
    <col min="15" max="15" width="9.42578125" bestFit="1" customWidth="1"/>
    <col min="16" max="16" width="29" customWidth="1"/>
    <col min="17" max="17" width="14.28515625" customWidth="1"/>
  </cols>
  <sheetData>
    <row r="1" spans="2:20">
      <c r="J1" s="76" t="s">
        <v>0</v>
      </c>
      <c r="M1" s="76" t="s">
        <v>1</v>
      </c>
      <c r="P1" s="76" t="s">
        <v>2</v>
      </c>
    </row>
    <row r="2" spans="2:20">
      <c r="B2" s="78" t="s">
        <v>3</v>
      </c>
      <c r="C2" s="79"/>
      <c r="D2" s="79"/>
      <c r="E2" s="80"/>
      <c r="J2" t="s">
        <v>4</v>
      </c>
      <c r="K2" t="s">
        <v>5</v>
      </c>
      <c r="M2" t="s">
        <v>4</v>
      </c>
      <c r="N2" t="s">
        <v>5</v>
      </c>
      <c r="P2" t="s">
        <v>4</v>
      </c>
      <c r="Q2" t="s">
        <v>5</v>
      </c>
    </row>
    <row r="3" spans="2:20">
      <c r="B3" s="29"/>
      <c r="C3" s="28" t="s">
        <v>6</v>
      </c>
      <c r="D3" s="28" t="s">
        <v>7</v>
      </c>
      <c r="E3" s="27" t="s">
        <v>8</v>
      </c>
      <c r="F3" s="50"/>
      <c r="J3" t="s">
        <v>9</v>
      </c>
      <c r="K3" s="54">
        <v>1000000000</v>
      </c>
      <c r="M3" t="s">
        <v>9</v>
      </c>
      <c r="N3" s="54">
        <v>10000000</v>
      </c>
      <c r="P3" t="s">
        <v>9</v>
      </c>
      <c r="Q3" s="54">
        <v>10000000</v>
      </c>
    </row>
    <row r="4" spans="2:20">
      <c r="B4" s="34" t="s">
        <v>10</v>
      </c>
      <c r="C4" s="61">
        <f>K7</f>
        <v>0.68923860000000003</v>
      </c>
      <c r="D4" s="30"/>
      <c r="E4" s="35"/>
      <c r="F4" s="50"/>
      <c r="J4" t="s">
        <v>11</v>
      </c>
      <c r="K4">
        <v>20</v>
      </c>
      <c r="M4" s="55" t="s">
        <v>11</v>
      </c>
      <c r="N4">
        <v>20</v>
      </c>
      <c r="P4" t="s">
        <v>11</v>
      </c>
      <c r="Q4">
        <v>20</v>
      </c>
    </row>
    <row r="5" spans="2:20">
      <c r="B5" s="34" t="s">
        <v>12</v>
      </c>
      <c r="C5" s="61">
        <f>K17</f>
        <v>0.28064790000000001</v>
      </c>
      <c r="D5" s="62">
        <f>K42</f>
        <v>268.89186999999998</v>
      </c>
      <c r="E5" s="63">
        <f>C5*D5</f>
        <v>75.463938642572998</v>
      </c>
      <c r="F5" s="50"/>
      <c r="J5" t="s">
        <v>13</v>
      </c>
      <c r="K5">
        <v>20</v>
      </c>
      <c r="M5" s="55" t="s">
        <v>13</v>
      </c>
      <c r="N5" s="54">
        <v>2000</v>
      </c>
      <c r="P5" t="s">
        <v>13</v>
      </c>
      <c r="Q5" s="54">
        <v>2000</v>
      </c>
      <c r="T5" s="73"/>
    </row>
    <row r="6" spans="2:20">
      <c r="B6" s="29" t="s">
        <v>14</v>
      </c>
      <c r="C6" s="64">
        <f>SUM(C4:C5)</f>
        <v>0.9698865000000001</v>
      </c>
      <c r="D6" s="28"/>
      <c r="E6" s="27"/>
      <c r="J6" t="s">
        <v>15</v>
      </c>
      <c r="K6" s="50">
        <v>0.96988640000000004</v>
      </c>
      <c r="M6" s="55" t="s">
        <v>15</v>
      </c>
      <c r="N6" s="50">
        <v>0.97083620000000004</v>
      </c>
      <c r="P6" t="s">
        <v>15</v>
      </c>
      <c r="Q6" s="50">
        <v>0.97109619999999996</v>
      </c>
    </row>
    <row r="7" spans="2:20">
      <c r="J7" t="s">
        <v>16</v>
      </c>
      <c r="K7" s="50">
        <v>0.68923860000000003</v>
      </c>
      <c r="M7" s="55" t="s">
        <v>16</v>
      </c>
      <c r="N7" s="50">
        <v>2.1313100000000001E-2</v>
      </c>
      <c r="P7" t="s">
        <v>16</v>
      </c>
      <c r="Q7" s="50">
        <v>2.1300199999999998E-2</v>
      </c>
    </row>
    <row r="8" spans="2:20">
      <c r="J8" t="s">
        <v>17</v>
      </c>
      <c r="K8" s="50">
        <v>1.1246000000000001E-2</v>
      </c>
      <c r="M8" s="55" t="s">
        <v>17</v>
      </c>
      <c r="N8" s="50">
        <v>1.8809999999999999E-4</v>
      </c>
      <c r="P8" t="s">
        <v>17</v>
      </c>
      <c r="Q8" s="50">
        <v>1.9560000000000001E-4</v>
      </c>
    </row>
    <row r="9" spans="2:20">
      <c r="B9" s="65" t="s">
        <v>18</v>
      </c>
      <c r="C9" s="66">
        <f>K30</f>
        <v>0.31601800000000002</v>
      </c>
      <c r="D9" s="7"/>
      <c r="E9" s="7"/>
      <c r="F9" s="7"/>
      <c r="G9" s="6"/>
      <c r="J9" t="s">
        <v>19</v>
      </c>
      <c r="K9" s="50">
        <v>3.2868300000000003E-2</v>
      </c>
      <c r="M9" s="55" t="s">
        <v>19</v>
      </c>
      <c r="N9" s="50">
        <v>0</v>
      </c>
      <c r="P9" t="s">
        <v>19</v>
      </c>
      <c r="Q9" s="50">
        <v>0</v>
      </c>
    </row>
    <row r="10" spans="2:20">
      <c r="B10" s="67" t="s">
        <v>20</v>
      </c>
      <c r="C10" s="54">
        <f>K40</f>
        <v>1009091</v>
      </c>
      <c r="D10" t="s">
        <v>21</v>
      </c>
      <c r="E10" t="s">
        <v>22</v>
      </c>
      <c r="F10">
        <f>K5</f>
        <v>20</v>
      </c>
      <c r="G10" s="4" t="s">
        <v>21</v>
      </c>
      <c r="J10" t="s">
        <v>23</v>
      </c>
      <c r="K10" s="50">
        <v>1.55376E-2</v>
      </c>
      <c r="M10" s="55" t="s">
        <v>23</v>
      </c>
      <c r="N10" s="50">
        <v>0</v>
      </c>
      <c r="P10" t="s">
        <v>23</v>
      </c>
      <c r="Q10" s="50">
        <v>0</v>
      </c>
    </row>
    <row r="11" spans="2:20">
      <c r="B11" s="67" t="s">
        <v>24</v>
      </c>
      <c r="E11">
        <v>1</v>
      </c>
      <c r="F11" t="s">
        <v>25</v>
      </c>
      <c r="G11" s="68">
        <v>1000000000</v>
      </c>
      <c r="J11" t="s">
        <v>26</v>
      </c>
      <c r="K11" s="50">
        <v>0.25828580000000001</v>
      </c>
      <c r="M11" s="55" t="s">
        <v>26</v>
      </c>
      <c r="N11" s="50">
        <v>0</v>
      </c>
      <c r="P11" t="s">
        <v>26</v>
      </c>
      <c r="Q11" s="50">
        <v>0</v>
      </c>
    </row>
    <row r="12" spans="2:20">
      <c r="B12" s="69" t="s">
        <v>27</v>
      </c>
      <c r="C12" s="2">
        <f>K56/1.96</f>
        <v>16.802387755102039</v>
      </c>
      <c r="D12" s="70"/>
      <c r="E12" s="2"/>
      <c r="F12" s="2"/>
      <c r="G12" s="1"/>
      <c r="J12" t="s">
        <v>28</v>
      </c>
      <c r="K12" s="50">
        <v>9.3527600000000002E-2</v>
      </c>
      <c r="M12" s="55" t="s">
        <v>28</v>
      </c>
      <c r="N12" s="50">
        <v>0</v>
      </c>
      <c r="P12" t="s">
        <v>28</v>
      </c>
      <c r="Q12" s="50">
        <v>0</v>
      </c>
    </row>
    <row r="13" spans="2:20">
      <c r="C13" s="75"/>
      <c r="J13" t="s">
        <v>29</v>
      </c>
      <c r="K13" s="50">
        <v>2.23597E-2</v>
      </c>
      <c r="M13" s="50" t="s">
        <v>29</v>
      </c>
      <c r="N13" s="50">
        <v>2.1124899999999999E-2</v>
      </c>
      <c r="P13" t="s">
        <v>29</v>
      </c>
      <c r="Q13" s="50">
        <v>2.1104600000000001E-2</v>
      </c>
    </row>
    <row r="14" spans="2:20">
      <c r="J14" t="s">
        <v>30</v>
      </c>
      <c r="K14" s="50">
        <v>3.0401999999999998E-2</v>
      </c>
      <c r="M14" t="s">
        <v>30</v>
      </c>
      <c r="N14" s="50">
        <v>0</v>
      </c>
      <c r="P14" t="s">
        <v>30</v>
      </c>
      <c r="Q14" s="50">
        <v>0</v>
      </c>
    </row>
    <row r="15" spans="2:20">
      <c r="B15" s="29"/>
      <c r="C15" s="28" t="s">
        <v>31</v>
      </c>
      <c r="D15" s="27" t="s">
        <v>32</v>
      </c>
      <c r="J15" t="s">
        <v>33</v>
      </c>
      <c r="K15" s="50">
        <v>1.8941800000000002E-2</v>
      </c>
      <c r="M15" t="s">
        <v>33</v>
      </c>
      <c r="N15" s="50">
        <v>0</v>
      </c>
      <c r="P15" t="s">
        <v>33</v>
      </c>
      <c r="Q15" s="50">
        <v>0</v>
      </c>
    </row>
    <row r="16" spans="2:20">
      <c r="B16" s="8" t="s">
        <v>34</v>
      </c>
      <c r="C16" s="7">
        <v>100</v>
      </c>
      <c r="D16" s="6">
        <v>100</v>
      </c>
      <c r="E16" t="s">
        <v>35</v>
      </c>
      <c r="J16" t="s">
        <v>36</v>
      </c>
      <c r="K16" s="50">
        <v>0.2060698</v>
      </c>
      <c r="M16" t="s">
        <v>36</v>
      </c>
      <c r="N16" s="50">
        <v>0</v>
      </c>
      <c r="P16" t="s">
        <v>36</v>
      </c>
      <c r="Q16" s="50">
        <v>0</v>
      </c>
    </row>
    <row r="17" spans="2:17">
      <c r="B17" s="5" t="s">
        <v>37</v>
      </c>
      <c r="C17">
        <f>C18*C16</f>
        <v>97.08362000000001</v>
      </c>
      <c r="D17" s="4">
        <f>D18*D16</f>
        <v>97.109619999999993</v>
      </c>
      <c r="J17" t="s">
        <v>38</v>
      </c>
      <c r="K17" s="50">
        <v>0.28064790000000001</v>
      </c>
      <c r="M17" t="s">
        <v>38</v>
      </c>
      <c r="N17" s="50">
        <v>0.94952320000000001</v>
      </c>
      <c r="P17" t="s">
        <v>38</v>
      </c>
      <c r="Q17" s="50">
        <v>0.94979599999999997</v>
      </c>
    </row>
    <row r="18" spans="2:17">
      <c r="B18" s="5" t="s">
        <v>39</v>
      </c>
      <c r="C18" s="50">
        <f>N6</f>
        <v>0.97083620000000004</v>
      </c>
      <c r="D18" s="71">
        <f>Q6</f>
        <v>0.97109619999999996</v>
      </c>
      <c r="J18" t="s">
        <v>40</v>
      </c>
      <c r="K18" s="50">
        <v>6.0995761999999996</v>
      </c>
      <c r="M18" t="s">
        <v>40</v>
      </c>
      <c r="N18" s="50">
        <v>5.8764200000000003E-2</v>
      </c>
      <c r="P18" t="s">
        <v>40</v>
      </c>
      <c r="Q18" s="50">
        <v>0.1105669</v>
      </c>
    </row>
    <row r="19" spans="2:17">
      <c r="B19" s="5" t="s">
        <v>18</v>
      </c>
      <c r="C19" s="50">
        <f>N30</f>
        <v>0.99997020000000003</v>
      </c>
      <c r="D19" s="71">
        <f>Q30</f>
        <v>0.97419659999999997</v>
      </c>
    </row>
    <row r="20" spans="2:17">
      <c r="B20" s="5" t="s">
        <v>27</v>
      </c>
      <c r="C20">
        <f>N56/1.96</f>
        <v>1.6184132653061225</v>
      </c>
      <c r="D20" s="4">
        <f>Q56/1.96</f>
        <v>3.7108163265306122</v>
      </c>
      <c r="J20" t="s">
        <v>41</v>
      </c>
      <c r="K20" s="50">
        <v>1.8303199000000001</v>
      </c>
      <c r="M20" t="s">
        <v>41</v>
      </c>
      <c r="N20" s="50">
        <v>6.4882000000000004E-3</v>
      </c>
      <c r="P20" t="s">
        <v>41</v>
      </c>
      <c r="Q20" s="50">
        <v>6.7451999999999998E-3</v>
      </c>
    </row>
    <row r="21" spans="2:17">
      <c r="B21" s="3" t="s">
        <v>20</v>
      </c>
      <c r="C21" s="77">
        <f>N40</f>
        <v>487402</v>
      </c>
      <c r="D21" s="72">
        <f>Q40</f>
        <v>1674912</v>
      </c>
      <c r="J21" t="s">
        <v>42</v>
      </c>
      <c r="K21" s="50">
        <v>2.4598205000000002</v>
      </c>
      <c r="M21" t="s">
        <v>42</v>
      </c>
      <c r="N21" t="s">
        <v>43</v>
      </c>
      <c r="P21" t="s">
        <v>42</v>
      </c>
      <c r="Q21" t="s">
        <v>43</v>
      </c>
    </row>
    <row r="22" spans="2:17">
      <c r="J22" t="s">
        <v>44</v>
      </c>
      <c r="K22" s="50">
        <v>0.96899610000000003</v>
      </c>
      <c r="M22" s="50" t="s">
        <v>44</v>
      </c>
      <c r="N22" s="60" t="s">
        <v>43</v>
      </c>
      <c r="P22" t="s">
        <v>44</v>
      </c>
      <c r="Q22" t="s">
        <v>43</v>
      </c>
    </row>
    <row r="23" spans="2:17">
      <c r="J23" t="s">
        <v>45</v>
      </c>
      <c r="K23" s="50">
        <v>0.4831067</v>
      </c>
      <c r="M23" s="50" t="s">
        <v>45</v>
      </c>
      <c r="N23" t="s">
        <v>43</v>
      </c>
      <c r="P23" t="s">
        <v>45</v>
      </c>
      <c r="Q23" t="s">
        <v>43</v>
      </c>
    </row>
    <row r="24" spans="2:17">
      <c r="J24" t="s">
        <v>46</v>
      </c>
      <c r="K24" s="50">
        <v>0.73660789999999998</v>
      </c>
      <c r="M24" t="s">
        <v>46</v>
      </c>
      <c r="N24" t="s">
        <v>43</v>
      </c>
      <c r="P24" t="s">
        <v>46</v>
      </c>
      <c r="Q24" t="s">
        <v>43</v>
      </c>
    </row>
    <row r="25" spans="2:17">
      <c r="J25" t="s">
        <v>47</v>
      </c>
      <c r="K25" s="50">
        <v>2.5360732000000001</v>
      </c>
      <c r="M25" t="s">
        <v>47</v>
      </c>
      <c r="N25" s="50">
        <v>2.1755799999999999E-2</v>
      </c>
      <c r="P25" t="s">
        <v>47</v>
      </c>
      <c r="Q25" s="50">
        <v>2.1734900000000001E-2</v>
      </c>
    </row>
    <row r="26" spans="2:17">
      <c r="J26" t="s">
        <v>48</v>
      </c>
      <c r="K26" s="50">
        <v>2.2751611999999999</v>
      </c>
      <c r="M26" t="s">
        <v>48</v>
      </c>
      <c r="N26" t="s">
        <v>43</v>
      </c>
      <c r="P26" t="s">
        <v>48</v>
      </c>
      <c r="Q26" t="s">
        <v>43</v>
      </c>
    </row>
    <row r="27" spans="2:17">
      <c r="J27" t="s">
        <v>49</v>
      </c>
      <c r="K27" s="50">
        <v>1.4177312</v>
      </c>
      <c r="M27" t="s">
        <v>49</v>
      </c>
      <c r="N27" t="s">
        <v>43</v>
      </c>
      <c r="P27" t="s">
        <v>49</v>
      </c>
      <c r="Q27" t="s">
        <v>43</v>
      </c>
    </row>
    <row r="28" spans="2:17">
      <c r="J28" t="s">
        <v>50</v>
      </c>
      <c r="K28" s="50">
        <v>0.77089240000000003</v>
      </c>
      <c r="M28" t="s">
        <v>50</v>
      </c>
      <c r="N28" t="s">
        <v>43</v>
      </c>
      <c r="P28" t="s">
        <v>50</v>
      </c>
      <c r="Q28" t="s">
        <v>43</v>
      </c>
    </row>
    <row r="30" spans="2:17">
      <c r="J30" t="s">
        <v>51</v>
      </c>
      <c r="K30" s="50">
        <v>0.31601800000000002</v>
      </c>
      <c r="M30" t="s">
        <v>51</v>
      </c>
      <c r="N30" s="50">
        <v>0.99997020000000003</v>
      </c>
      <c r="P30" t="s">
        <v>51</v>
      </c>
      <c r="Q30" s="50">
        <v>0.97419659999999997</v>
      </c>
    </row>
    <row r="31" spans="2:17">
      <c r="J31" t="s">
        <v>52</v>
      </c>
      <c r="K31" s="50">
        <v>0.3236446</v>
      </c>
      <c r="M31" t="s">
        <v>52</v>
      </c>
      <c r="N31" s="50">
        <v>0.20839659999999999</v>
      </c>
      <c r="P31" t="s">
        <v>52</v>
      </c>
      <c r="Q31" s="50">
        <v>0.20811460000000001</v>
      </c>
    </row>
    <row r="32" spans="2:17">
      <c r="J32" t="s">
        <v>53</v>
      </c>
      <c r="K32" s="50">
        <v>0.30264350000000001</v>
      </c>
      <c r="M32" t="s">
        <v>53</v>
      </c>
      <c r="N32" t="s">
        <v>43</v>
      </c>
      <c r="P32" t="s">
        <v>53</v>
      </c>
      <c r="Q32" t="s">
        <v>43</v>
      </c>
    </row>
    <row r="33" spans="10:17">
      <c r="J33" t="s">
        <v>54</v>
      </c>
      <c r="K33" s="50">
        <v>0.28143970000000001</v>
      </c>
      <c r="M33" t="s">
        <v>54</v>
      </c>
      <c r="N33" t="s">
        <v>43</v>
      </c>
      <c r="P33" t="s">
        <v>54</v>
      </c>
      <c r="Q33" t="s">
        <v>43</v>
      </c>
    </row>
    <row r="34" spans="10:17">
      <c r="J34" t="s">
        <v>55</v>
      </c>
      <c r="K34" s="50">
        <v>0.32718829999999999</v>
      </c>
      <c r="M34" t="s">
        <v>55</v>
      </c>
      <c r="N34" t="s">
        <v>43</v>
      </c>
      <c r="P34" t="s">
        <v>55</v>
      </c>
      <c r="Q34" t="s">
        <v>43</v>
      </c>
    </row>
    <row r="35" spans="10:17">
      <c r="J35" t="s">
        <v>56</v>
      </c>
      <c r="K35" s="50">
        <v>0.26768740000000002</v>
      </c>
      <c r="M35" t="s">
        <v>56</v>
      </c>
      <c r="N35" t="s">
        <v>43</v>
      </c>
      <c r="P35" t="s">
        <v>56</v>
      </c>
      <c r="Q35" t="s">
        <v>43</v>
      </c>
    </row>
    <row r="36" spans="10:17">
      <c r="J36" t="s">
        <v>57</v>
      </c>
      <c r="K36" s="50">
        <v>0.43721739999999998</v>
      </c>
      <c r="M36" t="s">
        <v>57</v>
      </c>
      <c r="N36" s="50">
        <v>0.4189351</v>
      </c>
      <c r="P36" t="s">
        <v>57</v>
      </c>
      <c r="Q36" s="50">
        <v>0.41927569999999997</v>
      </c>
    </row>
    <row r="37" spans="10:17">
      <c r="J37" t="s">
        <v>58</v>
      </c>
      <c r="K37" s="50">
        <v>0.45876800000000001</v>
      </c>
      <c r="M37" t="s">
        <v>58</v>
      </c>
      <c r="N37" t="s">
        <v>43</v>
      </c>
      <c r="P37" t="s">
        <v>58</v>
      </c>
      <c r="Q37" t="s">
        <v>43</v>
      </c>
    </row>
    <row r="38" spans="10:17">
      <c r="J38" t="s">
        <v>59</v>
      </c>
      <c r="K38" s="50">
        <v>0.30385129999999999</v>
      </c>
      <c r="M38" t="s">
        <v>59</v>
      </c>
      <c r="N38" t="s">
        <v>43</v>
      </c>
      <c r="P38" t="s">
        <v>59</v>
      </c>
      <c r="Q38" t="s">
        <v>43</v>
      </c>
    </row>
    <row r="39" spans="10:17">
      <c r="J39" t="s">
        <v>60</v>
      </c>
      <c r="K39" s="50">
        <v>0.30072359999999998</v>
      </c>
      <c r="M39" t="s">
        <v>60</v>
      </c>
      <c r="N39" t="s">
        <v>43</v>
      </c>
      <c r="P39" t="s">
        <v>60</v>
      </c>
      <c r="Q39" t="s">
        <v>43</v>
      </c>
    </row>
    <row r="40" spans="10:17">
      <c r="J40" t="s">
        <v>61</v>
      </c>
      <c r="K40" s="54">
        <v>1009091</v>
      </c>
      <c r="M40" t="s">
        <v>61</v>
      </c>
      <c r="N40" s="54">
        <v>487402</v>
      </c>
      <c r="P40" t="s">
        <v>61</v>
      </c>
      <c r="Q40" s="54">
        <v>1674912</v>
      </c>
    </row>
    <row r="42" spans="10:17">
      <c r="J42" t="s">
        <v>62</v>
      </c>
      <c r="K42">
        <v>268.89186999999998</v>
      </c>
      <c r="M42" t="s">
        <v>62</v>
      </c>
      <c r="N42">
        <v>1</v>
      </c>
      <c r="P42" t="s">
        <v>62</v>
      </c>
      <c r="Q42">
        <v>1</v>
      </c>
    </row>
    <row r="43" spans="10:17">
      <c r="J43" t="s">
        <v>63</v>
      </c>
      <c r="K43">
        <v>57.102139999999999</v>
      </c>
      <c r="M43" t="s">
        <v>63</v>
      </c>
      <c r="N43">
        <v>1</v>
      </c>
      <c r="P43" t="s">
        <v>63</v>
      </c>
      <c r="Q43">
        <v>1</v>
      </c>
    </row>
    <row r="44" spans="10:17">
      <c r="J44" t="s">
        <v>64</v>
      </c>
      <c r="K44" t="s">
        <v>65</v>
      </c>
      <c r="M44" t="s">
        <v>64</v>
      </c>
      <c r="N44" t="s">
        <v>43</v>
      </c>
      <c r="P44" t="s">
        <v>64</v>
      </c>
      <c r="Q44" t="s">
        <v>43</v>
      </c>
    </row>
    <row r="45" spans="10:17">
      <c r="J45" t="s">
        <v>66</v>
      </c>
      <c r="K45" t="s">
        <v>65</v>
      </c>
      <c r="M45" t="s">
        <v>66</v>
      </c>
      <c r="N45" t="s">
        <v>43</v>
      </c>
      <c r="P45" t="s">
        <v>66</v>
      </c>
      <c r="Q45" t="s">
        <v>43</v>
      </c>
    </row>
    <row r="46" spans="10:17">
      <c r="J46" t="s">
        <v>67</v>
      </c>
      <c r="K46" t="s">
        <v>65</v>
      </c>
      <c r="M46" t="s">
        <v>67</v>
      </c>
      <c r="N46" t="s">
        <v>43</v>
      </c>
      <c r="P46" t="s">
        <v>67</v>
      </c>
      <c r="Q46" t="s">
        <v>43</v>
      </c>
    </row>
    <row r="47" spans="10:17">
      <c r="J47" t="s">
        <v>68</v>
      </c>
      <c r="K47" t="s">
        <v>65</v>
      </c>
      <c r="M47" t="s">
        <v>68</v>
      </c>
      <c r="N47" t="s">
        <v>43</v>
      </c>
      <c r="P47" t="s">
        <v>68</v>
      </c>
      <c r="Q47" t="s">
        <v>43</v>
      </c>
    </row>
    <row r="48" spans="10:17">
      <c r="J48" t="s">
        <v>69</v>
      </c>
      <c r="K48">
        <v>2.44136</v>
      </c>
      <c r="M48" t="s">
        <v>69</v>
      </c>
      <c r="N48">
        <v>1</v>
      </c>
      <c r="P48" t="s">
        <v>69</v>
      </c>
      <c r="Q48">
        <v>1</v>
      </c>
    </row>
    <row r="49" spans="10:17">
      <c r="J49" t="s">
        <v>70</v>
      </c>
      <c r="K49" t="s">
        <v>65</v>
      </c>
      <c r="M49" t="s">
        <v>70</v>
      </c>
      <c r="N49" t="s">
        <v>43</v>
      </c>
      <c r="P49" t="s">
        <v>70</v>
      </c>
      <c r="Q49" t="s">
        <v>43</v>
      </c>
    </row>
    <row r="50" spans="10:17">
      <c r="J50" t="s">
        <v>71</v>
      </c>
      <c r="K50" t="s">
        <v>65</v>
      </c>
      <c r="M50" t="s">
        <v>71</v>
      </c>
      <c r="N50" t="s">
        <v>43</v>
      </c>
      <c r="P50" t="s">
        <v>71</v>
      </c>
      <c r="Q50" t="s">
        <v>43</v>
      </c>
    </row>
    <row r="51" spans="10:17">
      <c r="J51" t="s">
        <v>72</v>
      </c>
      <c r="K51" t="s">
        <v>65</v>
      </c>
      <c r="M51" t="s">
        <v>72</v>
      </c>
      <c r="N51" t="s">
        <v>43</v>
      </c>
      <c r="P51" t="s">
        <v>72</v>
      </c>
      <c r="Q51" t="s">
        <v>43</v>
      </c>
    </row>
    <row r="52" spans="10:17">
      <c r="J52" t="s">
        <v>73</v>
      </c>
      <c r="K52">
        <v>12.372</v>
      </c>
      <c r="M52" t="s">
        <v>73</v>
      </c>
      <c r="N52">
        <v>16.158180000000002</v>
      </c>
      <c r="P52" t="s">
        <v>73</v>
      </c>
      <c r="Q52">
        <v>8.5902399999999997</v>
      </c>
    </row>
    <row r="53" spans="10:17">
      <c r="J53" t="s">
        <v>74</v>
      </c>
      <c r="K53">
        <v>1.6006100000000001</v>
      </c>
      <c r="M53" t="s">
        <v>74</v>
      </c>
      <c r="N53">
        <v>0</v>
      </c>
      <c r="P53" t="s">
        <v>74</v>
      </c>
      <c r="Q53">
        <v>3.59314</v>
      </c>
    </row>
    <row r="55" spans="10:17">
      <c r="J55" t="s">
        <v>75</v>
      </c>
      <c r="K55">
        <v>27.637969999999999</v>
      </c>
      <c r="M55" t="s">
        <v>75</v>
      </c>
      <c r="N55">
        <v>2.6621000000000001</v>
      </c>
      <c r="P55" t="s">
        <v>75</v>
      </c>
      <c r="Q55">
        <v>6.1038600000000001</v>
      </c>
    </row>
    <row r="56" spans="10:17">
      <c r="J56" t="s">
        <v>76</v>
      </c>
      <c r="K56">
        <v>32.932679999999998</v>
      </c>
      <c r="M56" t="s">
        <v>76</v>
      </c>
      <c r="N56">
        <v>3.1720899999999999</v>
      </c>
      <c r="P56" t="s">
        <v>76</v>
      </c>
      <c r="Q56">
        <v>7.2732000000000001</v>
      </c>
    </row>
    <row r="57" spans="10:17">
      <c r="J57" t="s">
        <v>77</v>
      </c>
      <c r="K57">
        <v>43.28087</v>
      </c>
      <c r="M57" t="s">
        <v>77</v>
      </c>
      <c r="N57">
        <v>4.1688299999999998</v>
      </c>
      <c r="P57" t="s">
        <v>77</v>
      </c>
      <c r="Q57">
        <v>9.5586000000000002</v>
      </c>
    </row>
    <row r="59" spans="10:17">
      <c r="J59" t="s">
        <v>78</v>
      </c>
      <c r="K59">
        <v>703</v>
      </c>
      <c r="M59" t="s">
        <v>78</v>
      </c>
      <c r="N59" s="54">
        <v>10260</v>
      </c>
      <c r="P59" t="s">
        <v>78</v>
      </c>
      <c r="Q59" s="54">
        <v>19235</v>
      </c>
    </row>
    <row r="60" spans="10:17">
      <c r="J60" t="s">
        <v>79</v>
      </c>
      <c r="K60" s="54">
        <v>-255630</v>
      </c>
      <c r="M60" t="s">
        <v>79</v>
      </c>
      <c r="N60" s="54">
        <v>-497685</v>
      </c>
      <c r="P60" t="s">
        <v>79</v>
      </c>
      <c r="Q60" s="54">
        <v>-1633301</v>
      </c>
    </row>
    <row r="61" spans="10:17">
      <c r="J61" t="s">
        <v>80</v>
      </c>
      <c r="K61" s="54">
        <v>1911</v>
      </c>
      <c r="M61" t="s">
        <v>80</v>
      </c>
      <c r="N61" s="54">
        <v>95764</v>
      </c>
      <c r="P61" t="s">
        <v>80</v>
      </c>
      <c r="Q61" s="54">
        <v>158488</v>
      </c>
    </row>
    <row r="63" spans="10:17">
      <c r="J63" t="s">
        <v>81</v>
      </c>
      <c r="K63">
        <v>116</v>
      </c>
      <c r="M63" t="s">
        <v>81</v>
      </c>
      <c r="N63">
        <v>929</v>
      </c>
      <c r="P63" t="s">
        <v>81</v>
      </c>
      <c r="Q63">
        <v>338</v>
      </c>
    </row>
    <row r="64" spans="10:17">
      <c r="J64" t="s">
        <v>82</v>
      </c>
      <c r="K64">
        <v>50</v>
      </c>
      <c r="M64" t="s">
        <v>82</v>
      </c>
      <c r="N64">
        <v>134</v>
      </c>
      <c r="P64" t="s">
        <v>82</v>
      </c>
      <c r="Q64">
        <v>58</v>
      </c>
    </row>
    <row r="65" spans="10:17">
      <c r="J65" t="s">
        <v>83</v>
      </c>
      <c r="K65" s="54">
        <v>1721738</v>
      </c>
      <c r="M65" t="s">
        <v>83</v>
      </c>
      <c r="N65" s="54">
        <v>54301</v>
      </c>
      <c r="P65" t="s">
        <v>83</v>
      </c>
      <c r="Q65" s="54">
        <v>103204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39D0-7E28-4239-8A23-6654C082DA33}">
  <dimension ref="B2:AR132"/>
  <sheetViews>
    <sheetView topLeftCell="T1" zoomScale="81" zoomScaleNormal="70" workbookViewId="0">
      <selection activeCell="AF7" sqref="AF7"/>
    </sheetView>
  </sheetViews>
  <sheetFormatPr defaultRowHeight="14.25"/>
  <cols>
    <col min="3" max="6" width="9.28515625" bestFit="1" customWidth="1"/>
    <col min="7" max="9" width="9.42578125" bestFit="1" customWidth="1"/>
    <col min="10" max="10" width="12.7109375" bestFit="1" customWidth="1"/>
    <col min="11" max="11" width="12.28515625" bestFit="1" customWidth="1"/>
    <col min="12" max="12" width="10" bestFit="1" customWidth="1"/>
    <col min="13" max="13" width="9.7109375" bestFit="1" customWidth="1"/>
    <col min="14" max="14" width="12" bestFit="1" customWidth="1"/>
    <col min="15" max="15" width="9.42578125" bestFit="1" customWidth="1"/>
    <col min="16" max="16" width="12.140625" bestFit="1" customWidth="1"/>
    <col min="17" max="17" width="9.28515625" bestFit="1" customWidth="1"/>
    <col min="18" max="18" width="11.85546875" bestFit="1" customWidth="1"/>
    <col min="19" max="22" width="9.28515625" bestFit="1" customWidth="1"/>
    <col min="26" max="26" width="13.140625" bestFit="1" customWidth="1"/>
    <col min="31" max="31" width="14.5703125" bestFit="1" customWidth="1"/>
    <col min="33" max="33" width="10" bestFit="1" customWidth="1"/>
    <col min="35" max="35" width="14.5703125" bestFit="1" customWidth="1"/>
  </cols>
  <sheetData>
    <row r="2" spans="2:44">
      <c r="B2" s="29"/>
      <c r="C2" s="28" t="str">
        <f>'BG1 Reel'!AS9</f>
        <v>R1</v>
      </c>
      <c r="D2" s="28" t="str">
        <f>'BG1 Reel'!AT9</f>
        <v>R2</v>
      </c>
      <c r="E2" s="28" t="str">
        <f>'BG1 Reel'!AU9</f>
        <v>R3</v>
      </c>
      <c r="F2" s="28" t="str">
        <f>'BG1 Reel'!AV9</f>
        <v>R4</v>
      </c>
      <c r="G2" s="28" t="str">
        <f>'BG1 Reel'!AW9</f>
        <v>R5</v>
      </c>
      <c r="H2" s="27" t="str">
        <f>'BG1 Reel'!AX9</f>
        <v>R6</v>
      </c>
      <c r="J2" s="29"/>
      <c r="K2" s="28" t="str">
        <f>'BG1 Reel'!R9</f>
        <v>R1</v>
      </c>
      <c r="L2" s="28" t="str">
        <f>'BG1 Reel'!S9</f>
        <v>R2</v>
      </c>
      <c r="M2" s="28" t="str">
        <f>'BG1 Reel'!T9</f>
        <v>R3</v>
      </c>
      <c r="N2" s="28" t="str">
        <f>'BG1 Reel'!U9</f>
        <v>R4</v>
      </c>
      <c r="O2" s="28" t="str">
        <f>'BG1 Reel'!V9</f>
        <v>R5</v>
      </c>
      <c r="P2" s="27" t="str">
        <f>'BG1 Reel'!W9</f>
        <v>R6</v>
      </c>
      <c r="R2" s="29"/>
      <c r="S2" s="28">
        <v>6</v>
      </c>
      <c r="T2" s="28">
        <v>5</v>
      </c>
      <c r="U2" s="28">
        <v>4</v>
      </c>
      <c r="V2" s="27">
        <v>3</v>
      </c>
      <c r="Z2" s="29" t="s">
        <v>84</v>
      </c>
      <c r="AA2" s="27" t="s">
        <v>85</v>
      </c>
      <c r="AE2" s="29" t="s">
        <v>86</v>
      </c>
      <c r="AF2" s="27" t="s">
        <v>85</v>
      </c>
    </row>
    <row r="3" spans="2:44">
      <c r="B3" s="34" t="str">
        <f>'BG1 Reel'!AR10</f>
        <v>WC</v>
      </c>
      <c r="C3" s="30">
        <f>'BG1 Reel'!AS10</f>
        <v>0</v>
      </c>
      <c r="D3" s="30">
        <f>'BG1 Reel'!AT10</f>
        <v>4</v>
      </c>
      <c r="E3" s="30">
        <f>'BG1 Reel'!AU10</f>
        <v>8</v>
      </c>
      <c r="F3" s="30">
        <f>'BG1 Reel'!AV10</f>
        <v>2</v>
      </c>
      <c r="G3" s="30">
        <f>'BG1 Reel'!AW10</f>
        <v>2</v>
      </c>
      <c r="H3" s="35">
        <f>'BG1 Reel'!AX10</f>
        <v>0</v>
      </c>
      <c r="J3" s="31" t="str">
        <f>'BG1 Reel'!Q10</f>
        <v>WC</v>
      </c>
      <c r="K3" s="32">
        <f>'BG1 Reel'!R10</f>
        <v>0</v>
      </c>
      <c r="L3" s="32">
        <f>'BG1 Reel'!S10</f>
        <v>2</v>
      </c>
      <c r="M3" s="32">
        <f>'BG1 Reel'!T10</f>
        <v>4</v>
      </c>
      <c r="N3" s="32">
        <f>'BG1 Reel'!U10</f>
        <v>1</v>
      </c>
      <c r="O3" s="32">
        <f>'BG1 Reel'!V10</f>
        <v>1</v>
      </c>
      <c r="P3" s="33">
        <f>'BG1 Reel'!W10</f>
        <v>0</v>
      </c>
      <c r="R3" s="34" t="str">
        <f>'BG1 Reel'!Q10</f>
        <v>WC</v>
      </c>
      <c r="S3" s="30">
        <v>0</v>
      </c>
      <c r="T3" s="30">
        <v>0</v>
      </c>
      <c r="U3" s="30">
        <v>0</v>
      </c>
      <c r="V3" s="35">
        <v>0</v>
      </c>
      <c r="Z3" s="34">
        <v>1</v>
      </c>
      <c r="AA3" s="35">
        <v>10</v>
      </c>
      <c r="AC3">
        <v>56.673110000000001</v>
      </c>
      <c r="AE3" s="34" t="s">
        <v>87</v>
      </c>
      <c r="AF3" s="35">
        <v>23</v>
      </c>
      <c r="AG3">
        <v>1.8304735999999999</v>
      </c>
      <c r="AH3">
        <f>1/AC3</f>
        <v>1.764505247726832E-2</v>
      </c>
      <c r="AQ3" s="50"/>
      <c r="AR3" s="12"/>
    </row>
    <row r="4" spans="2:44">
      <c r="B4" s="34" t="str">
        <f>'BG1 Reel'!AR11</f>
        <v>AA</v>
      </c>
      <c r="C4" s="30">
        <f>'BG1 Reel'!AS11</f>
        <v>18</v>
      </c>
      <c r="D4" s="30">
        <f>'BG1 Reel'!AT11</f>
        <v>16</v>
      </c>
      <c r="E4" s="30">
        <f>'BG1 Reel'!AU11</f>
        <v>18</v>
      </c>
      <c r="F4" s="30">
        <f>'BG1 Reel'!AV11</f>
        <v>22</v>
      </c>
      <c r="G4" s="30">
        <f>'BG1 Reel'!AW11</f>
        <v>10</v>
      </c>
      <c r="H4" s="35">
        <f>'BG1 Reel'!AX11</f>
        <v>10</v>
      </c>
      <c r="J4" s="34" t="str">
        <f>'BG1 Reel'!Q11</f>
        <v>AA</v>
      </c>
      <c r="K4" s="30">
        <f>'BG1 Reel'!R11</f>
        <v>9</v>
      </c>
      <c r="L4" s="30">
        <f>'BG1 Reel'!S11</f>
        <v>6</v>
      </c>
      <c r="M4" s="30">
        <f>'BG1 Reel'!T11</f>
        <v>5</v>
      </c>
      <c r="N4" s="30">
        <f>'BG1 Reel'!U11</f>
        <v>10</v>
      </c>
      <c r="O4" s="30">
        <f>'BG1 Reel'!V11</f>
        <v>4</v>
      </c>
      <c r="P4" s="35">
        <f>'BG1 Reel'!W11</f>
        <v>5</v>
      </c>
      <c r="R4" s="34" t="str">
        <f>'BG1 Reel'!Q11</f>
        <v>AA</v>
      </c>
      <c r="S4" s="30">
        <v>150</v>
      </c>
      <c r="T4" s="30">
        <v>60</v>
      </c>
      <c r="U4" s="30">
        <v>40</v>
      </c>
      <c r="V4" s="35">
        <v>15</v>
      </c>
      <c r="Z4" s="34">
        <v>2</v>
      </c>
      <c r="AA4" s="35">
        <v>5</v>
      </c>
      <c r="AC4" t="s">
        <v>65</v>
      </c>
      <c r="AE4" s="34" t="s">
        <v>88</v>
      </c>
      <c r="AF4" s="35">
        <v>50</v>
      </c>
      <c r="AG4">
        <v>2.4523377000000002</v>
      </c>
      <c r="AH4">
        <v>0</v>
      </c>
      <c r="AK4" s="30"/>
    </row>
    <row r="5" spans="2:44">
      <c r="B5" s="34" t="str">
        <f>'BG1 Reel'!AR12</f>
        <v>BB</v>
      </c>
      <c r="C5" s="30">
        <f>'BG1 Reel'!AS12</f>
        <v>8</v>
      </c>
      <c r="D5" s="30">
        <f>'BG1 Reel'!AT12</f>
        <v>22</v>
      </c>
      <c r="E5" s="30">
        <f>'BG1 Reel'!AU12</f>
        <v>18</v>
      </c>
      <c r="F5" s="30">
        <f>'BG1 Reel'!AV12</f>
        <v>10</v>
      </c>
      <c r="G5" s="30">
        <f>'BG1 Reel'!AW12</f>
        <v>12</v>
      </c>
      <c r="H5" s="35">
        <f>'BG1 Reel'!AX12</f>
        <v>18</v>
      </c>
      <c r="J5" s="34" t="str">
        <f>'BG1 Reel'!Q12</f>
        <v>BB</v>
      </c>
      <c r="K5" s="30">
        <f>'BG1 Reel'!R12</f>
        <v>4</v>
      </c>
      <c r="L5" s="30">
        <f>'BG1 Reel'!S12</f>
        <v>9</v>
      </c>
      <c r="M5" s="30">
        <f>'BG1 Reel'!T12</f>
        <v>5</v>
      </c>
      <c r="N5" s="30">
        <f>'BG1 Reel'!U12</f>
        <v>4</v>
      </c>
      <c r="O5" s="30">
        <f>'BG1 Reel'!V12</f>
        <v>5</v>
      </c>
      <c r="P5" s="35">
        <f>'BG1 Reel'!W12</f>
        <v>9</v>
      </c>
      <c r="R5" s="34" t="str">
        <f>'BG1 Reel'!Q12</f>
        <v>BB</v>
      </c>
      <c r="S5" s="30">
        <v>60</v>
      </c>
      <c r="T5" s="30">
        <v>30</v>
      </c>
      <c r="U5" s="30">
        <v>20</v>
      </c>
      <c r="V5" s="35">
        <v>10</v>
      </c>
      <c r="Z5" s="36">
        <v>3</v>
      </c>
      <c r="AA5" s="38">
        <v>2</v>
      </c>
      <c r="AC5" t="s">
        <v>65</v>
      </c>
      <c r="AE5" s="34" t="s">
        <v>89</v>
      </c>
      <c r="AF5" s="35">
        <v>60</v>
      </c>
      <c r="AG5">
        <v>0.96724299999999996</v>
      </c>
      <c r="AH5">
        <v>0</v>
      </c>
    </row>
    <row r="6" spans="2:44">
      <c r="B6" s="34" t="str">
        <f>'BG1 Reel'!AR13</f>
        <v>CC</v>
      </c>
      <c r="C6" s="30">
        <f>'BG1 Reel'!AS13</f>
        <v>10</v>
      </c>
      <c r="D6" s="30">
        <f>'BG1 Reel'!AT13</f>
        <v>18</v>
      </c>
      <c r="E6" s="30">
        <f>'BG1 Reel'!AU13</f>
        <v>18</v>
      </c>
      <c r="F6" s="30">
        <f>'BG1 Reel'!AV13</f>
        <v>22</v>
      </c>
      <c r="G6" s="30">
        <f>'BG1 Reel'!AW13</f>
        <v>12</v>
      </c>
      <c r="H6" s="35">
        <f>'BG1 Reel'!AX13</f>
        <v>26</v>
      </c>
      <c r="J6" s="34" t="str">
        <f>'BG1 Reel'!Q13</f>
        <v>CC</v>
      </c>
      <c r="K6" s="30">
        <f>'BG1 Reel'!R13</f>
        <v>5</v>
      </c>
      <c r="L6" s="30">
        <f>'BG1 Reel'!S13</f>
        <v>7</v>
      </c>
      <c r="M6" s="30">
        <f>'BG1 Reel'!T13</f>
        <v>5</v>
      </c>
      <c r="N6" s="30">
        <f>'BG1 Reel'!U13</f>
        <v>10</v>
      </c>
      <c r="O6" s="30">
        <f>'BG1 Reel'!V13</f>
        <v>5</v>
      </c>
      <c r="P6" s="35">
        <f>'BG1 Reel'!W13</f>
        <v>13</v>
      </c>
      <c r="R6" s="34" t="str">
        <f>'BG1 Reel'!Q13</f>
        <v>CC</v>
      </c>
      <c r="S6" s="30">
        <v>40</v>
      </c>
      <c r="T6" s="30">
        <v>20</v>
      </c>
      <c r="U6" s="30">
        <v>15</v>
      </c>
      <c r="V6" s="35">
        <v>7</v>
      </c>
      <c r="AC6" t="s">
        <v>65</v>
      </c>
      <c r="AE6" s="34" t="s">
        <v>90</v>
      </c>
      <c r="AF6" s="35">
        <v>2000</v>
      </c>
      <c r="AG6">
        <v>0.48314499999999999</v>
      </c>
      <c r="AH6">
        <v>0</v>
      </c>
    </row>
    <row r="7" spans="2:44">
      <c r="B7" s="34" t="str">
        <f>'BG1 Reel'!AR14</f>
        <v>DD</v>
      </c>
      <c r="C7" s="30">
        <f>'BG1 Reel'!AS14</f>
        <v>18</v>
      </c>
      <c r="D7" s="30">
        <f>'BG1 Reel'!AT14</f>
        <v>8</v>
      </c>
      <c r="E7" s="30">
        <f>'BG1 Reel'!AU14</f>
        <v>10</v>
      </c>
      <c r="F7" s="30">
        <f>'BG1 Reel'!AV14</f>
        <v>4</v>
      </c>
      <c r="G7" s="30">
        <f>'BG1 Reel'!AW14</f>
        <v>4</v>
      </c>
      <c r="H7" s="35">
        <f>'BG1 Reel'!AX14</f>
        <v>20</v>
      </c>
      <c r="J7" s="34" t="str">
        <f>'BG1 Reel'!Q14</f>
        <v>DD</v>
      </c>
      <c r="K7" s="30">
        <f>'BG1 Reel'!R14</f>
        <v>9</v>
      </c>
      <c r="L7" s="30">
        <f>'BG1 Reel'!S14</f>
        <v>2</v>
      </c>
      <c r="M7" s="30">
        <f>'BG1 Reel'!T14</f>
        <v>1</v>
      </c>
      <c r="N7" s="30">
        <f>'BG1 Reel'!U14</f>
        <v>1</v>
      </c>
      <c r="O7" s="30">
        <f>'BG1 Reel'!V14</f>
        <v>1</v>
      </c>
      <c r="P7" s="35">
        <f>'BG1 Reel'!W14</f>
        <v>10</v>
      </c>
      <c r="R7" s="34" t="str">
        <f>'BG1 Reel'!Q14</f>
        <v>DD</v>
      </c>
      <c r="S7" s="30">
        <v>30</v>
      </c>
      <c r="T7" s="30">
        <v>15</v>
      </c>
      <c r="U7" s="30">
        <v>10</v>
      </c>
      <c r="V7" s="35">
        <v>4</v>
      </c>
      <c r="AC7" t="s">
        <v>65</v>
      </c>
      <c r="AE7" s="34" t="s">
        <v>91</v>
      </c>
      <c r="AF7" s="35">
        <v>475</v>
      </c>
      <c r="AG7">
        <v>0.73590060000000002</v>
      </c>
      <c r="AH7">
        <v>0</v>
      </c>
    </row>
    <row r="8" spans="2:44">
      <c r="B8" s="34" t="str">
        <f>'BG1 Reel'!AR15</f>
        <v>EE</v>
      </c>
      <c r="C8" s="30">
        <f>'BG1 Reel'!AS15</f>
        <v>4</v>
      </c>
      <c r="D8" s="30">
        <f>'BG1 Reel'!AT15</f>
        <v>6</v>
      </c>
      <c r="E8" s="30">
        <f>'BG1 Reel'!AU15</f>
        <v>10</v>
      </c>
      <c r="F8" s="30">
        <f>'BG1 Reel'!AV15</f>
        <v>6</v>
      </c>
      <c r="G8" s="30">
        <f>'BG1 Reel'!AW15</f>
        <v>6</v>
      </c>
      <c r="H8" s="35">
        <f>'BG1 Reel'!AX15</f>
        <v>6</v>
      </c>
      <c r="J8" s="34" t="str">
        <f>'BG1 Reel'!Q15</f>
        <v>EE</v>
      </c>
      <c r="K8" s="30">
        <f>'BG1 Reel'!R15</f>
        <v>2</v>
      </c>
      <c r="L8" s="30">
        <f>'BG1 Reel'!S15</f>
        <v>1</v>
      </c>
      <c r="M8" s="30">
        <f>'BG1 Reel'!T15</f>
        <v>1</v>
      </c>
      <c r="N8" s="30">
        <f>'BG1 Reel'!U15</f>
        <v>2</v>
      </c>
      <c r="O8" s="30">
        <f>'BG1 Reel'!V15</f>
        <v>2</v>
      </c>
      <c r="P8" s="35">
        <f>'BG1 Reel'!W15</f>
        <v>3</v>
      </c>
      <c r="R8" s="34" t="str">
        <f>'BG1 Reel'!Q15</f>
        <v>EE</v>
      </c>
      <c r="S8" s="30">
        <v>30</v>
      </c>
      <c r="T8" s="30">
        <v>10</v>
      </c>
      <c r="U8" s="30">
        <v>8</v>
      </c>
      <c r="V8" s="35">
        <v>3</v>
      </c>
      <c r="AC8">
        <v>2.4416699999999998</v>
      </c>
      <c r="AE8" s="34" t="s">
        <v>92</v>
      </c>
      <c r="AF8" s="35">
        <v>33</v>
      </c>
      <c r="AG8">
        <v>2.5320738999999999</v>
      </c>
      <c r="AH8">
        <f t="shared" ref="AH8" si="0">1/AC8</f>
        <v>0.40955575487268964</v>
      </c>
    </row>
    <row r="9" spans="2:44">
      <c r="B9" s="34" t="str">
        <f>'BG1 Reel'!AR16</f>
        <v>FF</v>
      </c>
      <c r="C9" s="30">
        <f>'BG1 Reel'!AS16</f>
        <v>22</v>
      </c>
      <c r="D9" s="30">
        <f>'BG1 Reel'!AT16</f>
        <v>12</v>
      </c>
      <c r="E9" s="30">
        <f>'BG1 Reel'!AU16</f>
        <v>10</v>
      </c>
      <c r="F9" s="30">
        <f>'BG1 Reel'!AV16</f>
        <v>4</v>
      </c>
      <c r="G9" s="30">
        <f>'BG1 Reel'!AW16</f>
        <v>4</v>
      </c>
      <c r="H9" s="35">
        <f>'BG1 Reel'!AX16</f>
        <v>20</v>
      </c>
      <c r="J9" s="34" t="str">
        <f>'BG1 Reel'!Q16</f>
        <v>FF</v>
      </c>
      <c r="K9" s="30">
        <f>'BG1 Reel'!R16</f>
        <v>11</v>
      </c>
      <c r="L9" s="30">
        <f>'BG1 Reel'!S16</f>
        <v>4</v>
      </c>
      <c r="M9" s="30">
        <f>'BG1 Reel'!T16</f>
        <v>1</v>
      </c>
      <c r="N9" s="30">
        <f>'BG1 Reel'!U16</f>
        <v>1</v>
      </c>
      <c r="O9" s="30">
        <f>'BG1 Reel'!V16</f>
        <v>1</v>
      </c>
      <c r="P9" s="35">
        <f>'BG1 Reel'!W16</f>
        <v>10</v>
      </c>
      <c r="R9" s="34" t="str">
        <f>'BG1 Reel'!Q16</f>
        <v>FF</v>
      </c>
      <c r="S9" s="30">
        <v>30</v>
      </c>
      <c r="T9" s="30">
        <v>10</v>
      </c>
      <c r="U9" s="30">
        <v>8</v>
      </c>
      <c r="V9" s="35">
        <v>3</v>
      </c>
      <c r="AC9" t="s">
        <v>65</v>
      </c>
      <c r="AE9" s="34" t="s">
        <v>93</v>
      </c>
      <c r="AF9" s="35">
        <v>50</v>
      </c>
      <c r="AG9">
        <v>2.2800107000000001</v>
      </c>
      <c r="AH9">
        <v>0</v>
      </c>
    </row>
    <row r="10" spans="2:44">
      <c r="B10" s="34" t="str">
        <f>'BG1 Reel'!AR17</f>
        <v>GG</v>
      </c>
      <c r="C10" s="30">
        <f>'BG1 Reel'!AS17</f>
        <v>14</v>
      </c>
      <c r="D10" s="30">
        <f>'BG1 Reel'!AT17</f>
        <v>18</v>
      </c>
      <c r="E10" s="30">
        <f>'BG1 Reel'!AU17</f>
        <v>18</v>
      </c>
      <c r="F10" s="30">
        <f>'BG1 Reel'!AV17</f>
        <v>22</v>
      </c>
      <c r="G10" s="30">
        <f>'BG1 Reel'!AW17</f>
        <v>10</v>
      </c>
      <c r="H10" s="35">
        <f>'BG1 Reel'!AX17</f>
        <v>18</v>
      </c>
      <c r="J10" s="34" t="str">
        <f>'BG1 Reel'!Q17</f>
        <v>GG</v>
      </c>
      <c r="K10" s="30">
        <f>'BG1 Reel'!R17</f>
        <v>7</v>
      </c>
      <c r="L10" s="30">
        <f>'BG1 Reel'!S17</f>
        <v>7</v>
      </c>
      <c r="M10" s="30">
        <f>'BG1 Reel'!T17</f>
        <v>5</v>
      </c>
      <c r="N10" s="30">
        <f>'BG1 Reel'!U17</f>
        <v>10</v>
      </c>
      <c r="O10" s="30">
        <f>'BG1 Reel'!V17</f>
        <v>4</v>
      </c>
      <c r="P10" s="35">
        <f>'BG1 Reel'!W17</f>
        <v>9</v>
      </c>
      <c r="R10" s="34" t="str">
        <f>'BG1 Reel'!Q17</f>
        <v>GG</v>
      </c>
      <c r="S10" s="30">
        <v>20</v>
      </c>
      <c r="T10" s="30">
        <v>6</v>
      </c>
      <c r="U10" s="30">
        <v>4</v>
      </c>
      <c r="V10" s="35">
        <v>2</v>
      </c>
      <c r="AC10" t="s">
        <v>65</v>
      </c>
      <c r="AE10" s="34" t="s">
        <v>94</v>
      </c>
      <c r="AF10" s="35">
        <v>50</v>
      </c>
      <c r="AG10">
        <v>1.4175439000000001</v>
      </c>
      <c r="AH10">
        <v>0</v>
      </c>
    </row>
    <row r="11" spans="2:44">
      <c r="B11" s="34" t="str">
        <f>'BG1 Reel'!AR18</f>
        <v>HH</v>
      </c>
      <c r="C11" s="30">
        <f>'BG1 Reel'!AS18</f>
        <v>2</v>
      </c>
      <c r="D11" s="30">
        <f>'BG1 Reel'!AT18</f>
        <v>6</v>
      </c>
      <c r="E11" s="30">
        <f>'BG1 Reel'!AU18</f>
        <v>10</v>
      </c>
      <c r="F11" s="30">
        <f>'BG1 Reel'!AV18</f>
        <v>4</v>
      </c>
      <c r="G11" s="30">
        <f>'BG1 Reel'!AW18</f>
        <v>4</v>
      </c>
      <c r="H11" s="35">
        <f>'BG1 Reel'!AX18</f>
        <v>2</v>
      </c>
      <c r="J11" s="34" t="str">
        <f>'BG1 Reel'!Q18</f>
        <v>HH</v>
      </c>
      <c r="K11" s="30">
        <f>'BG1 Reel'!R18</f>
        <v>1</v>
      </c>
      <c r="L11" s="30">
        <f>'BG1 Reel'!S18</f>
        <v>1</v>
      </c>
      <c r="M11" s="30">
        <f>'BG1 Reel'!T18</f>
        <v>1</v>
      </c>
      <c r="N11" s="30">
        <f>'BG1 Reel'!U18</f>
        <v>1</v>
      </c>
      <c r="O11" s="30">
        <f>'BG1 Reel'!V18</f>
        <v>1</v>
      </c>
      <c r="P11" s="35">
        <f>'BG1 Reel'!W18</f>
        <v>1</v>
      </c>
      <c r="R11" s="34" t="str">
        <f>'BG1 Reel'!Q18</f>
        <v>HH</v>
      </c>
      <c r="S11" s="30">
        <v>20</v>
      </c>
      <c r="T11" s="30">
        <v>6</v>
      </c>
      <c r="U11" s="30">
        <v>4</v>
      </c>
      <c r="V11" s="35">
        <v>2</v>
      </c>
      <c r="AC11" t="s">
        <v>65</v>
      </c>
      <c r="AE11" s="36" t="s">
        <v>95</v>
      </c>
      <c r="AF11" s="38">
        <v>1000</v>
      </c>
      <c r="AG11">
        <v>0.77103630000000001</v>
      </c>
      <c r="AH11">
        <v>0</v>
      </c>
    </row>
    <row r="12" spans="2:44">
      <c r="B12" s="34" t="str">
        <f>'BG1 Reel'!AR19</f>
        <v>JJ</v>
      </c>
      <c r="C12" s="30">
        <f>'BG1 Reel'!AS19</f>
        <v>14</v>
      </c>
      <c r="D12" s="30">
        <f>'BG1 Reel'!AT19</f>
        <v>14</v>
      </c>
      <c r="E12" s="30">
        <f>'BG1 Reel'!AU19</f>
        <v>16</v>
      </c>
      <c r="F12" s="30">
        <f>'BG1 Reel'!AV19</f>
        <v>12</v>
      </c>
      <c r="G12" s="30">
        <f>'BG1 Reel'!AW19</f>
        <v>10</v>
      </c>
      <c r="H12" s="35">
        <f>'BG1 Reel'!AX19</f>
        <v>10</v>
      </c>
      <c r="J12" s="34" t="str">
        <f>'BG1 Reel'!Q19</f>
        <v>JJ</v>
      </c>
      <c r="K12" s="30">
        <f>'BG1 Reel'!R19</f>
        <v>7</v>
      </c>
      <c r="L12" s="30">
        <f>'BG1 Reel'!S19</f>
        <v>5</v>
      </c>
      <c r="M12" s="30">
        <f>'BG1 Reel'!T19</f>
        <v>4</v>
      </c>
      <c r="N12" s="30">
        <f>'BG1 Reel'!U19</f>
        <v>5</v>
      </c>
      <c r="O12" s="30">
        <f>'BG1 Reel'!V19</f>
        <v>4</v>
      </c>
      <c r="P12" s="35">
        <f>'BG1 Reel'!W19</f>
        <v>5</v>
      </c>
      <c r="R12" s="34" t="str">
        <f>'BG1 Reel'!Q19</f>
        <v>JJ</v>
      </c>
      <c r="S12" s="30">
        <v>20</v>
      </c>
      <c r="T12" s="30">
        <v>6</v>
      </c>
      <c r="U12" s="30">
        <v>4</v>
      </c>
      <c r="V12" s="35">
        <v>2</v>
      </c>
      <c r="AG12">
        <f>SUMPRODUCT(BG_Reel_Weight,AG3:AG11)/SUM(BG_Reel_Weight)</f>
        <v>0.68913862910986357</v>
      </c>
      <c r="AH12">
        <f>SUMPRODUCT(BG_Reel_Weight,AH3:AH11)/SUM(BG_Reel_Weight)</f>
        <v>3.7212446184912941E-3</v>
      </c>
    </row>
    <row r="13" spans="2:44">
      <c r="B13" s="34" t="str">
        <f>'BG1 Reel'!AR20</f>
        <v>KK</v>
      </c>
      <c r="C13" s="30">
        <f>'BG1 Reel'!AS20</f>
        <v>14</v>
      </c>
      <c r="D13" s="30">
        <f>'BG1 Reel'!AT20</f>
        <v>20</v>
      </c>
      <c r="E13" s="30">
        <f>'BG1 Reel'!AU20</f>
        <v>20</v>
      </c>
      <c r="F13" s="30">
        <f>'BG1 Reel'!AV20</f>
        <v>12</v>
      </c>
      <c r="G13" s="30">
        <f>'BG1 Reel'!AW20</f>
        <v>12</v>
      </c>
      <c r="H13" s="35">
        <f>'BG1 Reel'!AX20</f>
        <v>18</v>
      </c>
      <c r="J13" s="34" t="str">
        <f>'BG1 Reel'!Q20</f>
        <v>KK</v>
      </c>
      <c r="K13" s="30">
        <f>'BG1 Reel'!R20</f>
        <v>7</v>
      </c>
      <c r="L13" s="30">
        <f>'BG1 Reel'!S20</f>
        <v>8</v>
      </c>
      <c r="M13" s="30">
        <f>'BG1 Reel'!T20</f>
        <v>6</v>
      </c>
      <c r="N13" s="30">
        <f>'BG1 Reel'!U20</f>
        <v>5</v>
      </c>
      <c r="O13" s="30">
        <f>'BG1 Reel'!V20</f>
        <v>5</v>
      </c>
      <c r="P13" s="35">
        <f>'BG1 Reel'!W20</f>
        <v>9</v>
      </c>
      <c r="R13" s="34" t="str">
        <f>'BG1 Reel'!Q20</f>
        <v>KK</v>
      </c>
      <c r="S13" s="30">
        <v>10</v>
      </c>
      <c r="T13" s="30">
        <v>4</v>
      </c>
      <c r="U13" s="30">
        <v>2</v>
      </c>
      <c r="V13" s="35">
        <v>1</v>
      </c>
      <c r="AG13">
        <f>Summary!E5/'BG Calc'!AH13</f>
        <v>0.28081977556383197</v>
      </c>
      <c r="AH13">
        <f>1/AH12</f>
        <v>268.72729490313122</v>
      </c>
    </row>
    <row r="14" spans="2:44">
      <c r="B14" s="34" t="str">
        <f>'BG1 Reel'!AR21</f>
        <v>LL</v>
      </c>
      <c r="C14" s="30">
        <f>'BG1 Reel'!AS21</f>
        <v>14</v>
      </c>
      <c r="D14" s="30">
        <f>'BG1 Reel'!AT21</f>
        <v>22</v>
      </c>
      <c r="E14" s="30">
        <f>'BG1 Reel'!AU21</f>
        <v>18</v>
      </c>
      <c r="F14" s="30">
        <f>'BG1 Reel'!AV21</f>
        <v>18</v>
      </c>
      <c r="G14" s="30">
        <f>'BG1 Reel'!AW21</f>
        <v>10</v>
      </c>
      <c r="H14" s="35">
        <f>'BG1 Reel'!AX21</f>
        <v>14</v>
      </c>
      <c r="J14" s="34" t="str">
        <f>'BG1 Reel'!Q21</f>
        <v>LL</v>
      </c>
      <c r="K14" s="30">
        <f>'BG1 Reel'!R21</f>
        <v>7</v>
      </c>
      <c r="L14" s="30">
        <f>'BG1 Reel'!S21</f>
        <v>9</v>
      </c>
      <c r="M14" s="30">
        <f>'BG1 Reel'!T21</f>
        <v>5</v>
      </c>
      <c r="N14" s="30">
        <f>'BG1 Reel'!U21</f>
        <v>8</v>
      </c>
      <c r="O14" s="30">
        <f>'BG1 Reel'!V21</f>
        <v>4</v>
      </c>
      <c r="P14" s="35">
        <f>'BG1 Reel'!W21</f>
        <v>7</v>
      </c>
      <c r="R14" s="34" t="str">
        <f>'BG1 Reel'!Q21</f>
        <v>LL</v>
      </c>
      <c r="S14" s="30">
        <v>10</v>
      </c>
      <c r="T14" s="30">
        <v>4</v>
      </c>
      <c r="U14" s="30">
        <v>2</v>
      </c>
      <c r="V14" s="35">
        <v>1</v>
      </c>
      <c r="AG14">
        <f>SUM(AG12:AG13)</f>
        <v>0.96995840467369554</v>
      </c>
    </row>
    <row r="15" spans="2:44">
      <c r="B15" s="34" t="str">
        <f>'BG1 Reel'!AR22</f>
        <v>BN</v>
      </c>
      <c r="C15" s="30">
        <f>'BG1 Reel'!AS22</f>
        <v>8</v>
      </c>
      <c r="D15" s="30">
        <f>'BG1 Reel'!AT22</f>
        <v>2</v>
      </c>
      <c r="E15" s="30">
        <f>'BG1 Reel'!AU22</f>
        <v>2</v>
      </c>
      <c r="F15" s="30">
        <f>'BG1 Reel'!AV22</f>
        <v>2</v>
      </c>
      <c r="G15" s="30">
        <f>'BG1 Reel'!AW22</f>
        <v>2</v>
      </c>
      <c r="H15" s="35">
        <f>'BG1 Reel'!AX22</f>
        <v>4</v>
      </c>
      <c r="J15" s="34" t="str">
        <f>'BG1 Reel'!Q22</f>
        <v>BN</v>
      </c>
      <c r="K15" s="30">
        <f>'BG1 Reel'!R22</f>
        <v>4</v>
      </c>
      <c r="L15" s="30">
        <f>'BG1 Reel'!S22</f>
        <v>1</v>
      </c>
      <c r="M15" s="30">
        <f>'BG1 Reel'!T22</f>
        <v>1</v>
      </c>
      <c r="N15" s="30">
        <f>'BG1 Reel'!U22</f>
        <v>1</v>
      </c>
      <c r="O15" s="30">
        <f>'BG1 Reel'!V22</f>
        <v>1</v>
      </c>
      <c r="P15" s="35">
        <f>'BG1 Reel'!W22</f>
        <v>2</v>
      </c>
      <c r="R15" s="36" t="str">
        <f>'BG1 Reel'!Q22</f>
        <v>BN</v>
      </c>
      <c r="S15" s="37">
        <v>0</v>
      </c>
      <c r="T15" s="37">
        <v>0</v>
      </c>
      <c r="U15" s="37">
        <v>0</v>
      </c>
      <c r="V15" s="38">
        <v>0</v>
      </c>
    </row>
    <row r="16" spans="2:44">
      <c r="B16" s="34" t="str">
        <f>'BG1 Reel'!AR23</f>
        <v>WC-0</v>
      </c>
      <c r="C16" s="30">
        <f>'BG1 Reel'!AS23</f>
        <v>73</v>
      </c>
      <c r="D16" s="30">
        <f>'BG1 Reel'!AT23</f>
        <v>58</v>
      </c>
      <c r="E16" s="30">
        <f>'BG1 Reel'!AU23</f>
        <v>36</v>
      </c>
      <c r="F16" s="30">
        <f>'BG1 Reel'!AV23</f>
        <v>57</v>
      </c>
      <c r="G16" s="30">
        <f>'BG1 Reel'!AW23</f>
        <v>36</v>
      </c>
      <c r="H16" s="35">
        <f>'BG1 Reel'!AX23</f>
        <v>83</v>
      </c>
      <c r="J16" s="48" t="s">
        <v>14</v>
      </c>
      <c r="K16" s="28">
        <f>SUM(K3:K15)</f>
        <v>73</v>
      </c>
      <c r="L16" s="28">
        <f t="shared" ref="L16:P16" si="1">SUM(L3:L15)</f>
        <v>62</v>
      </c>
      <c r="M16" s="28">
        <f t="shared" si="1"/>
        <v>44</v>
      </c>
      <c r="N16" s="28">
        <f t="shared" si="1"/>
        <v>59</v>
      </c>
      <c r="O16" s="28">
        <f t="shared" si="1"/>
        <v>38</v>
      </c>
      <c r="P16" s="27">
        <f t="shared" si="1"/>
        <v>83</v>
      </c>
    </row>
    <row r="17" spans="2:38">
      <c r="B17" s="34" t="str">
        <f>'BG1 Reel'!AR24</f>
        <v>AA-0</v>
      </c>
      <c r="C17" s="30">
        <f>'BG1 Reel'!AS24</f>
        <v>57</v>
      </c>
      <c r="D17" s="30">
        <f>'BG1 Reel'!AT24</f>
        <v>48</v>
      </c>
      <c r="E17" s="30">
        <f>'BG1 Reel'!AU24</f>
        <v>30</v>
      </c>
      <c r="F17" s="30">
        <f>'BG1 Reel'!AV24</f>
        <v>39</v>
      </c>
      <c r="G17" s="30">
        <f>'BG1 Reel'!AW24</f>
        <v>30</v>
      </c>
      <c r="H17" s="35">
        <f>'BG1 Reel'!AX24</f>
        <v>75</v>
      </c>
      <c r="J17" s="36" t="s">
        <v>96</v>
      </c>
      <c r="K17" s="79">
        <f>PRODUCT(K16:P16)</f>
        <v>37057910384</v>
      </c>
      <c r="L17" s="79"/>
      <c r="M17" s="79"/>
      <c r="N17" s="79"/>
      <c r="O17" s="79"/>
      <c r="P17" s="80"/>
      <c r="Z17" s="52" t="s">
        <v>97</v>
      </c>
      <c r="AA17" s="81" t="s">
        <v>98</v>
      </c>
      <c r="AB17" s="81"/>
      <c r="AC17" s="81"/>
      <c r="AD17" s="81"/>
      <c r="AE17" s="81"/>
      <c r="AF17" s="81"/>
      <c r="AG17" s="52" t="s">
        <v>99</v>
      </c>
      <c r="AJ17" s="53"/>
      <c r="AK17" s="81" t="s">
        <v>100</v>
      </c>
      <c r="AL17" s="81"/>
    </row>
    <row r="18" spans="2:38">
      <c r="B18" s="34" t="str">
        <f>'BG1 Reel'!AR25</f>
        <v>BB-0</v>
      </c>
      <c r="C18" s="30">
        <f>'BG1 Reel'!AS25</f>
        <v>67</v>
      </c>
      <c r="D18" s="30">
        <f>'BG1 Reel'!AT25</f>
        <v>43</v>
      </c>
      <c r="E18" s="30">
        <f>'BG1 Reel'!AU25</f>
        <v>28</v>
      </c>
      <c r="F18" s="30">
        <f>'BG1 Reel'!AV25</f>
        <v>52</v>
      </c>
      <c r="G18" s="30">
        <f>'BG1 Reel'!AW25</f>
        <v>28</v>
      </c>
      <c r="H18" s="35">
        <f>'BG1 Reel'!AX25</f>
        <v>67</v>
      </c>
      <c r="Z18" s="53">
        <v>1</v>
      </c>
      <c r="AA18" s="53">
        <v>0</v>
      </c>
      <c r="AB18" s="53">
        <v>0</v>
      </c>
      <c r="AC18" s="53">
        <v>0</v>
      </c>
      <c r="AD18" s="53">
        <v>0</v>
      </c>
      <c r="AE18" s="53">
        <v>1</v>
      </c>
      <c r="AF18" s="53">
        <v>1</v>
      </c>
      <c r="AG18" s="53">
        <v>200</v>
      </c>
      <c r="AJ18" s="53"/>
      <c r="AK18" s="81" t="s">
        <v>101</v>
      </c>
      <c r="AL18" s="81"/>
    </row>
    <row r="19" spans="2:38">
      <c r="B19" s="34" t="str">
        <f>'BG1 Reel'!AR26</f>
        <v>CC-0</v>
      </c>
      <c r="C19" s="30">
        <f>'BG1 Reel'!AS26</f>
        <v>65</v>
      </c>
      <c r="D19" s="30">
        <f>'BG1 Reel'!AT26</f>
        <v>46</v>
      </c>
      <c r="E19" s="30">
        <f>'BG1 Reel'!AU26</f>
        <v>28</v>
      </c>
      <c r="F19" s="30">
        <f>'BG1 Reel'!AV26</f>
        <v>40</v>
      </c>
      <c r="G19" s="30">
        <f>'BG1 Reel'!AW26</f>
        <v>29</v>
      </c>
      <c r="H19" s="35">
        <f>'BG1 Reel'!AX26</f>
        <v>60</v>
      </c>
      <c r="J19" s="8" t="s">
        <v>102</v>
      </c>
      <c r="K19" s="6">
        <v>20</v>
      </c>
      <c r="Z19" s="53">
        <v>2</v>
      </c>
      <c r="AA19" s="53">
        <v>0</v>
      </c>
      <c r="AB19" s="53">
        <v>0</v>
      </c>
      <c r="AC19" s="53">
        <v>0</v>
      </c>
      <c r="AD19" s="53">
        <v>1</v>
      </c>
      <c r="AE19" s="53">
        <v>0</v>
      </c>
      <c r="AF19" s="53">
        <v>1</v>
      </c>
      <c r="AG19" s="53">
        <v>200</v>
      </c>
      <c r="AJ19" s="52" t="s">
        <v>103</v>
      </c>
      <c r="AK19" s="52" t="s">
        <v>104</v>
      </c>
      <c r="AL19" s="52" t="s">
        <v>105</v>
      </c>
    </row>
    <row r="20" spans="2:38">
      <c r="B20" s="34" t="str">
        <f>'BG1 Reel'!AR27</f>
        <v>DD-0</v>
      </c>
      <c r="C20" s="30">
        <f>'BG1 Reel'!AS27</f>
        <v>57</v>
      </c>
      <c r="D20" s="30">
        <f>'BG1 Reel'!AT27</f>
        <v>55</v>
      </c>
      <c r="E20" s="30">
        <f>'BG1 Reel'!AU27</f>
        <v>36</v>
      </c>
      <c r="F20" s="30">
        <f>'BG1 Reel'!AV27</f>
        <v>55</v>
      </c>
      <c r="G20" s="30">
        <f>'BG1 Reel'!AW27</f>
        <v>35</v>
      </c>
      <c r="H20" s="35">
        <f>'BG1 Reel'!AX27</f>
        <v>65</v>
      </c>
      <c r="J20" s="5" t="s">
        <v>6</v>
      </c>
      <c r="K20" s="14">
        <f>R86/(K19*K17)</f>
        <v>7.251977193944309E-2</v>
      </c>
      <c r="Z20" s="53">
        <v>3</v>
      </c>
      <c r="AA20" s="53">
        <v>0</v>
      </c>
      <c r="AB20" s="53">
        <v>0</v>
      </c>
      <c r="AC20" s="53">
        <v>1</v>
      </c>
      <c r="AD20" s="53">
        <v>0</v>
      </c>
      <c r="AE20" s="53">
        <v>0</v>
      </c>
      <c r="AF20" s="53">
        <v>1</v>
      </c>
      <c r="AG20" s="53">
        <v>10</v>
      </c>
      <c r="AJ20" s="53">
        <v>2</v>
      </c>
      <c r="AK20" s="53">
        <v>100</v>
      </c>
      <c r="AL20" s="53">
        <v>25</v>
      </c>
    </row>
    <row r="21" spans="2:38">
      <c r="B21" s="34" t="str">
        <f>'BG1 Reel'!AR28</f>
        <v>EE-0</v>
      </c>
      <c r="C21" s="30">
        <f>'BG1 Reel'!AS28</f>
        <v>69</v>
      </c>
      <c r="D21" s="30">
        <f>'BG1 Reel'!AT28</f>
        <v>56</v>
      </c>
      <c r="E21" s="30">
        <f>'BG1 Reel'!AU28</f>
        <v>34</v>
      </c>
      <c r="F21" s="30">
        <f>'BG1 Reel'!AV28</f>
        <v>53</v>
      </c>
      <c r="G21" s="30">
        <f>'BG1 Reel'!AW28</f>
        <v>32</v>
      </c>
      <c r="H21" s="35">
        <f>'BG1 Reel'!AX28</f>
        <v>77</v>
      </c>
      <c r="J21" s="3" t="s">
        <v>106</v>
      </c>
      <c r="K21" s="13">
        <f>K17/SUM(N88:N132)</f>
        <v>412.2041004540863</v>
      </c>
      <c r="Z21" s="53">
        <v>4</v>
      </c>
      <c r="AA21" s="53">
        <v>0</v>
      </c>
      <c r="AB21" s="53">
        <v>1</v>
      </c>
      <c r="AC21" s="53">
        <v>0</v>
      </c>
      <c r="AD21" s="53">
        <v>0</v>
      </c>
      <c r="AE21" s="53">
        <v>0</v>
      </c>
      <c r="AF21" s="53">
        <v>1</v>
      </c>
      <c r="AG21" s="53">
        <v>10</v>
      </c>
      <c r="AJ21" s="53">
        <v>3</v>
      </c>
      <c r="AK21" s="53">
        <v>200</v>
      </c>
      <c r="AL21" s="53">
        <v>75</v>
      </c>
    </row>
    <row r="22" spans="2:38">
      <c r="B22" s="34" t="str">
        <f>'BG1 Reel'!AR29</f>
        <v>FF-0</v>
      </c>
      <c r="C22" s="30">
        <f>'BG1 Reel'!AS29</f>
        <v>53</v>
      </c>
      <c r="D22" s="30">
        <f>'BG1 Reel'!AT29</f>
        <v>52</v>
      </c>
      <c r="E22" s="30">
        <f>'BG1 Reel'!AU29</f>
        <v>34</v>
      </c>
      <c r="F22" s="30">
        <f>'BG1 Reel'!AV29</f>
        <v>56</v>
      </c>
      <c r="G22" s="30">
        <f>'BG1 Reel'!AW29</f>
        <v>34</v>
      </c>
      <c r="H22" s="35">
        <f>'BG1 Reel'!AX29</f>
        <v>65</v>
      </c>
      <c r="M22" s="12"/>
      <c r="Z22" s="53">
        <v>5</v>
      </c>
      <c r="AA22" s="53">
        <v>1</v>
      </c>
      <c r="AB22" s="53">
        <v>0</v>
      </c>
      <c r="AC22" s="53">
        <v>0</v>
      </c>
      <c r="AD22" s="53">
        <v>0</v>
      </c>
      <c r="AE22" s="53">
        <v>0</v>
      </c>
      <c r="AF22" s="53">
        <v>1</v>
      </c>
      <c r="AG22" s="53">
        <v>10</v>
      </c>
      <c r="AJ22" s="53">
        <v>4</v>
      </c>
      <c r="AK22" s="53">
        <v>75</v>
      </c>
      <c r="AL22" s="53">
        <v>75</v>
      </c>
    </row>
    <row r="23" spans="2:38">
      <c r="B23" s="34" t="str">
        <f>'BG1 Reel'!AR30</f>
        <v>GG-0</v>
      </c>
      <c r="C23" s="30">
        <f>'BG1 Reel'!AS30</f>
        <v>62</v>
      </c>
      <c r="D23" s="30">
        <f>'BG1 Reel'!AT30</f>
        <v>47</v>
      </c>
      <c r="E23" s="30">
        <f>'BG1 Reel'!AU30</f>
        <v>29</v>
      </c>
      <c r="F23" s="30">
        <f>'BG1 Reel'!AV30</f>
        <v>39</v>
      </c>
      <c r="G23" s="30">
        <f>'BG1 Reel'!AW30</f>
        <v>30</v>
      </c>
      <c r="H23" s="35">
        <f>'BG1 Reel'!AX30</f>
        <v>67</v>
      </c>
      <c r="J23" s="11" t="s">
        <v>107</v>
      </c>
      <c r="K23" s="49">
        <v>222222</v>
      </c>
      <c r="Z23" s="53">
        <v>6</v>
      </c>
      <c r="AA23" s="53">
        <v>0</v>
      </c>
      <c r="AB23" s="53">
        <v>0</v>
      </c>
      <c r="AC23" s="53">
        <v>0</v>
      </c>
      <c r="AD23" s="53">
        <v>1</v>
      </c>
      <c r="AE23" s="53">
        <v>1</v>
      </c>
      <c r="AF23" s="53">
        <v>0</v>
      </c>
      <c r="AG23" s="53">
        <v>200</v>
      </c>
      <c r="AJ23" s="53">
        <v>5</v>
      </c>
      <c r="AK23" s="53">
        <v>50</v>
      </c>
      <c r="AL23" s="53">
        <v>75</v>
      </c>
    </row>
    <row r="24" spans="2:38">
      <c r="B24" s="34" t="str">
        <f>'BG1 Reel'!AR31</f>
        <v>HH-0</v>
      </c>
      <c r="C24" s="30">
        <f>'BG1 Reel'!AS31</f>
        <v>71</v>
      </c>
      <c r="D24" s="30">
        <f>'BG1 Reel'!AT31</f>
        <v>56</v>
      </c>
      <c r="E24" s="30">
        <f>'BG1 Reel'!AU31</f>
        <v>34</v>
      </c>
      <c r="F24" s="30">
        <f>'BG1 Reel'!AV31</f>
        <v>55</v>
      </c>
      <c r="G24" s="30">
        <f>'BG1 Reel'!AW31</f>
        <v>34</v>
      </c>
      <c r="H24" s="35">
        <f>'BG1 Reel'!AX31</f>
        <v>81</v>
      </c>
      <c r="Z24" s="53">
        <v>7</v>
      </c>
      <c r="AA24" s="53">
        <v>0</v>
      </c>
      <c r="AB24" s="53">
        <v>0</v>
      </c>
      <c r="AC24" s="53">
        <v>1</v>
      </c>
      <c r="AD24" s="53">
        <v>0</v>
      </c>
      <c r="AE24" s="53">
        <v>1</v>
      </c>
      <c r="AF24" s="53">
        <v>0</v>
      </c>
      <c r="AG24" s="53">
        <v>200</v>
      </c>
      <c r="AJ24" s="53">
        <v>6</v>
      </c>
      <c r="AK24" s="53">
        <v>15</v>
      </c>
      <c r="AL24" s="53">
        <v>75</v>
      </c>
    </row>
    <row r="25" spans="2:38">
      <c r="B25" s="34" t="str">
        <f>'BG1 Reel'!AR32</f>
        <v>JJ-0</v>
      </c>
      <c r="C25" s="30">
        <f>'BG1 Reel'!AS32</f>
        <v>62</v>
      </c>
      <c r="D25" s="30">
        <f>'BG1 Reel'!AT32</f>
        <v>50</v>
      </c>
      <c r="E25" s="30">
        <f>'BG1 Reel'!AU32</f>
        <v>31</v>
      </c>
      <c r="F25" s="30">
        <f>'BG1 Reel'!AV32</f>
        <v>49</v>
      </c>
      <c r="G25" s="30">
        <f>'BG1 Reel'!AW32</f>
        <v>30</v>
      </c>
      <c r="H25" s="35">
        <f>'BG1 Reel'!AX32</f>
        <v>75</v>
      </c>
      <c r="J25" s="11"/>
      <c r="K25" s="28" t="s">
        <v>108</v>
      </c>
      <c r="L25" s="28" t="s">
        <v>109</v>
      </c>
      <c r="M25" s="28" t="s">
        <v>110</v>
      </c>
      <c r="N25" s="28" t="s">
        <v>111</v>
      </c>
      <c r="O25" s="28" t="s">
        <v>112</v>
      </c>
      <c r="P25" s="27" t="s">
        <v>113</v>
      </c>
      <c r="Z25" s="53">
        <v>8</v>
      </c>
      <c r="AA25" s="53">
        <v>0</v>
      </c>
      <c r="AB25" s="53">
        <v>1</v>
      </c>
      <c r="AC25" s="53">
        <v>0</v>
      </c>
      <c r="AD25" s="53">
        <v>0</v>
      </c>
      <c r="AE25" s="53">
        <v>1</v>
      </c>
      <c r="AF25" s="53">
        <v>0</v>
      </c>
      <c r="AG25" s="53">
        <v>10</v>
      </c>
      <c r="AJ25" s="53">
        <v>7</v>
      </c>
      <c r="AK25" s="53">
        <v>10</v>
      </c>
      <c r="AL25" s="53">
        <v>75</v>
      </c>
    </row>
    <row r="26" spans="2:38">
      <c r="B26" s="34" t="str">
        <f>'BG1 Reel'!AR33</f>
        <v>KK-0</v>
      </c>
      <c r="C26" s="30">
        <f>'BG1 Reel'!AS33</f>
        <v>61</v>
      </c>
      <c r="D26" s="30">
        <f>'BG1 Reel'!AT33</f>
        <v>44</v>
      </c>
      <c r="E26" s="30">
        <f>'BG1 Reel'!AU33</f>
        <v>29</v>
      </c>
      <c r="F26" s="30">
        <f>'BG1 Reel'!AV33</f>
        <v>50</v>
      </c>
      <c r="G26" s="30">
        <f>'BG1 Reel'!AW33</f>
        <v>28</v>
      </c>
      <c r="H26" s="35">
        <f>'BG1 Reel'!AX33</f>
        <v>67</v>
      </c>
      <c r="J26" s="36" t="s">
        <v>114</v>
      </c>
      <c r="K26" s="37">
        <f t="shared" ref="K26:P26" si="2">VALUE(MID($K$23,RIGHT(K25,1),1))</f>
        <v>2</v>
      </c>
      <c r="L26" s="37">
        <f t="shared" si="2"/>
        <v>2</v>
      </c>
      <c r="M26" s="37">
        <f t="shared" si="2"/>
        <v>2</v>
      </c>
      <c r="N26" s="37">
        <f t="shared" si="2"/>
        <v>2</v>
      </c>
      <c r="O26" s="37">
        <f t="shared" si="2"/>
        <v>2</v>
      </c>
      <c r="P26" s="38">
        <f t="shared" si="2"/>
        <v>2</v>
      </c>
      <c r="Z26" s="53">
        <v>9</v>
      </c>
      <c r="AA26" s="53">
        <v>1</v>
      </c>
      <c r="AB26" s="53">
        <v>0</v>
      </c>
      <c r="AC26" s="53">
        <v>0</v>
      </c>
      <c r="AD26" s="53">
        <v>0</v>
      </c>
      <c r="AE26" s="53">
        <v>1</v>
      </c>
      <c r="AF26" s="53">
        <v>0</v>
      </c>
      <c r="AG26" s="53">
        <v>10</v>
      </c>
    </row>
    <row r="27" spans="2:38">
      <c r="B27" s="34" t="str">
        <f>'BG1 Reel'!AR34</f>
        <v>LL-0</v>
      </c>
      <c r="C27" s="30">
        <f>'BG1 Reel'!AS34</f>
        <v>61</v>
      </c>
      <c r="D27" s="30">
        <f>'BG1 Reel'!AT34</f>
        <v>43</v>
      </c>
      <c r="E27" s="30">
        <f>'BG1 Reel'!AU34</f>
        <v>30</v>
      </c>
      <c r="F27" s="30">
        <f>'BG1 Reel'!AV34</f>
        <v>43</v>
      </c>
      <c r="G27" s="30">
        <f>'BG1 Reel'!AW34</f>
        <v>30</v>
      </c>
      <c r="H27" s="35">
        <f>'BG1 Reel'!AX34</f>
        <v>71</v>
      </c>
      <c r="Z27" s="53">
        <v>10</v>
      </c>
      <c r="AA27" s="53">
        <v>0</v>
      </c>
      <c r="AB27" s="53">
        <v>0</v>
      </c>
      <c r="AC27" s="53">
        <v>1</v>
      </c>
      <c r="AD27" s="53">
        <v>1</v>
      </c>
      <c r="AE27" s="53">
        <v>0</v>
      </c>
      <c r="AF27" s="53">
        <v>0</v>
      </c>
      <c r="AG27" s="53">
        <v>200</v>
      </c>
    </row>
    <row r="28" spans="2:38">
      <c r="B28" s="34" t="str">
        <f>'BG1 Reel'!AR35</f>
        <v>BN-0</v>
      </c>
      <c r="C28" s="30">
        <f>'BG1 Reel'!AS35</f>
        <v>65</v>
      </c>
      <c r="D28" s="30">
        <f>'BG1 Reel'!AT35</f>
        <v>60</v>
      </c>
      <c r="E28" s="30">
        <f>'BG1 Reel'!AU35</f>
        <v>42</v>
      </c>
      <c r="F28" s="30">
        <f>'BG1 Reel'!AV35</f>
        <v>57</v>
      </c>
      <c r="G28" s="30">
        <f>'BG1 Reel'!AW35</f>
        <v>36</v>
      </c>
      <c r="H28" s="35">
        <f>'BG1 Reel'!AX35</f>
        <v>79</v>
      </c>
      <c r="Z28" s="53">
        <v>11</v>
      </c>
      <c r="AA28" s="53">
        <v>0</v>
      </c>
      <c r="AB28" s="53">
        <v>1</v>
      </c>
      <c r="AC28" s="53">
        <v>0</v>
      </c>
      <c r="AD28" s="53">
        <v>1</v>
      </c>
      <c r="AE28" s="53">
        <v>0</v>
      </c>
      <c r="AF28" s="53">
        <v>0</v>
      </c>
      <c r="AG28" s="53">
        <v>200</v>
      </c>
    </row>
    <row r="29" spans="2:38">
      <c r="B29" s="48" t="s">
        <v>115</v>
      </c>
      <c r="C29" s="28">
        <f t="shared" ref="C29:H29" si="3">K16</f>
        <v>73</v>
      </c>
      <c r="D29" s="28">
        <f t="shared" si="3"/>
        <v>62</v>
      </c>
      <c r="E29" s="28">
        <f t="shared" si="3"/>
        <v>44</v>
      </c>
      <c r="F29" s="28">
        <f t="shared" si="3"/>
        <v>59</v>
      </c>
      <c r="G29" s="28">
        <f t="shared" si="3"/>
        <v>38</v>
      </c>
      <c r="H29" s="27">
        <f t="shared" si="3"/>
        <v>83</v>
      </c>
      <c r="Z29" s="53">
        <v>12</v>
      </c>
      <c r="AA29" s="53">
        <v>1</v>
      </c>
      <c r="AB29" s="53">
        <v>0</v>
      </c>
      <c r="AC29" s="53">
        <v>0</v>
      </c>
      <c r="AD29" s="53">
        <v>1</v>
      </c>
      <c r="AE29" s="53">
        <v>0</v>
      </c>
      <c r="AF29" s="53">
        <v>0</v>
      </c>
      <c r="AG29" s="53">
        <v>200</v>
      </c>
    </row>
    <row r="30" spans="2:38">
      <c r="Z30" s="53">
        <v>13</v>
      </c>
      <c r="AA30" s="53">
        <v>0</v>
      </c>
      <c r="AB30" s="53">
        <v>1</v>
      </c>
      <c r="AC30" s="53">
        <v>1</v>
      </c>
      <c r="AD30" s="53">
        <v>0</v>
      </c>
      <c r="AE30" s="53">
        <v>0</v>
      </c>
      <c r="AF30" s="53">
        <v>0</v>
      </c>
      <c r="AG30" s="53">
        <v>200</v>
      </c>
    </row>
    <row r="31" spans="2:38">
      <c r="B31" s="11" t="s">
        <v>108</v>
      </c>
      <c r="C31" s="10" t="s">
        <v>109</v>
      </c>
      <c r="D31" s="10" t="s">
        <v>110</v>
      </c>
      <c r="E31" s="10" t="s">
        <v>111</v>
      </c>
      <c r="F31" s="10" t="s">
        <v>112</v>
      </c>
      <c r="G31" s="10" t="s">
        <v>113</v>
      </c>
      <c r="H31" s="10" t="s">
        <v>108</v>
      </c>
      <c r="I31" s="10" t="s">
        <v>109</v>
      </c>
      <c r="J31" s="10" t="s">
        <v>110</v>
      </c>
      <c r="K31" s="10" t="s">
        <v>111</v>
      </c>
      <c r="L31" s="10" t="s">
        <v>112</v>
      </c>
      <c r="M31" s="10" t="s">
        <v>113</v>
      </c>
      <c r="N31" s="10" t="s">
        <v>116</v>
      </c>
      <c r="O31" s="10"/>
      <c r="P31" s="10"/>
      <c r="Q31" s="10" t="s">
        <v>117</v>
      </c>
      <c r="R31" s="9" t="s">
        <v>118</v>
      </c>
      <c r="Z31" s="53">
        <v>14</v>
      </c>
      <c r="AA31" s="53">
        <v>1</v>
      </c>
      <c r="AB31" s="53">
        <v>0</v>
      </c>
      <c r="AC31" s="53">
        <v>1</v>
      </c>
      <c r="AD31" s="53">
        <v>0</v>
      </c>
      <c r="AE31" s="53">
        <v>0</v>
      </c>
      <c r="AF31" s="53">
        <v>0</v>
      </c>
      <c r="AG31" s="53">
        <v>200</v>
      </c>
    </row>
    <row r="32" spans="2:38">
      <c r="B32" s="8" t="str">
        <f>$B$4</f>
        <v>AA</v>
      </c>
      <c r="C32" s="7" t="str">
        <f>$B32</f>
        <v>AA</v>
      </c>
      <c r="D32" s="7" t="str">
        <f>$B32</f>
        <v>AA</v>
      </c>
      <c r="E32" s="7" t="str">
        <f>$B32</f>
        <v>AA</v>
      </c>
      <c r="F32" s="7" t="str">
        <f>$B32</f>
        <v>AA</v>
      </c>
      <c r="G32" s="7" t="str">
        <f>$B32</f>
        <v>AA</v>
      </c>
      <c r="H32" s="7">
        <f>SUMIF($B$3:$B$29,B32,C$3:C$29)</f>
        <v>18</v>
      </c>
      <c r="I32" s="7">
        <f t="shared" ref="I32:M32" si="4">SUMIF($B$3:$B$29,C32,D$3:D$29)</f>
        <v>16</v>
      </c>
      <c r="J32" s="7">
        <f t="shared" si="4"/>
        <v>18</v>
      </c>
      <c r="K32" s="7">
        <f t="shared" si="4"/>
        <v>22</v>
      </c>
      <c r="L32" s="7">
        <f t="shared" si="4"/>
        <v>10</v>
      </c>
      <c r="M32" s="7">
        <f t="shared" si="4"/>
        <v>10</v>
      </c>
      <c r="N32" s="7">
        <f>PRODUCT(H32:M32)</f>
        <v>11404800</v>
      </c>
      <c r="O32" s="7">
        <v>6</v>
      </c>
      <c r="P32" s="7" t="str">
        <f>B32</f>
        <v>AA</v>
      </c>
      <c r="Q32" s="7">
        <f>INDEX($S$3:$V$15,MATCH(P32,$R$3:$R$15,0),MATCH(O32,$S$2:$V$2,0))</f>
        <v>150</v>
      </c>
      <c r="R32" s="6">
        <f>Q32*N32</f>
        <v>1710720000</v>
      </c>
      <c r="Z32" s="53">
        <v>15</v>
      </c>
      <c r="AA32" s="53">
        <v>1</v>
      </c>
      <c r="AB32" s="53">
        <v>1</v>
      </c>
      <c r="AC32" s="53">
        <v>0</v>
      </c>
      <c r="AD32" s="53">
        <v>0</v>
      </c>
      <c r="AE32" s="53">
        <v>0</v>
      </c>
      <c r="AF32" s="53">
        <v>0</v>
      </c>
      <c r="AG32" s="53">
        <v>200</v>
      </c>
    </row>
    <row r="33" spans="2:33">
      <c r="B33" s="5" t="str">
        <f>$B32</f>
        <v>AA</v>
      </c>
      <c r="C33" t="str">
        <f>$B32</f>
        <v>AA</v>
      </c>
      <c r="D33" t="str">
        <f>$B32</f>
        <v>AA</v>
      </c>
      <c r="E33" t="str">
        <f>$B32</f>
        <v>AA</v>
      </c>
      <c r="F33" t="str">
        <f>$B32</f>
        <v>AA</v>
      </c>
      <c r="G33" t="str">
        <f>F33&amp;"-0"</f>
        <v>AA-0</v>
      </c>
      <c r="H33">
        <f>SUMIF($B$3:$B$29,B33,C$3:C$29)</f>
        <v>18</v>
      </c>
      <c r="I33">
        <f t="shared" ref="I33" si="5">SUMIF($B$3:$B$29,C33,D$3:D$29)</f>
        <v>16</v>
      </c>
      <c r="J33">
        <f t="shared" ref="J33" si="6">SUMIF($B$3:$B$29,D33,E$3:E$29)</f>
        <v>18</v>
      </c>
      <c r="K33">
        <f t="shared" ref="K33" si="7">SUMIF($B$3:$B$29,E33,F$3:F$29)</f>
        <v>22</v>
      </c>
      <c r="L33">
        <f t="shared" ref="L33" si="8">SUMIF($B$3:$B$29,F33,G$3:G$29)</f>
        <v>10</v>
      </c>
      <c r="M33">
        <f t="shared" ref="M33" si="9">SUMIF($B$3:$B$29,G33,H$3:H$29)</f>
        <v>75</v>
      </c>
      <c r="N33">
        <f>PRODUCT(H33:M33)</f>
        <v>85536000</v>
      </c>
      <c r="O33">
        <v>5</v>
      </c>
      <c r="P33" t="str">
        <f>B33</f>
        <v>AA</v>
      </c>
      <c r="Q33">
        <f>INDEX($S$3:$V$15,MATCH(P33,$R$3:$R$15,0),MATCH(O33,$S$2:$V$2,0))</f>
        <v>60</v>
      </c>
      <c r="R33" s="4">
        <f>Q33*N33</f>
        <v>5132160000</v>
      </c>
      <c r="Z33" s="53">
        <v>16</v>
      </c>
      <c r="AA33" s="53">
        <v>0</v>
      </c>
      <c r="AB33" s="53">
        <v>0</v>
      </c>
      <c r="AC33" s="53">
        <v>0</v>
      </c>
      <c r="AD33" s="53">
        <v>1</v>
      </c>
      <c r="AE33" s="53">
        <v>1</v>
      </c>
      <c r="AF33" s="53">
        <v>1</v>
      </c>
      <c r="AG33" s="53">
        <v>500</v>
      </c>
    </row>
    <row r="34" spans="2:33">
      <c r="B34" s="5" t="str">
        <f>$B32</f>
        <v>AA</v>
      </c>
      <c r="C34" t="str">
        <f>$B32</f>
        <v>AA</v>
      </c>
      <c r="D34" t="str">
        <f>$B32</f>
        <v>AA</v>
      </c>
      <c r="E34" t="str">
        <f>$B32</f>
        <v>AA</v>
      </c>
      <c r="F34" t="str">
        <f>E34&amp;"-0"</f>
        <v>AA-0</v>
      </c>
      <c r="G34" t="str">
        <f>$B$29</f>
        <v>---</v>
      </c>
      <c r="H34">
        <f t="shared" ref="H34:H35" si="10">SUMIF($B$3:$B$29,B34,C$3:C$29)</f>
        <v>18</v>
      </c>
      <c r="I34">
        <f t="shared" ref="I34:I35" si="11">SUMIF($B$3:$B$29,C34,D$3:D$29)</f>
        <v>16</v>
      </c>
      <c r="J34">
        <f t="shared" ref="J34:J35" si="12">SUMIF($B$3:$B$29,D34,E$3:E$29)</f>
        <v>18</v>
      </c>
      <c r="K34">
        <f t="shared" ref="K34:K35" si="13">SUMIF($B$3:$B$29,E34,F$3:F$29)</f>
        <v>22</v>
      </c>
      <c r="L34">
        <f t="shared" ref="L34:L35" si="14">SUMIF($B$3:$B$29,F34,G$3:G$29)</f>
        <v>30</v>
      </c>
      <c r="M34">
        <f t="shared" ref="M34:M35" si="15">SUMIF($B$3:$B$29,G34,H$3:H$29)</f>
        <v>83</v>
      </c>
      <c r="N34">
        <f t="shared" ref="N34:N35" si="16">PRODUCT(H34:M34)</f>
        <v>283979520</v>
      </c>
      <c r="O34">
        <v>4</v>
      </c>
      <c r="P34" t="str">
        <f t="shared" ref="P34:P35" si="17">B34</f>
        <v>AA</v>
      </c>
      <c r="Q34">
        <f t="shared" ref="Q34:Q35" si="18">INDEX($S$3:$V$15,MATCH(P34,$R$3:$R$15,0),MATCH(O34,$S$2:$V$2,0))</f>
        <v>40</v>
      </c>
      <c r="R34" s="4">
        <f t="shared" ref="R34:R35" si="19">Q34*N34</f>
        <v>11359180800</v>
      </c>
      <c r="Z34" s="53">
        <v>17</v>
      </c>
      <c r="AA34" s="53">
        <v>0</v>
      </c>
      <c r="AB34" s="53">
        <v>0</v>
      </c>
      <c r="AC34" s="53">
        <v>1</v>
      </c>
      <c r="AD34" s="53">
        <v>0</v>
      </c>
      <c r="AE34" s="53">
        <v>1</v>
      </c>
      <c r="AF34" s="53">
        <v>1</v>
      </c>
      <c r="AG34" s="53">
        <v>500</v>
      </c>
    </row>
    <row r="35" spans="2:33">
      <c r="B35" s="5" t="str">
        <f>$B33</f>
        <v>AA</v>
      </c>
      <c r="C35" t="str">
        <f>$B32</f>
        <v>AA</v>
      </c>
      <c r="D35" t="str">
        <f>$B32</f>
        <v>AA</v>
      </c>
      <c r="E35" t="str">
        <f>D35&amp;"-0"</f>
        <v>AA-0</v>
      </c>
      <c r="F35" t="str">
        <f>$B$29</f>
        <v>---</v>
      </c>
      <c r="G35" t="str">
        <f>$B$29</f>
        <v>---</v>
      </c>
      <c r="H35">
        <f t="shared" si="10"/>
        <v>18</v>
      </c>
      <c r="I35">
        <f t="shared" si="11"/>
        <v>16</v>
      </c>
      <c r="J35">
        <f t="shared" si="12"/>
        <v>18</v>
      </c>
      <c r="K35">
        <f t="shared" si="13"/>
        <v>39</v>
      </c>
      <c r="L35">
        <f t="shared" si="14"/>
        <v>38</v>
      </c>
      <c r="M35">
        <f t="shared" si="15"/>
        <v>83</v>
      </c>
      <c r="N35">
        <f t="shared" si="16"/>
        <v>637663104</v>
      </c>
      <c r="O35">
        <v>3</v>
      </c>
      <c r="P35" t="str">
        <f t="shared" si="17"/>
        <v>AA</v>
      </c>
      <c r="Q35">
        <f t="shared" si="18"/>
        <v>15</v>
      </c>
      <c r="R35" s="4">
        <f t="shared" si="19"/>
        <v>9564946560</v>
      </c>
      <c r="Z35" s="53">
        <v>18</v>
      </c>
      <c r="AA35" s="53">
        <v>0</v>
      </c>
      <c r="AB35" s="53">
        <v>1</v>
      </c>
      <c r="AC35" s="53">
        <v>0</v>
      </c>
      <c r="AD35" s="53">
        <v>0</v>
      </c>
      <c r="AE35" s="53">
        <v>1</v>
      </c>
      <c r="AF35" s="53">
        <v>1</v>
      </c>
      <c r="AG35" s="53">
        <v>500</v>
      </c>
    </row>
    <row r="36" spans="2:33">
      <c r="B36" s="5"/>
      <c r="R36" s="4"/>
      <c r="Z36" s="53">
        <v>19</v>
      </c>
      <c r="AA36" s="53">
        <v>1</v>
      </c>
      <c r="AB36" s="53">
        <v>0</v>
      </c>
      <c r="AC36" s="53">
        <v>0</v>
      </c>
      <c r="AD36" s="53">
        <v>0</v>
      </c>
      <c r="AE36" s="53">
        <v>1</v>
      </c>
      <c r="AF36" s="53">
        <v>1</v>
      </c>
      <c r="AG36" s="53">
        <v>500</v>
      </c>
    </row>
    <row r="37" spans="2:33">
      <c r="B37" s="8" t="str">
        <f>$B$5</f>
        <v>BB</v>
      </c>
      <c r="C37" s="7" t="str">
        <f>$B37</f>
        <v>BB</v>
      </c>
      <c r="D37" s="7" t="str">
        <f>$B37</f>
        <v>BB</v>
      </c>
      <c r="E37" s="7" t="str">
        <f>$B37</f>
        <v>BB</v>
      </c>
      <c r="F37" s="7" t="str">
        <f>$B37</f>
        <v>BB</v>
      </c>
      <c r="G37" s="7" t="str">
        <f>$B37</f>
        <v>BB</v>
      </c>
      <c r="H37" s="7">
        <f>SUMIF($B$3:$B$29,B37,C$3:C$29)</f>
        <v>8</v>
      </c>
      <c r="I37" s="7">
        <f t="shared" ref="I37:I40" si="20">SUMIF($B$3:$B$29,C37,D$3:D$29)</f>
        <v>22</v>
      </c>
      <c r="J37" s="7">
        <f t="shared" ref="J37:J40" si="21">SUMIF($B$3:$B$29,D37,E$3:E$29)</f>
        <v>18</v>
      </c>
      <c r="K37" s="7">
        <f t="shared" ref="K37:K40" si="22">SUMIF($B$3:$B$29,E37,F$3:F$29)</f>
        <v>10</v>
      </c>
      <c r="L37" s="7">
        <f t="shared" ref="L37:L40" si="23">SUMIF($B$3:$B$29,F37,G$3:G$29)</f>
        <v>12</v>
      </c>
      <c r="M37" s="7">
        <f t="shared" ref="M37:M40" si="24">SUMIF($B$3:$B$29,G37,H$3:H$29)</f>
        <v>18</v>
      </c>
      <c r="N37" s="7">
        <f>PRODUCT(H37:M37)</f>
        <v>6842880</v>
      </c>
      <c r="O37" s="7">
        <v>6</v>
      </c>
      <c r="P37" s="7" t="str">
        <f>B37</f>
        <v>BB</v>
      </c>
      <c r="Q37" s="7">
        <f>INDEX($S$3:$V$15,MATCH(P37,$R$3:$R$15,0),MATCH(O37,$S$2:$V$2,0))</f>
        <v>60</v>
      </c>
      <c r="R37" s="6">
        <f>Q37*N37</f>
        <v>410572800</v>
      </c>
      <c r="Z37" s="53">
        <v>20</v>
      </c>
      <c r="AA37" s="53">
        <v>0</v>
      </c>
      <c r="AB37" s="53">
        <v>0</v>
      </c>
      <c r="AC37" s="53">
        <v>1</v>
      </c>
      <c r="AD37" s="53">
        <v>1</v>
      </c>
      <c r="AE37" s="53">
        <v>0</v>
      </c>
      <c r="AF37" s="53">
        <v>1</v>
      </c>
      <c r="AG37" s="53">
        <v>500</v>
      </c>
    </row>
    <row r="38" spans="2:33">
      <c r="B38" s="5" t="str">
        <f>$B37</f>
        <v>BB</v>
      </c>
      <c r="C38" t="str">
        <f>$B37</f>
        <v>BB</v>
      </c>
      <c r="D38" t="str">
        <f>$B37</f>
        <v>BB</v>
      </c>
      <c r="E38" t="str">
        <f>$B37</f>
        <v>BB</v>
      </c>
      <c r="F38" t="str">
        <f>$B37</f>
        <v>BB</v>
      </c>
      <c r="G38" t="str">
        <f>F38&amp;"-0"</f>
        <v>BB-0</v>
      </c>
      <c r="H38">
        <f>SUMIF($B$3:$B$29,B38,C$3:C$29)</f>
        <v>8</v>
      </c>
      <c r="I38">
        <f t="shared" si="20"/>
        <v>22</v>
      </c>
      <c r="J38">
        <f t="shared" si="21"/>
        <v>18</v>
      </c>
      <c r="K38">
        <f t="shared" si="22"/>
        <v>10</v>
      </c>
      <c r="L38">
        <f t="shared" si="23"/>
        <v>12</v>
      </c>
      <c r="M38">
        <f t="shared" si="24"/>
        <v>67</v>
      </c>
      <c r="N38">
        <f>PRODUCT(H38:M38)</f>
        <v>25470720</v>
      </c>
      <c r="O38">
        <v>5</v>
      </c>
      <c r="P38" t="str">
        <f>B38</f>
        <v>BB</v>
      </c>
      <c r="Q38">
        <f>INDEX($S$3:$V$15,MATCH(P38,$R$3:$R$15,0),MATCH(O38,$S$2:$V$2,0))</f>
        <v>30</v>
      </c>
      <c r="R38" s="4">
        <f>Q38*N38</f>
        <v>764121600</v>
      </c>
      <c r="Z38" s="53">
        <v>21</v>
      </c>
      <c r="AA38" s="53">
        <v>0</v>
      </c>
      <c r="AB38" s="53">
        <v>1</v>
      </c>
      <c r="AC38" s="53">
        <v>0</v>
      </c>
      <c r="AD38" s="53">
        <v>1</v>
      </c>
      <c r="AE38" s="53">
        <v>0</v>
      </c>
      <c r="AF38" s="53">
        <v>1</v>
      </c>
      <c r="AG38" s="53">
        <v>500</v>
      </c>
    </row>
    <row r="39" spans="2:33">
      <c r="B39" s="5" t="str">
        <f>$B37</f>
        <v>BB</v>
      </c>
      <c r="C39" t="str">
        <f>$B37</f>
        <v>BB</v>
      </c>
      <c r="D39" t="str">
        <f>$B37</f>
        <v>BB</v>
      </c>
      <c r="E39" t="str">
        <f>$B37</f>
        <v>BB</v>
      </c>
      <c r="F39" t="str">
        <f>E39&amp;"-0"</f>
        <v>BB-0</v>
      </c>
      <c r="G39" t="str">
        <f>$B$29</f>
        <v>---</v>
      </c>
      <c r="H39">
        <f t="shared" ref="H39:H40" si="25">SUMIF($B$3:$B$29,B39,C$3:C$29)</f>
        <v>8</v>
      </c>
      <c r="I39">
        <f t="shared" si="20"/>
        <v>22</v>
      </c>
      <c r="J39">
        <f t="shared" si="21"/>
        <v>18</v>
      </c>
      <c r="K39">
        <f t="shared" si="22"/>
        <v>10</v>
      </c>
      <c r="L39">
        <f t="shared" si="23"/>
        <v>28</v>
      </c>
      <c r="M39">
        <f t="shared" si="24"/>
        <v>83</v>
      </c>
      <c r="N39">
        <f t="shared" ref="N39:N40" si="26">PRODUCT(H39:M39)</f>
        <v>73624320</v>
      </c>
      <c r="O39">
        <v>4</v>
      </c>
      <c r="P39" t="str">
        <f t="shared" ref="P39:P40" si="27">B39</f>
        <v>BB</v>
      </c>
      <c r="Q39">
        <f t="shared" ref="Q39:Q40" si="28">INDEX($S$3:$V$15,MATCH(P39,$R$3:$R$15,0),MATCH(O39,$S$2:$V$2,0))</f>
        <v>20</v>
      </c>
      <c r="R39" s="4">
        <f t="shared" ref="R39:R40" si="29">Q39*N39</f>
        <v>1472486400</v>
      </c>
      <c r="Z39" s="53">
        <v>22</v>
      </c>
      <c r="AA39" s="53">
        <v>1</v>
      </c>
      <c r="AB39" s="53">
        <v>0</v>
      </c>
      <c r="AC39" s="53">
        <v>0</v>
      </c>
      <c r="AD39" s="53">
        <v>1</v>
      </c>
      <c r="AE39" s="53">
        <v>0</v>
      </c>
      <c r="AF39" s="53">
        <v>1</v>
      </c>
      <c r="AG39" s="53">
        <v>500</v>
      </c>
    </row>
    <row r="40" spans="2:33">
      <c r="B40" s="5" t="str">
        <f>$B38</f>
        <v>BB</v>
      </c>
      <c r="C40" t="str">
        <f>$B37</f>
        <v>BB</v>
      </c>
      <c r="D40" t="str">
        <f>$B37</f>
        <v>BB</v>
      </c>
      <c r="E40" t="str">
        <f>D40&amp;"-0"</f>
        <v>BB-0</v>
      </c>
      <c r="F40" t="str">
        <f>$B$29</f>
        <v>---</v>
      </c>
      <c r="G40" t="str">
        <f>$B$29</f>
        <v>---</v>
      </c>
      <c r="H40">
        <f t="shared" si="25"/>
        <v>8</v>
      </c>
      <c r="I40">
        <f t="shared" si="20"/>
        <v>22</v>
      </c>
      <c r="J40">
        <f t="shared" si="21"/>
        <v>18</v>
      </c>
      <c r="K40">
        <f t="shared" si="22"/>
        <v>52</v>
      </c>
      <c r="L40">
        <f t="shared" si="23"/>
        <v>38</v>
      </c>
      <c r="M40">
        <f t="shared" si="24"/>
        <v>83</v>
      </c>
      <c r="N40">
        <f t="shared" si="26"/>
        <v>519577344</v>
      </c>
      <c r="O40">
        <v>3</v>
      </c>
      <c r="P40" t="str">
        <f t="shared" si="27"/>
        <v>BB</v>
      </c>
      <c r="Q40">
        <f t="shared" si="28"/>
        <v>10</v>
      </c>
      <c r="R40" s="4">
        <f t="shared" si="29"/>
        <v>5195773440</v>
      </c>
      <c r="Z40" s="53">
        <v>23</v>
      </c>
      <c r="AA40" s="53">
        <v>0</v>
      </c>
      <c r="AB40" s="53">
        <v>1</v>
      </c>
      <c r="AC40" s="53">
        <v>1</v>
      </c>
      <c r="AD40" s="53">
        <v>0</v>
      </c>
      <c r="AE40" s="53">
        <v>0</v>
      </c>
      <c r="AF40" s="53">
        <v>1</v>
      </c>
      <c r="AG40" s="53">
        <v>500</v>
      </c>
    </row>
    <row r="41" spans="2:33">
      <c r="B41" s="5"/>
      <c r="R41" s="4"/>
      <c r="Z41" s="53">
        <v>24</v>
      </c>
      <c r="AA41" s="53">
        <v>1</v>
      </c>
      <c r="AB41" s="53">
        <v>0</v>
      </c>
      <c r="AC41" s="53">
        <v>1</v>
      </c>
      <c r="AD41" s="53">
        <v>0</v>
      </c>
      <c r="AE41" s="53">
        <v>0</v>
      </c>
      <c r="AF41" s="53">
        <v>1</v>
      </c>
      <c r="AG41" s="53">
        <v>500</v>
      </c>
    </row>
    <row r="42" spans="2:33">
      <c r="B42" s="8" t="str">
        <f>$B$6</f>
        <v>CC</v>
      </c>
      <c r="C42" s="7" t="str">
        <f>$B42</f>
        <v>CC</v>
      </c>
      <c r="D42" s="7" t="str">
        <f>$B42</f>
        <v>CC</v>
      </c>
      <c r="E42" s="7" t="str">
        <f>$B42</f>
        <v>CC</v>
      </c>
      <c r="F42" s="7" t="str">
        <f>$B42</f>
        <v>CC</v>
      </c>
      <c r="G42" s="7" t="str">
        <f>$B42</f>
        <v>CC</v>
      </c>
      <c r="H42" s="7">
        <f>SUMIF($B$3:$B$29,B42,C$3:C$29)</f>
        <v>10</v>
      </c>
      <c r="I42" s="7">
        <f t="shared" ref="I42:I45" si="30">SUMIF($B$3:$B$29,C42,D$3:D$29)</f>
        <v>18</v>
      </c>
      <c r="J42" s="7">
        <f t="shared" ref="J42:J45" si="31">SUMIF($B$3:$B$29,D42,E$3:E$29)</f>
        <v>18</v>
      </c>
      <c r="K42" s="7">
        <f t="shared" ref="K42:K45" si="32">SUMIF($B$3:$B$29,E42,F$3:F$29)</f>
        <v>22</v>
      </c>
      <c r="L42" s="7">
        <f t="shared" ref="L42:L45" si="33">SUMIF($B$3:$B$29,F42,G$3:G$29)</f>
        <v>12</v>
      </c>
      <c r="M42" s="7">
        <f t="shared" ref="M42:M45" si="34">SUMIF($B$3:$B$29,G42,H$3:H$29)</f>
        <v>26</v>
      </c>
      <c r="N42" s="7">
        <f>PRODUCT(H42:M42)</f>
        <v>22239360</v>
      </c>
      <c r="O42" s="7">
        <v>6</v>
      </c>
      <c r="P42" s="7" t="str">
        <f>B42</f>
        <v>CC</v>
      </c>
      <c r="Q42" s="7">
        <f>INDEX($S$3:$V$15,MATCH(P42,$R$3:$R$15,0),MATCH(O42,$S$2:$V$2,0))</f>
        <v>40</v>
      </c>
      <c r="R42" s="6">
        <f>Q42*N42</f>
        <v>889574400</v>
      </c>
      <c r="Z42" s="53">
        <v>25</v>
      </c>
      <c r="AA42" s="53">
        <v>1</v>
      </c>
      <c r="AB42" s="53">
        <v>1</v>
      </c>
      <c r="AC42" s="53">
        <v>0</v>
      </c>
      <c r="AD42" s="53">
        <v>0</v>
      </c>
      <c r="AE42" s="53">
        <v>0</v>
      </c>
      <c r="AF42" s="53">
        <v>1</v>
      </c>
      <c r="AG42" s="53">
        <v>500</v>
      </c>
    </row>
    <row r="43" spans="2:33">
      <c r="B43" s="5" t="str">
        <f>$B42</f>
        <v>CC</v>
      </c>
      <c r="C43" t="str">
        <f>$B42</f>
        <v>CC</v>
      </c>
      <c r="D43" t="str">
        <f>$B42</f>
        <v>CC</v>
      </c>
      <c r="E43" t="str">
        <f>$B42</f>
        <v>CC</v>
      </c>
      <c r="F43" t="str">
        <f>$B42</f>
        <v>CC</v>
      </c>
      <c r="G43" t="str">
        <f>F43&amp;"-0"</f>
        <v>CC-0</v>
      </c>
      <c r="H43">
        <f>SUMIF($B$3:$B$29,B43,C$3:C$29)</f>
        <v>10</v>
      </c>
      <c r="I43">
        <f t="shared" si="30"/>
        <v>18</v>
      </c>
      <c r="J43">
        <f t="shared" si="31"/>
        <v>18</v>
      </c>
      <c r="K43">
        <f t="shared" si="32"/>
        <v>22</v>
      </c>
      <c r="L43">
        <f t="shared" si="33"/>
        <v>12</v>
      </c>
      <c r="M43">
        <f t="shared" si="34"/>
        <v>60</v>
      </c>
      <c r="N43">
        <f>PRODUCT(H43:M43)</f>
        <v>51321600</v>
      </c>
      <c r="O43">
        <v>5</v>
      </c>
      <c r="P43" t="str">
        <f>B43</f>
        <v>CC</v>
      </c>
      <c r="Q43">
        <f>INDEX($S$3:$V$15,MATCH(P43,$R$3:$R$15,0),MATCH(O43,$S$2:$V$2,0))</f>
        <v>20</v>
      </c>
      <c r="R43" s="4">
        <f>Q43*N43</f>
        <v>1026432000</v>
      </c>
      <c r="Z43" s="53">
        <v>26</v>
      </c>
      <c r="AA43" s="53">
        <v>0</v>
      </c>
      <c r="AB43" s="53">
        <v>0</v>
      </c>
      <c r="AC43" s="53">
        <v>1</v>
      </c>
      <c r="AD43" s="53">
        <v>1</v>
      </c>
      <c r="AE43" s="53">
        <v>1</v>
      </c>
      <c r="AF43" s="53">
        <v>0</v>
      </c>
      <c r="AG43" s="53">
        <v>500</v>
      </c>
    </row>
    <row r="44" spans="2:33">
      <c r="B44" s="5" t="str">
        <f>$B42</f>
        <v>CC</v>
      </c>
      <c r="C44" t="str">
        <f>$B42</f>
        <v>CC</v>
      </c>
      <c r="D44" t="str">
        <f>$B42</f>
        <v>CC</v>
      </c>
      <c r="E44" t="str">
        <f>$B42</f>
        <v>CC</v>
      </c>
      <c r="F44" t="str">
        <f>E44&amp;"-0"</f>
        <v>CC-0</v>
      </c>
      <c r="G44" t="str">
        <f>$B$29</f>
        <v>---</v>
      </c>
      <c r="H44">
        <f t="shared" ref="H44:H45" si="35">SUMIF($B$3:$B$29,B44,C$3:C$29)</f>
        <v>10</v>
      </c>
      <c r="I44">
        <f t="shared" si="30"/>
        <v>18</v>
      </c>
      <c r="J44">
        <f t="shared" si="31"/>
        <v>18</v>
      </c>
      <c r="K44">
        <f t="shared" si="32"/>
        <v>22</v>
      </c>
      <c r="L44">
        <f t="shared" si="33"/>
        <v>29</v>
      </c>
      <c r="M44">
        <f t="shared" si="34"/>
        <v>83</v>
      </c>
      <c r="N44">
        <f t="shared" ref="N44:N45" si="36">PRODUCT(H44:M44)</f>
        <v>171570960</v>
      </c>
      <c r="O44">
        <v>4</v>
      </c>
      <c r="P44" t="str">
        <f t="shared" ref="P44:P45" si="37">B44</f>
        <v>CC</v>
      </c>
      <c r="Q44">
        <f t="shared" ref="Q44:Q45" si="38">INDEX($S$3:$V$15,MATCH(P44,$R$3:$R$15,0),MATCH(O44,$S$2:$V$2,0))</f>
        <v>15</v>
      </c>
      <c r="R44" s="4">
        <f t="shared" ref="R44:R45" si="39">Q44*N44</f>
        <v>2573564400</v>
      </c>
      <c r="Z44" s="53">
        <v>27</v>
      </c>
      <c r="AA44" s="53">
        <v>0</v>
      </c>
      <c r="AB44" s="53">
        <v>1</v>
      </c>
      <c r="AC44" s="53">
        <v>0</v>
      </c>
      <c r="AD44" s="53">
        <v>1</v>
      </c>
      <c r="AE44" s="53">
        <v>1</v>
      </c>
      <c r="AF44" s="53">
        <v>0</v>
      </c>
      <c r="AG44" s="53">
        <v>500</v>
      </c>
    </row>
    <row r="45" spans="2:33">
      <c r="B45" s="5" t="str">
        <f>$B43</f>
        <v>CC</v>
      </c>
      <c r="C45" t="str">
        <f>$B42</f>
        <v>CC</v>
      </c>
      <c r="D45" t="str">
        <f>$B42</f>
        <v>CC</v>
      </c>
      <c r="E45" t="str">
        <f>D45&amp;"-0"</f>
        <v>CC-0</v>
      </c>
      <c r="F45" t="str">
        <f>$B$29</f>
        <v>---</v>
      </c>
      <c r="G45" t="str">
        <f>$B$29</f>
        <v>---</v>
      </c>
      <c r="H45">
        <f t="shared" si="35"/>
        <v>10</v>
      </c>
      <c r="I45">
        <f t="shared" si="30"/>
        <v>18</v>
      </c>
      <c r="J45">
        <f t="shared" si="31"/>
        <v>18</v>
      </c>
      <c r="K45">
        <f t="shared" si="32"/>
        <v>40</v>
      </c>
      <c r="L45">
        <f t="shared" si="33"/>
        <v>38</v>
      </c>
      <c r="M45">
        <f t="shared" si="34"/>
        <v>83</v>
      </c>
      <c r="N45">
        <f t="shared" si="36"/>
        <v>408758400</v>
      </c>
      <c r="O45">
        <v>3</v>
      </c>
      <c r="P45" t="str">
        <f t="shared" si="37"/>
        <v>CC</v>
      </c>
      <c r="Q45">
        <f t="shared" si="38"/>
        <v>7</v>
      </c>
      <c r="R45" s="4">
        <f t="shared" si="39"/>
        <v>2861308800</v>
      </c>
      <c r="Z45" s="53">
        <v>28</v>
      </c>
      <c r="AA45" s="53">
        <v>1</v>
      </c>
      <c r="AB45" s="53">
        <v>0</v>
      </c>
      <c r="AC45" s="53">
        <v>0</v>
      </c>
      <c r="AD45" s="53">
        <v>1</v>
      </c>
      <c r="AE45" s="53">
        <v>1</v>
      </c>
      <c r="AF45" s="53">
        <v>0</v>
      </c>
      <c r="AG45" s="53">
        <v>500</v>
      </c>
    </row>
    <row r="46" spans="2:33">
      <c r="B46" s="5"/>
      <c r="R46" s="4"/>
      <c r="Z46" s="53">
        <v>29</v>
      </c>
      <c r="AA46" s="53">
        <v>0</v>
      </c>
      <c r="AB46" s="53">
        <v>1</v>
      </c>
      <c r="AC46" s="53">
        <v>1</v>
      </c>
      <c r="AD46" s="53">
        <v>0</v>
      </c>
      <c r="AE46" s="53">
        <v>1</v>
      </c>
      <c r="AF46" s="53">
        <v>0</v>
      </c>
      <c r="AG46" s="53">
        <v>500</v>
      </c>
    </row>
    <row r="47" spans="2:33">
      <c r="B47" s="8" t="str">
        <f>$B$7</f>
        <v>DD</v>
      </c>
      <c r="C47" s="7" t="str">
        <f>$B47</f>
        <v>DD</v>
      </c>
      <c r="D47" s="7" t="str">
        <f>$B47</f>
        <v>DD</v>
      </c>
      <c r="E47" s="7" t="str">
        <f>$B47</f>
        <v>DD</v>
      </c>
      <c r="F47" s="7" t="str">
        <f>$B47</f>
        <v>DD</v>
      </c>
      <c r="G47" s="7" t="str">
        <f>$B47</f>
        <v>DD</v>
      </c>
      <c r="H47" s="7">
        <f>SUMIF($B$3:$B$29,B47,C$3:C$29)</f>
        <v>18</v>
      </c>
      <c r="I47" s="7">
        <f t="shared" ref="I47:I50" si="40">SUMIF($B$3:$B$29,C47,D$3:D$29)</f>
        <v>8</v>
      </c>
      <c r="J47" s="7">
        <f t="shared" ref="J47:J50" si="41">SUMIF($B$3:$B$29,D47,E$3:E$29)</f>
        <v>10</v>
      </c>
      <c r="K47" s="7">
        <f t="shared" ref="K47:K50" si="42">SUMIF($B$3:$B$29,E47,F$3:F$29)</f>
        <v>4</v>
      </c>
      <c r="L47" s="7">
        <f t="shared" ref="L47:L50" si="43">SUMIF($B$3:$B$29,F47,G$3:G$29)</f>
        <v>4</v>
      </c>
      <c r="M47" s="7">
        <f t="shared" ref="M47:M50" si="44">SUMIF($B$3:$B$29,G47,H$3:H$29)</f>
        <v>20</v>
      </c>
      <c r="N47" s="7">
        <f>PRODUCT(H47:M47)</f>
        <v>460800</v>
      </c>
      <c r="O47" s="7">
        <v>6</v>
      </c>
      <c r="P47" s="7" t="str">
        <f>B47</f>
        <v>DD</v>
      </c>
      <c r="Q47" s="7">
        <f>INDEX($S$3:$V$15,MATCH(P47,$R$3:$R$15,0),MATCH(O47,$S$2:$V$2,0))</f>
        <v>30</v>
      </c>
      <c r="R47" s="6">
        <f>Q47*N47</f>
        <v>13824000</v>
      </c>
      <c r="Z47" s="53">
        <v>30</v>
      </c>
      <c r="AA47" s="53">
        <v>1</v>
      </c>
      <c r="AB47" s="53">
        <v>0</v>
      </c>
      <c r="AC47" s="53">
        <v>1</v>
      </c>
      <c r="AD47" s="53">
        <v>0</v>
      </c>
      <c r="AE47" s="53">
        <v>1</v>
      </c>
      <c r="AF47" s="53">
        <v>0</v>
      </c>
      <c r="AG47" s="53">
        <v>500</v>
      </c>
    </row>
    <row r="48" spans="2:33">
      <c r="B48" s="5" t="str">
        <f>$B47</f>
        <v>DD</v>
      </c>
      <c r="C48" t="str">
        <f>$B47</f>
        <v>DD</v>
      </c>
      <c r="D48" t="str">
        <f>$B47</f>
        <v>DD</v>
      </c>
      <c r="E48" t="str">
        <f>$B47</f>
        <v>DD</v>
      </c>
      <c r="F48" t="str">
        <f>$B47</f>
        <v>DD</v>
      </c>
      <c r="G48" t="str">
        <f>F48&amp;"-0"</f>
        <v>DD-0</v>
      </c>
      <c r="H48">
        <f>SUMIF($B$3:$B$29,B48,C$3:C$29)</f>
        <v>18</v>
      </c>
      <c r="I48">
        <f t="shared" si="40"/>
        <v>8</v>
      </c>
      <c r="J48">
        <f t="shared" si="41"/>
        <v>10</v>
      </c>
      <c r="K48">
        <f t="shared" si="42"/>
        <v>4</v>
      </c>
      <c r="L48">
        <f t="shared" si="43"/>
        <v>4</v>
      </c>
      <c r="M48">
        <f t="shared" si="44"/>
        <v>65</v>
      </c>
      <c r="N48">
        <f>PRODUCT(H48:M48)</f>
        <v>1497600</v>
      </c>
      <c r="O48">
        <v>5</v>
      </c>
      <c r="P48" t="str">
        <f>B48</f>
        <v>DD</v>
      </c>
      <c r="Q48">
        <f>INDEX($S$3:$V$15,MATCH(P48,$R$3:$R$15,0),MATCH(O48,$S$2:$V$2,0))</f>
        <v>15</v>
      </c>
      <c r="R48" s="4">
        <f>Q48*N48</f>
        <v>22464000</v>
      </c>
      <c r="Z48" s="53">
        <v>31</v>
      </c>
      <c r="AA48" s="53">
        <v>1</v>
      </c>
      <c r="AB48" s="53">
        <v>1</v>
      </c>
      <c r="AC48" s="53">
        <v>0</v>
      </c>
      <c r="AD48" s="53">
        <v>0</v>
      </c>
      <c r="AE48" s="53">
        <v>1</v>
      </c>
      <c r="AF48" s="53">
        <v>0</v>
      </c>
      <c r="AG48" s="53">
        <v>500</v>
      </c>
    </row>
    <row r="49" spans="2:33">
      <c r="B49" s="5" t="str">
        <f>$B47</f>
        <v>DD</v>
      </c>
      <c r="C49" t="str">
        <f>$B47</f>
        <v>DD</v>
      </c>
      <c r="D49" t="str">
        <f>$B47</f>
        <v>DD</v>
      </c>
      <c r="E49" t="str">
        <f>$B47</f>
        <v>DD</v>
      </c>
      <c r="F49" t="str">
        <f>E49&amp;"-0"</f>
        <v>DD-0</v>
      </c>
      <c r="G49" t="str">
        <f>$B$29</f>
        <v>---</v>
      </c>
      <c r="H49">
        <f t="shared" ref="H49:H50" si="45">SUMIF($B$3:$B$29,B49,C$3:C$29)</f>
        <v>18</v>
      </c>
      <c r="I49">
        <f t="shared" si="40"/>
        <v>8</v>
      </c>
      <c r="J49">
        <f t="shared" si="41"/>
        <v>10</v>
      </c>
      <c r="K49">
        <f t="shared" si="42"/>
        <v>4</v>
      </c>
      <c r="L49">
        <f t="shared" si="43"/>
        <v>35</v>
      </c>
      <c r="M49">
        <f t="shared" si="44"/>
        <v>83</v>
      </c>
      <c r="N49">
        <f t="shared" ref="N49:N50" si="46">PRODUCT(H49:M49)</f>
        <v>16732800</v>
      </c>
      <c r="O49">
        <v>4</v>
      </c>
      <c r="P49" t="str">
        <f t="shared" ref="P49:P50" si="47">B49</f>
        <v>DD</v>
      </c>
      <c r="Q49">
        <f t="shared" ref="Q49:Q50" si="48">INDEX($S$3:$V$15,MATCH(P49,$R$3:$R$15,0),MATCH(O49,$S$2:$V$2,0))</f>
        <v>10</v>
      </c>
      <c r="R49" s="4">
        <f t="shared" ref="R49:R50" si="49">Q49*N49</f>
        <v>167328000</v>
      </c>
      <c r="Z49" s="53">
        <v>32</v>
      </c>
      <c r="AA49" s="53">
        <v>0</v>
      </c>
      <c r="AB49" s="53">
        <v>1</v>
      </c>
      <c r="AC49" s="53">
        <v>1</v>
      </c>
      <c r="AD49" s="53">
        <v>1</v>
      </c>
      <c r="AE49" s="53">
        <v>0</v>
      </c>
      <c r="AF49" s="53">
        <v>0</v>
      </c>
      <c r="AG49" s="53">
        <v>500</v>
      </c>
    </row>
    <row r="50" spans="2:33">
      <c r="B50" s="5" t="str">
        <f>$B48</f>
        <v>DD</v>
      </c>
      <c r="C50" t="str">
        <f>$B47</f>
        <v>DD</v>
      </c>
      <c r="D50" t="str">
        <f>$B47</f>
        <v>DD</v>
      </c>
      <c r="E50" t="str">
        <f>D50&amp;"-0"</f>
        <v>DD-0</v>
      </c>
      <c r="F50" t="str">
        <f>$B$29</f>
        <v>---</v>
      </c>
      <c r="G50" t="str">
        <f>$B$29</f>
        <v>---</v>
      </c>
      <c r="H50">
        <f t="shared" si="45"/>
        <v>18</v>
      </c>
      <c r="I50">
        <f t="shared" si="40"/>
        <v>8</v>
      </c>
      <c r="J50">
        <f t="shared" si="41"/>
        <v>10</v>
      </c>
      <c r="K50">
        <f t="shared" si="42"/>
        <v>55</v>
      </c>
      <c r="L50">
        <f t="shared" si="43"/>
        <v>38</v>
      </c>
      <c r="M50">
        <f t="shared" si="44"/>
        <v>83</v>
      </c>
      <c r="N50">
        <f t="shared" si="46"/>
        <v>249796800</v>
      </c>
      <c r="O50">
        <v>3</v>
      </c>
      <c r="P50" t="str">
        <f t="shared" si="47"/>
        <v>DD</v>
      </c>
      <c r="Q50">
        <f t="shared" si="48"/>
        <v>4</v>
      </c>
      <c r="R50" s="4">
        <f t="shared" si="49"/>
        <v>999187200</v>
      </c>
      <c r="Z50" s="53">
        <v>33</v>
      </c>
      <c r="AA50" s="53">
        <v>1</v>
      </c>
      <c r="AB50" s="53">
        <v>0</v>
      </c>
      <c r="AC50" s="53">
        <v>1</v>
      </c>
      <c r="AD50" s="53">
        <v>1</v>
      </c>
      <c r="AE50" s="53">
        <v>0</v>
      </c>
      <c r="AF50" s="53">
        <v>0</v>
      </c>
      <c r="AG50" s="53">
        <v>500</v>
      </c>
    </row>
    <row r="51" spans="2:33">
      <c r="B51" s="5"/>
      <c r="R51" s="4"/>
      <c r="Z51" s="53">
        <v>34</v>
      </c>
      <c r="AA51" s="53">
        <v>1</v>
      </c>
      <c r="AB51" s="53">
        <v>1</v>
      </c>
      <c r="AC51" s="53">
        <v>0</v>
      </c>
      <c r="AD51" s="53">
        <v>1</v>
      </c>
      <c r="AE51" s="53">
        <v>0</v>
      </c>
      <c r="AF51" s="53">
        <v>0</v>
      </c>
      <c r="AG51" s="53">
        <v>500</v>
      </c>
    </row>
    <row r="52" spans="2:33">
      <c r="B52" s="8" t="str">
        <f>$B$8</f>
        <v>EE</v>
      </c>
      <c r="C52" s="7" t="str">
        <f>$B52</f>
        <v>EE</v>
      </c>
      <c r="D52" s="7" t="str">
        <f>$B52</f>
        <v>EE</v>
      </c>
      <c r="E52" s="7" t="str">
        <f>$B52</f>
        <v>EE</v>
      </c>
      <c r="F52" s="7" t="str">
        <f>$B52</f>
        <v>EE</v>
      </c>
      <c r="G52" s="7" t="str">
        <f>$B52</f>
        <v>EE</v>
      </c>
      <c r="H52" s="7">
        <f>SUMIF($B$3:$B$29,B52,C$3:C$29)</f>
        <v>4</v>
      </c>
      <c r="I52" s="7">
        <f t="shared" ref="I52:I55" si="50">SUMIF($B$3:$B$29,C52,D$3:D$29)</f>
        <v>6</v>
      </c>
      <c r="J52" s="7">
        <f t="shared" ref="J52:J55" si="51">SUMIF($B$3:$B$29,D52,E$3:E$29)</f>
        <v>10</v>
      </c>
      <c r="K52" s="7">
        <f t="shared" ref="K52:K55" si="52">SUMIF($B$3:$B$29,E52,F$3:F$29)</f>
        <v>6</v>
      </c>
      <c r="L52" s="7">
        <f t="shared" ref="L52:L55" si="53">SUMIF($B$3:$B$29,F52,G$3:G$29)</f>
        <v>6</v>
      </c>
      <c r="M52" s="7">
        <f t="shared" ref="M52:M55" si="54">SUMIF($B$3:$B$29,G52,H$3:H$29)</f>
        <v>6</v>
      </c>
      <c r="N52" s="7">
        <f>PRODUCT(H52:M52)</f>
        <v>51840</v>
      </c>
      <c r="O52" s="7">
        <v>6</v>
      </c>
      <c r="P52" s="7" t="str">
        <f>B52</f>
        <v>EE</v>
      </c>
      <c r="Q52" s="7">
        <f>INDEX($S$3:$V$15,MATCH(P52,$R$3:$R$15,0),MATCH(O52,$S$2:$V$2,0))</f>
        <v>30</v>
      </c>
      <c r="R52" s="6">
        <f>Q52*N52</f>
        <v>1555200</v>
      </c>
      <c r="Z52" s="53">
        <v>35</v>
      </c>
      <c r="AA52" s="53">
        <v>1</v>
      </c>
      <c r="AB52" s="53">
        <v>1</v>
      </c>
      <c r="AC52" s="53">
        <v>1</v>
      </c>
      <c r="AD52" s="53">
        <v>0</v>
      </c>
      <c r="AE52" s="53">
        <v>0</v>
      </c>
      <c r="AF52" s="53">
        <v>0</v>
      </c>
      <c r="AG52" s="53">
        <v>500</v>
      </c>
    </row>
    <row r="53" spans="2:33">
      <c r="B53" s="5" t="str">
        <f>$B52</f>
        <v>EE</v>
      </c>
      <c r="C53" t="str">
        <f>$B52</f>
        <v>EE</v>
      </c>
      <c r="D53" t="str">
        <f>$B52</f>
        <v>EE</v>
      </c>
      <c r="E53" t="str">
        <f>$B52</f>
        <v>EE</v>
      </c>
      <c r="F53" t="str">
        <f>$B52</f>
        <v>EE</v>
      </c>
      <c r="G53" t="str">
        <f>F53&amp;"-0"</f>
        <v>EE-0</v>
      </c>
      <c r="H53">
        <f>SUMIF($B$3:$B$29,B53,C$3:C$29)</f>
        <v>4</v>
      </c>
      <c r="I53">
        <f t="shared" si="50"/>
        <v>6</v>
      </c>
      <c r="J53">
        <f t="shared" si="51"/>
        <v>10</v>
      </c>
      <c r="K53">
        <f t="shared" si="52"/>
        <v>6</v>
      </c>
      <c r="L53">
        <f t="shared" si="53"/>
        <v>6</v>
      </c>
      <c r="M53">
        <f t="shared" si="54"/>
        <v>77</v>
      </c>
      <c r="N53">
        <f>PRODUCT(H53:M53)</f>
        <v>665280</v>
      </c>
      <c r="O53">
        <v>5</v>
      </c>
      <c r="P53" t="str">
        <f>B53</f>
        <v>EE</v>
      </c>
      <c r="Q53">
        <f>INDEX($S$3:$V$15,MATCH(P53,$R$3:$R$15,0),MATCH(O53,$S$2:$V$2,0))</f>
        <v>10</v>
      </c>
      <c r="R53" s="4">
        <f>Q53*N53</f>
        <v>6652800</v>
      </c>
    </row>
    <row r="54" spans="2:33">
      <c r="B54" s="5" t="str">
        <f>$B52</f>
        <v>EE</v>
      </c>
      <c r="C54" t="str">
        <f>$B52</f>
        <v>EE</v>
      </c>
      <c r="D54" t="str">
        <f>$B52</f>
        <v>EE</v>
      </c>
      <c r="E54" t="str">
        <f>$B52</f>
        <v>EE</v>
      </c>
      <c r="F54" t="str">
        <f>E54&amp;"-0"</f>
        <v>EE-0</v>
      </c>
      <c r="G54" t="str">
        <f>$B$29</f>
        <v>---</v>
      </c>
      <c r="H54">
        <f t="shared" ref="H54:H55" si="55">SUMIF($B$3:$B$29,B54,C$3:C$29)</f>
        <v>4</v>
      </c>
      <c r="I54">
        <f t="shared" si="50"/>
        <v>6</v>
      </c>
      <c r="J54">
        <f t="shared" si="51"/>
        <v>10</v>
      </c>
      <c r="K54">
        <f t="shared" si="52"/>
        <v>6</v>
      </c>
      <c r="L54">
        <f t="shared" si="53"/>
        <v>32</v>
      </c>
      <c r="M54">
        <f t="shared" si="54"/>
        <v>83</v>
      </c>
      <c r="N54">
        <f t="shared" ref="N54:N55" si="56">PRODUCT(H54:M54)</f>
        <v>3824640</v>
      </c>
      <c r="O54">
        <v>4</v>
      </c>
      <c r="P54" t="str">
        <f t="shared" ref="P54:P55" si="57">B54</f>
        <v>EE</v>
      </c>
      <c r="Q54">
        <f t="shared" ref="Q54:Q55" si="58">INDEX($S$3:$V$15,MATCH(P54,$R$3:$R$15,0),MATCH(O54,$S$2:$V$2,0))</f>
        <v>8</v>
      </c>
      <c r="R54" s="4">
        <f t="shared" ref="R54:R55" si="59">Q54*N54</f>
        <v>30597120</v>
      </c>
    </row>
    <row r="55" spans="2:33">
      <c r="B55" s="5" t="str">
        <f>$B53</f>
        <v>EE</v>
      </c>
      <c r="C55" t="str">
        <f>$B52</f>
        <v>EE</v>
      </c>
      <c r="D55" t="str">
        <f>$B52</f>
        <v>EE</v>
      </c>
      <c r="E55" t="str">
        <f>D55&amp;"-0"</f>
        <v>EE-0</v>
      </c>
      <c r="F55" t="str">
        <f>$B$29</f>
        <v>---</v>
      </c>
      <c r="G55" t="str">
        <f>$B$29</f>
        <v>---</v>
      </c>
      <c r="H55">
        <f t="shared" si="55"/>
        <v>4</v>
      </c>
      <c r="I55">
        <f t="shared" si="50"/>
        <v>6</v>
      </c>
      <c r="J55">
        <f t="shared" si="51"/>
        <v>10</v>
      </c>
      <c r="K55">
        <f t="shared" si="52"/>
        <v>53</v>
      </c>
      <c r="L55">
        <f t="shared" si="53"/>
        <v>38</v>
      </c>
      <c r="M55">
        <f t="shared" si="54"/>
        <v>83</v>
      </c>
      <c r="N55">
        <f t="shared" si="56"/>
        <v>40118880</v>
      </c>
      <c r="O55">
        <v>3</v>
      </c>
      <c r="P55" t="str">
        <f t="shared" si="57"/>
        <v>EE</v>
      </c>
      <c r="Q55">
        <f t="shared" si="58"/>
        <v>3</v>
      </c>
      <c r="R55" s="4">
        <f t="shared" si="59"/>
        <v>120356640</v>
      </c>
    </row>
    <row r="56" spans="2:33">
      <c r="B56" s="5"/>
      <c r="R56" s="4"/>
    </row>
    <row r="57" spans="2:33">
      <c r="B57" s="8" t="str">
        <f>$B$9</f>
        <v>FF</v>
      </c>
      <c r="C57" s="7" t="str">
        <f>$B57</f>
        <v>FF</v>
      </c>
      <c r="D57" s="7" t="str">
        <f>$B57</f>
        <v>FF</v>
      </c>
      <c r="E57" s="7" t="str">
        <f>$B57</f>
        <v>FF</v>
      </c>
      <c r="F57" s="7" t="str">
        <f>$B57</f>
        <v>FF</v>
      </c>
      <c r="G57" s="7" t="str">
        <f>$B57</f>
        <v>FF</v>
      </c>
      <c r="H57" s="7">
        <f>SUMIF($B$3:$B$29,B57,C$3:C$29)</f>
        <v>22</v>
      </c>
      <c r="I57" s="7">
        <f t="shared" ref="I57:I60" si="60">SUMIF($B$3:$B$29,C57,D$3:D$29)</f>
        <v>12</v>
      </c>
      <c r="J57" s="7">
        <f t="shared" ref="J57:J60" si="61">SUMIF($B$3:$B$29,D57,E$3:E$29)</f>
        <v>10</v>
      </c>
      <c r="K57" s="7">
        <f t="shared" ref="K57:K60" si="62">SUMIF($B$3:$B$29,E57,F$3:F$29)</f>
        <v>4</v>
      </c>
      <c r="L57" s="7">
        <f t="shared" ref="L57:L60" si="63">SUMIF($B$3:$B$29,F57,G$3:G$29)</f>
        <v>4</v>
      </c>
      <c r="M57" s="7">
        <f t="shared" ref="M57:M60" si="64">SUMIF($B$3:$B$29,G57,H$3:H$29)</f>
        <v>20</v>
      </c>
      <c r="N57" s="7">
        <f>PRODUCT(H57:M57)</f>
        <v>844800</v>
      </c>
      <c r="O57" s="7">
        <v>6</v>
      </c>
      <c r="P57" s="7" t="str">
        <f>B57</f>
        <v>FF</v>
      </c>
      <c r="Q57" s="7">
        <f>INDEX($S$3:$V$15,MATCH(P57,$R$3:$R$15,0),MATCH(O57,$S$2:$V$2,0))</f>
        <v>30</v>
      </c>
      <c r="R57" s="6">
        <f>Q57*N57</f>
        <v>25344000</v>
      </c>
    </row>
    <row r="58" spans="2:33">
      <c r="B58" s="5" t="str">
        <f>$B57</f>
        <v>FF</v>
      </c>
      <c r="C58" t="str">
        <f>$B57</f>
        <v>FF</v>
      </c>
      <c r="D58" t="str">
        <f>$B57</f>
        <v>FF</v>
      </c>
      <c r="E58" t="str">
        <f>$B57</f>
        <v>FF</v>
      </c>
      <c r="F58" t="str">
        <f>$B57</f>
        <v>FF</v>
      </c>
      <c r="G58" t="str">
        <f>F58&amp;"-0"</f>
        <v>FF-0</v>
      </c>
      <c r="H58">
        <f>SUMIF($B$3:$B$29,B58,C$3:C$29)</f>
        <v>22</v>
      </c>
      <c r="I58">
        <f t="shared" si="60"/>
        <v>12</v>
      </c>
      <c r="J58">
        <f t="shared" si="61"/>
        <v>10</v>
      </c>
      <c r="K58">
        <f t="shared" si="62"/>
        <v>4</v>
      </c>
      <c r="L58">
        <f t="shared" si="63"/>
        <v>4</v>
      </c>
      <c r="M58">
        <f t="shared" si="64"/>
        <v>65</v>
      </c>
      <c r="N58">
        <f>PRODUCT(H58:M58)</f>
        <v>2745600</v>
      </c>
      <c r="O58">
        <v>5</v>
      </c>
      <c r="P58" t="str">
        <f>B58</f>
        <v>FF</v>
      </c>
      <c r="Q58">
        <f>INDEX($S$3:$V$15,MATCH(P58,$R$3:$R$15,0),MATCH(O58,$S$2:$V$2,0))</f>
        <v>10</v>
      </c>
      <c r="R58" s="4">
        <f>Q58*N58</f>
        <v>27456000</v>
      </c>
    </row>
    <row r="59" spans="2:33">
      <c r="B59" s="5" t="str">
        <f>$B57</f>
        <v>FF</v>
      </c>
      <c r="C59" t="str">
        <f>$B57</f>
        <v>FF</v>
      </c>
      <c r="D59" t="str">
        <f>$B57</f>
        <v>FF</v>
      </c>
      <c r="E59" t="str">
        <f>$B57</f>
        <v>FF</v>
      </c>
      <c r="F59" t="str">
        <f>E59&amp;"-0"</f>
        <v>FF-0</v>
      </c>
      <c r="G59" t="str">
        <f>$B$29</f>
        <v>---</v>
      </c>
      <c r="H59">
        <f t="shared" ref="H59:H60" si="65">SUMIF($B$3:$B$29,B59,C$3:C$29)</f>
        <v>22</v>
      </c>
      <c r="I59">
        <f t="shared" si="60"/>
        <v>12</v>
      </c>
      <c r="J59">
        <f t="shared" si="61"/>
        <v>10</v>
      </c>
      <c r="K59">
        <f t="shared" si="62"/>
        <v>4</v>
      </c>
      <c r="L59">
        <f t="shared" si="63"/>
        <v>34</v>
      </c>
      <c r="M59">
        <f t="shared" si="64"/>
        <v>83</v>
      </c>
      <c r="N59">
        <f t="shared" ref="N59:N60" si="66">PRODUCT(H59:M59)</f>
        <v>29800320</v>
      </c>
      <c r="O59">
        <v>4</v>
      </c>
      <c r="P59" t="str">
        <f t="shared" ref="P59:P60" si="67">B59</f>
        <v>FF</v>
      </c>
      <c r="Q59">
        <f t="shared" ref="Q59:Q60" si="68">INDEX($S$3:$V$15,MATCH(P59,$R$3:$R$15,0),MATCH(O59,$S$2:$V$2,0))</f>
        <v>8</v>
      </c>
      <c r="R59" s="4">
        <f t="shared" ref="R59:R60" si="69">Q59*N59</f>
        <v>238402560</v>
      </c>
    </row>
    <row r="60" spans="2:33">
      <c r="B60" s="5" t="str">
        <f>$B58</f>
        <v>FF</v>
      </c>
      <c r="C60" t="str">
        <f>$B57</f>
        <v>FF</v>
      </c>
      <c r="D60" t="str">
        <f>$B57</f>
        <v>FF</v>
      </c>
      <c r="E60" t="str">
        <f>D60&amp;"-0"</f>
        <v>FF-0</v>
      </c>
      <c r="F60" t="str">
        <f>$B$29</f>
        <v>---</v>
      </c>
      <c r="G60" t="str">
        <f>$B$29</f>
        <v>---</v>
      </c>
      <c r="H60">
        <f t="shared" si="65"/>
        <v>22</v>
      </c>
      <c r="I60">
        <f t="shared" si="60"/>
        <v>12</v>
      </c>
      <c r="J60">
        <f t="shared" si="61"/>
        <v>10</v>
      </c>
      <c r="K60">
        <f t="shared" si="62"/>
        <v>56</v>
      </c>
      <c r="L60">
        <f t="shared" si="63"/>
        <v>38</v>
      </c>
      <c r="M60">
        <f t="shared" si="64"/>
        <v>83</v>
      </c>
      <c r="N60">
        <f t="shared" si="66"/>
        <v>466287360</v>
      </c>
      <c r="O60">
        <v>3</v>
      </c>
      <c r="P60" t="str">
        <f t="shared" si="67"/>
        <v>FF</v>
      </c>
      <c r="Q60">
        <f t="shared" si="68"/>
        <v>3</v>
      </c>
      <c r="R60" s="4">
        <f t="shared" si="69"/>
        <v>1398862080</v>
      </c>
    </row>
    <row r="61" spans="2:33">
      <c r="B61" s="5"/>
      <c r="R61" s="4"/>
    </row>
    <row r="62" spans="2:33">
      <c r="B62" s="8" t="str">
        <f>$B$10</f>
        <v>GG</v>
      </c>
      <c r="C62" s="7" t="str">
        <f>$B62</f>
        <v>GG</v>
      </c>
      <c r="D62" s="7" t="str">
        <f>$B62</f>
        <v>GG</v>
      </c>
      <c r="E62" s="7" t="str">
        <f>$B62</f>
        <v>GG</v>
      </c>
      <c r="F62" s="7" t="str">
        <f>$B62</f>
        <v>GG</v>
      </c>
      <c r="G62" s="7" t="str">
        <f>$B62</f>
        <v>GG</v>
      </c>
      <c r="H62" s="7">
        <f>SUMIF($B$3:$B$29,B62,C$3:C$29)</f>
        <v>14</v>
      </c>
      <c r="I62" s="7">
        <f t="shared" ref="I62:I65" si="70">SUMIF($B$3:$B$29,C62,D$3:D$29)</f>
        <v>18</v>
      </c>
      <c r="J62" s="7">
        <f t="shared" ref="J62:J65" si="71">SUMIF($B$3:$B$29,D62,E$3:E$29)</f>
        <v>18</v>
      </c>
      <c r="K62" s="7">
        <f t="shared" ref="K62:K65" si="72">SUMIF($B$3:$B$29,E62,F$3:F$29)</f>
        <v>22</v>
      </c>
      <c r="L62" s="7">
        <f t="shared" ref="L62:L65" si="73">SUMIF($B$3:$B$29,F62,G$3:G$29)</f>
        <v>10</v>
      </c>
      <c r="M62" s="7">
        <f t="shared" ref="M62:M65" si="74">SUMIF($B$3:$B$29,G62,H$3:H$29)</f>
        <v>18</v>
      </c>
      <c r="N62" s="7">
        <f>PRODUCT(H62:M62)</f>
        <v>17962560</v>
      </c>
      <c r="O62" s="7">
        <v>6</v>
      </c>
      <c r="P62" s="7" t="str">
        <f>B62</f>
        <v>GG</v>
      </c>
      <c r="Q62" s="7">
        <f>INDEX($S$3:$V$15,MATCH(P62,$R$3:$R$15,0),MATCH(O62,$S$2:$V$2,0))</f>
        <v>20</v>
      </c>
      <c r="R62" s="6">
        <f>Q62*N62</f>
        <v>359251200</v>
      </c>
    </row>
    <row r="63" spans="2:33">
      <c r="B63" s="5" t="str">
        <f>$B62</f>
        <v>GG</v>
      </c>
      <c r="C63" t="str">
        <f>$B62</f>
        <v>GG</v>
      </c>
      <c r="D63" t="str">
        <f>$B62</f>
        <v>GG</v>
      </c>
      <c r="E63" t="str">
        <f>$B62</f>
        <v>GG</v>
      </c>
      <c r="F63" t="str">
        <f>$B62</f>
        <v>GG</v>
      </c>
      <c r="G63" t="str">
        <f>F63&amp;"-0"</f>
        <v>GG-0</v>
      </c>
      <c r="H63">
        <f>SUMIF($B$3:$B$29,B63,C$3:C$29)</f>
        <v>14</v>
      </c>
      <c r="I63">
        <f t="shared" si="70"/>
        <v>18</v>
      </c>
      <c r="J63">
        <f t="shared" si="71"/>
        <v>18</v>
      </c>
      <c r="K63">
        <f t="shared" si="72"/>
        <v>22</v>
      </c>
      <c r="L63">
        <f t="shared" si="73"/>
        <v>10</v>
      </c>
      <c r="M63">
        <f t="shared" si="74"/>
        <v>67</v>
      </c>
      <c r="N63">
        <f>PRODUCT(H63:M63)</f>
        <v>66860640</v>
      </c>
      <c r="O63">
        <v>5</v>
      </c>
      <c r="P63" t="str">
        <f>B63</f>
        <v>GG</v>
      </c>
      <c r="Q63">
        <f>INDEX($S$3:$V$15,MATCH(P63,$R$3:$R$15,0),MATCH(O63,$S$2:$V$2,0))</f>
        <v>6</v>
      </c>
      <c r="R63" s="4">
        <f>Q63*N63</f>
        <v>401163840</v>
      </c>
    </row>
    <row r="64" spans="2:33">
      <c r="B64" s="5" t="str">
        <f>$B62</f>
        <v>GG</v>
      </c>
      <c r="C64" t="str">
        <f>$B62</f>
        <v>GG</v>
      </c>
      <c r="D64" t="str">
        <f>$B62</f>
        <v>GG</v>
      </c>
      <c r="E64" t="str">
        <f>$B62</f>
        <v>GG</v>
      </c>
      <c r="F64" t="str">
        <f>E64&amp;"-0"</f>
        <v>GG-0</v>
      </c>
      <c r="G64" t="str">
        <f>$B$29</f>
        <v>---</v>
      </c>
      <c r="H64">
        <f t="shared" ref="H64:H65" si="75">SUMIF($B$3:$B$29,B64,C$3:C$29)</f>
        <v>14</v>
      </c>
      <c r="I64">
        <f t="shared" si="70"/>
        <v>18</v>
      </c>
      <c r="J64">
        <f t="shared" si="71"/>
        <v>18</v>
      </c>
      <c r="K64">
        <f t="shared" si="72"/>
        <v>22</v>
      </c>
      <c r="L64">
        <f t="shared" si="73"/>
        <v>30</v>
      </c>
      <c r="M64">
        <f t="shared" si="74"/>
        <v>83</v>
      </c>
      <c r="N64">
        <f t="shared" ref="N64:N65" si="76">PRODUCT(H64:M64)</f>
        <v>248482080</v>
      </c>
      <c r="O64">
        <v>4</v>
      </c>
      <c r="P64" t="str">
        <f t="shared" ref="P64:P65" si="77">B64</f>
        <v>GG</v>
      </c>
      <c r="Q64">
        <f t="shared" ref="Q64:Q65" si="78">INDEX($S$3:$V$15,MATCH(P64,$R$3:$R$15,0),MATCH(O64,$S$2:$V$2,0))</f>
        <v>4</v>
      </c>
      <c r="R64" s="4">
        <f t="shared" ref="R64:R65" si="79">Q64*N64</f>
        <v>993928320</v>
      </c>
    </row>
    <row r="65" spans="2:18">
      <c r="B65" s="5" t="str">
        <f>$B63</f>
        <v>GG</v>
      </c>
      <c r="C65" t="str">
        <f>$B62</f>
        <v>GG</v>
      </c>
      <c r="D65" t="str">
        <f>$B62</f>
        <v>GG</v>
      </c>
      <c r="E65" t="str">
        <f>D65&amp;"-0"</f>
        <v>GG-0</v>
      </c>
      <c r="F65" t="str">
        <f>$B$29</f>
        <v>---</v>
      </c>
      <c r="G65" t="str">
        <f>$B$29</f>
        <v>---</v>
      </c>
      <c r="H65">
        <f t="shared" si="75"/>
        <v>14</v>
      </c>
      <c r="I65">
        <f t="shared" si="70"/>
        <v>18</v>
      </c>
      <c r="J65">
        <f t="shared" si="71"/>
        <v>18</v>
      </c>
      <c r="K65">
        <f t="shared" si="72"/>
        <v>39</v>
      </c>
      <c r="L65">
        <f t="shared" si="73"/>
        <v>38</v>
      </c>
      <c r="M65">
        <f t="shared" si="74"/>
        <v>83</v>
      </c>
      <c r="N65">
        <f t="shared" si="76"/>
        <v>557955216</v>
      </c>
      <c r="O65">
        <v>3</v>
      </c>
      <c r="P65" t="str">
        <f t="shared" si="77"/>
        <v>GG</v>
      </c>
      <c r="Q65">
        <f t="shared" si="78"/>
        <v>2</v>
      </c>
      <c r="R65" s="4">
        <f t="shared" si="79"/>
        <v>1115910432</v>
      </c>
    </row>
    <row r="66" spans="2:18">
      <c r="B66" s="5"/>
      <c r="R66" s="4"/>
    </row>
    <row r="67" spans="2:18">
      <c r="B67" s="8" t="str">
        <f>$B$11</f>
        <v>HH</v>
      </c>
      <c r="C67" s="7" t="str">
        <f>$B67</f>
        <v>HH</v>
      </c>
      <c r="D67" s="7" t="str">
        <f>$B67</f>
        <v>HH</v>
      </c>
      <c r="E67" s="7" t="str">
        <f>$B67</f>
        <v>HH</v>
      </c>
      <c r="F67" s="7" t="str">
        <f>$B67</f>
        <v>HH</v>
      </c>
      <c r="G67" s="7" t="str">
        <f>$B67</f>
        <v>HH</v>
      </c>
      <c r="H67" s="7">
        <f>SUMIF($B$3:$B$29,B67,C$3:C$29)</f>
        <v>2</v>
      </c>
      <c r="I67" s="7">
        <f t="shared" ref="I67:I70" si="80">SUMIF($B$3:$B$29,C67,D$3:D$29)</f>
        <v>6</v>
      </c>
      <c r="J67" s="7">
        <f t="shared" ref="J67:J70" si="81">SUMIF($B$3:$B$29,D67,E$3:E$29)</f>
        <v>10</v>
      </c>
      <c r="K67" s="7">
        <f t="shared" ref="K67:K70" si="82">SUMIF($B$3:$B$29,E67,F$3:F$29)</f>
        <v>4</v>
      </c>
      <c r="L67" s="7">
        <f t="shared" ref="L67:L70" si="83">SUMIF($B$3:$B$29,F67,G$3:G$29)</f>
        <v>4</v>
      </c>
      <c r="M67" s="7">
        <f t="shared" ref="M67:M70" si="84">SUMIF($B$3:$B$29,G67,H$3:H$29)</f>
        <v>2</v>
      </c>
      <c r="N67" s="7">
        <f>PRODUCT(H67:M67)</f>
        <v>3840</v>
      </c>
      <c r="O67" s="7">
        <v>6</v>
      </c>
      <c r="P67" s="7" t="str">
        <f>B67</f>
        <v>HH</v>
      </c>
      <c r="Q67" s="7">
        <f>INDEX($S$3:$V$15,MATCH(P67,$R$3:$R$15,0),MATCH(O67,$S$2:$V$2,0))</f>
        <v>20</v>
      </c>
      <c r="R67" s="6">
        <f>Q67*N67</f>
        <v>76800</v>
      </c>
    </row>
    <row r="68" spans="2:18">
      <c r="B68" s="5" t="str">
        <f>$B67</f>
        <v>HH</v>
      </c>
      <c r="C68" t="str">
        <f>$B67</f>
        <v>HH</v>
      </c>
      <c r="D68" t="str">
        <f>$B67</f>
        <v>HH</v>
      </c>
      <c r="E68" t="str">
        <f>$B67</f>
        <v>HH</v>
      </c>
      <c r="F68" t="str">
        <f>$B67</f>
        <v>HH</v>
      </c>
      <c r="G68" t="str">
        <f>F68&amp;"-0"</f>
        <v>HH-0</v>
      </c>
      <c r="H68">
        <f>SUMIF($B$3:$B$29,B68,C$3:C$29)</f>
        <v>2</v>
      </c>
      <c r="I68">
        <f t="shared" si="80"/>
        <v>6</v>
      </c>
      <c r="J68">
        <f t="shared" si="81"/>
        <v>10</v>
      </c>
      <c r="K68">
        <f t="shared" si="82"/>
        <v>4</v>
      </c>
      <c r="L68">
        <f t="shared" si="83"/>
        <v>4</v>
      </c>
      <c r="M68">
        <f t="shared" si="84"/>
        <v>81</v>
      </c>
      <c r="N68">
        <f>PRODUCT(H68:M68)</f>
        <v>155520</v>
      </c>
      <c r="O68">
        <v>5</v>
      </c>
      <c r="P68" t="str">
        <f>B68</f>
        <v>HH</v>
      </c>
      <c r="Q68">
        <f>INDEX($S$3:$V$15,MATCH(P68,$R$3:$R$15,0),MATCH(O68,$S$2:$V$2,0))</f>
        <v>6</v>
      </c>
      <c r="R68" s="4">
        <f>Q68*N68</f>
        <v>933120</v>
      </c>
    </row>
    <row r="69" spans="2:18">
      <c r="B69" s="5" t="str">
        <f>$B67</f>
        <v>HH</v>
      </c>
      <c r="C69" t="str">
        <f>$B67</f>
        <v>HH</v>
      </c>
      <c r="D69" t="str">
        <f>$B67</f>
        <v>HH</v>
      </c>
      <c r="E69" t="str">
        <f>$B67</f>
        <v>HH</v>
      </c>
      <c r="F69" t="str">
        <f>E69&amp;"-0"</f>
        <v>HH-0</v>
      </c>
      <c r="G69" t="str">
        <f>$B$29</f>
        <v>---</v>
      </c>
      <c r="H69">
        <f t="shared" ref="H69:H70" si="85">SUMIF($B$3:$B$29,B69,C$3:C$29)</f>
        <v>2</v>
      </c>
      <c r="I69">
        <f t="shared" si="80"/>
        <v>6</v>
      </c>
      <c r="J69">
        <f t="shared" si="81"/>
        <v>10</v>
      </c>
      <c r="K69">
        <f t="shared" si="82"/>
        <v>4</v>
      </c>
      <c r="L69">
        <f t="shared" si="83"/>
        <v>34</v>
      </c>
      <c r="M69">
        <f t="shared" si="84"/>
        <v>83</v>
      </c>
      <c r="N69">
        <f t="shared" ref="N69:N70" si="86">PRODUCT(H69:M69)</f>
        <v>1354560</v>
      </c>
      <c r="O69">
        <v>4</v>
      </c>
      <c r="P69" t="str">
        <f t="shared" ref="P69:P70" si="87">B69</f>
        <v>HH</v>
      </c>
      <c r="Q69">
        <f t="shared" ref="Q69:Q70" si="88">INDEX($S$3:$V$15,MATCH(P69,$R$3:$R$15,0),MATCH(O69,$S$2:$V$2,0))</f>
        <v>4</v>
      </c>
      <c r="R69" s="4">
        <f t="shared" ref="R69:R70" si="89">Q69*N69</f>
        <v>5418240</v>
      </c>
    </row>
    <row r="70" spans="2:18">
      <c r="B70" s="5" t="str">
        <f>$B68</f>
        <v>HH</v>
      </c>
      <c r="C70" t="str">
        <f>$B67</f>
        <v>HH</v>
      </c>
      <c r="D70" t="str">
        <f>$B67</f>
        <v>HH</v>
      </c>
      <c r="E70" t="str">
        <f>D70&amp;"-0"</f>
        <v>HH-0</v>
      </c>
      <c r="F70" t="str">
        <f>$B$29</f>
        <v>---</v>
      </c>
      <c r="G70" t="str">
        <f>$B$29</f>
        <v>---</v>
      </c>
      <c r="H70">
        <f t="shared" si="85"/>
        <v>2</v>
      </c>
      <c r="I70">
        <f t="shared" si="80"/>
        <v>6</v>
      </c>
      <c r="J70">
        <f t="shared" si="81"/>
        <v>10</v>
      </c>
      <c r="K70">
        <f t="shared" si="82"/>
        <v>55</v>
      </c>
      <c r="L70">
        <f t="shared" si="83"/>
        <v>38</v>
      </c>
      <c r="M70">
        <f t="shared" si="84"/>
        <v>83</v>
      </c>
      <c r="N70">
        <f t="shared" si="86"/>
        <v>20816400</v>
      </c>
      <c r="O70">
        <v>3</v>
      </c>
      <c r="P70" t="str">
        <f t="shared" si="87"/>
        <v>HH</v>
      </c>
      <c r="Q70">
        <f t="shared" si="88"/>
        <v>2</v>
      </c>
      <c r="R70" s="4">
        <f t="shared" si="89"/>
        <v>41632800</v>
      </c>
    </row>
    <row r="71" spans="2:18">
      <c r="B71" s="5"/>
      <c r="R71" s="4"/>
    </row>
    <row r="72" spans="2:18">
      <c r="B72" s="8" t="str">
        <f>$B$12</f>
        <v>JJ</v>
      </c>
      <c r="C72" s="7" t="str">
        <f>$B72</f>
        <v>JJ</v>
      </c>
      <c r="D72" s="7" t="str">
        <f>$B72</f>
        <v>JJ</v>
      </c>
      <c r="E72" s="7" t="str">
        <f>$B72</f>
        <v>JJ</v>
      </c>
      <c r="F72" s="7" t="str">
        <f>$B72</f>
        <v>JJ</v>
      </c>
      <c r="G72" s="7" t="str">
        <f>$B72</f>
        <v>JJ</v>
      </c>
      <c r="H72" s="7">
        <f>SUMIF($B$3:$B$29,B72,C$3:C$29)</f>
        <v>14</v>
      </c>
      <c r="I72" s="7">
        <f t="shared" ref="I72:I75" si="90">SUMIF($B$3:$B$29,C72,D$3:D$29)</f>
        <v>14</v>
      </c>
      <c r="J72" s="7">
        <f t="shared" ref="J72:J75" si="91">SUMIF($B$3:$B$29,D72,E$3:E$29)</f>
        <v>16</v>
      </c>
      <c r="K72" s="7">
        <f t="shared" ref="K72:K75" si="92">SUMIF($B$3:$B$29,E72,F$3:F$29)</f>
        <v>12</v>
      </c>
      <c r="L72" s="7">
        <f t="shared" ref="L72:L75" si="93">SUMIF($B$3:$B$29,F72,G$3:G$29)</f>
        <v>10</v>
      </c>
      <c r="M72" s="7">
        <f t="shared" ref="M72:M75" si="94">SUMIF($B$3:$B$29,G72,H$3:H$29)</f>
        <v>10</v>
      </c>
      <c r="N72" s="7">
        <f>PRODUCT(H72:M72)</f>
        <v>3763200</v>
      </c>
      <c r="O72" s="7">
        <v>6</v>
      </c>
      <c r="P72" s="7" t="str">
        <f>B72</f>
        <v>JJ</v>
      </c>
      <c r="Q72" s="7">
        <f>INDEX($S$3:$V$15,MATCH(P72,$R$3:$R$15,0),MATCH(O72,$S$2:$V$2,0))</f>
        <v>20</v>
      </c>
      <c r="R72" s="6">
        <f>Q72*N72</f>
        <v>75264000</v>
      </c>
    </row>
    <row r="73" spans="2:18">
      <c r="B73" s="5" t="str">
        <f>$B72</f>
        <v>JJ</v>
      </c>
      <c r="C73" t="str">
        <f>$B72</f>
        <v>JJ</v>
      </c>
      <c r="D73" t="str">
        <f>$B72</f>
        <v>JJ</v>
      </c>
      <c r="E73" t="str">
        <f>$B72</f>
        <v>JJ</v>
      </c>
      <c r="F73" t="str">
        <f>$B72</f>
        <v>JJ</v>
      </c>
      <c r="G73" t="str">
        <f>F73&amp;"-0"</f>
        <v>JJ-0</v>
      </c>
      <c r="H73">
        <f>SUMIF($B$3:$B$29,B73,C$3:C$29)</f>
        <v>14</v>
      </c>
      <c r="I73">
        <f t="shared" si="90"/>
        <v>14</v>
      </c>
      <c r="J73">
        <f t="shared" si="91"/>
        <v>16</v>
      </c>
      <c r="K73">
        <f t="shared" si="92"/>
        <v>12</v>
      </c>
      <c r="L73">
        <f t="shared" si="93"/>
        <v>10</v>
      </c>
      <c r="M73">
        <f t="shared" si="94"/>
        <v>75</v>
      </c>
      <c r="N73">
        <f>PRODUCT(H73:M73)</f>
        <v>28224000</v>
      </c>
      <c r="O73">
        <v>5</v>
      </c>
      <c r="P73" t="str">
        <f>B73</f>
        <v>JJ</v>
      </c>
      <c r="Q73">
        <f>INDEX($S$3:$V$15,MATCH(P73,$R$3:$R$15,0),MATCH(O73,$S$2:$V$2,0))</f>
        <v>6</v>
      </c>
      <c r="R73" s="4">
        <f>Q73*N73</f>
        <v>169344000</v>
      </c>
    </row>
    <row r="74" spans="2:18">
      <c r="B74" s="5" t="str">
        <f>$B72</f>
        <v>JJ</v>
      </c>
      <c r="C74" t="str">
        <f>$B72</f>
        <v>JJ</v>
      </c>
      <c r="D74" t="str">
        <f>$B72</f>
        <v>JJ</v>
      </c>
      <c r="E74" t="str">
        <f>$B72</f>
        <v>JJ</v>
      </c>
      <c r="F74" t="str">
        <f>E74&amp;"-0"</f>
        <v>JJ-0</v>
      </c>
      <c r="G74" t="str">
        <f>$B$29</f>
        <v>---</v>
      </c>
      <c r="H74">
        <f t="shared" ref="H74:H75" si="95">SUMIF($B$3:$B$29,B74,C$3:C$29)</f>
        <v>14</v>
      </c>
      <c r="I74">
        <f t="shared" si="90"/>
        <v>14</v>
      </c>
      <c r="J74">
        <f t="shared" si="91"/>
        <v>16</v>
      </c>
      <c r="K74">
        <f t="shared" si="92"/>
        <v>12</v>
      </c>
      <c r="L74">
        <f t="shared" si="93"/>
        <v>30</v>
      </c>
      <c r="M74">
        <f t="shared" si="94"/>
        <v>83</v>
      </c>
      <c r="N74">
        <f t="shared" ref="N74:N75" si="96">PRODUCT(H74:M74)</f>
        <v>93703680</v>
      </c>
      <c r="O74">
        <v>4</v>
      </c>
      <c r="P74" t="str">
        <f t="shared" ref="P74:P75" si="97">B74</f>
        <v>JJ</v>
      </c>
      <c r="Q74">
        <f t="shared" ref="Q74:Q75" si="98">INDEX($S$3:$V$15,MATCH(P74,$R$3:$R$15,0),MATCH(O74,$S$2:$V$2,0))</f>
        <v>4</v>
      </c>
      <c r="R74" s="4">
        <f t="shared" ref="R74:R75" si="99">Q74*N74</f>
        <v>374814720</v>
      </c>
    </row>
    <row r="75" spans="2:18">
      <c r="B75" s="5" t="str">
        <f>$B73</f>
        <v>JJ</v>
      </c>
      <c r="C75" t="str">
        <f>$B72</f>
        <v>JJ</v>
      </c>
      <c r="D75" t="str">
        <f>$B72</f>
        <v>JJ</v>
      </c>
      <c r="E75" t="str">
        <f>D75&amp;"-0"</f>
        <v>JJ-0</v>
      </c>
      <c r="F75" t="str">
        <f>$B$29</f>
        <v>---</v>
      </c>
      <c r="G75" t="str">
        <f>$B$29</f>
        <v>---</v>
      </c>
      <c r="H75">
        <f t="shared" si="95"/>
        <v>14</v>
      </c>
      <c r="I75">
        <f t="shared" si="90"/>
        <v>14</v>
      </c>
      <c r="J75">
        <f t="shared" si="91"/>
        <v>16</v>
      </c>
      <c r="K75">
        <f t="shared" si="92"/>
        <v>49</v>
      </c>
      <c r="L75">
        <f t="shared" si="93"/>
        <v>38</v>
      </c>
      <c r="M75">
        <f t="shared" si="94"/>
        <v>83</v>
      </c>
      <c r="N75">
        <f t="shared" si="96"/>
        <v>484656256</v>
      </c>
      <c r="O75">
        <v>3</v>
      </c>
      <c r="P75" t="str">
        <f t="shared" si="97"/>
        <v>JJ</v>
      </c>
      <c r="Q75">
        <f t="shared" si="98"/>
        <v>2</v>
      </c>
      <c r="R75" s="4">
        <f t="shared" si="99"/>
        <v>969312512</v>
      </c>
    </row>
    <row r="76" spans="2:18">
      <c r="B76" s="5"/>
      <c r="R76" s="4"/>
    </row>
    <row r="77" spans="2:18">
      <c r="B77" s="8" t="str">
        <f>$B$13</f>
        <v>KK</v>
      </c>
      <c r="C77" s="7" t="str">
        <f>$B77</f>
        <v>KK</v>
      </c>
      <c r="D77" s="7" t="str">
        <f>$B77</f>
        <v>KK</v>
      </c>
      <c r="E77" s="7" t="str">
        <f>$B77</f>
        <v>KK</v>
      </c>
      <c r="F77" s="7" t="str">
        <f>$B77</f>
        <v>KK</v>
      </c>
      <c r="G77" s="7" t="str">
        <f>$B77</f>
        <v>KK</v>
      </c>
      <c r="H77" s="7">
        <f>SUMIF($B$3:$B$29,B77,C$3:C$29)</f>
        <v>14</v>
      </c>
      <c r="I77" s="7">
        <f t="shared" ref="I77:I80" si="100">SUMIF($B$3:$B$29,C77,D$3:D$29)</f>
        <v>20</v>
      </c>
      <c r="J77" s="7">
        <f t="shared" ref="J77:J80" si="101">SUMIF($B$3:$B$29,D77,E$3:E$29)</f>
        <v>20</v>
      </c>
      <c r="K77" s="7">
        <f t="shared" ref="K77:K80" si="102">SUMIF($B$3:$B$29,E77,F$3:F$29)</f>
        <v>12</v>
      </c>
      <c r="L77" s="7">
        <f t="shared" ref="L77:L80" si="103">SUMIF($B$3:$B$29,F77,G$3:G$29)</f>
        <v>12</v>
      </c>
      <c r="M77" s="7">
        <f t="shared" ref="M77:M80" si="104">SUMIF($B$3:$B$29,G77,H$3:H$29)</f>
        <v>18</v>
      </c>
      <c r="N77" s="7">
        <f>PRODUCT(H77:M77)</f>
        <v>14515200</v>
      </c>
      <c r="O77" s="7">
        <v>6</v>
      </c>
      <c r="P77" s="7" t="str">
        <f>B77</f>
        <v>KK</v>
      </c>
      <c r="Q77" s="7">
        <f>INDEX($S$3:$V$15,MATCH(P77,$R$3:$R$15,0),MATCH(O77,$S$2:$V$2,0))</f>
        <v>10</v>
      </c>
      <c r="R77" s="6">
        <f>Q77*N77</f>
        <v>145152000</v>
      </c>
    </row>
    <row r="78" spans="2:18">
      <c r="B78" s="5" t="str">
        <f>$B77</f>
        <v>KK</v>
      </c>
      <c r="C78" t="str">
        <f>$B77</f>
        <v>KK</v>
      </c>
      <c r="D78" t="str">
        <f>$B77</f>
        <v>KK</v>
      </c>
      <c r="E78" t="str">
        <f>$B77</f>
        <v>KK</v>
      </c>
      <c r="F78" t="str">
        <f>$B77</f>
        <v>KK</v>
      </c>
      <c r="G78" t="str">
        <f>F78&amp;"-0"</f>
        <v>KK-0</v>
      </c>
      <c r="H78">
        <f>SUMIF($B$3:$B$29,B78,C$3:C$29)</f>
        <v>14</v>
      </c>
      <c r="I78">
        <f t="shared" si="100"/>
        <v>20</v>
      </c>
      <c r="J78">
        <f t="shared" si="101"/>
        <v>20</v>
      </c>
      <c r="K78">
        <f t="shared" si="102"/>
        <v>12</v>
      </c>
      <c r="L78">
        <f t="shared" si="103"/>
        <v>12</v>
      </c>
      <c r="M78">
        <f t="shared" si="104"/>
        <v>67</v>
      </c>
      <c r="N78">
        <f>PRODUCT(H78:M78)</f>
        <v>54028800</v>
      </c>
      <c r="O78">
        <v>5</v>
      </c>
      <c r="P78" t="str">
        <f>B78</f>
        <v>KK</v>
      </c>
      <c r="Q78">
        <f>INDEX($S$3:$V$15,MATCH(P78,$R$3:$R$15,0),MATCH(O78,$S$2:$V$2,0))</f>
        <v>4</v>
      </c>
      <c r="R78" s="4">
        <f>Q78*N78</f>
        <v>216115200</v>
      </c>
    </row>
    <row r="79" spans="2:18">
      <c r="B79" s="5" t="str">
        <f>$B77</f>
        <v>KK</v>
      </c>
      <c r="C79" t="str">
        <f>$B77</f>
        <v>KK</v>
      </c>
      <c r="D79" t="str">
        <f>$B77</f>
        <v>KK</v>
      </c>
      <c r="E79" t="str">
        <f>$B77</f>
        <v>KK</v>
      </c>
      <c r="F79" t="str">
        <f>E79&amp;"-0"</f>
        <v>KK-0</v>
      </c>
      <c r="G79" t="str">
        <f>$B$29</f>
        <v>---</v>
      </c>
      <c r="H79">
        <f t="shared" ref="H79:H80" si="105">SUMIF($B$3:$B$29,B79,C$3:C$29)</f>
        <v>14</v>
      </c>
      <c r="I79">
        <f t="shared" si="100"/>
        <v>20</v>
      </c>
      <c r="J79">
        <f t="shared" si="101"/>
        <v>20</v>
      </c>
      <c r="K79">
        <f t="shared" si="102"/>
        <v>12</v>
      </c>
      <c r="L79">
        <f t="shared" si="103"/>
        <v>28</v>
      </c>
      <c r="M79">
        <f t="shared" si="104"/>
        <v>83</v>
      </c>
      <c r="N79">
        <f t="shared" ref="N79:N80" si="106">PRODUCT(H79:M79)</f>
        <v>156172800</v>
      </c>
      <c r="O79">
        <v>4</v>
      </c>
      <c r="P79" t="str">
        <f t="shared" ref="P79:P80" si="107">B79</f>
        <v>KK</v>
      </c>
      <c r="Q79">
        <f t="shared" ref="Q79:Q80" si="108">INDEX($S$3:$V$15,MATCH(P79,$R$3:$R$15,0),MATCH(O79,$S$2:$V$2,0))</f>
        <v>2</v>
      </c>
      <c r="R79" s="4">
        <f t="shared" ref="R79:R80" si="109">Q79*N79</f>
        <v>312345600</v>
      </c>
    </row>
    <row r="80" spans="2:18">
      <c r="B80" s="5" t="str">
        <f>$B78</f>
        <v>KK</v>
      </c>
      <c r="C80" t="str">
        <f>$B77</f>
        <v>KK</v>
      </c>
      <c r="D80" t="str">
        <f>$B77</f>
        <v>KK</v>
      </c>
      <c r="E80" t="str">
        <f>D80&amp;"-0"</f>
        <v>KK-0</v>
      </c>
      <c r="F80" t="str">
        <f>$B$29</f>
        <v>---</v>
      </c>
      <c r="G80" t="str">
        <f>$B$29</f>
        <v>---</v>
      </c>
      <c r="H80">
        <f t="shared" si="105"/>
        <v>14</v>
      </c>
      <c r="I80">
        <f t="shared" si="100"/>
        <v>20</v>
      </c>
      <c r="J80">
        <f t="shared" si="101"/>
        <v>20</v>
      </c>
      <c r="K80">
        <f t="shared" si="102"/>
        <v>50</v>
      </c>
      <c r="L80">
        <f t="shared" si="103"/>
        <v>38</v>
      </c>
      <c r="M80">
        <f t="shared" si="104"/>
        <v>83</v>
      </c>
      <c r="N80">
        <f t="shared" si="106"/>
        <v>883120000</v>
      </c>
      <c r="O80">
        <v>3</v>
      </c>
      <c r="P80" t="str">
        <f t="shared" si="107"/>
        <v>KK</v>
      </c>
      <c r="Q80">
        <f t="shared" si="108"/>
        <v>1</v>
      </c>
      <c r="R80" s="4">
        <f t="shared" si="109"/>
        <v>883120000</v>
      </c>
    </row>
    <row r="81" spans="2:18">
      <c r="B81" s="5"/>
      <c r="R81" s="4"/>
    </row>
    <row r="82" spans="2:18">
      <c r="B82" s="8" t="str">
        <f>$B$14</f>
        <v>LL</v>
      </c>
      <c r="C82" s="7" t="str">
        <f>$B82</f>
        <v>LL</v>
      </c>
      <c r="D82" s="7" t="str">
        <f>$B82</f>
        <v>LL</v>
      </c>
      <c r="E82" s="7" t="str">
        <f>$B82</f>
        <v>LL</v>
      </c>
      <c r="F82" s="7" t="str">
        <f>$B82</f>
        <v>LL</v>
      </c>
      <c r="G82" s="7" t="str">
        <f>$B82</f>
        <v>LL</v>
      </c>
      <c r="H82" s="7">
        <f>SUMIF($B$3:$B$29,B82,C$3:C$29)</f>
        <v>14</v>
      </c>
      <c r="I82" s="7">
        <f t="shared" ref="I82:I85" si="110">SUMIF($B$3:$B$29,C82,D$3:D$29)</f>
        <v>22</v>
      </c>
      <c r="J82" s="7">
        <f t="shared" ref="J82:J85" si="111">SUMIF($B$3:$B$29,D82,E$3:E$29)</f>
        <v>18</v>
      </c>
      <c r="K82" s="7">
        <f t="shared" ref="K82:K85" si="112">SUMIF($B$3:$B$29,E82,F$3:F$29)</f>
        <v>18</v>
      </c>
      <c r="L82" s="7">
        <f t="shared" ref="L82:L85" si="113">SUMIF($B$3:$B$29,F82,G$3:G$29)</f>
        <v>10</v>
      </c>
      <c r="M82" s="7">
        <f t="shared" ref="M82:M85" si="114">SUMIF($B$3:$B$29,G82,H$3:H$29)</f>
        <v>14</v>
      </c>
      <c r="N82" s="7">
        <f>PRODUCT(H82:M82)</f>
        <v>13970880</v>
      </c>
      <c r="O82" s="7">
        <v>6</v>
      </c>
      <c r="P82" s="7" t="str">
        <f>B82</f>
        <v>LL</v>
      </c>
      <c r="Q82" s="7">
        <f>INDEX($S$3:$V$15,MATCH(P82,$R$3:$R$15,0),MATCH(O82,$S$2:$V$2,0))</f>
        <v>10</v>
      </c>
      <c r="R82" s="6">
        <f>Q82*N82</f>
        <v>139708800</v>
      </c>
    </row>
    <row r="83" spans="2:18">
      <c r="B83" s="5" t="str">
        <f>$B82</f>
        <v>LL</v>
      </c>
      <c r="C83" t="str">
        <f>$B82</f>
        <v>LL</v>
      </c>
      <c r="D83" t="str">
        <f>$B82</f>
        <v>LL</v>
      </c>
      <c r="E83" t="str">
        <f>$B82</f>
        <v>LL</v>
      </c>
      <c r="F83" t="str">
        <f>$B82</f>
        <v>LL</v>
      </c>
      <c r="G83" t="str">
        <f>F83&amp;"-0"</f>
        <v>LL-0</v>
      </c>
      <c r="H83">
        <f>SUMIF($B$3:$B$29,B83,C$3:C$29)</f>
        <v>14</v>
      </c>
      <c r="I83">
        <f t="shared" si="110"/>
        <v>22</v>
      </c>
      <c r="J83">
        <f t="shared" si="111"/>
        <v>18</v>
      </c>
      <c r="K83">
        <f t="shared" si="112"/>
        <v>18</v>
      </c>
      <c r="L83">
        <f t="shared" si="113"/>
        <v>10</v>
      </c>
      <c r="M83">
        <f t="shared" si="114"/>
        <v>71</v>
      </c>
      <c r="N83">
        <f>PRODUCT(H83:M83)</f>
        <v>70852320</v>
      </c>
      <c r="O83">
        <v>5</v>
      </c>
      <c r="P83" t="str">
        <f>B83</f>
        <v>LL</v>
      </c>
      <c r="Q83">
        <f>INDEX($S$3:$V$15,MATCH(P83,$R$3:$R$15,0),MATCH(O83,$S$2:$V$2,0))</f>
        <v>4</v>
      </c>
      <c r="R83" s="4">
        <f>Q83*N83</f>
        <v>283409280</v>
      </c>
    </row>
    <row r="84" spans="2:18">
      <c r="B84" s="5" t="str">
        <f>$B82</f>
        <v>LL</v>
      </c>
      <c r="C84" t="str">
        <f>$B82</f>
        <v>LL</v>
      </c>
      <c r="D84" t="str">
        <f>$B82</f>
        <v>LL</v>
      </c>
      <c r="E84" t="str">
        <f>$B82</f>
        <v>LL</v>
      </c>
      <c r="F84" t="str">
        <f>E84&amp;"-0"</f>
        <v>LL-0</v>
      </c>
      <c r="G84" t="str">
        <f>$B$29</f>
        <v>---</v>
      </c>
      <c r="H84">
        <f t="shared" ref="H84:H85" si="115">SUMIF($B$3:$B$29,B84,C$3:C$29)</f>
        <v>14</v>
      </c>
      <c r="I84">
        <f t="shared" si="110"/>
        <v>22</v>
      </c>
      <c r="J84">
        <f t="shared" si="111"/>
        <v>18</v>
      </c>
      <c r="K84">
        <f t="shared" si="112"/>
        <v>18</v>
      </c>
      <c r="L84">
        <f t="shared" si="113"/>
        <v>30</v>
      </c>
      <c r="M84">
        <f t="shared" si="114"/>
        <v>83</v>
      </c>
      <c r="N84">
        <f t="shared" ref="N84:N85" si="116">PRODUCT(H84:M84)</f>
        <v>248482080</v>
      </c>
      <c r="O84">
        <v>4</v>
      </c>
      <c r="P84" t="str">
        <f t="shared" ref="P84:P85" si="117">B84</f>
        <v>LL</v>
      </c>
      <c r="Q84">
        <f t="shared" ref="Q84:Q85" si="118">INDEX($S$3:$V$15,MATCH(P84,$R$3:$R$15,0),MATCH(O84,$S$2:$V$2,0))</f>
        <v>2</v>
      </c>
      <c r="R84" s="4">
        <f t="shared" ref="R84:R85" si="119">Q84*N84</f>
        <v>496964160</v>
      </c>
    </row>
    <row r="85" spans="2:18">
      <c r="B85" s="5" t="str">
        <f>$B83</f>
        <v>LL</v>
      </c>
      <c r="C85" t="str">
        <f>$B82</f>
        <v>LL</v>
      </c>
      <c r="D85" t="str">
        <f>$B82</f>
        <v>LL</v>
      </c>
      <c r="E85" t="str">
        <f>D85&amp;"-0"</f>
        <v>LL-0</v>
      </c>
      <c r="F85" t="str">
        <f>$B$29</f>
        <v>---</v>
      </c>
      <c r="G85" t="str">
        <f>$B$29</f>
        <v>---</v>
      </c>
      <c r="H85">
        <f t="shared" si="115"/>
        <v>14</v>
      </c>
      <c r="I85">
        <f t="shared" si="110"/>
        <v>22</v>
      </c>
      <c r="J85">
        <f t="shared" si="111"/>
        <v>18</v>
      </c>
      <c r="K85">
        <f t="shared" si="112"/>
        <v>43</v>
      </c>
      <c r="L85">
        <f t="shared" si="113"/>
        <v>38</v>
      </c>
      <c r="M85">
        <f t="shared" si="114"/>
        <v>83</v>
      </c>
      <c r="N85">
        <f t="shared" si="116"/>
        <v>751888368</v>
      </c>
      <c r="O85">
        <v>3</v>
      </c>
      <c r="P85" t="str">
        <f t="shared" si="117"/>
        <v>LL</v>
      </c>
      <c r="Q85">
        <f t="shared" si="118"/>
        <v>1</v>
      </c>
      <c r="R85" s="4">
        <f t="shared" si="119"/>
        <v>751888368</v>
      </c>
    </row>
    <row r="86" spans="2:18"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>
        <f>SUM(R32:R85)</f>
        <v>53748624192</v>
      </c>
    </row>
    <row r="88" spans="2:18">
      <c r="B88" s="8" t="str">
        <f>$B$15</f>
        <v>BN</v>
      </c>
      <c r="C88" s="7" t="str">
        <f t="shared" ref="C88:G105" si="120">$B$15</f>
        <v>BN</v>
      </c>
      <c r="D88" s="7" t="str">
        <f t="shared" si="120"/>
        <v>BN</v>
      </c>
      <c r="E88" s="7" t="str">
        <f t="shared" si="120"/>
        <v>BN</v>
      </c>
      <c r="F88" s="7" t="str">
        <f t="shared" si="120"/>
        <v>BN</v>
      </c>
      <c r="G88" s="7" t="str">
        <f t="shared" si="120"/>
        <v>BN</v>
      </c>
      <c r="H88" s="7">
        <f>SUMIF($B$3:$B$28,B88,C$3:C$28)</f>
        <v>8</v>
      </c>
      <c r="I88" s="7">
        <f t="shared" ref="I88:M88" si="121">SUMIF($B$3:$B$28,C88,D$3:D$28)</f>
        <v>2</v>
      </c>
      <c r="J88" s="7">
        <f t="shared" si="121"/>
        <v>2</v>
      </c>
      <c r="K88" s="7">
        <f t="shared" si="121"/>
        <v>2</v>
      </c>
      <c r="L88" s="7">
        <f t="shared" si="121"/>
        <v>2</v>
      </c>
      <c r="M88" s="7">
        <f t="shared" si="121"/>
        <v>4</v>
      </c>
      <c r="N88" s="6">
        <f>PRODUCT(H88:M88)</f>
        <v>512</v>
      </c>
    </row>
    <row r="89" spans="2:18">
      <c r="B89" s="5"/>
      <c r="N89" s="4"/>
    </row>
    <row r="90" spans="2:18">
      <c r="B90" s="5" t="str">
        <f t="shared" ref="B90:G116" si="122">$B$15</f>
        <v>BN</v>
      </c>
      <c r="C90" t="str">
        <f t="shared" si="120"/>
        <v>BN</v>
      </c>
      <c r="D90" t="str">
        <f t="shared" si="120"/>
        <v>BN</v>
      </c>
      <c r="E90" t="str">
        <f t="shared" si="120"/>
        <v>BN</v>
      </c>
      <c r="F90" t="str">
        <f t="shared" si="120"/>
        <v>BN</v>
      </c>
      <c r="G90" t="str">
        <f>$B$28</f>
        <v>BN-0</v>
      </c>
      <c r="H90">
        <f>SUMIF($B$3:$B$28,B90,C$3:C$28)</f>
        <v>8</v>
      </c>
      <c r="I90">
        <f t="shared" ref="I90" si="123">SUMIF($B$3:$B$28,C90,D$3:D$28)</f>
        <v>2</v>
      </c>
      <c r="J90">
        <f t="shared" ref="J90" si="124">SUMIF($B$3:$B$28,D90,E$3:E$28)</f>
        <v>2</v>
      </c>
      <c r="K90">
        <f t="shared" ref="K90" si="125">SUMIF($B$3:$B$28,E90,F$3:F$28)</f>
        <v>2</v>
      </c>
      <c r="L90">
        <f t="shared" ref="L90" si="126">SUMIF($B$3:$B$28,F90,G$3:G$28)</f>
        <v>2</v>
      </c>
      <c r="M90">
        <f t="shared" ref="M90" si="127">SUMIF($B$3:$B$28,G90,H$3:H$28)</f>
        <v>79</v>
      </c>
      <c r="N90" s="4">
        <f>PRODUCT(H90:M90)</f>
        <v>10112</v>
      </c>
    </row>
    <row r="91" spans="2:18">
      <c r="B91" s="5" t="str">
        <f t="shared" si="122"/>
        <v>BN</v>
      </c>
      <c r="C91" t="str">
        <f t="shared" si="120"/>
        <v>BN</v>
      </c>
      <c r="D91" t="str">
        <f t="shared" si="120"/>
        <v>BN</v>
      </c>
      <c r="E91" t="str">
        <f t="shared" si="120"/>
        <v>BN</v>
      </c>
      <c r="F91" t="str">
        <f>$B$28</f>
        <v>BN-0</v>
      </c>
      <c r="G91" t="str">
        <f t="shared" si="120"/>
        <v>BN</v>
      </c>
      <c r="H91">
        <f t="shared" ref="H91:H115" si="128">SUMIF($B$3:$B$28,B91,C$3:C$28)</f>
        <v>8</v>
      </c>
      <c r="I91">
        <f t="shared" ref="I91:I115" si="129">SUMIF($B$3:$B$28,C91,D$3:D$28)</f>
        <v>2</v>
      </c>
      <c r="J91">
        <f t="shared" ref="J91:J115" si="130">SUMIF($B$3:$B$28,D91,E$3:E$28)</f>
        <v>2</v>
      </c>
      <c r="K91">
        <f t="shared" ref="K91:K115" si="131">SUMIF($B$3:$B$28,E91,F$3:F$28)</f>
        <v>2</v>
      </c>
      <c r="L91">
        <f t="shared" ref="L91:L115" si="132">SUMIF($B$3:$B$28,F91,G$3:G$28)</f>
        <v>36</v>
      </c>
      <c r="M91">
        <f t="shared" ref="M91:M115" si="133">SUMIF($B$3:$B$28,G91,H$3:H$28)</f>
        <v>4</v>
      </c>
      <c r="N91" s="4">
        <f t="shared" ref="N91:N115" si="134">PRODUCT(H91:M91)</f>
        <v>9216</v>
      </c>
    </row>
    <row r="92" spans="2:18">
      <c r="B92" s="5" t="str">
        <f t="shared" si="122"/>
        <v>BN</v>
      </c>
      <c r="C92" t="str">
        <f t="shared" si="120"/>
        <v>BN</v>
      </c>
      <c r="D92" t="str">
        <f t="shared" si="120"/>
        <v>BN</v>
      </c>
      <c r="E92" t="str">
        <f>$B$28</f>
        <v>BN-0</v>
      </c>
      <c r="F92" t="str">
        <f t="shared" si="120"/>
        <v>BN</v>
      </c>
      <c r="G92" t="str">
        <f t="shared" si="120"/>
        <v>BN</v>
      </c>
      <c r="H92">
        <f t="shared" si="128"/>
        <v>8</v>
      </c>
      <c r="I92">
        <f t="shared" si="129"/>
        <v>2</v>
      </c>
      <c r="J92">
        <f t="shared" si="130"/>
        <v>2</v>
      </c>
      <c r="K92">
        <f t="shared" si="131"/>
        <v>57</v>
      </c>
      <c r="L92">
        <f t="shared" si="132"/>
        <v>2</v>
      </c>
      <c r="M92">
        <f t="shared" si="133"/>
        <v>4</v>
      </c>
      <c r="N92" s="4">
        <f t="shared" si="134"/>
        <v>14592</v>
      </c>
    </row>
    <row r="93" spans="2:18">
      <c r="B93" s="5" t="str">
        <f t="shared" si="122"/>
        <v>BN</v>
      </c>
      <c r="C93" t="str">
        <f t="shared" si="120"/>
        <v>BN</v>
      </c>
      <c r="D93" t="str">
        <f>$B$28</f>
        <v>BN-0</v>
      </c>
      <c r="E93" t="str">
        <f t="shared" si="120"/>
        <v>BN</v>
      </c>
      <c r="F93" t="str">
        <f t="shared" si="120"/>
        <v>BN</v>
      </c>
      <c r="G93" t="str">
        <f t="shared" si="120"/>
        <v>BN</v>
      </c>
      <c r="H93">
        <f t="shared" si="128"/>
        <v>8</v>
      </c>
      <c r="I93">
        <f t="shared" si="129"/>
        <v>2</v>
      </c>
      <c r="J93">
        <f t="shared" si="130"/>
        <v>42</v>
      </c>
      <c r="K93">
        <f t="shared" si="131"/>
        <v>2</v>
      </c>
      <c r="L93">
        <f t="shared" si="132"/>
        <v>2</v>
      </c>
      <c r="M93">
        <f t="shared" si="133"/>
        <v>4</v>
      </c>
      <c r="N93" s="4">
        <f t="shared" si="134"/>
        <v>10752</v>
      </c>
    </row>
    <row r="94" spans="2:18">
      <c r="B94" s="5" t="str">
        <f t="shared" si="122"/>
        <v>BN</v>
      </c>
      <c r="C94" t="str">
        <f>$B$28</f>
        <v>BN-0</v>
      </c>
      <c r="D94" t="str">
        <f t="shared" si="120"/>
        <v>BN</v>
      </c>
      <c r="E94" t="str">
        <f t="shared" si="120"/>
        <v>BN</v>
      </c>
      <c r="F94" t="str">
        <f t="shared" si="120"/>
        <v>BN</v>
      </c>
      <c r="G94" t="str">
        <f t="shared" si="120"/>
        <v>BN</v>
      </c>
      <c r="H94">
        <f t="shared" si="128"/>
        <v>8</v>
      </c>
      <c r="I94">
        <f t="shared" si="129"/>
        <v>60</v>
      </c>
      <c r="J94">
        <f t="shared" si="130"/>
        <v>2</v>
      </c>
      <c r="K94">
        <f t="shared" si="131"/>
        <v>2</v>
      </c>
      <c r="L94">
        <f t="shared" si="132"/>
        <v>2</v>
      </c>
      <c r="M94">
        <f t="shared" si="133"/>
        <v>4</v>
      </c>
      <c r="N94" s="4">
        <f t="shared" si="134"/>
        <v>15360</v>
      </c>
    </row>
    <row r="95" spans="2:18">
      <c r="B95" s="5" t="str">
        <f>$B$28</f>
        <v>BN-0</v>
      </c>
      <c r="C95" t="str">
        <f t="shared" si="120"/>
        <v>BN</v>
      </c>
      <c r="D95" t="str">
        <f t="shared" si="120"/>
        <v>BN</v>
      </c>
      <c r="E95" t="str">
        <f t="shared" si="120"/>
        <v>BN</v>
      </c>
      <c r="F95" t="str">
        <f t="shared" si="120"/>
        <v>BN</v>
      </c>
      <c r="G95" t="str">
        <f t="shared" si="120"/>
        <v>BN</v>
      </c>
      <c r="H95">
        <f t="shared" si="128"/>
        <v>65</v>
      </c>
      <c r="I95">
        <f t="shared" si="129"/>
        <v>2</v>
      </c>
      <c r="J95">
        <f t="shared" si="130"/>
        <v>2</v>
      </c>
      <c r="K95">
        <f t="shared" si="131"/>
        <v>2</v>
      </c>
      <c r="L95">
        <f t="shared" si="132"/>
        <v>2</v>
      </c>
      <c r="M95">
        <f t="shared" si="133"/>
        <v>4</v>
      </c>
      <c r="N95" s="4">
        <f t="shared" si="134"/>
        <v>4160</v>
      </c>
    </row>
    <row r="96" spans="2:18">
      <c r="B96" s="5"/>
      <c r="N96" s="4"/>
    </row>
    <row r="97" spans="2:14">
      <c r="B97" s="5" t="str">
        <f t="shared" si="122"/>
        <v>BN</v>
      </c>
      <c r="C97" t="str">
        <f t="shared" si="120"/>
        <v>BN</v>
      </c>
      <c r="D97" t="str">
        <f t="shared" si="120"/>
        <v>BN</v>
      </c>
      <c r="E97" t="str">
        <f t="shared" si="120"/>
        <v>BN</v>
      </c>
      <c r="F97" t="str">
        <f>$B$28</f>
        <v>BN-0</v>
      </c>
      <c r="G97" t="str">
        <f>$B$28</f>
        <v>BN-0</v>
      </c>
      <c r="H97">
        <f t="shared" si="128"/>
        <v>8</v>
      </c>
      <c r="I97">
        <f t="shared" si="129"/>
        <v>2</v>
      </c>
      <c r="J97">
        <f t="shared" si="130"/>
        <v>2</v>
      </c>
      <c r="K97">
        <f t="shared" si="131"/>
        <v>2</v>
      </c>
      <c r="L97">
        <f t="shared" si="132"/>
        <v>36</v>
      </c>
      <c r="M97">
        <f t="shared" si="133"/>
        <v>79</v>
      </c>
      <c r="N97" s="4">
        <f t="shared" si="134"/>
        <v>182016</v>
      </c>
    </row>
    <row r="98" spans="2:14">
      <c r="B98" s="5" t="str">
        <f t="shared" si="122"/>
        <v>BN</v>
      </c>
      <c r="C98" t="str">
        <f t="shared" si="120"/>
        <v>BN</v>
      </c>
      <c r="D98" t="str">
        <f t="shared" si="120"/>
        <v>BN</v>
      </c>
      <c r="E98" t="str">
        <f>$B$28</f>
        <v>BN-0</v>
      </c>
      <c r="F98" t="str">
        <f t="shared" si="120"/>
        <v>BN</v>
      </c>
      <c r="G98" t="str">
        <f>$B$28</f>
        <v>BN-0</v>
      </c>
      <c r="H98">
        <f t="shared" si="128"/>
        <v>8</v>
      </c>
      <c r="I98">
        <f t="shared" si="129"/>
        <v>2</v>
      </c>
      <c r="J98">
        <f t="shared" si="130"/>
        <v>2</v>
      </c>
      <c r="K98">
        <f t="shared" si="131"/>
        <v>57</v>
      </c>
      <c r="L98">
        <f t="shared" si="132"/>
        <v>2</v>
      </c>
      <c r="M98">
        <f t="shared" si="133"/>
        <v>79</v>
      </c>
      <c r="N98" s="4">
        <f t="shared" si="134"/>
        <v>288192</v>
      </c>
    </row>
    <row r="99" spans="2:14">
      <c r="B99" s="5" t="str">
        <f t="shared" si="122"/>
        <v>BN</v>
      </c>
      <c r="C99" t="str">
        <f t="shared" si="120"/>
        <v>BN</v>
      </c>
      <c r="D99" t="str">
        <f>$B$28</f>
        <v>BN-0</v>
      </c>
      <c r="E99" t="str">
        <f t="shared" si="120"/>
        <v>BN</v>
      </c>
      <c r="F99" t="str">
        <f t="shared" si="120"/>
        <v>BN</v>
      </c>
      <c r="G99" t="str">
        <f>$B$28</f>
        <v>BN-0</v>
      </c>
      <c r="H99">
        <f t="shared" si="128"/>
        <v>8</v>
      </c>
      <c r="I99">
        <f t="shared" si="129"/>
        <v>2</v>
      </c>
      <c r="J99">
        <f t="shared" si="130"/>
        <v>42</v>
      </c>
      <c r="K99">
        <f t="shared" si="131"/>
        <v>2</v>
      </c>
      <c r="L99">
        <f t="shared" si="132"/>
        <v>2</v>
      </c>
      <c r="M99">
        <f t="shared" si="133"/>
        <v>79</v>
      </c>
      <c r="N99" s="4">
        <f t="shared" si="134"/>
        <v>212352</v>
      </c>
    </row>
    <row r="100" spans="2:14">
      <c r="B100" s="5" t="str">
        <f t="shared" si="122"/>
        <v>BN</v>
      </c>
      <c r="C100" t="str">
        <f>$B$28</f>
        <v>BN-0</v>
      </c>
      <c r="D100" t="str">
        <f t="shared" si="120"/>
        <v>BN</v>
      </c>
      <c r="E100" t="str">
        <f t="shared" si="120"/>
        <v>BN</v>
      </c>
      <c r="F100" t="str">
        <f t="shared" si="120"/>
        <v>BN</v>
      </c>
      <c r="G100" t="str">
        <f>$B$28</f>
        <v>BN-0</v>
      </c>
      <c r="H100">
        <f t="shared" si="128"/>
        <v>8</v>
      </c>
      <c r="I100">
        <f t="shared" si="129"/>
        <v>60</v>
      </c>
      <c r="J100">
        <f t="shared" si="130"/>
        <v>2</v>
      </c>
      <c r="K100">
        <f t="shared" si="131"/>
        <v>2</v>
      </c>
      <c r="L100">
        <f t="shared" si="132"/>
        <v>2</v>
      </c>
      <c r="M100">
        <f t="shared" si="133"/>
        <v>79</v>
      </c>
      <c r="N100" s="4">
        <f t="shared" si="134"/>
        <v>303360</v>
      </c>
    </row>
    <row r="101" spans="2:14">
      <c r="B101" s="5" t="str">
        <f>$B$28</f>
        <v>BN-0</v>
      </c>
      <c r="C101" t="str">
        <f t="shared" si="120"/>
        <v>BN</v>
      </c>
      <c r="D101" t="str">
        <f t="shared" si="120"/>
        <v>BN</v>
      </c>
      <c r="E101" t="str">
        <f t="shared" si="120"/>
        <v>BN</v>
      </c>
      <c r="F101" t="str">
        <f t="shared" si="120"/>
        <v>BN</v>
      </c>
      <c r="G101" t="str">
        <f>$B$28</f>
        <v>BN-0</v>
      </c>
      <c r="H101">
        <f t="shared" si="128"/>
        <v>65</v>
      </c>
      <c r="I101">
        <f t="shared" si="129"/>
        <v>2</v>
      </c>
      <c r="J101">
        <f t="shared" si="130"/>
        <v>2</v>
      </c>
      <c r="K101">
        <f t="shared" si="131"/>
        <v>2</v>
      </c>
      <c r="L101">
        <f t="shared" si="132"/>
        <v>2</v>
      </c>
      <c r="M101">
        <f t="shared" si="133"/>
        <v>79</v>
      </c>
      <c r="N101" s="4">
        <f t="shared" si="134"/>
        <v>82160</v>
      </c>
    </row>
    <row r="102" spans="2:14">
      <c r="B102" s="5" t="str">
        <f t="shared" si="122"/>
        <v>BN</v>
      </c>
      <c r="C102" t="str">
        <f t="shared" si="120"/>
        <v>BN</v>
      </c>
      <c r="D102" t="str">
        <f t="shared" si="120"/>
        <v>BN</v>
      </c>
      <c r="E102" t="str">
        <f>$B$28</f>
        <v>BN-0</v>
      </c>
      <c r="F102" t="str">
        <f>$B$28</f>
        <v>BN-0</v>
      </c>
      <c r="G102" t="str">
        <f t="shared" si="120"/>
        <v>BN</v>
      </c>
      <c r="H102">
        <f t="shared" si="128"/>
        <v>8</v>
      </c>
      <c r="I102">
        <f t="shared" si="129"/>
        <v>2</v>
      </c>
      <c r="J102">
        <f t="shared" si="130"/>
        <v>2</v>
      </c>
      <c r="K102">
        <f t="shared" si="131"/>
        <v>57</v>
      </c>
      <c r="L102">
        <f t="shared" si="132"/>
        <v>36</v>
      </c>
      <c r="M102">
        <f t="shared" si="133"/>
        <v>4</v>
      </c>
      <c r="N102" s="4">
        <f t="shared" si="134"/>
        <v>262656</v>
      </c>
    </row>
    <row r="103" spans="2:14">
      <c r="B103" s="5" t="str">
        <f t="shared" si="122"/>
        <v>BN</v>
      </c>
      <c r="C103" t="str">
        <f t="shared" si="120"/>
        <v>BN</v>
      </c>
      <c r="D103" t="str">
        <f>$B$28</f>
        <v>BN-0</v>
      </c>
      <c r="E103" t="str">
        <f t="shared" si="120"/>
        <v>BN</v>
      </c>
      <c r="F103" t="str">
        <f>$B$28</f>
        <v>BN-0</v>
      </c>
      <c r="G103" t="str">
        <f t="shared" si="120"/>
        <v>BN</v>
      </c>
      <c r="H103">
        <f t="shared" si="128"/>
        <v>8</v>
      </c>
      <c r="I103">
        <f t="shared" si="129"/>
        <v>2</v>
      </c>
      <c r="J103">
        <f t="shared" si="130"/>
        <v>42</v>
      </c>
      <c r="K103">
        <f t="shared" si="131"/>
        <v>2</v>
      </c>
      <c r="L103">
        <f t="shared" si="132"/>
        <v>36</v>
      </c>
      <c r="M103">
        <f t="shared" si="133"/>
        <v>4</v>
      </c>
      <c r="N103" s="4">
        <f t="shared" si="134"/>
        <v>193536</v>
      </c>
    </row>
    <row r="104" spans="2:14">
      <c r="B104" s="5" t="str">
        <f t="shared" si="122"/>
        <v>BN</v>
      </c>
      <c r="C104" t="str">
        <f>$B$28</f>
        <v>BN-0</v>
      </c>
      <c r="D104" t="str">
        <f t="shared" si="120"/>
        <v>BN</v>
      </c>
      <c r="E104" t="str">
        <f t="shared" si="120"/>
        <v>BN</v>
      </c>
      <c r="F104" t="str">
        <f>$B$28</f>
        <v>BN-0</v>
      </c>
      <c r="G104" t="str">
        <f t="shared" si="120"/>
        <v>BN</v>
      </c>
      <c r="H104">
        <f t="shared" si="128"/>
        <v>8</v>
      </c>
      <c r="I104">
        <f t="shared" si="129"/>
        <v>60</v>
      </c>
      <c r="J104">
        <f t="shared" si="130"/>
        <v>2</v>
      </c>
      <c r="K104">
        <f t="shared" si="131"/>
        <v>2</v>
      </c>
      <c r="L104">
        <f t="shared" si="132"/>
        <v>36</v>
      </c>
      <c r="M104">
        <f t="shared" si="133"/>
        <v>4</v>
      </c>
      <c r="N104" s="4">
        <f t="shared" si="134"/>
        <v>276480</v>
      </c>
    </row>
    <row r="105" spans="2:14">
      <c r="B105" s="5" t="str">
        <f>$B$28</f>
        <v>BN-0</v>
      </c>
      <c r="C105" t="str">
        <f t="shared" si="120"/>
        <v>BN</v>
      </c>
      <c r="D105" t="str">
        <f t="shared" si="120"/>
        <v>BN</v>
      </c>
      <c r="E105" t="str">
        <f t="shared" si="120"/>
        <v>BN</v>
      </c>
      <c r="F105" t="str">
        <f>$B$28</f>
        <v>BN-0</v>
      </c>
      <c r="G105" t="str">
        <f t="shared" si="120"/>
        <v>BN</v>
      </c>
      <c r="H105">
        <f t="shared" si="128"/>
        <v>65</v>
      </c>
      <c r="I105">
        <f t="shared" si="129"/>
        <v>2</v>
      </c>
      <c r="J105">
        <f t="shared" si="130"/>
        <v>2</v>
      </c>
      <c r="K105">
        <f t="shared" si="131"/>
        <v>2</v>
      </c>
      <c r="L105">
        <f t="shared" si="132"/>
        <v>36</v>
      </c>
      <c r="M105">
        <f t="shared" si="133"/>
        <v>4</v>
      </c>
      <c r="N105" s="4">
        <f t="shared" si="134"/>
        <v>74880</v>
      </c>
    </row>
    <row r="106" spans="2:14">
      <c r="B106" s="5" t="str">
        <f t="shared" si="122"/>
        <v>BN</v>
      </c>
      <c r="C106" t="str">
        <f t="shared" si="122"/>
        <v>BN</v>
      </c>
      <c r="D106" t="str">
        <f>$B$28</f>
        <v>BN-0</v>
      </c>
      <c r="E106" t="str">
        <f>$B$28</f>
        <v>BN-0</v>
      </c>
      <c r="F106" t="str">
        <f t="shared" si="122"/>
        <v>BN</v>
      </c>
      <c r="G106" t="str">
        <f t="shared" si="122"/>
        <v>BN</v>
      </c>
      <c r="H106">
        <f t="shared" si="128"/>
        <v>8</v>
      </c>
      <c r="I106">
        <f t="shared" si="129"/>
        <v>2</v>
      </c>
      <c r="J106">
        <f t="shared" si="130"/>
        <v>42</v>
      </c>
      <c r="K106">
        <f t="shared" si="131"/>
        <v>57</v>
      </c>
      <c r="L106">
        <f t="shared" si="132"/>
        <v>2</v>
      </c>
      <c r="M106">
        <f t="shared" si="133"/>
        <v>4</v>
      </c>
      <c r="N106" s="4">
        <f t="shared" si="134"/>
        <v>306432</v>
      </c>
    </row>
    <row r="107" spans="2:14">
      <c r="B107" s="5" t="str">
        <f t="shared" si="122"/>
        <v>BN</v>
      </c>
      <c r="C107" t="str">
        <f>$B$28</f>
        <v>BN-0</v>
      </c>
      <c r="D107" t="str">
        <f t="shared" si="122"/>
        <v>BN</v>
      </c>
      <c r="E107" t="str">
        <f>$B$28</f>
        <v>BN-0</v>
      </c>
      <c r="F107" t="str">
        <f t="shared" si="122"/>
        <v>BN</v>
      </c>
      <c r="G107" t="str">
        <f t="shared" si="122"/>
        <v>BN</v>
      </c>
      <c r="H107">
        <f t="shared" si="128"/>
        <v>8</v>
      </c>
      <c r="I107">
        <f t="shared" si="129"/>
        <v>60</v>
      </c>
      <c r="J107">
        <f t="shared" si="130"/>
        <v>2</v>
      </c>
      <c r="K107">
        <f t="shared" si="131"/>
        <v>57</v>
      </c>
      <c r="L107">
        <f t="shared" si="132"/>
        <v>2</v>
      </c>
      <c r="M107">
        <f t="shared" si="133"/>
        <v>4</v>
      </c>
      <c r="N107" s="4">
        <f t="shared" si="134"/>
        <v>437760</v>
      </c>
    </row>
    <row r="108" spans="2:14">
      <c r="B108" s="5" t="str">
        <f>$B$28</f>
        <v>BN-0</v>
      </c>
      <c r="C108" t="str">
        <f t="shared" si="122"/>
        <v>BN</v>
      </c>
      <c r="D108" t="str">
        <f t="shared" si="122"/>
        <v>BN</v>
      </c>
      <c r="E108" t="str">
        <f>$B$28</f>
        <v>BN-0</v>
      </c>
      <c r="F108" t="str">
        <f t="shared" si="122"/>
        <v>BN</v>
      </c>
      <c r="G108" t="str">
        <f t="shared" si="122"/>
        <v>BN</v>
      </c>
      <c r="H108">
        <f t="shared" si="128"/>
        <v>65</v>
      </c>
      <c r="I108">
        <f t="shared" si="129"/>
        <v>2</v>
      </c>
      <c r="J108">
        <f t="shared" si="130"/>
        <v>2</v>
      </c>
      <c r="K108">
        <f t="shared" si="131"/>
        <v>57</v>
      </c>
      <c r="L108">
        <f t="shared" si="132"/>
        <v>2</v>
      </c>
      <c r="M108">
        <f t="shared" si="133"/>
        <v>4</v>
      </c>
      <c r="N108" s="4">
        <f t="shared" si="134"/>
        <v>118560</v>
      </c>
    </row>
    <row r="109" spans="2:14">
      <c r="B109" s="5" t="str">
        <f t="shared" si="122"/>
        <v>BN</v>
      </c>
      <c r="C109" t="str">
        <f>$B$28</f>
        <v>BN-0</v>
      </c>
      <c r="D109" t="str">
        <f>$B$28</f>
        <v>BN-0</v>
      </c>
      <c r="E109" t="str">
        <f t="shared" si="122"/>
        <v>BN</v>
      </c>
      <c r="F109" t="str">
        <f t="shared" si="122"/>
        <v>BN</v>
      </c>
      <c r="G109" t="str">
        <f t="shared" si="122"/>
        <v>BN</v>
      </c>
      <c r="H109">
        <f t="shared" si="128"/>
        <v>8</v>
      </c>
      <c r="I109">
        <f t="shared" si="129"/>
        <v>60</v>
      </c>
      <c r="J109">
        <f t="shared" si="130"/>
        <v>42</v>
      </c>
      <c r="K109">
        <f t="shared" si="131"/>
        <v>2</v>
      </c>
      <c r="L109">
        <f t="shared" si="132"/>
        <v>2</v>
      </c>
      <c r="M109">
        <f t="shared" si="133"/>
        <v>4</v>
      </c>
      <c r="N109" s="4">
        <f t="shared" si="134"/>
        <v>322560</v>
      </c>
    </row>
    <row r="110" spans="2:14">
      <c r="B110" s="5" t="str">
        <f>$B$28</f>
        <v>BN-0</v>
      </c>
      <c r="C110" t="str">
        <f t="shared" si="122"/>
        <v>BN</v>
      </c>
      <c r="D110" t="str">
        <f>$B$28</f>
        <v>BN-0</v>
      </c>
      <c r="E110" t="str">
        <f t="shared" si="122"/>
        <v>BN</v>
      </c>
      <c r="F110" t="str">
        <f t="shared" si="122"/>
        <v>BN</v>
      </c>
      <c r="G110" t="str">
        <f t="shared" si="122"/>
        <v>BN</v>
      </c>
      <c r="H110">
        <f t="shared" si="128"/>
        <v>65</v>
      </c>
      <c r="I110">
        <f t="shared" si="129"/>
        <v>2</v>
      </c>
      <c r="J110">
        <f t="shared" si="130"/>
        <v>42</v>
      </c>
      <c r="K110">
        <f t="shared" si="131"/>
        <v>2</v>
      </c>
      <c r="L110">
        <f t="shared" si="132"/>
        <v>2</v>
      </c>
      <c r="M110">
        <f t="shared" si="133"/>
        <v>4</v>
      </c>
      <c r="N110" s="4">
        <f t="shared" si="134"/>
        <v>87360</v>
      </c>
    </row>
    <row r="111" spans="2:14">
      <c r="B111" s="5" t="str">
        <f>$B$28</f>
        <v>BN-0</v>
      </c>
      <c r="C111" t="str">
        <f>$B$28</f>
        <v>BN-0</v>
      </c>
      <c r="D111" t="str">
        <f t="shared" si="122"/>
        <v>BN</v>
      </c>
      <c r="E111" t="str">
        <f t="shared" si="122"/>
        <v>BN</v>
      </c>
      <c r="F111" t="str">
        <f t="shared" si="122"/>
        <v>BN</v>
      </c>
      <c r="G111" t="str">
        <f t="shared" si="122"/>
        <v>BN</v>
      </c>
      <c r="H111">
        <f t="shared" si="128"/>
        <v>65</v>
      </c>
      <c r="I111">
        <f t="shared" si="129"/>
        <v>60</v>
      </c>
      <c r="J111">
        <f t="shared" si="130"/>
        <v>2</v>
      </c>
      <c r="K111">
        <f t="shared" si="131"/>
        <v>2</v>
      </c>
      <c r="L111">
        <f t="shared" si="132"/>
        <v>2</v>
      </c>
      <c r="M111">
        <f t="shared" si="133"/>
        <v>4</v>
      </c>
      <c r="N111" s="4">
        <f t="shared" si="134"/>
        <v>124800</v>
      </c>
    </row>
    <row r="112" spans="2:14">
      <c r="B112" s="5"/>
      <c r="N112" s="4"/>
    </row>
    <row r="113" spans="2:14">
      <c r="B113" s="5" t="str">
        <f t="shared" si="122"/>
        <v>BN</v>
      </c>
      <c r="C113" t="str">
        <f t="shared" si="122"/>
        <v>BN</v>
      </c>
      <c r="D113" t="str">
        <f t="shared" si="122"/>
        <v>BN</v>
      </c>
      <c r="E113" t="str">
        <f>$B$28</f>
        <v>BN-0</v>
      </c>
      <c r="F113" t="str">
        <f>$B$28</f>
        <v>BN-0</v>
      </c>
      <c r="G113" t="str">
        <f>$B$28</f>
        <v>BN-0</v>
      </c>
      <c r="H113">
        <f t="shared" si="128"/>
        <v>8</v>
      </c>
      <c r="I113">
        <f t="shared" si="129"/>
        <v>2</v>
      </c>
      <c r="J113">
        <f t="shared" si="130"/>
        <v>2</v>
      </c>
      <c r="K113">
        <f t="shared" si="131"/>
        <v>57</v>
      </c>
      <c r="L113">
        <f t="shared" si="132"/>
        <v>36</v>
      </c>
      <c r="M113">
        <f t="shared" si="133"/>
        <v>79</v>
      </c>
      <c r="N113" s="4">
        <f t="shared" si="134"/>
        <v>5187456</v>
      </c>
    </row>
    <row r="114" spans="2:14">
      <c r="B114" s="5" t="str">
        <f t="shared" si="122"/>
        <v>BN</v>
      </c>
      <c r="C114" t="str">
        <f t="shared" si="122"/>
        <v>BN</v>
      </c>
      <c r="D114" t="str">
        <f>$B$28</f>
        <v>BN-0</v>
      </c>
      <c r="E114" t="str">
        <f t="shared" si="122"/>
        <v>BN</v>
      </c>
      <c r="F114" t="str">
        <f>$B$28</f>
        <v>BN-0</v>
      </c>
      <c r="G114" t="str">
        <f>$B$28</f>
        <v>BN-0</v>
      </c>
      <c r="H114">
        <f t="shared" si="128"/>
        <v>8</v>
      </c>
      <c r="I114">
        <f t="shared" si="129"/>
        <v>2</v>
      </c>
      <c r="J114">
        <f t="shared" si="130"/>
        <v>42</v>
      </c>
      <c r="K114">
        <f t="shared" si="131"/>
        <v>2</v>
      </c>
      <c r="L114">
        <f t="shared" si="132"/>
        <v>36</v>
      </c>
      <c r="M114">
        <f t="shared" si="133"/>
        <v>79</v>
      </c>
      <c r="N114" s="4">
        <f t="shared" si="134"/>
        <v>3822336</v>
      </c>
    </row>
    <row r="115" spans="2:14">
      <c r="B115" s="5" t="str">
        <f t="shared" si="122"/>
        <v>BN</v>
      </c>
      <c r="C115" t="str">
        <f>$B$28</f>
        <v>BN-0</v>
      </c>
      <c r="D115" t="str">
        <f t="shared" si="122"/>
        <v>BN</v>
      </c>
      <c r="E115" t="str">
        <f t="shared" si="122"/>
        <v>BN</v>
      </c>
      <c r="F115" t="str">
        <f t="shared" ref="B115:G132" si="135">$B$28</f>
        <v>BN-0</v>
      </c>
      <c r="G115" t="str">
        <f t="shared" si="135"/>
        <v>BN-0</v>
      </c>
      <c r="H115">
        <f t="shared" si="128"/>
        <v>8</v>
      </c>
      <c r="I115">
        <f t="shared" si="129"/>
        <v>60</v>
      </c>
      <c r="J115">
        <f t="shared" si="130"/>
        <v>2</v>
      </c>
      <c r="K115">
        <f t="shared" si="131"/>
        <v>2</v>
      </c>
      <c r="L115">
        <f t="shared" si="132"/>
        <v>36</v>
      </c>
      <c r="M115">
        <f t="shared" si="133"/>
        <v>79</v>
      </c>
      <c r="N115" s="4">
        <f t="shared" si="134"/>
        <v>5460480</v>
      </c>
    </row>
    <row r="116" spans="2:14">
      <c r="B116" s="5" t="str">
        <f>$B$28</f>
        <v>BN-0</v>
      </c>
      <c r="C116" t="str">
        <f t="shared" si="122"/>
        <v>BN</v>
      </c>
      <c r="D116" t="str">
        <f t="shared" si="122"/>
        <v>BN</v>
      </c>
      <c r="E116" t="str">
        <f t="shared" si="122"/>
        <v>BN</v>
      </c>
      <c r="F116" t="str">
        <f t="shared" si="135"/>
        <v>BN-0</v>
      </c>
      <c r="G116" t="str">
        <f t="shared" si="135"/>
        <v>BN-0</v>
      </c>
      <c r="H116">
        <f t="shared" ref="H116:H129" si="136">SUMIF($B$3:$B$28,B116,C$3:C$28)</f>
        <v>65</v>
      </c>
      <c r="I116">
        <f t="shared" ref="I116:I129" si="137">SUMIF($B$3:$B$28,C116,D$3:D$28)</f>
        <v>2</v>
      </c>
      <c r="J116">
        <f t="shared" ref="J116:J129" si="138">SUMIF($B$3:$B$28,D116,E$3:E$28)</f>
        <v>2</v>
      </c>
      <c r="K116">
        <f t="shared" ref="K116:K129" si="139">SUMIF($B$3:$B$28,E116,F$3:F$28)</f>
        <v>2</v>
      </c>
      <c r="L116">
        <f t="shared" ref="L116:L129" si="140">SUMIF($B$3:$B$28,F116,G$3:G$28)</f>
        <v>36</v>
      </c>
      <c r="M116">
        <f t="shared" ref="M116:M129" si="141">SUMIF($B$3:$B$28,G116,H$3:H$28)</f>
        <v>79</v>
      </c>
      <c r="N116" s="4">
        <f t="shared" ref="N116:N129" si="142">PRODUCT(H116:M116)</f>
        <v>1478880</v>
      </c>
    </row>
    <row r="117" spans="2:14">
      <c r="B117" s="5" t="str">
        <f t="shared" ref="B117:G132" si="143">$B$15</f>
        <v>BN</v>
      </c>
      <c r="C117" t="str">
        <f t="shared" si="143"/>
        <v>BN</v>
      </c>
      <c r="D117" t="str">
        <f t="shared" si="135"/>
        <v>BN-0</v>
      </c>
      <c r="E117" t="str">
        <f t="shared" si="135"/>
        <v>BN-0</v>
      </c>
      <c r="F117" t="str">
        <f t="shared" si="143"/>
        <v>BN</v>
      </c>
      <c r="G117" t="str">
        <f t="shared" si="135"/>
        <v>BN-0</v>
      </c>
      <c r="H117">
        <f t="shared" si="136"/>
        <v>8</v>
      </c>
      <c r="I117">
        <f t="shared" si="137"/>
        <v>2</v>
      </c>
      <c r="J117">
        <f t="shared" si="138"/>
        <v>42</v>
      </c>
      <c r="K117">
        <f t="shared" si="139"/>
        <v>57</v>
      </c>
      <c r="L117">
        <f t="shared" si="140"/>
        <v>2</v>
      </c>
      <c r="M117">
        <f t="shared" si="141"/>
        <v>79</v>
      </c>
      <c r="N117" s="4">
        <f t="shared" si="142"/>
        <v>6052032</v>
      </c>
    </row>
    <row r="118" spans="2:14">
      <c r="B118" s="5" t="str">
        <f t="shared" si="143"/>
        <v>BN</v>
      </c>
      <c r="C118" t="str">
        <f t="shared" si="135"/>
        <v>BN-0</v>
      </c>
      <c r="D118" t="str">
        <f t="shared" si="143"/>
        <v>BN</v>
      </c>
      <c r="E118" t="str">
        <f t="shared" si="135"/>
        <v>BN-0</v>
      </c>
      <c r="F118" t="str">
        <f t="shared" si="143"/>
        <v>BN</v>
      </c>
      <c r="G118" t="str">
        <f t="shared" si="135"/>
        <v>BN-0</v>
      </c>
      <c r="H118">
        <f t="shared" si="136"/>
        <v>8</v>
      </c>
      <c r="I118">
        <f t="shared" si="137"/>
        <v>60</v>
      </c>
      <c r="J118">
        <f t="shared" si="138"/>
        <v>2</v>
      </c>
      <c r="K118">
        <f t="shared" si="139"/>
        <v>57</v>
      </c>
      <c r="L118">
        <f t="shared" si="140"/>
        <v>2</v>
      </c>
      <c r="M118">
        <f t="shared" si="141"/>
        <v>79</v>
      </c>
      <c r="N118" s="4">
        <f t="shared" si="142"/>
        <v>8645760</v>
      </c>
    </row>
    <row r="119" spans="2:14">
      <c r="B119" s="5" t="str">
        <f t="shared" si="135"/>
        <v>BN-0</v>
      </c>
      <c r="C119" t="str">
        <f t="shared" si="143"/>
        <v>BN</v>
      </c>
      <c r="D119" t="str">
        <f t="shared" si="143"/>
        <v>BN</v>
      </c>
      <c r="E119" t="str">
        <f t="shared" si="135"/>
        <v>BN-0</v>
      </c>
      <c r="F119" t="str">
        <f t="shared" si="143"/>
        <v>BN</v>
      </c>
      <c r="G119" t="str">
        <f t="shared" si="135"/>
        <v>BN-0</v>
      </c>
      <c r="H119">
        <f t="shared" si="136"/>
        <v>65</v>
      </c>
      <c r="I119">
        <f t="shared" si="137"/>
        <v>2</v>
      </c>
      <c r="J119">
        <f t="shared" si="138"/>
        <v>2</v>
      </c>
      <c r="K119">
        <f t="shared" si="139"/>
        <v>57</v>
      </c>
      <c r="L119">
        <f t="shared" si="140"/>
        <v>2</v>
      </c>
      <c r="M119">
        <f t="shared" si="141"/>
        <v>79</v>
      </c>
      <c r="N119" s="4">
        <f t="shared" si="142"/>
        <v>2341560</v>
      </c>
    </row>
    <row r="120" spans="2:14">
      <c r="B120" s="5" t="str">
        <f t="shared" si="143"/>
        <v>BN</v>
      </c>
      <c r="C120" t="str">
        <f t="shared" si="135"/>
        <v>BN-0</v>
      </c>
      <c r="D120" t="str">
        <f t="shared" si="135"/>
        <v>BN-0</v>
      </c>
      <c r="E120" t="str">
        <f t="shared" si="143"/>
        <v>BN</v>
      </c>
      <c r="F120" t="str">
        <f t="shared" si="143"/>
        <v>BN</v>
      </c>
      <c r="G120" t="str">
        <f t="shared" si="135"/>
        <v>BN-0</v>
      </c>
      <c r="H120">
        <f t="shared" si="136"/>
        <v>8</v>
      </c>
      <c r="I120">
        <f t="shared" si="137"/>
        <v>60</v>
      </c>
      <c r="J120">
        <f t="shared" si="138"/>
        <v>42</v>
      </c>
      <c r="K120">
        <f t="shared" si="139"/>
        <v>2</v>
      </c>
      <c r="L120">
        <f t="shared" si="140"/>
        <v>2</v>
      </c>
      <c r="M120">
        <f t="shared" si="141"/>
        <v>79</v>
      </c>
      <c r="N120" s="4">
        <f t="shared" si="142"/>
        <v>6370560</v>
      </c>
    </row>
    <row r="121" spans="2:14">
      <c r="B121" s="5" t="str">
        <f t="shared" si="135"/>
        <v>BN-0</v>
      </c>
      <c r="C121" t="str">
        <f t="shared" si="143"/>
        <v>BN</v>
      </c>
      <c r="D121" t="str">
        <f t="shared" si="135"/>
        <v>BN-0</v>
      </c>
      <c r="E121" t="str">
        <f t="shared" si="143"/>
        <v>BN</v>
      </c>
      <c r="F121" t="str">
        <f t="shared" si="143"/>
        <v>BN</v>
      </c>
      <c r="G121" t="str">
        <f t="shared" si="135"/>
        <v>BN-0</v>
      </c>
      <c r="H121">
        <f t="shared" si="136"/>
        <v>65</v>
      </c>
      <c r="I121">
        <f t="shared" si="137"/>
        <v>2</v>
      </c>
      <c r="J121">
        <f t="shared" si="138"/>
        <v>42</v>
      </c>
      <c r="K121">
        <f t="shared" si="139"/>
        <v>2</v>
      </c>
      <c r="L121">
        <f t="shared" si="140"/>
        <v>2</v>
      </c>
      <c r="M121">
        <f t="shared" si="141"/>
        <v>79</v>
      </c>
      <c r="N121" s="4">
        <f t="shared" si="142"/>
        <v>1725360</v>
      </c>
    </row>
    <row r="122" spans="2:14">
      <c r="B122" s="5" t="str">
        <f t="shared" si="135"/>
        <v>BN-0</v>
      </c>
      <c r="C122" t="str">
        <f t="shared" si="135"/>
        <v>BN-0</v>
      </c>
      <c r="D122" t="str">
        <f t="shared" si="143"/>
        <v>BN</v>
      </c>
      <c r="E122" t="str">
        <f t="shared" si="143"/>
        <v>BN</v>
      </c>
      <c r="F122" t="str">
        <f t="shared" si="143"/>
        <v>BN</v>
      </c>
      <c r="G122" t="str">
        <f t="shared" si="135"/>
        <v>BN-0</v>
      </c>
      <c r="H122">
        <f t="shared" si="136"/>
        <v>65</v>
      </c>
      <c r="I122">
        <f t="shared" si="137"/>
        <v>60</v>
      </c>
      <c r="J122">
        <f t="shared" si="138"/>
        <v>2</v>
      </c>
      <c r="K122">
        <f t="shared" si="139"/>
        <v>2</v>
      </c>
      <c r="L122">
        <f t="shared" si="140"/>
        <v>2</v>
      </c>
      <c r="M122">
        <f t="shared" si="141"/>
        <v>79</v>
      </c>
      <c r="N122" s="4">
        <f t="shared" si="142"/>
        <v>2464800</v>
      </c>
    </row>
    <row r="123" spans="2:14">
      <c r="B123" s="5" t="str">
        <f t="shared" si="143"/>
        <v>BN</v>
      </c>
      <c r="C123" t="str">
        <f t="shared" si="143"/>
        <v>BN</v>
      </c>
      <c r="D123" t="str">
        <f t="shared" si="135"/>
        <v>BN-0</v>
      </c>
      <c r="E123" t="str">
        <f t="shared" si="135"/>
        <v>BN-0</v>
      </c>
      <c r="F123" t="str">
        <f t="shared" si="135"/>
        <v>BN-0</v>
      </c>
      <c r="G123" t="str">
        <f t="shared" si="143"/>
        <v>BN</v>
      </c>
      <c r="H123">
        <f t="shared" si="136"/>
        <v>8</v>
      </c>
      <c r="I123">
        <f t="shared" si="137"/>
        <v>2</v>
      </c>
      <c r="J123">
        <f t="shared" si="138"/>
        <v>42</v>
      </c>
      <c r="K123">
        <f t="shared" si="139"/>
        <v>57</v>
      </c>
      <c r="L123">
        <f t="shared" si="140"/>
        <v>36</v>
      </c>
      <c r="M123">
        <f t="shared" si="141"/>
        <v>4</v>
      </c>
      <c r="N123" s="4">
        <f t="shared" si="142"/>
        <v>5515776</v>
      </c>
    </row>
    <row r="124" spans="2:14">
      <c r="B124" s="5" t="str">
        <f t="shared" si="143"/>
        <v>BN</v>
      </c>
      <c r="C124" t="str">
        <f t="shared" si="135"/>
        <v>BN-0</v>
      </c>
      <c r="D124" t="str">
        <f t="shared" si="143"/>
        <v>BN</v>
      </c>
      <c r="E124" t="str">
        <f t="shared" si="135"/>
        <v>BN-0</v>
      </c>
      <c r="F124" t="str">
        <f t="shared" si="135"/>
        <v>BN-0</v>
      </c>
      <c r="G124" t="str">
        <f t="shared" si="143"/>
        <v>BN</v>
      </c>
      <c r="H124">
        <f t="shared" si="136"/>
        <v>8</v>
      </c>
      <c r="I124">
        <f t="shared" si="137"/>
        <v>60</v>
      </c>
      <c r="J124">
        <f t="shared" si="138"/>
        <v>2</v>
      </c>
      <c r="K124">
        <f t="shared" si="139"/>
        <v>57</v>
      </c>
      <c r="L124">
        <f t="shared" si="140"/>
        <v>36</v>
      </c>
      <c r="M124">
        <f t="shared" si="141"/>
        <v>4</v>
      </c>
      <c r="N124" s="4">
        <f t="shared" si="142"/>
        <v>7879680</v>
      </c>
    </row>
    <row r="125" spans="2:14">
      <c r="B125" s="5" t="str">
        <f t="shared" si="135"/>
        <v>BN-0</v>
      </c>
      <c r="C125" t="str">
        <f t="shared" si="143"/>
        <v>BN</v>
      </c>
      <c r="D125" t="str">
        <f t="shared" si="143"/>
        <v>BN</v>
      </c>
      <c r="E125" t="str">
        <f t="shared" si="135"/>
        <v>BN-0</v>
      </c>
      <c r="F125" t="str">
        <f t="shared" si="135"/>
        <v>BN-0</v>
      </c>
      <c r="G125" t="str">
        <f t="shared" si="143"/>
        <v>BN</v>
      </c>
      <c r="H125">
        <f t="shared" si="136"/>
        <v>65</v>
      </c>
      <c r="I125">
        <f t="shared" si="137"/>
        <v>2</v>
      </c>
      <c r="J125">
        <f t="shared" si="138"/>
        <v>2</v>
      </c>
      <c r="K125">
        <f t="shared" si="139"/>
        <v>57</v>
      </c>
      <c r="L125">
        <f t="shared" si="140"/>
        <v>36</v>
      </c>
      <c r="M125">
        <f t="shared" si="141"/>
        <v>4</v>
      </c>
      <c r="N125" s="4">
        <f t="shared" si="142"/>
        <v>2134080</v>
      </c>
    </row>
    <row r="126" spans="2:14">
      <c r="B126" s="5" t="str">
        <f t="shared" si="143"/>
        <v>BN</v>
      </c>
      <c r="C126" t="str">
        <f t="shared" si="135"/>
        <v>BN-0</v>
      </c>
      <c r="D126" t="str">
        <f t="shared" si="135"/>
        <v>BN-0</v>
      </c>
      <c r="E126" t="str">
        <f t="shared" si="143"/>
        <v>BN</v>
      </c>
      <c r="F126" t="str">
        <f t="shared" si="135"/>
        <v>BN-0</v>
      </c>
      <c r="G126" t="str">
        <f t="shared" si="143"/>
        <v>BN</v>
      </c>
      <c r="H126">
        <f t="shared" si="136"/>
        <v>8</v>
      </c>
      <c r="I126">
        <f t="shared" si="137"/>
        <v>60</v>
      </c>
      <c r="J126">
        <f t="shared" si="138"/>
        <v>42</v>
      </c>
      <c r="K126">
        <f t="shared" si="139"/>
        <v>2</v>
      </c>
      <c r="L126">
        <f t="shared" si="140"/>
        <v>36</v>
      </c>
      <c r="M126">
        <f t="shared" si="141"/>
        <v>4</v>
      </c>
      <c r="N126" s="4">
        <f t="shared" si="142"/>
        <v>5806080</v>
      </c>
    </row>
    <row r="127" spans="2:14">
      <c r="B127" s="5" t="str">
        <f t="shared" si="135"/>
        <v>BN-0</v>
      </c>
      <c r="C127" t="str">
        <f t="shared" si="143"/>
        <v>BN</v>
      </c>
      <c r="D127" t="str">
        <f t="shared" si="135"/>
        <v>BN-0</v>
      </c>
      <c r="E127" t="str">
        <f t="shared" si="143"/>
        <v>BN</v>
      </c>
      <c r="F127" t="str">
        <f t="shared" si="135"/>
        <v>BN-0</v>
      </c>
      <c r="G127" t="str">
        <f t="shared" si="143"/>
        <v>BN</v>
      </c>
      <c r="H127">
        <f t="shared" si="136"/>
        <v>65</v>
      </c>
      <c r="I127">
        <f t="shared" si="137"/>
        <v>2</v>
      </c>
      <c r="J127">
        <f t="shared" si="138"/>
        <v>42</v>
      </c>
      <c r="K127">
        <f t="shared" si="139"/>
        <v>2</v>
      </c>
      <c r="L127">
        <f t="shared" si="140"/>
        <v>36</v>
      </c>
      <c r="M127">
        <f t="shared" si="141"/>
        <v>4</v>
      </c>
      <c r="N127" s="4">
        <f t="shared" si="142"/>
        <v>1572480</v>
      </c>
    </row>
    <row r="128" spans="2:14">
      <c r="B128" s="5" t="str">
        <f t="shared" si="135"/>
        <v>BN-0</v>
      </c>
      <c r="C128" t="str">
        <f t="shared" si="135"/>
        <v>BN-0</v>
      </c>
      <c r="D128" t="str">
        <f t="shared" si="143"/>
        <v>BN</v>
      </c>
      <c r="E128" t="str">
        <f t="shared" si="143"/>
        <v>BN</v>
      </c>
      <c r="F128" t="str">
        <f t="shared" si="135"/>
        <v>BN-0</v>
      </c>
      <c r="G128" t="str">
        <f t="shared" si="143"/>
        <v>BN</v>
      </c>
      <c r="H128">
        <f t="shared" si="136"/>
        <v>65</v>
      </c>
      <c r="I128">
        <f t="shared" si="137"/>
        <v>60</v>
      </c>
      <c r="J128">
        <f t="shared" si="138"/>
        <v>2</v>
      </c>
      <c r="K128">
        <f t="shared" si="139"/>
        <v>2</v>
      </c>
      <c r="L128">
        <f t="shared" si="140"/>
        <v>36</v>
      </c>
      <c r="M128">
        <f t="shared" si="141"/>
        <v>4</v>
      </c>
      <c r="N128" s="4">
        <f t="shared" si="142"/>
        <v>2246400</v>
      </c>
    </row>
    <row r="129" spans="2:14">
      <c r="B129" s="5" t="str">
        <f t="shared" si="143"/>
        <v>BN</v>
      </c>
      <c r="C129" t="str">
        <f t="shared" si="135"/>
        <v>BN-0</v>
      </c>
      <c r="D129" t="str">
        <f t="shared" si="135"/>
        <v>BN-0</v>
      </c>
      <c r="E129" t="str">
        <f t="shared" si="135"/>
        <v>BN-0</v>
      </c>
      <c r="F129" t="str">
        <f t="shared" si="143"/>
        <v>BN</v>
      </c>
      <c r="G129" t="str">
        <f t="shared" si="143"/>
        <v>BN</v>
      </c>
      <c r="H129">
        <f t="shared" si="136"/>
        <v>8</v>
      </c>
      <c r="I129">
        <f t="shared" si="137"/>
        <v>60</v>
      </c>
      <c r="J129">
        <f t="shared" si="138"/>
        <v>42</v>
      </c>
      <c r="K129">
        <f t="shared" si="139"/>
        <v>57</v>
      </c>
      <c r="L129">
        <f t="shared" si="140"/>
        <v>2</v>
      </c>
      <c r="M129">
        <f t="shared" si="141"/>
        <v>4</v>
      </c>
      <c r="N129" s="4">
        <f t="shared" si="142"/>
        <v>9192960</v>
      </c>
    </row>
    <row r="130" spans="2:14">
      <c r="B130" s="5" t="str">
        <f t="shared" si="135"/>
        <v>BN-0</v>
      </c>
      <c r="C130" t="str">
        <f t="shared" si="143"/>
        <v>BN</v>
      </c>
      <c r="D130" t="str">
        <f t="shared" si="135"/>
        <v>BN-0</v>
      </c>
      <c r="E130" t="str">
        <f t="shared" si="135"/>
        <v>BN-0</v>
      </c>
      <c r="F130" t="str">
        <f t="shared" si="143"/>
        <v>BN</v>
      </c>
      <c r="G130" t="str">
        <f t="shared" si="143"/>
        <v>BN</v>
      </c>
      <c r="H130">
        <f t="shared" ref="H130:H132" si="144">SUMIF($B$3:$B$28,B130,C$3:C$28)</f>
        <v>65</v>
      </c>
      <c r="I130">
        <f t="shared" ref="I130:I132" si="145">SUMIF($B$3:$B$28,C130,D$3:D$28)</f>
        <v>2</v>
      </c>
      <c r="J130">
        <f t="shared" ref="J130:J132" si="146">SUMIF($B$3:$B$28,D130,E$3:E$28)</f>
        <v>42</v>
      </c>
      <c r="K130">
        <f t="shared" ref="K130:K132" si="147">SUMIF($B$3:$B$28,E130,F$3:F$28)</f>
        <v>57</v>
      </c>
      <c r="L130">
        <f t="shared" ref="L130:L132" si="148">SUMIF($B$3:$B$28,F130,G$3:G$28)</f>
        <v>2</v>
      </c>
      <c r="M130">
        <f t="shared" ref="M130:M132" si="149">SUMIF($B$3:$B$28,G130,H$3:H$28)</f>
        <v>4</v>
      </c>
      <c r="N130" s="4">
        <f t="shared" ref="N130:N132" si="150">PRODUCT(H130:M130)</f>
        <v>2489760</v>
      </c>
    </row>
    <row r="131" spans="2:14">
      <c r="B131" s="5" t="str">
        <f t="shared" si="135"/>
        <v>BN-0</v>
      </c>
      <c r="C131" t="str">
        <f t="shared" si="135"/>
        <v>BN-0</v>
      </c>
      <c r="D131" t="str">
        <f t="shared" si="143"/>
        <v>BN</v>
      </c>
      <c r="E131" t="str">
        <f t="shared" si="135"/>
        <v>BN-0</v>
      </c>
      <c r="F131" t="str">
        <f t="shared" si="143"/>
        <v>BN</v>
      </c>
      <c r="G131" t="str">
        <f t="shared" si="143"/>
        <v>BN</v>
      </c>
      <c r="H131">
        <f t="shared" si="144"/>
        <v>65</v>
      </c>
      <c r="I131">
        <f t="shared" si="145"/>
        <v>60</v>
      </c>
      <c r="J131">
        <f t="shared" si="146"/>
        <v>2</v>
      </c>
      <c r="K131">
        <f t="shared" si="147"/>
        <v>57</v>
      </c>
      <c r="L131">
        <f t="shared" si="148"/>
        <v>2</v>
      </c>
      <c r="M131">
        <f t="shared" si="149"/>
        <v>4</v>
      </c>
      <c r="N131" s="4">
        <f t="shared" si="150"/>
        <v>3556800</v>
      </c>
    </row>
    <row r="132" spans="2:14">
      <c r="B132" s="3" t="str">
        <f t="shared" si="135"/>
        <v>BN-0</v>
      </c>
      <c r="C132" s="2" t="str">
        <f t="shared" si="135"/>
        <v>BN-0</v>
      </c>
      <c r="D132" s="2" t="str">
        <f t="shared" si="135"/>
        <v>BN-0</v>
      </c>
      <c r="E132" s="2" t="str">
        <f t="shared" si="143"/>
        <v>BN</v>
      </c>
      <c r="F132" s="2" t="str">
        <f t="shared" si="143"/>
        <v>BN</v>
      </c>
      <c r="G132" s="2" t="str">
        <f t="shared" si="143"/>
        <v>BN</v>
      </c>
      <c r="H132" s="2">
        <f t="shared" si="144"/>
        <v>65</v>
      </c>
      <c r="I132" s="2">
        <f t="shared" si="145"/>
        <v>60</v>
      </c>
      <c r="J132" s="2">
        <f t="shared" si="146"/>
        <v>42</v>
      </c>
      <c r="K132" s="2">
        <f t="shared" si="147"/>
        <v>2</v>
      </c>
      <c r="L132" s="2">
        <f t="shared" si="148"/>
        <v>2</v>
      </c>
      <c r="M132" s="2">
        <f t="shared" si="149"/>
        <v>4</v>
      </c>
      <c r="N132" s="1">
        <f t="shared" si="150"/>
        <v>2620800</v>
      </c>
    </row>
  </sheetData>
  <mergeCells count="4">
    <mergeCell ref="K17:P17"/>
    <mergeCell ref="AA17:AF17"/>
    <mergeCell ref="AK17:AL17"/>
    <mergeCell ref="AK18:AL18"/>
  </mergeCells>
  <conditionalFormatting sqref="AA18:AF52">
    <cfRule type="cellIs" dxfId="54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DFA6-D280-4C0A-9DCD-C6E985269E19}">
  <dimension ref="B2:BL135"/>
  <sheetViews>
    <sheetView tabSelected="1" zoomScale="91" zoomScaleNormal="84" workbookViewId="0">
      <selection activeCell="I23" sqref="I23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DD</v>
      </c>
      <c r="D4" s="32" t="str">
        <f t="shared" si="1"/>
        <v>BB</v>
      </c>
      <c r="E4" s="32" t="str">
        <f t="shared" si="1"/>
        <v>KK</v>
      </c>
      <c r="F4" s="32" t="str">
        <f t="shared" si="1"/>
        <v>AA</v>
      </c>
      <c r="G4" s="32" t="str">
        <f t="shared" si="1"/>
        <v>GG</v>
      </c>
      <c r="H4" s="33" t="str">
        <f t="shared" si="1"/>
        <v>CC</v>
      </c>
      <c r="J4" s="31">
        <f>IF(C4="","",1)</f>
        <v>1</v>
      </c>
      <c r="K4" s="32">
        <f t="shared" ref="K4:O4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AA</v>
      </c>
      <c r="D5" s="30" t="str">
        <f t="shared" si="1"/>
        <v>LL</v>
      </c>
      <c r="E5" s="30" t="str">
        <f t="shared" si="1"/>
        <v>WC</v>
      </c>
      <c r="F5" s="30" t="str">
        <f t="shared" si="1"/>
        <v>LL</v>
      </c>
      <c r="G5" s="30" t="str">
        <f t="shared" si="1"/>
        <v>GG</v>
      </c>
      <c r="H5" s="35" t="str">
        <f t="shared" si="1"/>
        <v>GG</v>
      </c>
      <c r="J5" s="34">
        <f t="shared" ref="J5:J68" si="3">IF(C5="","",1)</f>
        <v>1</v>
      </c>
      <c r="K5" s="30">
        <f t="shared" ref="K5:K68" si="4">IF(D5="","",1)</f>
        <v>1</v>
      </c>
      <c r="L5" s="30">
        <f t="shared" ref="L5:L68" si="5">IF(E5="","",1)</f>
        <v>1</v>
      </c>
      <c r="M5" s="30">
        <f t="shared" ref="M5:M68" si="6">IF(F5="","",1)</f>
        <v>1</v>
      </c>
      <c r="N5" s="30">
        <f t="shared" ref="N5:N68" si="7">IF(G5="","",1)</f>
        <v>1</v>
      </c>
      <c r="O5" s="35">
        <f t="shared" ref="O5:O68" si="8">IF(H5="","",1)</f>
        <v>1</v>
      </c>
    </row>
    <row r="6" spans="2:64">
      <c r="B6" s="34">
        <f t="shared" si="0"/>
        <v>-4</v>
      </c>
      <c r="C6" s="30" t="str">
        <f t="shared" si="1"/>
        <v>JJ</v>
      </c>
      <c r="D6" s="30" t="str">
        <f t="shared" si="1"/>
        <v>CC</v>
      </c>
      <c r="E6" s="30" t="str">
        <f t="shared" si="1"/>
        <v>LL</v>
      </c>
      <c r="F6" s="30" t="str">
        <f t="shared" si="1"/>
        <v>AA</v>
      </c>
      <c r="G6" s="30" t="str">
        <f t="shared" si="1"/>
        <v>KK</v>
      </c>
      <c r="H6" s="35" t="str">
        <f t="shared" si="1"/>
        <v>CC</v>
      </c>
      <c r="J6" s="34">
        <f t="shared" si="3"/>
        <v>1</v>
      </c>
      <c r="K6" s="30">
        <f t="shared" si="4"/>
        <v>1</v>
      </c>
      <c r="L6" s="30">
        <f t="shared" si="5"/>
        <v>1</v>
      </c>
      <c r="M6" s="30">
        <f t="shared" si="6"/>
        <v>1</v>
      </c>
      <c r="N6" s="30">
        <f t="shared" si="7"/>
        <v>1</v>
      </c>
      <c r="O6" s="35">
        <f t="shared" si="8"/>
        <v>1</v>
      </c>
    </row>
    <row r="7" spans="2:64">
      <c r="B7" s="34">
        <f t="shared" si="0"/>
        <v>-3</v>
      </c>
      <c r="C7" s="30" t="str">
        <f t="shared" si="1"/>
        <v>FF</v>
      </c>
      <c r="D7" s="30" t="str">
        <f t="shared" si="1"/>
        <v>LL</v>
      </c>
      <c r="E7" s="30" t="str">
        <f t="shared" si="1"/>
        <v>CC</v>
      </c>
      <c r="F7" s="30" t="str">
        <f t="shared" si="1"/>
        <v>CC</v>
      </c>
      <c r="G7" s="30" t="str">
        <f t="shared" si="1"/>
        <v>EE</v>
      </c>
      <c r="H7" s="35" t="str">
        <f t="shared" si="1"/>
        <v>GG</v>
      </c>
      <c r="J7" s="34">
        <f t="shared" si="3"/>
        <v>1</v>
      </c>
      <c r="K7" s="30">
        <f t="shared" si="4"/>
        <v>1</v>
      </c>
      <c r="L7" s="30">
        <f t="shared" si="5"/>
        <v>1</v>
      </c>
      <c r="M7" s="30">
        <f t="shared" si="6"/>
        <v>1</v>
      </c>
      <c r="N7" s="30">
        <f t="shared" si="7"/>
        <v>1</v>
      </c>
      <c r="O7" s="35">
        <f t="shared" si="8"/>
        <v>1</v>
      </c>
    </row>
    <row r="8" spans="2:64">
      <c r="B8" s="34">
        <f t="shared" si="0"/>
        <v>-2</v>
      </c>
      <c r="C8" s="30" t="str">
        <f t="shared" si="1"/>
        <v>LL</v>
      </c>
      <c r="D8" s="30" t="str">
        <f t="shared" si="1"/>
        <v>KK</v>
      </c>
      <c r="E8" s="30" t="str">
        <f t="shared" si="1"/>
        <v>AA</v>
      </c>
      <c r="F8" s="30" t="str">
        <f t="shared" si="1"/>
        <v>AA</v>
      </c>
      <c r="G8" s="30" t="str">
        <f t="shared" si="1"/>
        <v>BB</v>
      </c>
      <c r="H8" s="35" t="str">
        <f t="shared" si="1"/>
        <v>CC</v>
      </c>
      <c r="J8" s="34">
        <f t="shared" si="3"/>
        <v>1</v>
      </c>
      <c r="K8" s="30">
        <f t="shared" si="4"/>
        <v>1</v>
      </c>
      <c r="L8" s="30">
        <f t="shared" si="5"/>
        <v>1</v>
      </c>
      <c r="M8" s="30">
        <f t="shared" si="6"/>
        <v>1</v>
      </c>
      <c r="N8" s="30">
        <f t="shared" si="7"/>
        <v>1</v>
      </c>
      <c r="O8" s="35">
        <f t="shared" si="8"/>
        <v>1</v>
      </c>
    </row>
    <row r="9" spans="2:64">
      <c r="B9" s="36">
        <f>B10-1</f>
        <v>-1</v>
      </c>
      <c r="C9" s="37" t="str">
        <f>INDEX(C$10:C$223,COUNTA(C$10:C$223)+$B9+1,1)</f>
        <v>DD</v>
      </c>
      <c r="D9" s="37" t="str">
        <f t="shared" si="1"/>
        <v>LL</v>
      </c>
      <c r="E9" s="37" t="str">
        <f t="shared" si="1"/>
        <v>WC</v>
      </c>
      <c r="F9" s="37" t="str">
        <f t="shared" si="1"/>
        <v>LL</v>
      </c>
      <c r="G9" s="37" t="str">
        <f t="shared" si="1"/>
        <v>CC</v>
      </c>
      <c r="H9" s="38" t="str">
        <f t="shared" si="1"/>
        <v>KK</v>
      </c>
      <c r="J9" s="36">
        <f t="shared" si="3"/>
        <v>1</v>
      </c>
      <c r="K9" s="37">
        <f t="shared" si="4"/>
        <v>1</v>
      </c>
      <c r="L9" s="37">
        <f t="shared" si="5"/>
        <v>1</v>
      </c>
      <c r="M9" s="37">
        <f t="shared" si="6"/>
        <v>1</v>
      </c>
      <c r="N9" s="37">
        <f t="shared" si="7"/>
        <v>1</v>
      </c>
      <c r="O9" s="38">
        <f t="shared" si="8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127</v>
      </c>
      <c r="D10" s="30" t="s">
        <v>128</v>
      </c>
      <c r="E10" s="30" t="s">
        <v>129</v>
      </c>
      <c r="F10" s="30" t="s">
        <v>127</v>
      </c>
      <c r="G10" s="30" t="s">
        <v>129</v>
      </c>
      <c r="H10" s="35" t="s">
        <v>130</v>
      </c>
      <c r="J10" s="34">
        <f t="shared" si="3"/>
        <v>1</v>
      </c>
      <c r="K10" s="30">
        <f t="shared" si="4"/>
        <v>1</v>
      </c>
      <c r="L10" s="30">
        <f t="shared" si="5"/>
        <v>1</v>
      </c>
      <c r="M10" s="30">
        <f t="shared" si="6"/>
        <v>1</v>
      </c>
      <c r="N10" s="30">
        <f t="shared" si="7"/>
        <v>1</v>
      </c>
      <c r="O10" s="35">
        <f t="shared" si="8"/>
        <v>1</v>
      </c>
      <c r="Q10" s="34" t="str">
        <f t="shared" ref="Q10:Q20" si="9">Z9</f>
        <v>WC</v>
      </c>
      <c r="R10" s="30">
        <f>COUNTIF(C$10:C$135,$Q10)</f>
        <v>0</v>
      </c>
      <c r="S10" s="30">
        <f t="shared" ref="S10:W10" si="10">COUNTIF(D$10:D$135,$Q10)</f>
        <v>2</v>
      </c>
      <c r="T10" s="30">
        <f t="shared" si="10"/>
        <v>4</v>
      </c>
      <c r="U10" s="30">
        <f t="shared" si="10"/>
        <v>1</v>
      </c>
      <c r="V10" s="30">
        <f t="shared" si="10"/>
        <v>1</v>
      </c>
      <c r="W10" s="35">
        <f t="shared" si="10"/>
        <v>0</v>
      </c>
      <c r="Y10" s="20">
        <f t="shared" ref="Y10:Y19" si="11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0010100000000</v>
      </c>
      <c r="AC10" s="15" t="str">
        <f t="shared" ref="AC10:AG10" si="12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0000001000010</v>
      </c>
      <c r="AD10" s="15" t="str">
        <f t="shared" si="12"/>
        <v>1111111112110</v>
      </c>
      <c r="AE10" s="15" t="str">
        <f t="shared" si="12"/>
        <v>0010000000010</v>
      </c>
      <c r="AF10" s="15" t="str">
        <f t="shared" si="12"/>
        <v>0001000001000</v>
      </c>
      <c r="AG10" s="41" t="str">
        <f t="shared" si="12"/>
        <v>0000000010100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13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4</v>
      </c>
      <c r="AU10" s="30" cm="1">
        <f t="array" ref="AU10">SUMPRODUCT($AI$10:$AI$113,AM$10:AM$113,IF(LEFT($AJ$10:$AJ$113,2)=$AR10,1,0))</f>
        <v>8</v>
      </c>
      <c r="AV10" s="30" cm="1">
        <f t="array" ref="AV10">SUMPRODUCT($AI$10:$AI$113,AN$10:AN$113,IF(LEFT($AJ$10:$AJ$113,2)=$AR10,1,0))</f>
        <v>2</v>
      </c>
      <c r="AW10" s="30" cm="1">
        <f t="array" ref="AW10">SUMPRODUCT($AI$10:$AI$113,AO$10:AO$113,IF(LEFT($AJ$10:$AJ$113,2)=$AR10,1,0))</f>
        <v>2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14">B10+1</f>
        <v>1</v>
      </c>
      <c r="C11" s="30" t="s">
        <v>127</v>
      </c>
      <c r="D11" s="30" t="s">
        <v>131</v>
      </c>
      <c r="E11" s="30" t="s">
        <v>129</v>
      </c>
      <c r="F11" s="30" t="s">
        <v>127</v>
      </c>
      <c r="G11" s="30" t="s">
        <v>132</v>
      </c>
      <c r="H11" s="35" t="s">
        <v>132</v>
      </c>
      <c r="J11" s="34">
        <f t="shared" si="3"/>
        <v>1</v>
      </c>
      <c r="K11" s="30">
        <f t="shared" si="4"/>
        <v>1</v>
      </c>
      <c r="L11" s="30">
        <f t="shared" si="5"/>
        <v>1</v>
      </c>
      <c r="M11" s="30">
        <f t="shared" si="6"/>
        <v>1</v>
      </c>
      <c r="N11" s="30">
        <f t="shared" si="7"/>
        <v>1</v>
      </c>
      <c r="O11" s="35">
        <f t="shared" si="8"/>
        <v>1</v>
      </c>
      <c r="Q11" s="34" t="str">
        <f t="shared" si="9"/>
        <v>AA</v>
      </c>
      <c r="R11" s="30">
        <f t="shared" ref="R11:R22" si="15">COUNTIF(C$10:C$135,$Q11)</f>
        <v>9</v>
      </c>
      <c r="S11" s="30">
        <f t="shared" ref="S11:S22" si="16">COUNTIF(D$10:D$135,$Q11)</f>
        <v>6</v>
      </c>
      <c r="T11" s="30">
        <f t="shared" ref="T11:T22" si="17">COUNTIF(E$10:E$135,$Q11)</f>
        <v>5</v>
      </c>
      <c r="U11" s="30">
        <f t="shared" ref="U11:U22" si="18">COUNTIF(F$10:F$135,$Q11)</f>
        <v>10</v>
      </c>
      <c r="V11" s="30">
        <f t="shared" ref="V11:V22" si="19">COUNTIF(G$10:G$135,$Q11)</f>
        <v>4</v>
      </c>
      <c r="W11" s="35">
        <f t="shared" ref="W11:W22" si="20">COUNTIF(H$10:H$135,$Q11)</f>
        <v>5</v>
      </c>
      <c r="Y11" s="20">
        <f t="shared" si="11"/>
        <v>3</v>
      </c>
      <c r="Z11" s="23" t="s">
        <v>127</v>
      </c>
      <c r="AB11" s="40" t="str">
        <f t="shared" ref="AB11:AB74" si="2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0020000000000</v>
      </c>
      <c r="AC11" s="15" t="str">
        <f t="shared" ref="AC11:AC74" si="22">IF(S$3=2,IF(COUNTA(D10:D11) = S$3,COUNTIF(D10:D11, $Z$9)  &amp; COUNTIF(D10:D11, $Z$9)+COUNTIF(D10:D11, $Z$10) &amp; COUNTIF(D10:D11, $Z$9)+COUNTIF(D10:D11, $Z$11) &amp; COUNTIF(D10:D11, $Z$9)+COUNTIF(D10:D11, $Z$12) &amp; COUNTIF(D10:D11, $Z$9)+COUNTIF(D10:D11, $Z$13) &amp; COUNTIF(D10:D11, $Z$9)+COUNTIF(D10:D11, $Z$14) &amp; COUNTIF(D10:D11, $Z$9)+COUNTIF(D10:D11, $Z$15) &amp; COUNTIF(D10:D11, $Z$9)+COUNTIF(D10:D11, $Z$16) &amp; COUNTIF(D10:D11, $Z$9)+COUNTIF(D10:D11, $Z$17) &amp; COUNTIF(D10:D11, $Z$9)+COUNTIF(D10:D11, $Z$18) &amp; COUNTIF(D10:D11, $Z$9)+COUNTIF(D10:D11, $Z$19)  &amp; COUNTIF(D10:D11, $Z$9)+COUNTIF(D10:D11, $Z$20) &amp; COUNTIF(D10:D11, $Z$21),""),
IF(S$3=3,IF(COUNTA(D9:D11) = S$3,COUNTIF(D9:D11, $Z$9)  &amp; COUNTIF(D9:D11, $Z$9)+COUNTIF(D9:D11, $Z$10) &amp; COUNTIF(D9:D11, $Z$9)+COUNTIF(D9:D11, $Z$11) &amp; COUNTIF(D9:D11, $Z$9)+COUNTIF(D9:D11, $Z$12) &amp; COUNTIF(D9:D11, $Z$9)+COUNTIF(D9:D11, $Z$13) &amp; COUNTIF(D9:D11, $Z$9)+COUNTIF(D9:D11, $Z$14) &amp; COUNTIF(D9:D11, $Z$9)+COUNTIF(D9:D11, $Z$15) &amp; COUNTIF(D9:D11, $Z$9)+COUNTIF(D9:D11, $Z$16) &amp; COUNTIF(D9:D11, $Z$9)+COUNTIF(D9:D11, $Z$17) &amp; COUNTIF(D9:D11, $Z$9)+COUNTIF(D9:D11, $Z$18) &amp; COUNTIF(D9:D11, $Z$9)+COUNTIF(D9:D11, $Z$19)  &amp; COUNTIF(D9:D11, $Z$9)+COUNTIF(D9:D11, $Z$20) &amp; COUNTIF(D9:D11, $Z$21),""),
IF(S$3=4,IF(COUNTA(D8:D11) = S$3,COUNTIF(D8:D11, $Z$9)  &amp; COUNTIF(D8:D11, $Z$9)+COUNTIF(D8:D11, $Z$10) &amp; COUNTIF(D8:D11, $Z$9)+COUNTIF(D8:D11, $Z$11) &amp; COUNTIF(D8:D11, $Z$9)+COUNTIF(D8:D11, $Z$12) &amp; COUNTIF(D8:D11, $Z$9)+COUNTIF(D8:D11, $Z$13) &amp; COUNTIF(D8:D11, $Z$9)+COUNTIF(D8:D11, $Z$14) &amp; COUNTIF(D8:D11, $Z$9)+COUNTIF(D8:D11, $Z$15) &amp; COUNTIF(D8:D11, $Z$9)+COUNTIF(D8:D11, $Z$16) &amp; COUNTIF(D8:D11, $Z$9)+COUNTIF(D8:D11, $Z$17) &amp; COUNTIF(D8:D11, $Z$9)+COUNTIF(D8:D11, $Z$18) &amp; COUNTIF(D8:D11, $Z$9)+COUNTIF(D8:D11, $Z$19)  &amp; COUNTIF(D8:D11, $Z$9)+COUNTIF(D8:D11, $Z$20) &amp; COUNTIF(D8:D11, $Z$21),""),
IF(S$3=5,IF(COUNTA(D7:D11) = S$3,COUNTIF(D7:D11, $Z$9)  &amp; COUNTIF(D7:D11, $Z$9)+COUNTIF(D7:D11, $Z$10) &amp; COUNTIF(D7:D11, $Z$9)+COUNTIF(D7:D11, $Z$11) &amp; COUNTIF(D7:D11, $Z$9)+COUNTIF(D7:D11, $Z$12) &amp; COUNTIF(D7:D11, $Z$9)+COUNTIF(D7:D11, $Z$13) &amp; COUNTIF(D7:D11, $Z$9)+COUNTIF(D7:D11, $Z$14) &amp; COUNTIF(D7:D11, $Z$9)+COUNTIF(D7:D11, $Z$15) &amp; COUNTIF(D7:D11, $Z$9)+COUNTIF(D7:D11, $Z$16) &amp; COUNTIF(D7:D11, $Z$9)+COUNTIF(D7:D11, $Z$17) &amp; COUNTIF(D7:D11, $Z$9)+COUNTIF(D7:D11, $Z$18) &amp; COUNTIF(D7:D11, $Z$9)+COUNTIF(D7:D11, $Z$19)  &amp; COUNTIF(D7:D11, $Z$9)+COUNTIF(D7:D11, $Z$20) &amp; COUNTIF(D7:D11, $Z$21),""),
IF(S$3=6,IF(COUNTA(D6:D11) = S$3,COUNTIF(D6:D11, $Z$9)  &amp; COUNTIF(D6:D11, $Z$9)+COUNTIF(D6:D11, $Z$10) &amp; COUNTIF(D6:D11, $Z$9)+COUNTIF(D6:D11, $Z$11) &amp; COUNTIF(D6:D11, $Z$9)+COUNTIF(D6:D11, $Z$12) &amp; COUNTIF(D6:D11, $Z$9)+COUNTIF(D6:D11, $Z$13) &amp; COUNTIF(D6:D11, $Z$9)+COUNTIF(D6:D11, $Z$14) &amp; COUNTIF(D6:D11, $Z$9)+COUNTIF(D6:D11, $Z$15) &amp; COUNTIF(D6:D11, $Z$9)+COUNTIF(D6:D11, $Z$16) &amp; COUNTIF(D6:D11, $Z$9)+COUNTIF(D6:D11, $Z$17) &amp; COUNTIF(D6:D11, $Z$9)+COUNTIF(D6:D11, $Z$18) &amp; COUNTIF(D6:D11, $Z$9)+COUNTIF(D6:D11, $Z$19)  &amp; COUNTIF(D6:D11, $Z$9)+COUNTIF(D6:D11, $Z$20) &amp; COUNTIF(D6:D11, $Z$21),""),
IF(S$3=7,IF(COUNTA(D5:D11) = S$3,COUNTIF(D5:D11, $Z$9)  &amp; COUNTIF(D5:D11, $Z$9)+COUNTIF(D5:D11, $Z$10) &amp; COUNTIF(D5:D11, $Z$9)+COUNTIF(D5:D11, $Z$11) &amp; COUNTIF(D5:D11, $Z$9)+COUNTIF(D5:D11, $Z$12) &amp; COUNTIF(D5:D11, $Z$9)+COUNTIF(D5:D11, $Z$13) &amp; COUNTIF(D5:D11, $Z$9)+COUNTIF(D5:D11, $Z$14) &amp; COUNTIF(D5:D11, $Z$9)+COUNTIF(D5:D11, $Z$15) &amp; COUNTIF(D5:D11, $Z$9)+COUNTIF(D5:D11, $Z$16) &amp; COUNTIF(D5:D11, $Z$9)+COUNTIF(D5:D11, $Z$17) &amp; COUNTIF(D5:D11, $Z$9)+COUNTIF(D5:D11, $Z$18) &amp; COUNTIF(D5:D11, $Z$9)+COUNTIF(D5:D11, $Z$19)  &amp; COUNTIF(D5:D11, $Z$9)+COUNTIF(D5:D11, $Z$20) &amp; COUNTIF(D5:D11, $Z$21),"")))))))</f>
        <v>0100001000000</v>
      </c>
      <c r="AD11" s="15" t="str">
        <f t="shared" ref="AD11:AD74" si="23">IF(T$3=2,IF(COUNTA(E10:E11) = T$3,COUNTIF(E10:E11, $Z$9)  &amp; COUNTIF(E10:E11, $Z$9)+COUNTIF(E10:E11, $Z$10) &amp; COUNTIF(E10:E11, $Z$9)+COUNTIF(E10:E11, $Z$11) &amp; COUNTIF(E10:E11, $Z$9)+COUNTIF(E10:E11, $Z$12) &amp; COUNTIF(E10:E11, $Z$9)+COUNTIF(E10:E11, $Z$13) &amp; COUNTIF(E10:E11, $Z$9)+COUNTIF(E10:E11, $Z$14) &amp; COUNTIF(E10:E11, $Z$9)+COUNTIF(E10:E11, $Z$15) &amp; COUNTIF(E10:E11, $Z$9)+COUNTIF(E10:E11, $Z$16) &amp; COUNTIF(E10:E11, $Z$9)+COUNTIF(E10:E11, $Z$17) &amp; COUNTIF(E10:E11, $Z$9)+COUNTIF(E10:E11, $Z$18) &amp; COUNTIF(E10:E11, $Z$9)+COUNTIF(E10:E11, $Z$19)  &amp; COUNTIF(E10:E11, $Z$9)+COUNTIF(E10:E11, $Z$20) &amp; COUNTIF(E10:E11, $Z$21),""),
IF(T$3=3,IF(COUNTA(E9:E11) = T$3,COUNTIF(E9:E11, $Z$9)  &amp; COUNTIF(E9:E11, $Z$9)+COUNTIF(E9:E11, $Z$10) &amp; COUNTIF(E9:E11, $Z$9)+COUNTIF(E9:E11, $Z$11) &amp; COUNTIF(E9:E11, $Z$9)+COUNTIF(E9:E11, $Z$12) &amp; COUNTIF(E9:E11, $Z$9)+COUNTIF(E9:E11, $Z$13) &amp; COUNTIF(E9:E11, $Z$9)+COUNTIF(E9:E11, $Z$14) &amp; COUNTIF(E9:E11, $Z$9)+COUNTIF(E9:E11, $Z$15) &amp; COUNTIF(E9:E11, $Z$9)+COUNTIF(E9:E11, $Z$16) &amp; COUNTIF(E9:E11, $Z$9)+COUNTIF(E9:E11, $Z$17) &amp; COUNTIF(E9:E11, $Z$9)+COUNTIF(E9:E11, $Z$18) &amp; COUNTIF(E9:E11, $Z$9)+COUNTIF(E9:E11, $Z$19)  &amp; COUNTIF(E9:E11, $Z$9)+COUNTIF(E9:E11, $Z$20) &amp; COUNTIF(E9:E11, $Z$21),""),
IF(T$3=4,IF(COUNTA(E8:E11) = T$3,COUNTIF(E8:E11, $Z$9)  &amp; COUNTIF(E8:E11, $Z$9)+COUNTIF(E8:E11, $Z$10) &amp; COUNTIF(E8:E11, $Z$9)+COUNTIF(E8:E11, $Z$11) &amp; COUNTIF(E8:E11, $Z$9)+COUNTIF(E8:E11, $Z$12) &amp; COUNTIF(E8:E11, $Z$9)+COUNTIF(E8:E11, $Z$13) &amp; COUNTIF(E8:E11, $Z$9)+COUNTIF(E8:E11, $Z$14) &amp; COUNTIF(E8:E11, $Z$9)+COUNTIF(E8:E11, $Z$15) &amp; COUNTIF(E8:E11, $Z$9)+COUNTIF(E8:E11, $Z$16) &amp; COUNTIF(E8:E11, $Z$9)+COUNTIF(E8:E11, $Z$17) &amp; COUNTIF(E8:E11, $Z$9)+COUNTIF(E8:E11, $Z$18) &amp; COUNTIF(E8:E11, $Z$9)+COUNTIF(E8:E11, $Z$19)  &amp; COUNTIF(E8:E11, $Z$9)+COUNTIF(E8:E11, $Z$20) &amp; COUNTIF(E8:E11, $Z$21),""),
IF(T$3=5,IF(COUNTA(E7:E11) = T$3,COUNTIF(E7:E11, $Z$9)  &amp; COUNTIF(E7:E11, $Z$9)+COUNTIF(E7:E11, $Z$10) &amp; COUNTIF(E7:E11, $Z$9)+COUNTIF(E7:E11, $Z$11) &amp; COUNTIF(E7:E11, $Z$9)+COUNTIF(E7:E11, $Z$12) &amp; COUNTIF(E7:E11, $Z$9)+COUNTIF(E7:E11, $Z$13) &amp; COUNTIF(E7:E11, $Z$9)+COUNTIF(E7:E11, $Z$14) &amp; COUNTIF(E7:E11, $Z$9)+COUNTIF(E7:E11, $Z$15) &amp; COUNTIF(E7:E11, $Z$9)+COUNTIF(E7:E11, $Z$16) &amp; COUNTIF(E7:E11, $Z$9)+COUNTIF(E7:E11, $Z$17) &amp; COUNTIF(E7:E11, $Z$9)+COUNTIF(E7:E11, $Z$18) &amp; COUNTIF(E7:E11, $Z$9)+COUNTIF(E7:E11, $Z$19)  &amp; COUNTIF(E7:E11, $Z$9)+COUNTIF(E7:E11, $Z$20) &amp; COUNTIF(E7:E11, $Z$21),""),
IF(T$3=6,IF(COUNTA(E6:E11) = T$3,COUNTIF(E6:E11, $Z$9)  &amp; COUNTIF(E6:E11, $Z$9)+COUNTIF(E6:E11, $Z$10) &amp; COUNTIF(E6:E11, $Z$9)+COUNTIF(E6:E11, $Z$11) &amp; COUNTIF(E6:E11, $Z$9)+COUNTIF(E6:E11, $Z$12) &amp; COUNTIF(E6:E11, $Z$9)+COUNTIF(E6:E11, $Z$13) &amp; COUNTIF(E6:E11, $Z$9)+COUNTIF(E6:E11, $Z$14) &amp; COUNTIF(E6:E11, $Z$9)+COUNTIF(E6:E11, $Z$15) &amp; COUNTIF(E6:E11, $Z$9)+COUNTIF(E6:E11, $Z$16) &amp; COUNTIF(E6:E11, $Z$9)+COUNTIF(E6:E11, $Z$17) &amp; COUNTIF(E6:E11, $Z$9)+COUNTIF(E6:E11, $Z$18) &amp; COUNTIF(E6:E11, $Z$9)+COUNTIF(E6:E11, $Z$19)  &amp; COUNTIF(E6:E11, $Z$9)+COUNTIF(E6:E11, $Z$20) &amp; COUNTIF(E6:E11, $Z$21),""),
IF(T$3=7,IF(COUNTA(E5:E11) = T$3,COUNTIF(E5:E11, $Z$9)  &amp; COUNTIF(E5:E11, $Z$9)+COUNTIF(E5:E11, $Z$10) &amp; COUNTIF(E5:E11, $Z$9)+COUNTIF(E5:E11, $Z$11) &amp; COUNTIF(E5:E11, $Z$9)+COUNTIF(E5:E11, $Z$12) &amp; COUNTIF(E5:E11, $Z$9)+COUNTIF(E5:E11, $Z$13) &amp; COUNTIF(E5:E11, $Z$9)+COUNTIF(E5:E11, $Z$14) &amp; COUNTIF(E5:E11, $Z$9)+COUNTIF(E5:E11, $Z$15) &amp; COUNTIF(E5:E11, $Z$9)+COUNTIF(E5:E11, $Z$16) &amp; COUNTIF(E5:E11, $Z$9)+COUNTIF(E5:E11, $Z$17) &amp; COUNTIF(E5:E11, $Z$9)+COUNTIF(E5:E11, $Z$18) &amp; COUNTIF(E5:E11, $Z$9)+COUNTIF(E5:E11, $Z$19)  &amp; COUNTIF(E5:E11, $Z$9)+COUNTIF(E5:E11, $Z$20) &amp; COUNTIF(E5:E11, $Z$21),"")))))))</f>
        <v>0000000002000</v>
      </c>
      <c r="AE11" s="15" t="str">
        <f t="shared" ref="AE11:AE74" si="24">IF(U$3=2,IF(COUNTA(F10:F11) = U$3,COUNTIF(F10:F11, $Z$9)  &amp; COUNTIF(F10:F11, $Z$9)+COUNTIF(F10:F11, $Z$10) &amp; COUNTIF(F10:F11, $Z$9)+COUNTIF(F10:F11, $Z$11) &amp; COUNTIF(F10:F11, $Z$9)+COUNTIF(F10:F11, $Z$12) &amp; COUNTIF(F10:F11, $Z$9)+COUNTIF(F10:F11, $Z$13) &amp; COUNTIF(F10:F11, $Z$9)+COUNTIF(F10:F11, $Z$14) &amp; COUNTIF(F10:F11, $Z$9)+COUNTIF(F10:F11, $Z$15) &amp; COUNTIF(F10:F11, $Z$9)+COUNTIF(F10:F11, $Z$16) &amp; COUNTIF(F10:F11, $Z$9)+COUNTIF(F10:F11, $Z$17) &amp; COUNTIF(F10:F11, $Z$9)+COUNTIF(F10:F11, $Z$18) &amp; COUNTIF(F10:F11, $Z$9)+COUNTIF(F10:F11, $Z$19)  &amp; COUNTIF(F10:F11, $Z$9)+COUNTIF(F10:F11, $Z$20) &amp; COUNTIF(F10:F11, $Z$21),""),
IF(U$3=3,IF(COUNTA(F9:F11) = U$3,COUNTIF(F9:F11, $Z$9)  &amp; COUNTIF(F9:F11, $Z$9)+COUNTIF(F9:F11, $Z$10) &amp; COUNTIF(F9:F11, $Z$9)+COUNTIF(F9:F11, $Z$11) &amp; COUNTIF(F9:F11, $Z$9)+COUNTIF(F9:F11, $Z$12) &amp; COUNTIF(F9:F11, $Z$9)+COUNTIF(F9:F11, $Z$13) &amp; COUNTIF(F9:F11, $Z$9)+COUNTIF(F9:F11, $Z$14) &amp; COUNTIF(F9:F11, $Z$9)+COUNTIF(F9:F11, $Z$15) &amp; COUNTIF(F9:F11, $Z$9)+COUNTIF(F9:F11, $Z$16) &amp; COUNTIF(F9:F11, $Z$9)+COUNTIF(F9:F11, $Z$17) &amp; COUNTIF(F9:F11, $Z$9)+COUNTIF(F9:F11, $Z$18) &amp; COUNTIF(F9:F11, $Z$9)+COUNTIF(F9:F11, $Z$19)  &amp; COUNTIF(F9:F11, $Z$9)+COUNTIF(F9:F11, $Z$20) &amp; COUNTIF(F9:F11, $Z$21),""),
IF(U$3=4,IF(COUNTA(F8:F11) = U$3,COUNTIF(F8:F11, $Z$9)  &amp; COUNTIF(F8:F11, $Z$9)+COUNTIF(F8:F11, $Z$10) &amp; COUNTIF(F8:F11, $Z$9)+COUNTIF(F8:F11, $Z$11) &amp; COUNTIF(F8:F11, $Z$9)+COUNTIF(F8:F11, $Z$12) &amp; COUNTIF(F8:F11, $Z$9)+COUNTIF(F8:F11, $Z$13) &amp; COUNTIF(F8:F11, $Z$9)+COUNTIF(F8:F11, $Z$14) &amp; COUNTIF(F8:F11, $Z$9)+COUNTIF(F8:F11, $Z$15) &amp; COUNTIF(F8:F11, $Z$9)+COUNTIF(F8:F11, $Z$16) &amp; COUNTIF(F8:F11, $Z$9)+COUNTIF(F8:F11, $Z$17) &amp; COUNTIF(F8:F11, $Z$9)+COUNTIF(F8:F11, $Z$18) &amp; COUNTIF(F8:F11, $Z$9)+COUNTIF(F8:F11, $Z$19)  &amp; COUNTIF(F8:F11, $Z$9)+COUNTIF(F8:F11, $Z$20) &amp; COUNTIF(F8:F11, $Z$21),""),
IF(U$3=5,IF(COUNTA(F7:F11) = U$3,COUNTIF(F7:F11, $Z$9)  &amp; COUNTIF(F7:F11, $Z$9)+COUNTIF(F7:F11, $Z$10) &amp; COUNTIF(F7:F11, $Z$9)+COUNTIF(F7:F11, $Z$11) &amp; COUNTIF(F7:F11, $Z$9)+COUNTIF(F7:F11, $Z$12) &amp; COUNTIF(F7:F11, $Z$9)+COUNTIF(F7:F11, $Z$13) &amp; COUNTIF(F7:F11, $Z$9)+COUNTIF(F7:F11, $Z$14) &amp; COUNTIF(F7:F11, $Z$9)+COUNTIF(F7:F11, $Z$15) &amp; COUNTIF(F7:F11, $Z$9)+COUNTIF(F7:F11, $Z$16) &amp; COUNTIF(F7:F11, $Z$9)+COUNTIF(F7:F11, $Z$17) &amp; COUNTIF(F7:F11, $Z$9)+COUNTIF(F7:F11, $Z$18) &amp; COUNTIF(F7:F11, $Z$9)+COUNTIF(F7:F11, $Z$19)  &amp; COUNTIF(F7:F11, $Z$9)+COUNTIF(F7:F11, $Z$20) &amp; COUNTIF(F7:F11, $Z$21),""),
IF(U$3=6,IF(COUNTA(F6:F11) = U$3,COUNTIF(F6:F11, $Z$9)  &amp; COUNTIF(F6:F11, $Z$9)+COUNTIF(F6:F11, $Z$10) &amp; COUNTIF(F6:F11, $Z$9)+COUNTIF(F6:F11, $Z$11) &amp; COUNTIF(F6:F11, $Z$9)+COUNTIF(F6:F11, $Z$12) &amp; COUNTIF(F6:F11, $Z$9)+COUNTIF(F6:F11, $Z$13) &amp; COUNTIF(F6:F11, $Z$9)+COUNTIF(F6:F11, $Z$14) &amp; COUNTIF(F6:F11, $Z$9)+COUNTIF(F6:F11, $Z$15) &amp; COUNTIF(F6:F11, $Z$9)+COUNTIF(F6:F11, $Z$16) &amp; COUNTIF(F6:F11, $Z$9)+COUNTIF(F6:F11, $Z$17) &amp; COUNTIF(F6:F11, $Z$9)+COUNTIF(F6:F11, $Z$18) &amp; COUNTIF(F6:F11, $Z$9)+COUNTIF(F6:F11, $Z$19)  &amp; COUNTIF(F6:F11, $Z$9)+COUNTIF(F6:F11, $Z$20) &amp; COUNTIF(F6:F11, $Z$21),""),
IF(U$3=7,IF(COUNTA(F5:F11) = U$3,COUNTIF(F5:F11, $Z$9)  &amp; COUNTIF(F5:F11, $Z$9)+COUNTIF(F5:F11, $Z$10) &amp; COUNTIF(F5:F11, $Z$9)+COUNTIF(F5:F11, $Z$11) &amp; COUNTIF(F5:F11, $Z$9)+COUNTIF(F5:F11, $Z$12) &amp; COUNTIF(F5:F11, $Z$9)+COUNTIF(F5:F11, $Z$13) &amp; COUNTIF(F5:F11, $Z$9)+COUNTIF(F5:F11, $Z$14) &amp; COUNTIF(F5:F11, $Z$9)+COUNTIF(F5:F11, $Z$15) &amp; COUNTIF(F5:F11, $Z$9)+COUNTIF(F5:F11, $Z$16) &amp; COUNTIF(F5:F11, $Z$9)+COUNTIF(F5:F11, $Z$17) &amp; COUNTIF(F5:F11, $Z$9)+COUNTIF(F5:F11, $Z$18) &amp; COUNTIF(F5:F11, $Z$9)+COUNTIF(F5:F11, $Z$19)  &amp; COUNTIF(F5:F11, $Z$9)+COUNTIF(F5:F11, $Z$20) &amp; COUNTIF(F5:F11, $Z$21),"")))))))</f>
        <v>0020000000000</v>
      </c>
      <c r="AF11" s="15" t="str">
        <f t="shared" ref="AF11:AF74" si="25">IF(V$3=2,IF(COUNTA(G10:G11) = V$3,COUNTIF(G10:G11, $Z$9)  &amp; COUNTIF(G10:G11, $Z$9)+COUNTIF(G10:G11, $Z$10) &amp; COUNTIF(G10:G11, $Z$9)+COUNTIF(G10:G11, $Z$11) &amp; COUNTIF(G10:G11, $Z$9)+COUNTIF(G10:G11, $Z$12) &amp; COUNTIF(G10:G11, $Z$9)+COUNTIF(G10:G11, $Z$13) &amp; COUNTIF(G10:G11, $Z$9)+COUNTIF(G10:G11, $Z$14) &amp; COUNTIF(G10:G11, $Z$9)+COUNTIF(G10:G11, $Z$15) &amp; COUNTIF(G10:G11, $Z$9)+COUNTIF(G10:G11, $Z$16) &amp; COUNTIF(G10:G11, $Z$9)+COUNTIF(G10:G11, $Z$17) &amp; COUNTIF(G10:G11, $Z$9)+COUNTIF(G10:G11, $Z$18) &amp; COUNTIF(G10:G11, $Z$9)+COUNTIF(G10:G11, $Z$19)  &amp; COUNTIF(G10:G11, $Z$9)+COUNTIF(G10:G11, $Z$20) &amp; COUNTIF(G10:G11, $Z$21),""),
IF(V$3=3,IF(COUNTA(G9:G11) = V$3,COUNTIF(G9:G11, $Z$9)  &amp; COUNTIF(G9:G11, $Z$9)+COUNTIF(G9:G11, $Z$10) &amp; COUNTIF(G9:G11, $Z$9)+COUNTIF(G9:G11, $Z$11) &amp; COUNTIF(G9:G11, $Z$9)+COUNTIF(G9:G11, $Z$12) &amp; COUNTIF(G9:G11, $Z$9)+COUNTIF(G9:G11, $Z$13) &amp; COUNTIF(G9:G11, $Z$9)+COUNTIF(G9:G11, $Z$14) &amp; COUNTIF(G9:G11, $Z$9)+COUNTIF(G9:G11, $Z$15) &amp; COUNTIF(G9:G11, $Z$9)+COUNTIF(G9:G11, $Z$16) &amp; COUNTIF(G9:G11, $Z$9)+COUNTIF(G9:G11, $Z$17) &amp; COUNTIF(G9:G11, $Z$9)+COUNTIF(G9:G11, $Z$18) &amp; COUNTIF(G9:G11, $Z$9)+COUNTIF(G9:G11, $Z$19)  &amp; COUNTIF(G9:G11, $Z$9)+COUNTIF(G9:G11, $Z$20) &amp; COUNTIF(G9:G11, $Z$21),""),
IF(V$3=4,IF(COUNTA(G8:G11) = V$3,COUNTIF(G8:G11, $Z$9)  &amp; COUNTIF(G8:G11, $Z$9)+COUNTIF(G8:G11, $Z$10) &amp; COUNTIF(G8:G11, $Z$9)+COUNTIF(G8:G11, $Z$11) &amp; COUNTIF(G8:G11, $Z$9)+COUNTIF(G8:G11, $Z$12) &amp; COUNTIF(G8:G11, $Z$9)+COUNTIF(G8:G11, $Z$13) &amp; COUNTIF(G8:G11, $Z$9)+COUNTIF(G8:G11, $Z$14) &amp; COUNTIF(G8:G11, $Z$9)+COUNTIF(G8:G11, $Z$15) &amp; COUNTIF(G8:G11, $Z$9)+COUNTIF(G8:G11, $Z$16) &amp; COUNTIF(G8:G11, $Z$9)+COUNTIF(G8:G11, $Z$17) &amp; COUNTIF(G8:G11, $Z$9)+COUNTIF(G8:G11, $Z$18) &amp; COUNTIF(G8:G11, $Z$9)+COUNTIF(G8:G11, $Z$19)  &amp; COUNTIF(G8:G11, $Z$9)+COUNTIF(G8:G11, $Z$20) &amp; COUNTIF(G8:G11, $Z$21),""),
IF(V$3=5,IF(COUNTA(G7:G11) = V$3,COUNTIF(G7:G11, $Z$9)  &amp; COUNTIF(G7:G11, $Z$9)+COUNTIF(G7:G11, $Z$10) &amp; COUNTIF(G7:G11, $Z$9)+COUNTIF(G7:G11, $Z$11) &amp; COUNTIF(G7:G11, $Z$9)+COUNTIF(G7:G11, $Z$12) &amp; COUNTIF(G7:G11, $Z$9)+COUNTIF(G7:G11, $Z$13) &amp; COUNTIF(G7:G11, $Z$9)+COUNTIF(G7:G11, $Z$14) &amp; COUNTIF(G7:G11, $Z$9)+COUNTIF(G7:G11, $Z$15) &amp; COUNTIF(G7:G11, $Z$9)+COUNTIF(G7:G11, $Z$16) &amp; COUNTIF(G7:G11, $Z$9)+COUNTIF(G7:G11, $Z$17) &amp; COUNTIF(G7:G11, $Z$9)+COUNTIF(G7:G11, $Z$18) &amp; COUNTIF(G7:G11, $Z$9)+COUNTIF(G7:G11, $Z$19)  &amp; COUNTIF(G7:G11, $Z$9)+COUNTIF(G7:G11, $Z$20) &amp; COUNTIF(G7:G11, $Z$21),""),
IF(V$3=6,IF(COUNTA(G6:G11) = V$3,COUNTIF(G6:G11, $Z$9)  &amp; COUNTIF(G6:G11, $Z$9)+COUNTIF(G6:G11, $Z$10) &amp; COUNTIF(G6:G11, $Z$9)+COUNTIF(G6:G11, $Z$11) &amp; COUNTIF(G6:G11, $Z$9)+COUNTIF(G6:G11, $Z$12) &amp; COUNTIF(G6:G11, $Z$9)+COUNTIF(G6:G11, $Z$13) &amp; COUNTIF(G6:G11, $Z$9)+COUNTIF(G6:G11, $Z$14) &amp; COUNTIF(G6:G11, $Z$9)+COUNTIF(G6:G11, $Z$15) &amp; COUNTIF(G6:G11, $Z$9)+COUNTIF(G6:G11, $Z$16) &amp; COUNTIF(G6:G11, $Z$9)+COUNTIF(G6:G11, $Z$17) &amp; COUNTIF(G6:G11, $Z$9)+COUNTIF(G6:G11, $Z$18) &amp; COUNTIF(G6:G11, $Z$9)+COUNTIF(G6:G11, $Z$19)  &amp; COUNTIF(G6:G11, $Z$9)+COUNTIF(G6:G11, $Z$20) &amp; COUNTIF(G6:G11, $Z$21),""),
IF(V$3=7,IF(COUNTA(G5:G11) = V$3,COUNTIF(G5:G11, $Z$9)  &amp; COUNTIF(G5:G11, $Z$9)+COUNTIF(G5:G11, $Z$10) &amp; COUNTIF(G5:G11, $Z$9)+COUNTIF(G5:G11, $Z$11) &amp; COUNTIF(G5:G11, $Z$9)+COUNTIF(G5:G11, $Z$12) &amp; COUNTIF(G5:G11, $Z$9)+COUNTIF(G5:G11, $Z$13) &amp; COUNTIF(G5:G11, $Z$9)+COUNTIF(G5:G11, $Z$14) &amp; COUNTIF(G5:G11, $Z$9)+COUNTIF(G5:G11, $Z$15) &amp; COUNTIF(G5:G11, $Z$9)+COUNTIF(G5:G11, $Z$16) &amp; COUNTIF(G5:G11, $Z$9)+COUNTIF(G5:G11, $Z$17) &amp; COUNTIF(G5:G11, $Z$9)+COUNTIF(G5:G11, $Z$18) &amp; COUNTIF(G5:G11, $Z$9)+COUNTIF(G5:G11, $Z$19)  &amp; COUNTIF(G5:G11, $Z$9)+COUNTIF(G5:G11, $Z$20) &amp; COUNTIF(G5:G11, $Z$21),"")))))))</f>
        <v>0000000001100</v>
      </c>
      <c r="AG11" s="41" t="str">
        <f t="shared" ref="AG11:AG74" si="26">IF(W$3=2,IF(COUNTA(H10:H11) = W$3,COUNTIF(H10:H11, $Z$9)  &amp; COUNTIF(H10:H11, $Z$9)+COUNTIF(H10:H11, $Z$10) &amp; COUNTIF(H10:H11, $Z$9)+COUNTIF(H10:H11, $Z$11) &amp; COUNTIF(H10:H11, $Z$9)+COUNTIF(H10:H11, $Z$12) &amp; COUNTIF(H10:H11, $Z$9)+COUNTIF(H10:H11, $Z$13) &amp; COUNTIF(H10:H11, $Z$9)+COUNTIF(H10:H11, $Z$14) &amp; COUNTIF(H10:H11, $Z$9)+COUNTIF(H10:H11, $Z$15) &amp; COUNTIF(H10:H11, $Z$9)+COUNTIF(H10:H11, $Z$16) &amp; COUNTIF(H10:H11, $Z$9)+COUNTIF(H10:H11, $Z$17) &amp; COUNTIF(H10:H11, $Z$9)+COUNTIF(H10:H11, $Z$18) &amp; COUNTIF(H10:H11, $Z$9)+COUNTIF(H10:H11, $Z$19)  &amp; COUNTIF(H10:H11, $Z$9)+COUNTIF(H10:H11, $Z$20) &amp; COUNTIF(H10:H11, $Z$21),""),
IF(W$3=3,IF(COUNTA(H9:H11) = W$3,COUNTIF(H9:H11, $Z$9)  &amp; COUNTIF(H9:H11, $Z$9)+COUNTIF(H9:H11, $Z$10) &amp; COUNTIF(H9:H11, $Z$9)+COUNTIF(H9:H11, $Z$11) &amp; COUNTIF(H9:H11, $Z$9)+COUNTIF(H9:H11, $Z$12) &amp; COUNTIF(H9:H11, $Z$9)+COUNTIF(H9:H11, $Z$13) &amp; COUNTIF(H9:H11, $Z$9)+COUNTIF(H9:H11, $Z$14) &amp; COUNTIF(H9:H11, $Z$9)+COUNTIF(H9:H11, $Z$15) &amp; COUNTIF(H9:H11, $Z$9)+COUNTIF(H9:H11, $Z$16) &amp; COUNTIF(H9:H11, $Z$9)+COUNTIF(H9:H11, $Z$17) &amp; COUNTIF(H9:H11, $Z$9)+COUNTIF(H9:H11, $Z$18) &amp; COUNTIF(H9:H11, $Z$9)+COUNTIF(H9:H11, $Z$19)  &amp; COUNTIF(H9:H11, $Z$9)+COUNTIF(H9:H11, $Z$20) &amp; COUNTIF(H9:H11, $Z$21),""),
IF(W$3=4,IF(COUNTA(H8:H11) = W$3,COUNTIF(H8:H11, $Z$9)  &amp; COUNTIF(H8:H11, $Z$9)+COUNTIF(H8:H11, $Z$10) &amp; COUNTIF(H8:H11, $Z$9)+COUNTIF(H8:H11, $Z$11) &amp; COUNTIF(H8:H11, $Z$9)+COUNTIF(H8:H11, $Z$12) &amp; COUNTIF(H8:H11, $Z$9)+COUNTIF(H8:H11, $Z$13) &amp; COUNTIF(H8:H11, $Z$9)+COUNTIF(H8:H11, $Z$14) &amp; COUNTIF(H8:H11, $Z$9)+COUNTIF(H8:H11, $Z$15) &amp; COUNTIF(H8:H11, $Z$9)+COUNTIF(H8:H11, $Z$16) &amp; COUNTIF(H8:H11, $Z$9)+COUNTIF(H8:H11, $Z$17) &amp; COUNTIF(H8:H11, $Z$9)+COUNTIF(H8:H11, $Z$18) &amp; COUNTIF(H8:H11, $Z$9)+COUNTIF(H8:H11, $Z$19)  &amp; COUNTIF(H8:H11, $Z$9)+COUNTIF(H8:H11, $Z$20) &amp; COUNTIF(H8:H11, $Z$21),""),
IF(W$3=5,IF(COUNTA(H7:H11) = W$3,COUNTIF(H7:H11, $Z$9)  &amp; COUNTIF(H7:H11, $Z$9)+COUNTIF(H7:H11, $Z$10) &amp; COUNTIF(H7:H11, $Z$9)+COUNTIF(H7:H11, $Z$11) &amp; COUNTIF(H7:H11, $Z$9)+COUNTIF(H7:H11, $Z$12) &amp; COUNTIF(H7:H11, $Z$9)+COUNTIF(H7:H11, $Z$13) &amp; COUNTIF(H7:H11, $Z$9)+COUNTIF(H7:H11, $Z$14) &amp; COUNTIF(H7:H11, $Z$9)+COUNTIF(H7:H11, $Z$15) &amp; COUNTIF(H7:H11, $Z$9)+COUNTIF(H7:H11, $Z$16) &amp; COUNTIF(H7:H11, $Z$9)+COUNTIF(H7:H11, $Z$17) &amp; COUNTIF(H7:H11, $Z$9)+COUNTIF(H7:H11, $Z$18) &amp; COUNTIF(H7:H11, $Z$9)+COUNTIF(H7:H11, $Z$19)  &amp; COUNTIF(H7:H11, $Z$9)+COUNTIF(H7:H11, $Z$20) &amp; COUNTIF(H7:H11, $Z$21),""),
IF(W$3=6,IF(COUNTA(H6:H11) = W$3,COUNTIF(H6:H11, $Z$9)  &amp; COUNTIF(H6:H11, $Z$9)+COUNTIF(H6:H11, $Z$10) &amp; COUNTIF(H6:H11, $Z$9)+COUNTIF(H6:H11, $Z$11) &amp; COUNTIF(H6:H11, $Z$9)+COUNTIF(H6:H11, $Z$12) &amp; COUNTIF(H6:H11, $Z$9)+COUNTIF(H6:H11, $Z$13) &amp; COUNTIF(H6:H11, $Z$9)+COUNTIF(H6:H11, $Z$14) &amp; COUNTIF(H6:H11, $Z$9)+COUNTIF(H6:H11, $Z$15) &amp; COUNTIF(H6:H11, $Z$9)+COUNTIF(H6:H11, $Z$16) &amp; COUNTIF(H6:H11, $Z$9)+COUNTIF(H6:H11, $Z$17) &amp; COUNTIF(H6:H11, $Z$9)+COUNTIF(H6:H11, $Z$18) &amp; COUNTIF(H6:H11, $Z$9)+COUNTIF(H6:H11, $Z$19)  &amp; COUNTIF(H6:H11, $Z$9)+COUNTIF(H6:H11, $Z$20) &amp; COUNTIF(H6:H11, $Z$21),""),
IF(W$3=7,IF(COUNTA(H5:H11) = W$3,COUNTIF(H5:H11, $Z$9)  &amp; COUNTIF(H5:H11, $Z$9)+COUNTIF(H5:H11, $Z$10) &amp; COUNTIF(H5:H11, $Z$9)+COUNTIF(H5:H11, $Z$11) &amp; COUNTIF(H5:H11, $Z$9)+COUNTIF(H5:H11, $Z$12) &amp; COUNTIF(H5:H11, $Z$9)+COUNTIF(H5:H11, $Z$13) &amp; COUNTIF(H5:H11, $Z$9)+COUNTIF(H5:H11, $Z$14) &amp; COUNTIF(H5:H11, $Z$9)+COUNTIF(H5:H11, $Z$15) &amp; COUNTIF(H5:H11, $Z$9)+COUNTIF(H5:H11, $Z$16) &amp; COUNTIF(H5:H11, $Z$9)+COUNTIF(H5:H11, $Z$17) &amp; COUNTIF(H5:H11, $Z$9)+COUNTIF(H5:H11, $Z$18) &amp; COUNTIF(H5:H11, $Z$9)+COUNTIF(H5:H11, $Z$19)  &amp; COUNTIF(H5:H11, $Z$9)+COUNTIF(H5:H11, $Z$20) &amp; COUNTIF(H5:H11, $Z$21),"")))))))</f>
        <v>0000000010100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13"/>
        <v>AA</v>
      </c>
      <c r="AS11" s="30" cm="1">
        <f t="array" ref="AS11">SUMPRODUCT($AI$10:$AI$113,AK$10:AK$113,IF(LEFT($AJ$10:$AJ$113,2)=$AR11,1,0))</f>
        <v>18</v>
      </c>
      <c r="AT11" s="30" cm="1">
        <f t="array" ref="AT11">SUMPRODUCT($AI$10:$AI$113,AL$10:AL$113,IF(LEFT($AJ$10:$AJ$113,2)=$AR11,1,0))</f>
        <v>16</v>
      </c>
      <c r="AU11" s="30" cm="1">
        <f t="array" ref="AU11">SUMPRODUCT($AI$10:$AI$113,AM$10:AM$113,IF(LEFT($AJ$10:$AJ$113,2)=$AR11,1,0))</f>
        <v>18</v>
      </c>
      <c r="AV11" s="30" cm="1">
        <f t="array" ref="AV11">SUMPRODUCT($AI$10:$AI$113,AN$10:AN$113,IF(LEFT($AJ$10:$AJ$113,2)=$AR11,1,0))</f>
        <v>22</v>
      </c>
      <c r="AW11" s="30" cm="1">
        <f t="array" ref="AW11">SUMPRODUCT($AI$10:$AI$113,AO$10:AO$113,IF(LEFT($AJ$10:$AJ$113,2)=$AR11,1,0))</f>
        <v>10</v>
      </c>
      <c r="AX11" s="35" cm="1">
        <f t="array" ref="AX11">SUMPRODUCT($AI$10:$AI$113,AP$10:AP$113,IF(LEFT($AJ$10:$AJ$113,2)=$AR11,1,0))</f>
        <v>10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14"/>
        <v>2</v>
      </c>
      <c r="C12" s="30" t="s">
        <v>127</v>
      </c>
      <c r="D12" s="30" t="s">
        <v>133</v>
      </c>
      <c r="E12" s="30" t="s">
        <v>129</v>
      </c>
      <c r="F12" s="30" t="s">
        <v>127</v>
      </c>
      <c r="G12" s="30" t="s">
        <v>132</v>
      </c>
      <c r="H12" s="35" t="s">
        <v>132</v>
      </c>
      <c r="J12" s="34">
        <f t="shared" si="3"/>
        <v>1</v>
      </c>
      <c r="K12" s="30">
        <f t="shared" si="4"/>
        <v>1</v>
      </c>
      <c r="L12" s="30">
        <f t="shared" si="5"/>
        <v>1</v>
      </c>
      <c r="M12" s="30">
        <f t="shared" si="6"/>
        <v>1</v>
      </c>
      <c r="N12" s="30">
        <f t="shared" si="7"/>
        <v>1</v>
      </c>
      <c r="O12" s="35">
        <f t="shared" si="8"/>
        <v>1</v>
      </c>
      <c r="Q12" s="34" t="str">
        <f t="shared" si="9"/>
        <v>BB</v>
      </c>
      <c r="R12" s="30">
        <f t="shared" si="15"/>
        <v>4</v>
      </c>
      <c r="S12" s="30">
        <f t="shared" si="16"/>
        <v>9</v>
      </c>
      <c r="T12" s="30">
        <f t="shared" si="17"/>
        <v>5</v>
      </c>
      <c r="U12" s="30">
        <f t="shared" si="18"/>
        <v>4</v>
      </c>
      <c r="V12" s="30">
        <f t="shared" si="19"/>
        <v>5</v>
      </c>
      <c r="W12" s="35">
        <f t="shared" si="20"/>
        <v>9</v>
      </c>
      <c r="Y12" s="20">
        <f t="shared" si="11"/>
        <v>4</v>
      </c>
      <c r="Z12" s="23" t="s">
        <v>134</v>
      </c>
      <c r="AB12" s="40" t="str">
        <f t="shared" si="21"/>
        <v>0020000000000</v>
      </c>
      <c r="AC12" s="15" t="str">
        <f t="shared" si="22"/>
        <v>0100000100000</v>
      </c>
      <c r="AD12" s="15" t="str">
        <f t="shared" si="23"/>
        <v>0000000002000</v>
      </c>
      <c r="AE12" s="15" t="str">
        <f t="shared" si="24"/>
        <v>0020000000000</v>
      </c>
      <c r="AF12" s="15" t="str">
        <f t="shared" si="25"/>
        <v>0000000000200</v>
      </c>
      <c r="AG12" s="41" t="str">
        <f t="shared" si="26"/>
        <v>0000000000200</v>
      </c>
      <c r="AH12" s="15"/>
      <c r="AI12" s="21">
        <v>5</v>
      </c>
      <c r="AJ12" s="20" t="str">
        <f t="shared" ref="AJ12:AJ17" si="27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13"/>
        <v>BB</v>
      </c>
      <c r="AS12" s="30" cm="1">
        <f t="array" ref="AS12">SUMPRODUCT($AI$10:$AI$113,AK$10:AK$113,IF(LEFT($AJ$10:$AJ$113,2)=$AR12,1,0))</f>
        <v>8</v>
      </c>
      <c r="AT12" s="30" cm="1">
        <f t="array" ref="AT12">SUMPRODUCT($AI$10:$AI$113,AL$10:AL$113,IF(LEFT($AJ$10:$AJ$113,2)=$AR12,1,0))</f>
        <v>22</v>
      </c>
      <c r="AU12" s="30" cm="1">
        <f t="array" ref="AU12">SUMPRODUCT($AI$10:$AI$113,AM$10:AM$113,IF(LEFT($AJ$10:$AJ$113,2)=$AR12,1,0))</f>
        <v>18</v>
      </c>
      <c r="AV12" s="30" cm="1">
        <f t="array" ref="AV12">SUMPRODUCT($AI$10:$AI$113,AN$10:AN$113,IF(LEFT($AJ$10:$AJ$113,2)=$AR12,1,0))</f>
        <v>10</v>
      </c>
      <c r="AW12" s="30" cm="1">
        <f t="array" ref="AW12">SUMPRODUCT($AI$10:$AI$113,AO$10:AO$113,IF(LEFT($AJ$10:$AJ$113,2)=$AR12,1,0))</f>
        <v>12</v>
      </c>
      <c r="AX12" s="35" cm="1">
        <f t="array" ref="AX12">SUMPRODUCT($AI$10:$AI$113,AP$10:AP$113,IF(LEFT($AJ$10:$AJ$113,2)=$AR12,1,0))</f>
        <v>18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14"/>
        <v>3</v>
      </c>
      <c r="C13" s="30" t="s">
        <v>135</v>
      </c>
      <c r="D13" s="30" t="s">
        <v>133</v>
      </c>
      <c r="E13" s="30" t="s">
        <v>128</v>
      </c>
      <c r="F13" s="30" t="s">
        <v>127</v>
      </c>
      <c r="G13" s="30" t="s">
        <v>132</v>
      </c>
      <c r="H13" s="35" t="s">
        <v>132</v>
      </c>
      <c r="J13" s="34">
        <f t="shared" si="3"/>
        <v>1</v>
      </c>
      <c r="K13" s="30">
        <f t="shared" si="4"/>
        <v>1</v>
      </c>
      <c r="L13" s="30">
        <f t="shared" si="5"/>
        <v>1</v>
      </c>
      <c r="M13" s="30">
        <f t="shared" si="6"/>
        <v>1</v>
      </c>
      <c r="N13" s="30">
        <f t="shared" si="7"/>
        <v>1</v>
      </c>
      <c r="O13" s="35">
        <f t="shared" si="8"/>
        <v>1</v>
      </c>
      <c r="Q13" s="34" t="str">
        <f t="shared" si="9"/>
        <v>CC</v>
      </c>
      <c r="R13" s="30">
        <f t="shared" si="15"/>
        <v>5</v>
      </c>
      <c r="S13" s="30">
        <f t="shared" si="16"/>
        <v>7</v>
      </c>
      <c r="T13" s="30">
        <f t="shared" si="17"/>
        <v>5</v>
      </c>
      <c r="U13" s="30">
        <f t="shared" si="18"/>
        <v>10</v>
      </c>
      <c r="V13" s="30">
        <f t="shared" si="19"/>
        <v>5</v>
      </c>
      <c r="W13" s="35">
        <f t="shared" si="20"/>
        <v>13</v>
      </c>
      <c r="Y13" s="20">
        <f t="shared" si="11"/>
        <v>5</v>
      </c>
      <c r="Z13" s="23" t="s">
        <v>136</v>
      </c>
      <c r="AB13" s="40" t="str">
        <f t="shared" si="21"/>
        <v>0010000000001</v>
      </c>
      <c r="AC13" s="15" t="str">
        <f t="shared" si="22"/>
        <v>0000000200000</v>
      </c>
      <c r="AD13" s="15" t="str">
        <f t="shared" si="23"/>
        <v>0000001001000</v>
      </c>
      <c r="AE13" s="15" t="str">
        <f t="shared" si="24"/>
        <v>0020000000000</v>
      </c>
      <c r="AF13" s="15" t="str">
        <f t="shared" si="25"/>
        <v>0000000000200</v>
      </c>
      <c r="AG13" s="41" t="str">
        <f t="shared" si="26"/>
        <v>0000000000200</v>
      </c>
      <c r="AH13" s="15"/>
      <c r="AI13" s="21">
        <v>4</v>
      </c>
      <c r="AJ13" s="20" t="str">
        <f t="shared" si="27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13"/>
        <v>CC</v>
      </c>
      <c r="AS13" s="30" cm="1">
        <f t="array" ref="AS13">SUMPRODUCT($AI$10:$AI$113,AK$10:AK$113,IF(LEFT($AJ$10:$AJ$113,2)=$AR13,1,0))</f>
        <v>10</v>
      </c>
      <c r="AT13" s="30" cm="1">
        <f t="array" ref="AT13">SUMPRODUCT($AI$10:$AI$113,AL$10:AL$113,IF(LEFT($AJ$10:$AJ$113,2)=$AR13,1,0))</f>
        <v>18</v>
      </c>
      <c r="AU13" s="30" cm="1">
        <f t="array" ref="AU13">SUMPRODUCT($AI$10:$AI$113,AM$10:AM$113,IF(LEFT($AJ$10:$AJ$113,2)=$AR13,1,0))</f>
        <v>18</v>
      </c>
      <c r="AV13" s="30" cm="1">
        <f t="array" ref="AV13">SUMPRODUCT($AI$10:$AI$113,AN$10:AN$113,IF(LEFT($AJ$10:$AJ$113,2)=$AR13,1,0))</f>
        <v>22</v>
      </c>
      <c r="AW13" s="30" cm="1">
        <f t="array" ref="AW13">SUMPRODUCT($AI$10:$AI$113,AO$10:AO$113,IF(LEFT($AJ$10:$AJ$113,2)=$AR13,1,0))</f>
        <v>12</v>
      </c>
      <c r="AX13" s="35" cm="1">
        <f t="array" ref="AX13">SUMPRODUCT($AI$10:$AI$113,AP$10:AP$113,IF(LEFT($AJ$10:$AJ$113,2)=$AR13,1,0))</f>
        <v>26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14"/>
        <v>4</v>
      </c>
      <c r="C14" s="30" t="s">
        <v>130</v>
      </c>
      <c r="D14" s="30" t="s">
        <v>133</v>
      </c>
      <c r="E14" s="30" t="s">
        <v>137</v>
      </c>
      <c r="F14" s="30" t="s">
        <v>133</v>
      </c>
      <c r="G14" s="30" t="s">
        <v>135</v>
      </c>
      <c r="H14" s="35" t="s">
        <v>129</v>
      </c>
      <c r="J14" s="34">
        <f t="shared" si="3"/>
        <v>1</v>
      </c>
      <c r="K14" s="30">
        <f t="shared" si="4"/>
        <v>1</v>
      </c>
      <c r="L14" s="30">
        <f t="shared" si="5"/>
        <v>1</v>
      </c>
      <c r="M14" s="30">
        <f t="shared" si="6"/>
        <v>1</v>
      </c>
      <c r="N14" s="30">
        <f t="shared" si="7"/>
        <v>1</v>
      </c>
      <c r="O14" s="35">
        <f t="shared" si="8"/>
        <v>1</v>
      </c>
      <c r="Q14" s="34" t="str">
        <f t="shared" si="9"/>
        <v>DD</v>
      </c>
      <c r="R14" s="30">
        <f t="shared" si="15"/>
        <v>9</v>
      </c>
      <c r="S14" s="30">
        <f t="shared" si="16"/>
        <v>2</v>
      </c>
      <c r="T14" s="30">
        <f t="shared" si="17"/>
        <v>1</v>
      </c>
      <c r="U14" s="30">
        <f t="shared" si="18"/>
        <v>1</v>
      </c>
      <c r="V14" s="30">
        <f t="shared" si="19"/>
        <v>1</v>
      </c>
      <c r="W14" s="35">
        <f t="shared" si="20"/>
        <v>10</v>
      </c>
      <c r="Y14" s="20">
        <f t="shared" si="11"/>
        <v>6</v>
      </c>
      <c r="Z14" s="23" t="s">
        <v>137</v>
      </c>
      <c r="AB14" s="40" t="str">
        <f t="shared" si="21"/>
        <v>0000000010001</v>
      </c>
      <c r="AC14" s="15" t="str">
        <f t="shared" si="22"/>
        <v>0000000200000</v>
      </c>
      <c r="AD14" s="15" t="str">
        <f t="shared" si="23"/>
        <v>0000011000000</v>
      </c>
      <c r="AE14" s="15" t="str">
        <f t="shared" si="24"/>
        <v>0010000100000</v>
      </c>
      <c r="AF14" s="15" t="str">
        <f t="shared" si="25"/>
        <v>0000000000101</v>
      </c>
      <c r="AG14" s="41" t="str">
        <f t="shared" si="26"/>
        <v>0000000001100</v>
      </c>
      <c r="AH14" s="15"/>
      <c r="AI14" s="21">
        <v>3</v>
      </c>
      <c r="AJ14" s="20" t="str">
        <f t="shared" si="27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13"/>
        <v>DD</v>
      </c>
      <c r="AS14" s="30" cm="1">
        <f t="array" ref="AS14">SUMPRODUCT($AI$10:$AI$113,AK$10:AK$113,IF(LEFT($AJ$10:$AJ$113,2)=$AR14,1,0))</f>
        <v>18</v>
      </c>
      <c r="AT14" s="30" cm="1">
        <f t="array" ref="AT14">SUMPRODUCT($AI$10:$AI$113,AL$10:AL$113,IF(LEFT($AJ$10:$AJ$113,2)=$AR14,1,0))</f>
        <v>8</v>
      </c>
      <c r="AU14" s="30" cm="1">
        <f t="array" ref="AU14">SUMPRODUCT($AI$10:$AI$113,AM$10:AM$113,IF(LEFT($AJ$10:$AJ$113,2)=$AR14,1,0))</f>
        <v>10</v>
      </c>
      <c r="AV14" s="30" cm="1">
        <f t="array" ref="AV14">SUMPRODUCT($AI$10:$AI$113,AN$10:AN$113,IF(LEFT($AJ$10:$AJ$113,2)=$AR14,1,0))</f>
        <v>4</v>
      </c>
      <c r="AW14" s="30" cm="1">
        <f t="array" ref="AW14">SUMPRODUCT($AI$10:$AI$113,AO$10:AO$113,IF(LEFT($AJ$10:$AJ$113,2)=$AR14,1,0))</f>
        <v>4</v>
      </c>
      <c r="AX14" s="35" cm="1">
        <f t="array" ref="AX14">SUMPRODUCT($AI$10:$AI$113,AP$10:AP$113,IF(LEFT($AJ$10:$AJ$113,2)=$AR14,1,0))</f>
        <v>20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14"/>
        <v>5</v>
      </c>
      <c r="C15" s="30" t="s">
        <v>131</v>
      </c>
      <c r="D15" s="30" t="s">
        <v>138</v>
      </c>
      <c r="E15" s="30" t="s">
        <v>135</v>
      </c>
      <c r="F15" s="30" t="s">
        <v>133</v>
      </c>
      <c r="G15" s="30" t="s">
        <v>130</v>
      </c>
      <c r="H15" s="35" t="s">
        <v>128</v>
      </c>
      <c r="J15" s="34">
        <f t="shared" si="3"/>
        <v>1</v>
      </c>
      <c r="K15" s="30">
        <f t="shared" si="4"/>
        <v>1</v>
      </c>
      <c r="L15" s="30">
        <f t="shared" si="5"/>
        <v>1</v>
      </c>
      <c r="M15" s="30">
        <f t="shared" si="6"/>
        <v>1</v>
      </c>
      <c r="N15" s="30">
        <f t="shared" si="7"/>
        <v>1</v>
      </c>
      <c r="O15" s="35">
        <f t="shared" si="8"/>
        <v>1</v>
      </c>
      <c r="Q15" s="34" t="str">
        <f t="shared" si="9"/>
        <v>EE</v>
      </c>
      <c r="R15" s="30">
        <f t="shared" si="15"/>
        <v>2</v>
      </c>
      <c r="S15" s="30">
        <f t="shared" si="16"/>
        <v>1</v>
      </c>
      <c r="T15" s="30">
        <f t="shared" si="17"/>
        <v>1</v>
      </c>
      <c r="U15" s="30">
        <f t="shared" si="18"/>
        <v>2</v>
      </c>
      <c r="V15" s="30">
        <f t="shared" si="19"/>
        <v>2</v>
      </c>
      <c r="W15" s="35">
        <f t="shared" si="20"/>
        <v>3</v>
      </c>
      <c r="Y15" s="20">
        <f t="shared" si="11"/>
        <v>7</v>
      </c>
      <c r="Z15" s="23" t="s">
        <v>128</v>
      </c>
      <c r="AB15" s="40" t="str">
        <f t="shared" si="21"/>
        <v>0100000010000</v>
      </c>
      <c r="AC15" s="15" t="str">
        <f t="shared" si="22"/>
        <v>0000000100010</v>
      </c>
      <c r="AD15" s="15" t="str">
        <f t="shared" si="23"/>
        <v>0000010000001</v>
      </c>
      <c r="AE15" s="15" t="str">
        <f t="shared" si="24"/>
        <v>0000000200000</v>
      </c>
      <c r="AF15" s="15" t="str">
        <f t="shared" si="25"/>
        <v>0000000010001</v>
      </c>
      <c r="AG15" s="41" t="str">
        <f t="shared" si="26"/>
        <v>0000001001000</v>
      </c>
      <c r="AH15" s="15"/>
      <c r="AI15" s="21">
        <v>2</v>
      </c>
      <c r="AJ15" s="20" t="str">
        <f t="shared" si="27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4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13"/>
        <v>EE</v>
      </c>
      <c r="AS15" s="30" cm="1">
        <f t="array" ref="AS15">SUMPRODUCT($AI$10:$AI$113,AK$10:AK$113,IF(LEFT($AJ$10:$AJ$113,2)=$AR15,1,0))</f>
        <v>4</v>
      </c>
      <c r="AT15" s="30" cm="1">
        <f t="array" ref="AT15">SUMPRODUCT($AI$10:$AI$113,AL$10:AL$113,IF(LEFT($AJ$10:$AJ$113,2)=$AR15,1,0))</f>
        <v>6</v>
      </c>
      <c r="AU15" s="30" cm="1">
        <f t="array" ref="AU15">SUMPRODUCT($AI$10:$AI$113,AM$10:AM$113,IF(LEFT($AJ$10:$AJ$113,2)=$AR15,1,0))</f>
        <v>10</v>
      </c>
      <c r="AV15" s="30" cm="1">
        <f t="array" ref="AV15">SUMPRODUCT($AI$10:$AI$113,AN$10:AN$113,IF(LEFT($AJ$10:$AJ$113,2)=$AR15,1,0))</f>
        <v>6</v>
      </c>
      <c r="AW15" s="30" cm="1">
        <f t="array" ref="AW15">SUMPRODUCT($AI$10:$AI$113,AO$10:AO$113,IF(LEFT($AJ$10:$AJ$113,2)=$AR15,1,0))</f>
        <v>6</v>
      </c>
      <c r="AX15" s="35" cm="1">
        <f t="array" ref="AX15">SUMPRODUCT($AI$10:$AI$113,AP$10:AP$113,IF(LEFT($AJ$10:$AJ$113,2)=$AR15,1,0))</f>
        <v>6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14"/>
        <v>6</v>
      </c>
      <c r="C16" s="30" t="s">
        <v>138</v>
      </c>
      <c r="D16" s="30" t="s">
        <v>137</v>
      </c>
      <c r="E16" s="30" t="s">
        <v>138</v>
      </c>
      <c r="F16" s="30" t="s">
        <v>133</v>
      </c>
      <c r="G16" s="30" t="s">
        <v>133</v>
      </c>
      <c r="H16" s="35" t="s">
        <v>128</v>
      </c>
      <c r="J16" s="34">
        <f t="shared" si="3"/>
        <v>1</v>
      </c>
      <c r="K16" s="30">
        <f t="shared" si="4"/>
        <v>1</v>
      </c>
      <c r="L16" s="30">
        <f t="shared" si="5"/>
        <v>1</v>
      </c>
      <c r="M16" s="30">
        <f t="shared" si="6"/>
        <v>1</v>
      </c>
      <c r="N16" s="30">
        <f t="shared" si="7"/>
        <v>1</v>
      </c>
      <c r="O16" s="35">
        <f t="shared" si="8"/>
        <v>1</v>
      </c>
      <c r="Q16" s="34" t="str">
        <f t="shared" si="9"/>
        <v>FF</v>
      </c>
      <c r="R16" s="30">
        <f t="shared" si="15"/>
        <v>11</v>
      </c>
      <c r="S16" s="30">
        <f t="shared" si="16"/>
        <v>4</v>
      </c>
      <c r="T16" s="30">
        <f t="shared" si="17"/>
        <v>1</v>
      </c>
      <c r="U16" s="30">
        <f t="shared" si="18"/>
        <v>1</v>
      </c>
      <c r="V16" s="30">
        <f t="shared" si="19"/>
        <v>1</v>
      </c>
      <c r="W16" s="35">
        <f t="shared" si="20"/>
        <v>10</v>
      </c>
      <c r="Y16" s="20">
        <f t="shared" si="11"/>
        <v>8</v>
      </c>
      <c r="Z16" s="23" t="s">
        <v>133</v>
      </c>
      <c r="AB16" s="40" t="str">
        <f t="shared" si="21"/>
        <v>0100000000010</v>
      </c>
      <c r="AC16" s="15" t="str">
        <f t="shared" si="22"/>
        <v>0000010000010</v>
      </c>
      <c r="AD16" s="15" t="str">
        <f t="shared" si="23"/>
        <v>0000000000011</v>
      </c>
      <c r="AE16" s="15" t="str">
        <f t="shared" si="24"/>
        <v>0000000200000</v>
      </c>
      <c r="AF16" s="15" t="str">
        <f t="shared" si="25"/>
        <v>0000000110000</v>
      </c>
      <c r="AG16" s="41" t="str">
        <f t="shared" si="26"/>
        <v>0000002000000</v>
      </c>
      <c r="AH16" s="15"/>
      <c r="AI16" s="21">
        <v>1</v>
      </c>
      <c r="AJ16" s="20" t="str">
        <f t="shared" si="27"/>
        <v>AA-1</v>
      </c>
      <c r="AK16" s="39" cm="1">
        <f t="array" ref="AK16">SUMPRODUCT(--(MID(AB$10:AB$135, SUMIF($Z$9:$Z$21, LEFT($AJ16,2), $Y$9:$Y$21), 1) = RIGHT($AJ16, 1)), J$10:J$135)</f>
        <v>14</v>
      </c>
      <c r="AL16" s="39" cm="1">
        <f t="array" ref="AL16">SUMPRODUCT(--(MID(AC$10:AC$135, SUMIF($Z$9:$Z$21, LEFT($AJ16,2), $Y$9:$Y$21), 1) = RIGHT($AJ16, 1)), K$10:K$135)</f>
        <v>12</v>
      </c>
      <c r="AM16" s="39" cm="1">
        <f t="array" ref="AM16">SUMPRODUCT(--(MID(AD$10:AD$135, SUMIF($Z$9:$Z$21, LEFT($AJ16,2), $Y$9:$Y$21), 1) = RIGHT($AJ16, 1)), L$10:L$135)</f>
        <v>10</v>
      </c>
      <c r="AN16" s="39" cm="1">
        <f t="array" ref="AN16">SUMPRODUCT(--(MID(AE$10:AE$135, SUMIF($Z$9:$Z$21, LEFT($AJ16,2), $Y$9:$Y$21), 1) = RIGHT($AJ16, 1)), M$10:M$135)</f>
        <v>18</v>
      </c>
      <c r="AO16" s="39" cm="1">
        <f t="array" ref="AO16">SUMPRODUCT(--(MID(AF$10:AF$135, SUMIF($Z$9:$Z$21, LEFT($AJ16,2), $Y$9:$Y$21), 1) = RIGHT($AJ16, 1)), N$10:N$135)</f>
        <v>6</v>
      </c>
      <c r="AP16" s="19" cm="1">
        <f t="array" ref="AP16">SUMPRODUCT(--(MID(AG$10:AG$135, SUMIF($Z$9:$Z$21, LEFT($AJ16,2), $Y$9:$Y$21), 1) = RIGHT($AJ16, 1)), O$10:O$135)</f>
        <v>6</v>
      </c>
      <c r="AR16" s="34" t="str">
        <f t="shared" si="13"/>
        <v>FF</v>
      </c>
      <c r="AS16" s="30" cm="1">
        <f t="array" ref="AS16">SUMPRODUCT($AI$10:$AI$113,AK$10:AK$113,IF(LEFT($AJ$10:$AJ$113,2)=$AR16,1,0))</f>
        <v>22</v>
      </c>
      <c r="AT16" s="30" cm="1">
        <f t="array" ref="AT16">SUMPRODUCT($AI$10:$AI$113,AL$10:AL$113,IF(LEFT($AJ$10:$AJ$113,2)=$AR16,1,0))</f>
        <v>12</v>
      </c>
      <c r="AU16" s="30" cm="1">
        <f t="array" ref="AU16">SUMPRODUCT($AI$10:$AI$113,AM$10:AM$113,IF(LEFT($AJ$10:$AJ$113,2)=$AR16,1,0))</f>
        <v>10</v>
      </c>
      <c r="AV16" s="30" cm="1">
        <f t="array" ref="AV16">SUMPRODUCT($AI$10:$AI$113,AN$10:AN$113,IF(LEFT($AJ$10:$AJ$113,2)=$AR16,1,0))</f>
        <v>4</v>
      </c>
      <c r="AW16" s="30" cm="1">
        <f t="array" ref="AW16">SUMPRODUCT($AI$10:$AI$113,AO$10:AO$113,IF(LEFT($AJ$10:$AJ$113,2)=$AR16,1,0))</f>
        <v>4</v>
      </c>
      <c r="AX16" s="35" cm="1">
        <f t="array" ref="AX16">SUMPRODUCT($AI$10:$AI$113,AP$10:AP$113,IF(LEFT($AJ$10:$AJ$113,2)=$AR16,1,0))</f>
        <v>20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14"/>
        <v>7</v>
      </c>
      <c r="C17" s="30" t="s">
        <v>138</v>
      </c>
      <c r="D17" s="30" t="s">
        <v>129</v>
      </c>
      <c r="E17" s="30" t="s">
        <v>138</v>
      </c>
      <c r="F17" s="30" t="s">
        <v>129</v>
      </c>
      <c r="G17" s="30" t="s">
        <v>132</v>
      </c>
      <c r="H17" s="35" t="s">
        <v>128</v>
      </c>
      <c r="J17" s="34">
        <f t="shared" si="3"/>
        <v>1</v>
      </c>
      <c r="K17" s="30">
        <f t="shared" si="4"/>
        <v>1</v>
      </c>
      <c r="L17" s="30">
        <f t="shared" si="5"/>
        <v>1</v>
      </c>
      <c r="M17" s="30">
        <f t="shared" si="6"/>
        <v>1</v>
      </c>
      <c r="N17" s="30">
        <f t="shared" si="7"/>
        <v>1</v>
      </c>
      <c r="O17" s="35">
        <f t="shared" si="8"/>
        <v>1</v>
      </c>
      <c r="Q17" s="34" t="str">
        <f t="shared" si="9"/>
        <v>GG</v>
      </c>
      <c r="R17" s="30">
        <f t="shared" si="15"/>
        <v>7</v>
      </c>
      <c r="S17" s="30">
        <f t="shared" si="16"/>
        <v>7</v>
      </c>
      <c r="T17" s="30">
        <f t="shared" si="17"/>
        <v>5</v>
      </c>
      <c r="U17" s="30">
        <f t="shared" si="18"/>
        <v>10</v>
      </c>
      <c r="V17" s="30">
        <f t="shared" si="19"/>
        <v>4</v>
      </c>
      <c r="W17" s="35">
        <f t="shared" si="20"/>
        <v>9</v>
      </c>
      <c r="Y17" s="20">
        <f t="shared" si="11"/>
        <v>9</v>
      </c>
      <c r="Z17" s="23" t="s">
        <v>130</v>
      </c>
      <c r="AB17" s="40" t="str">
        <f t="shared" si="21"/>
        <v>0000000000020</v>
      </c>
      <c r="AC17" s="15" t="str">
        <f t="shared" si="22"/>
        <v>0000010001000</v>
      </c>
      <c r="AD17" s="15" t="str">
        <f t="shared" si="23"/>
        <v>0000000000020</v>
      </c>
      <c r="AE17" s="15" t="str">
        <f t="shared" si="24"/>
        <v>0000000101000</v>
      </c>
      <c r="AF17" s="15" t="str">
        <f t="shared" si="25"/>
        <v>0000000100100</v>
      </c>
      <c r="AG17" s="41" t="str">
        <f t="shared" si="26"/>
        <v>0000002000000</v>
      </c>
      <c r="AH17" s="15"/>
      <c r="AI17" s="21">
        <v>0</v>
      </c>
      <c r="AJ17" s="20" t="str">
        <f t="shared" si="27"/>
        <v>AA-0</v>
      </c>
      <c r="AK17" s="39" cm="1">
        <f t="array" ref="AK17">SUMPRODUCT(--(MID(AB$10:AB$135, SUMIF($Z$9:$Z$21, LEFT($AJ17,2), $Y$9:$Y$21), 1) = RIGHT($AJ17, 1)), J$10:J$135)</f>
        <v>57</v>
      </c>
      <c r="AL17" s="39" cm="1">
        <f t="array" ref="AL17">SUMPRODUCT(--(MID(AC$10:AC$135, SUMIF($Z$9:$Z$21, LEFT($AJ17,2), $Y$9:$Y$21), 1) = RIGHT($AJ17, 1)), K$10:K$135)</f>
        <v>48</v>
      </c>
      <c r="AM17" s="39" cm="1">
        <f t="array" ref="AM17">SUMPRODUCT(--(MID(AD$10:AD$135, SUMIF($Z$9:$Z$21, LEFT($AJ17,2), $Y$9:$Y$21), 1) = RIGHT($AJ17, 1)), L$10:L$135)</f>
        <v>30</v>
      </c>
      <c r="AN17" s="39" cm="1">
        <f t="array" ref="AN17">SUMPRODUCT(--(MID(AE$10:AE$135, SUMIF($Z$9:$Z$21, LEFT($AJ17,2), $Y$9:$Y$21), 1) = RIGHT($AJ17, 1)), M$10:M$135)</f>
        <v>39</v>
      </c>
      <c r="AO17" s="39" cm="1">
        <f t="array" ref="AO17">SUMPRODUCT(--(MID(AF$10:AF$135, SUMIF($Z$9:$Z$21, LEFT($AJ17,2), $Y$9:$Y$21), 1) = RIGHT($AJ17, 1)), N$10:N$135)</f>
        <v>30</v>
      </c>
      <c r="AP17" s="19" cm="1">
        <f t="array" ref="AP17">SUMPRODUCT(--(MID(AG$10:AG$135, SUMIF($Z$9:$Z$21, LEFT($AJ17,2), $Y$9:$Y$21), 1) = RIGHT($AJ17, 1)), O$10:O$135)</f>
        <v>75</v>
      </c>
      <c r="AR17" s="34" t="str">
        <f t="shared" si="13"/>
        <v>GG</v>
      </c>
      <c r="AS17" s="30" cm="1">
        <f t="array" ref="AS17">SUMPRODUCT($AI$10:$AI$113,AK$10:AK$113,IF(LEFT($AJ$10:$AJ$113,2)=$AR17,1,0))</f>
        <v>14</v>
      </c>
      <c r="AT17" s="30" cm="1">
        <f t="array" ref="AT17">SUMPRODUCT($AI$10:$AI$113,AL$10:AL$113,IF(LEFT($AJ$10:$AJ$113,2)=$AR17,1,0))</f>
        <v>18</v>
      </c>
      <c r="AU17" s="30" cm="1">
        <f t="array" ref="AU17">SUMPRODUCT($AI$10:$AI$113,AM$10:AM$113,IF(LEFT($AJ$10:$AJ$113,2)=$AR17,1,0))</f>
        <v>18</v>
      </c>
      <c r="AV17" s="30" cm="1">
        <f t="array" ref="AV17">SUMPRODUCT($AI$10:$AI$113,AN$10:AN$113,IF(LEFT($AJ$10:$AJ$113,2)=$AR17,1,0))</f>
        <v>22</v>
      </c>
      <c r="AW17" s="30" cm="1">
        <f t="array" ref="AW17">SUMPRODUCT($AI$10:$AI$113,AO$10:AO$113,IF(LEFT($AJ$10:$AJ$113,2)=$AR17,1,0))</f>
        <v>10</v>
      </c>
      <c r="AX17" s="35" cm="1">
        <f t="array" ref="AX17">SUMPRODUCT($AI$10:$AI$113,AP$10:AP$113,IF(LEFT($AJ$10:$AJ$113,2)=$AR17,1,0))</f>
        <v>18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14"/>
        <v>8</v>
      </c>
      <c r="C18" s="30" t="s">
        <v>138</v>
      </c>
      <c r="D18" s="30" t="s">
        <v>138</v>
      </c>
      <c r="E18" s="30" t="s">
        <v>138</v>
      </c>
      <c r="F18" s="30" t="s">
        <v>138</v>
      </c>
      <c r="G18" s="30" t="s">
        <v>129</v>
      </c>
      <c r="H18" s="35" t="s">
        <v>131</v>
      </c>
      <c r="J18" s="34">
        <f t="shared" si="3"/>
        <v>1</v>
      </c>
      <c r="K18" s="30">
        <f t="shared" si="4"/>
        <v>1</v>
      </c>
      <c r="L18" s="30">
        <f t="shared" si="5"/>
        <v>1</v>
      </c>
      <c r="M18" s="30">
        <f t="shared" si="6"/>
        <v>1</v>
      </c>
      <c r="N18" s="30">
        <f t="shared" si="7"/>
        <v>1</v>
      </c>
      <c r="O18" s="35">
        <f t="shared" si="8"/>
        <v>1</v>
      </c>
      <c r="Q18" s="34" t="str">
        <f t="shared" si="9"/>
        <v>HH</v>
      </c>
      <c r="R18" s="30">
        <f t="shared" si="15"/>
        <v>1</v>
      </c>
      <c r="S18" s="30">
        <f t="shared" si="16"/>
        <v>1</v>
      </c>
      <c r="T18" s="30">
        <f t="shared" si="17"/>
        <v>1</v>
      </c>
      <c r="U18" s="30">
        <f t="shared" si="18"/>
        <v>1</v>
      </c>
      <c r="V18" s="30">
        <f t="shared" si="19"/>
        <v>1</v>
      </c>
      <c r="W18" s="35">
        <f t="shared" si="20"/>
        <v>1</v>
      </c>
      <c r="Y18" s="20">
        <f t="shared" si="11"/>
        <v>10</v>
      </c>
      <c r="Z18" s="23" t="s">
        <v>129</v>
      </c>
      <c r="AB18" s="40" t="str">
        <f t="shared" si="21"/>
        <v>0000000000020</v>
      </c>
      <c r="AC18" s="15" t="str">
        <f t="shared" si="22"/>
        <v>0000000001010</v>
      </c>
      <c r="AD18" s="15" t="str">
        <f t="shared" si="23"/>
        <v>0000000000020</v>
      </c>
      <c r="AE18" s="15" t="str">
        <f t="shared" si="24"/>
        <v>0000000001010</v>
      </c>
      <c r="AF18" s="15" t="str">
        <f t="shared" si="25"/>
        <v>0000000001100</v>
      </c>
      <c r="AG18" s="41" t="str">
        <f t="shared" si="26"/>
        <v>0100001000000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13"/>
        <v>HH</v>
      </c>
      <c r="AS18" s="30" cm="1">
        <f t="array" ref="AS18">SUMPRODUCT($AI$10:$AI$113,AK$10:AK$113,IF(LEFT($AJ$10:$AJ$113,2)=$AR18,1,0))</f>
        <v>2</v>
      </c>
      <c r="AT18" s="30" cm="1">
        <f t="array" ref="AT18">SUMPRODUCT($AI$10:$AI$113,AL$10:AL$113,IF(LEFT($AJ$10:$AJ$113,2)=$AR18,1,0))</f>
        <v>6</v>
      </c>
      <c r="AU18" s="30" cm="1">
        <f t="array" ref="AU18">SUMPRODUCT($AI$10:$AI$113,AM$10:AM$113,IF(LEFT($AJ$10:$AJ$113,2)=$AR18,1,0))</f>
        <v>10</v>
      </c>
      <c r="AV18" s="30" cm="1">
        <f t="array" ref="AV18">SUMPRODUCT($AI$10:$AI$113,AN$10:AN$113,IF(LEFT($AJ$10:$AJ$113,2)=$AR18,1,0))</f>
        <v>4</v>
      </c>
      <c r="AW18" s="30" cm="1">
        <f t="array" ref="AW18">SUMPRODUCT($AI$10:$AI$113,AO$10:AO$113,IF(LEFT($AJ$10:$AJ$113,2)=$AR18,1,0))</f>
        <v>4</v>
      </c>
      <c r="AX18" s="35" cm="1">
        <f t="array" ref="AX18">SUMPRODUCT($AI$10:$AI$113,AP$10:AP$113,IF(LEFT($AJ$10:$AJ$113,2)=$AR18,1,0))</f>
        <v>2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14"/>
        <v>9</v>
      </c>
      <c r="C19" s="30" t="s">
        <v>132</v>
      </c>
      <c r="D19" s="30" t="s">
        <v>138</v>
      </c>
      <c r="E19" s="30" t="s">
        <v>138</v>
      </c>
      <c r="F19" s="30" t="s">
        <v>138</v>
      </c>
      <c r="G19" s="30" t="s">
        <v>129</v>
      </c>
      <c r="H19" s="35" t="s">
        <v>128</v>
      </c>
      <c r="J19" s="34">
        <f t="shared" si="3"/>
        <v>1</v>
      </c>
      <c r="K19" s="30">
        <f t="shared" si="4"/>
        <v>1</v>
      </c>
      <c r="L19" s="30">
        <f t="shared" si="5"/>
        <v>1</v>
      </c>
      <c r="M19" s="30">
        <f t="shared" si="6"/>
        <v>1</v>
      </c>
      <c r="N19" s="30">
        <f t="shared" si="7"/>
        <v>1</v>
      </c>
      <c r="O19" s="35">
        <f t="shared" si="8"/>
        <v>1</v>
      </c>
      <c r="Q19" s="34" t="str">
        <f t="shared" si="9"/>
        <v>JJ</v>
      </c>
      <c r="R19" s="30">
        <f t="shared" si="15"/>
        <v>7</v>
      </c>
      <c r="S19" s="30">
        <f t="shared" si="16"/>
        <v>5</v>
      </c>
      <c r="T19" s="30">
        <f t="shared" si="17"/>
        <v>4</v>
      </c>
      <c r="U19" s="30">
        <f t="shared" si="18"/>
        <v>5</v>
      </c>
      <c r="V19" s="30">
        <f t="shared" si="19"/>
        <v>4</v>
      </c>
      <c r="W19" s="35">
        <f t="shared" si="20"/>
        <v>5</v>
      </c>
      <c r="Y19" s="20">
        <f t="shared" si="11"/>
        <v>11</v>
      </c>
      <c r="Z19" s="23" t="s">
        <v>132</v>
      </c>
      <c r="AA19" s="21"/>
      <c r="AB19" s="40" t="str">
        <f t="shared" si="21"/>
        <v>0000000000110</v>
      </c>
      <c r="AC19" s="15" t="str">
        <f t="shared" si="22"/>
        <v>0000000000020</v>
      </c>
      <c r="AD19" s="15" t="str">
        <f t="shared" si="23"/>
        <v>0000000000020</v>
      </c>
      <c r="AE19" s="15" t="str">
        <f t="shared" si="24"/>
        <v>0000000000020</v>
      </c>
      <c r="AF19" s="15" t="str">
        <f t="shared" si="25"/>
        <v>0000000002000</v>
      </c>
      <c r="AG19" s="41" t="str">
        <f t="shared" si="26"/>
        <v>0100001000000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13"/>
        <v>JJ</v>
      </c>
      <c r="AS19" s="30" cm="1">
        <f t="array" ref="AS19">SUMPRODUCT($AI$10:$AI$113,AK$10:AK$113,IF(LEFT($AJ$10:$AJ$113,2)=$AR19,1,0))</f>
        <v>14</v>
      </c>
      <c r="AT19" s="30" cm="1">
        <f t="array" ref="AT19">SUMPRODUCT($AI$10:$AI$113,AL$10:AL$113,IF(LEFT($AJ$10:$AJ$113,2)=$AR19,1,0))</f>
        <v>14</v>
      </c>
      <c r="AU19" s="30" cm="1">
        <f t="array" ref="AU19">SUMPRODUCT($AI$10:$AI$113,AM$10:AM$113,IF(LEFT($AJ$10:$AJ$113,2)=$AR19,1,0))</f>
        <v>16</v>
      </c>
      <c r="AV19" s="30" cm="1">
        <f t="array" ref="AV19">SUMPRODUCT($AI$10:$AI$113,AN$10:AN$113,IF(LEFT($AJ$10:$AJ$113,2)=$AR19,1,0))</f>
        <v>12</v>
      </c>
      <c r="AW19" s="30" cm="1">
        <f t="array" ref="AW19">SUMPRODUCT($AI$10:$AI$113,AO$10:AO$113,IF(LEFT($AJ$10:$AJ$113,2)=$AR19,1,0))</f>
        <v>10</v>
      </c>
      <c r="AX19" s="35" cm="1">
        <f t="array" ref="AX19">SUMPRODUCT($AI$10:$AI$113,AP$10:AP$113,IF(LEFT($AJ$10:$AJ$113,2)=$AR19,1,0))</f>
        <v>10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14"/>
        <v>10</v>
      </c>
      <c r="C20" s="30" t="s">
        <v>136</v>
      </c>
      <c r="D20" s="30" t="s">
        <v>138</v>
      </c>
      <c r="E20" s="30" t="s">
        <v>132</v>
      </c>
      <c r="F20" s="30" t="s">
        <v>138</v>
      </c>
      <c r="G20" s="30" t="s">
        <v>129</v>
      </c>
      <c r="H20" s="35" t="s">
        <v>136</v>
      </c>
      <c r="J20" s="34">
        <f t="shared" si="3"/>
        <v>1</v>
      </c>
      <c r="K20" s="30">
        <f t="shared" si="4"/>
        <v>1</v>
      </c>
      <c r="L20" s="30">
        <f t="shared" si="5"/>
        <v>1</v>
      </c>
      <c r="M20" s="30">
        <f t="shared" si="6"/>
        <v>1</v>
      </c>
      <c r="N20" s="30">
        <f t="shared" si="7"/>
        <v>1</v>
      </c>
      <c r="O20" s="35">
        <f t="shared" si="8"/>
        <v>1</v>
      </c>
      <c r="Q20" s="34" t="str">
        <f t="shared" si="9"/>
        <v>KK</v>
      </c>
      <c r="R20" s="30">
        <f t="shared" si="15"/>
        <v>7</v>
      </c>
      <c r="S20" s="30">
        <f t="shared" si="16"/>
        <v>8</v>
      </c>
      <c r="T20" s="30">
        <f t="shared" si="17"/>
        <v>6</v>
      </c>
      <c r="U20" s="30">
        <f t="shared" si="18"/>
        <v>5</v>
      </c>
      <c r="V20" s="30">
        <f t="shared" si="19"/>
        <v>5</v>
      </c>
      <c r="W20" s="35">
        <f t="shared" si="20"/>
        <v>9</v>
      </c>
      <c r="Y20" s="20">
        <v>12</v>
      </c>
      <c r="Z20" s="23" t="s">
        <v>138</v>
      </c>
      <c r="AA20" s="21"/>
      <c r="AB20" s="40" t="str">
        <f t="shared" si="21"/>
        <v>0000100000100</v>
      </c>
      <c r="AC20" s="15" t="str">
        <f t="shared" si="22"/>
        <v>0000000000020</v>
      </c>
      <c r="AD20" s="15" t="str">
        <f t="shared" si="23"/>
        <v>0000000000110</v>
      </c>
      <c r="AE20" s="15" t="str">
        <f t="shared" si="24"/>
        <v>0000000000020</v>
      </c>
      <c r="AF20" s="15" t="str">
        <f t="shared" si="25"/>
        <v>0000000002000</v>
      </c>
      <c r="AG20" s="41" t="str">
        <f t="shared" si="26"/>
        <v>0000101000000</v>
      </c>
      <c r="AH20" s="15"/>
      <c r="AI20" s="21">
        <v>5</v>
      </c>
      <c r="AJ20" s="20" t="str">
        <f t="shared" ref="AJ20:AJ25" si="28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13"/>
        <v>KK</v>
      </c>
      <c r="AS20" s="30" cm="1">
        <f t="array" ref="AS20">SUMPRODUCT($AI$10:$AI$113,AK$10:AK$113,IF(LEFT($AJ$10:$AJ$113,2)=$AR20,1,0))</f>
        <v>14</v>
      </c>
      <c r="AT20" s="30" cm="1">
        <f t="array" ref="AT20">SUMPRODUCT($AI$10:$AI$113,AL$10:AL$113,IF(LEFT($AJ$10:$AJ$113,2)=$AR20,1,0))</f>
        <v>20</v>
      </c>
      <c r="AU20" s="30" cm="1">
        <f t="array" ref="AU20">SUMPRODUCT($AI$10:$AI$113,AM$10:AM$113,IF(LEFT($AJ$10:$AJ$113,2)=$AR20,1,0))</f>
        <v>20</v>
      </c>
      <c r="AV20" s="30" cm="1">
        <f t="array" ref="AV20">SUMPRODUCT($AI$10:$AI$113,AN$10:AN$113,IF(LEFT($AJ$10:$AJ$113,2)=$AR20,1,0))</f>
        <v>12</v>
      </c>
      <c r="AW20" s="30" cm="1">
        <f t="array" ref="AW20">SUMPRODUCT($AI$10:$AI$113,AO$10:AO$113,IF(LEFT($AJ$10:$AJ$113,2)=$AR20,1,0))</f>
        <v>12</v>
      </c>
      <c r="AX20" s="35" cm="1">
        <f t="array" ref="AX20">SUMPRODUCT($AI$10:$AI$113,AP$10:AP$113,IF(LEFT($AJ$10:$AJ$113,2)=$AR20,1,0))</f>
        <v>18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14"/>
        <v>11</v>
      </c>
      <c r="C21" s="30" t="s">
        <v>132</v>
      </c>
      <c r="D21" s="30" t="s">
        <v>126</v>
      </c>
      <c r="E21" s="30" t="s">
        <v>132</v>
      </c>
      <c r="F21" s="30" t="s">
        <v>134</v>
      </c>
      <c r="G21" s="30" t="s">
        <v>138</v>
      </c>
      <c r="H21" s="35" t="s">
        <v>131</v>
      </c>
      <c r="J21" s="34">
        <f t="shared" si="3"/>
        <v>1</v>
      </c>
      <c r="K21" s="30">
        <f t="shared" si="4"/>
        <v>1</v>
      </c>
      <c r="L21" s="30">
        <f t="shared" si="5"/>
        <v>1</v>
      </c>
      <c r="M21" s="30">
        <f t="shared" si="6"/>
        <v>1</v>
      </c>
      <c r="N21" s="30">
        <f t="shared" si="7"/>
        <v>1</v>
      </c>
      <c r="O21" s="35">
        <f t="shared" si="8"/>
        <v>1</v>
      </c>
      <c r="Q21" s="34" t="s">
        <v>138</v>
      </c>
      <c r="R21" s="30">
        <f t="shared" si="15"/>
        <v>7</v>
      </c>
      <c r="S21" s="30">
        <f t="shared" si="16"/>
        <v>9</v>
      </c>
      <c r="T21" s="30">
        <f t="shared" si="17"/>
        <v>5</v>
      </c>
      <c r="U21" s="30">
        <f t="shared" si="18"/>
        <v>8</v>
      </c>
      <c r="V21" s="30">
        <f t="shared" si="19"/>
        <v>4</v>
      </c>
      <c r="W21" s="35">
        <f t="shared" si="20"/>
        <v>7</v>
      </c>
      <c r="Y21" s="18">
        <v>13</v>
      </c>
      <c r="Z21" s="22" t="s">
        <v>135</v>
      </c>
      <c r="AA21" s="21"/>
      <c r="AB21" s="40" t="str">
        <f t="shared" si="21"/>
        <v>0000100000100</v>
      </c>
      <c r="AC21" s="15" t="str">
        <f t="shared" si="22"/>
        <v>1111111111120</v>
      </c>
      <c r="AD21" s="15" t="str">
        <f t="shared" si="23"/>
        <v>0000000000200</v>
      </c>
      <c r="AE21" s="15" t="str">
        <f t="shared" si="24"/>
        <v>0001000000010</v>
      </c>
      <c r="AF21" s="15" t="str">
        <f t="shared" si="25"/>
        <v>0000000001010</v>
      </c>
      <c r="AG21" s="41" t="str">
        <f t="shared" si="26"/>
        <v>0100100000000</v>
      </c>
      <c r="AH21" s="15"/>
      <c r="AI21" s="21">
        <v>4</v>
      </c>
      <c r="AJ21" s="20" t="str">
        <f t="shared" si="28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13"/>
        <v>LL</v>
      </c>
      <c r="AS21" s="30" cm="1">
        <f t="array" ref="AS21">SUMPRODUCT($AI$10:$AI$113,AK$10:AK$113,IF(LEFT($AJ$10:$AJ$113,2)=$AR21,1,0))</f>
        <v>14</v>
      </c>
      <c r="AT21" s="30" cm="1">
        <f t="array" ref="AT21">SUMPRODUCT($AI$10:$AI$113,AL$10:AL$113,IF(LEFT($AJ$10:$AJ$113,2)=$AR21,1,0))</f>
        <v>22</v>
      </c>
      <c r="AU21" s="30" cm="1">
        <f t="array" ref="AU21">SUMPRODUCT($AI$10:$AI$113,AM$10:AM$113,IF(LEFT($AJ$10:$AJ$113,2)=$AR21,1,0))</f>
        <v>18</v>
      </c>
      <c r="AV21" s="30" cm="1">
        <f t="array" ref="AV21">SUMPRODUCT($AI$10:$AI$113,AN$10:AN$113,IF(LEFT($AJ$10:$AJ$113,2)=$AR21,1,0))</f>
        <v>18</v>
      </c>
      <c r="AW21" s="30" cm="1">
        <f t="array" ref="AW21">SUMPRODUCT($AI$10:$AI$113,AO$10:AO$113,IF(LEFT($AJ$10:$AJ$113,2)=$AR21,1,0))</f>
        <v>10</v>
      </c>
      <c r="AX21" s="35" cm="1">
        <f t="array" ref="AX21">SUMPRODUCT($AI$10:$AI$113,AP$10:AP$113,IF(LEFT($AJ$10:$AJ$113,2)=$AR21,1,0))</f>
        <v>14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14"/>
        <v>12</v>
      </c>
      <c r="C22" s="30" t="s">
        <v>132</v>
      </c>
      <c r="D22" s="30" t="s">
        <v>136</v>
      </c>
      <c r="E22" s="30" t="s">
        <v>132</v>
      </c>
      <c r="F22" s="30" t="s">
        <v>137</v>
      </c>
      <c r="G22" s="30" t="s">
        <v>134</v>
      </c>
      <c r="H22" s="35" t="s">
        <v>131</v>
      </c>
      <c r="J22" s="34">
        <f t="shared" si="3"/>
        <v>1</v>
      </c>
      <c r="K22" s="30">
        <f t="shared" si="4"/>
        <v>1</v>
      </c>
      <c r="L22" s="30">
        <f t="shared" si="5"/>
        <v>1</v>
      </c>
      <c r="M22" s="30">
        <f t="shared" si="6"/>
        <v>1</v>
      </c>
      <c r="N22" s="30">
        <f t="shared" si="7"/>
        <v>1</v>
      </c>
      <c r="O22" s="35">
        <f t="shared" si="8"/>
        <v>1</v>
      </c>
      <c r="Q22" s="36" t="s">
        <v>135</v>
      </c>
      <c r="R22" s="37">
        <f t="shared" si="15"/>
        <v>4</v>
      </c>
      <c r="S22" s="37">
        <f t="shared" si="16"/>
        <v>1</v>
      </c>
      <c r="T22" s="37">
        <f t="shared" si="17"/>
        <v>1</v>
      </c>
      <c r="U22" s="37">
        <f t="shared" si="18"/>
        <v>1</v>
      </c>
      <c r="V22" s="37">
        <f t="shared" si="19"/>
        <v>1</v>
      </c>
      <c r="W22" s="38">
        <f t="shared" si="20"/>
        <v>2</v>
      </c>
      <c r="Y22" s="21"/>
      <c r="Z22" s="21"/>
      <c r="AA22" s="21"/>
      <c r="AB22" s="40" t="str">
        <f t="shared" si="21"/>
        <v>0000000000200</v>
      </c>
      <c r="AC22" s="15" t="str">
        <f t="shared" si="22"/>
        <v>1111211111110</v>
      </c>
      <c r="AD22" s="15" t="str">
        <f t="shared" si="23"/>
        <v>0000000000200</v>
      </c>
      <c r="AE22" s="15" t="str">
        <f t="shared" si="24"/>
        <v>0001010000000</v>
      </c>
      <c r="AF22" s="15" t="str">
        <f t="shared" si="25"/>
        <v>0001000000010</v>
      </c>
      <c r="AG22" s="41" t="str">
        <f t="shared" si="26"/>
        <v>0200000000000</v>
      </c>
      <c r="AH22" s="15"/>
      <c r="AI22" s="21">
        <v>3</v>
      </c>
      <c r="AJ22" s="20" t="str">
        <f t="shared" si="28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13"/>
        <v>BN</v>
      </c>
      <c r="AS22" s="30" cm="1">
        <f t="array" ref="AS22">SUMPRODUCT($AI$10:$AI$113,AK$10:AK$113,IF(LEFT($AJ$10:$AJ$113,2)=$AR22,1,0))</f>
        <v>8</v>
      </c>
      <c r="AT22" s="30" cm="1">
        <f t="array" ref="AT22">SUMPRODUCT($AI$10:$AI$113,AL$10:AL$113,IF(LEFT($AJ$10:$AJ$113,2)=$AR22,1,0))</f>
        <v>2</v>
      </c>
      <c r="AU22" s="30" cm="1">
        <f t="array" ref="AU22">SUMPRODUCT($AI$10:$AI$113,AM$10:AM$113,IF(LEFT($AJ$10:$AJ$113,2)=$AR22,1,0))</f>
        <v>2</v>
      </c>
      <c r="AV22" s="30" cm="1">
        <f t="array" ref="AV22">SUMPRODUCT($AI$10:$AI$113,AN$10:AN$113,IF(LEFT($AJ$10:$AJ$113,2)=$AR22,1,0))</f>
        <v>2</v>
      </c>
      <c r="AW22" s="30" cm="1">
        <f t="array" ref="AW22">SUMPRODUCT($AI$10:$AI$113,AO$10:AO$113,IF(LEFT($AJ$10:$AJ$113,2)=$AR22,1,0))</f>
        <v>2</v>
      </c>
      <c r="AX22" s="35" cm="1">
        <f t="array" ref="AX22">SUMPRODUCT($AI$10:$AI$113,AP$10:AP$113,IF(LEFT($AJ$10:$AJ$113,2)=$AR22,1,0))</f>
        <v>4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14"/>
        <v>13</v>
      </c>
      <c r="C23" s="30" t="s">
        <v>132</v>
      </c>
      <c r="D23" s="30" t="s">
        <v>129</v>
      </c>
      <c r="E23" s="30" t="s">
        <v>133</v>
      </c>
      <c r="F23" s="30" t="s">
        <v>132</v>
      </c>
      <c r="G23" s="30" t="s">
        <v>134</v>
      </c>
      <c r="H23" s="35" t="s">
        <v>131</v>
      </c>
      <c r="J23" s="34">
        <f t="shared" si="3"/>
        <v>1</v>
      </c>
      <c r="K23" s="30">
        <f t="shared" si="4"/>
        <v>1</v>
      </c>
      <c r="L23" s="30">
        <f t="shared" si="5"/>
        <v>1</v>
      </c>
      <c r="M23" s="30">
        <f t="shared" si="6"/>
        <v>1</v>
      </c>
      <c r="N23" s="30">
        <f t="shared" si="7"/>
        <v>1</v>
      </c>
      <c r="O23" s="35">
        <f t="shared" si="8"/>
        <v>1</v>
      </c>
      <c r="Q23" s="36" t="s">
        <v>14</v>
      </c>
      <c r="R23" s="37">
        <f>SUM(R10:R22)</f>
        <v>73</v>
      </c>
      <c r="S23" s="37">
        <f t="shared" ref="S23:W23" si="29">SUM(S10:S22)</f>
        <v>62</v>
      </c>
      <c r="T23" s="37">
        <f t="shared" si="29"/>
        <v>44</v>
      </c>
      <c r="U23" s="37">
        <f t="shared" si="29"/>
        <v>59</v>
      </c>
      <c r="V23" s="37">
        <f t="shared" si="29"/>
        <v>38</v>
      </c>
      <c r="W23" s="38">
        <f t="shared" si="29"/>
        <v>83</v>
      </c>
      <c r="Y23" s="21"/>
      <c r="Z23" s="21"/>
      <c r="AA23" s="21"/>
      <c r="AB23" s="40" t="str">
        <f t="shared" si="21"/>
        <v>0000000000200</v>
      </c>
      <c r="AC23" s="15" t="str">
        <f t="shared" si="22"/>
        <v>0000100001000</v>
      </c>
      <c r="AD23" s="15" t="str">
        <f t="shared" si="23"/>
        <v>0000000100100</v>
      </c>
      <c r="AE23" s="15" t="str">
        <f t="shared" si="24"/>
        <v>0000010000100</v>
      </c>
      <c r="AF23" s="15" t="str">
        <f t="shared" si="25"/>
        <v>0002000000000</v>
      </c>
      <c r="AG23" s="41" t="str">
        <f t="shared" si="26"/>
        <v>0200000000000</v>
      </c>
      <c r="AH23" s="15"/>
      <c r="AI23" s="21">
        <v>2</v>
      </c>
      <c r="AJ23" s="20" t="str">
        <f t="shared" si="28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3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3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30">AR10&amp;"-0"</f>
        <v>WC-0</v>
      </c>
      <c r="AS23" s="30">
        <f t="shared" ref="AS23:AS35" si="31">SUMIF($AJ$10:$AJ$113,$AR23,AK$10:AK$113)</f>
        <v>73</v>
      </c>
      <c r="AT23" s="30">
        <f t="shared" ref="AT23:AT35" si="32">SUMIF($AJ$10:$AJ$113,$AR23,AL$10:AL$113)</f>
        <v>58</v>
      </c>
      <c r="AU23" s="30">
        <f t="shared" ref="AU23:AU35" si="33">SUMIF($AJ$10:$AJ$113,$AR23,AM$10:AM$113)</f>
        <v>36</v>
      </c>
      <c r="AV23" s="30">
        <f t="shared" ref="AV23:AV35" si="34">SUMIF($AJ$10:$AJ$113,$AR23,AN$10:AN$113)</f>
        <v>57</v>
      </c>
      <c r="AW23" s="30">
        <f t="shared" ref="AW23:AW35" si="35">SUMIF($AJ$10:$AJ$113,$AR23,AO$10:AO$113)</f>
        <v>36</v>
      </c>
      <c r="AX23" s="35">
        <f t="shared" ref="AX23:AX35" si="36">SUMIF($AJ$10:$AJ$113,$AR23,AP$10:AP$113)</f>
        <v>83</v>
      </c>
    </row>
    <row r="24" spans="2:64">
      <c r="B24" s="34">
        <f t="shared" si="14"/>
        <v>14</v>
      </c>
      <c r="C24" s="30" t="s">
        <v>128</v>
      </c>
      <c r="D24" s="30" t="s">
        <v>129</v>
      </c>
      <c r="E24" s="30" t="s">
        <v>133</v>
      </c>
      <c r="F24" s="30" t="s">
        <v>132</v>
      </c>
      <c r="G24" s="30" t="s">
        <v>134</v>
      </c>
      <c r="H24" s="35" t="s">
        <v>135</v>
      </c>
      <c r="J24" s="34">
        <f t="shared" si="3"/>
        <v>1</v>
      </c>
      <c r="K24" s="30">
        <f t="shared" si="4"/>
        <v>1</v>
      </c>
      <c r="L24" s="30">
        <f t="shared" si="5"/>
        <v>1</v>
      </c>
      <c r="M24" s="30">
        <f t="shared" si="6"/>
        <v>1</v>
      </c>
      <c r="N24" s="30">
        <f t="shared" si="7"/>
        <v>1</v>
      </c>
      <c r="O24" s="35">
        <f t="shared" si="8"/>
        <v>1</v>
      </c>
      <c r="Y24" s="21"/>
      <c r="Z24" s="21"/>
      <c r="AA24" s="21"/>
      <c r="AB24" s="40" t="str">
        <f t="shared" si="21"/>
        <v>0000001000100</v>
      </c>
      <c r="AC24" s="15" t="str">
        <f t="shared" si="22"/>
        <v>0000000002000</v>
      </c>
      <c r="AD24" s="15" t="str">
        <f t="shared" si="23"/>
        <v>0000000200000</v>
      </c>
      <c r="AE24" s="15" t="str">
        <f t="shared" si="24"/>
        <v>0000000000200</v>
      </c>
      <c r="AF24" s="15" t="str">
        <f t="shared" si="25"/>
        <v>0002000000000</v>
      </c>
      <c r="AG24" s="41" t="str">
        <f t="shared" si="26"/>
        <v>0100000000001</v>
      </c>
      <c r="AH24" s="15"/>
      <c r="AI24" s="21">
        <v>1</v>
      </c>
      <c r="AJ24" s="20" t="str">
        <f t="shared" si="28"/>
        <v>BB-1</v>
      </c>
      <c r="AK24" s="39" cm="1">
        <f t="array" ref="AK24">SUMPRODUCT(--(MID(AB$10:AB$135, SUMIF($Z$9:$Z$21, LEFT($AJ24,2), $Y$9:$Y$21), 1) = RIGHT($AJ24, 1)), J$10:J$135)</f>
        <v>4</v>
      </c>
      <c r="AL24" s="39" cm="1">
        <f t="array" ref="AL24">SUMPRODUCT(--(MID(AC$10:AC$135, SUMIF($Z$9:$Z$21, LEFT($AJ24,2), $Y$9:$Y$21), 1) = RIGHT($AJ24, 1)), K$10:K$135)</f>
        <v>16</v>
      </c>
      <c r="AM24" s="39" cm="1">
        <f t="array" ref="AM24">SUMPRODUCT(--(MID(AD$10:AD$135, SUMIF($Z$9:$Z$21, LEFT($AJ24,2), $Y$9:$Y$21), 1) = RIGHT($AJ24, 1)), L$10:L$135)</f>
        <v>14</v>
      </c>
      <c r="AN24" s="39" cm="1">
        <f t="array" ref="AN24">SUMPRODUCT(--(MID(AE$10:AE$135, SUMIF($Z$9:$Z$21, LEFT($AJ24,2), $Y$9:$Y$21), 1) = RIGHT($AJ24, 1)), M$10:M$135)</f>
        <v>4</v>
      </c>
      <c r="AO24" s="39" cm="1">
        <f t="array" ref="AO24">SUMPRODUCT(--(MID(AF$10:AF$135, SUMIF($Z$9:$Z$21, LEFT($AJ24,2), $Y$9:$Y$21), 1) = RIGHT($AJ24, 1)), N$10:N$135)</f>
        <v>8</v>
      </c>
      <c r="AP24" s="19" cm="1">
        <f t="array" ref="AP24">SUMPRODUCT(--(MID(AG$10:AG$135, SUMIF($Z$9:$Z$21, LEFT($AJ24,2), $Y$9:$Y$21), 1) = RIGHT($AJ24, 1)), O$10:O$135)</f>
        <v>14</v>
      </c>
      <c r="AR24" s="34" t="str">
        <f t="shared" si="30"/>
        <v>AA-0</v>
      </c>
      <c r="AS24" s="30">
        <f t="shared" si="31"/>
        <v>57</v>
      </c>
      <c r="AT24" s="30">
        <f t="shared" si="32"/>
        <v>48</v>
      </c>
      <c r="AU24" s="30">
        <f t="shared" si="33"/>
        <v>30</v>
      </c>
      <c r="AV24" s="30">
        <f t="shared" si="34"/>
        <v>39</v>
      </c>
      <c r="AW24" s="30">
        <f t="shared" si="35"/>
        <v>30</v>
      </c>
      <c r="AX24" s="35">
        <f t="shared" si="36"/>
        <v>75</v>
      </c>
    </row>
    <row r="25" spans="2:64">
      <c r="B25" s="34">
        <f t="shared" si="14"/>
        <v>15</v>
      </c>
      <c r="C25" s="30" t="s">
        <v>129</v>
      </c>
      <c r="D25" s="30" t="s">
        <v>129</v>
      </c>
      <c r="E25" s="30" t="s">
        <v>133</v>
      </c>
      <c r="F25" s="30" t="s">
        <v>132</v>
      </c>
      <c r="G25" s="30" t="s">
        <v>128</v>
      </c>
      <c r="H25" s="35" t="s">
        <v>129</v>
      </c>
      <c r="J25" s="34">
        <f t="shared" si="3"/>
        <v>1</v>
      </c>
      <c r="K25" s="30">
        <f t="shared" si="4"/>
        <v>1</v>
      </c>
      <c r="L25" s="30">
        <f t="shared" si="5"/>
        <v>1</v>
      </c>
      <c r="M25" s="30">
        <f t="shared" si="6"/>
        <v>1</v>
      </c>
      <c r="N25" s="30">
        <f t="shared" si="7"/>
        <v>1</v>
      </c>
      <c r="O25" s="35">
        <f t="shared" si="8"/>
        <v>1</v>
      </c>
      <c r="Y25" s="21"/>
      <c r="Z25" s="21"/>
      <c r="AA25" s="21"/>
      <c r="AB25" s="40" t="str">
        <f t="shared" si="21"/>
        <v>0000001001000</v>
      </c>
      <c r="AC25" s="15" t="str">
        <f t="shared" si="22"/>
        <v>0000000002000</v>
      </c>
      <c r="AD25" s="15" t="str">
        <f t="shared" si="23"/>
        <v>0000000200000</v>
      </c>
      <c r="AE25" s="15" t="str">
        <f t="shared" si="24"/>
        <v>0000000000200</v>
      </c>
      <c r="AF25" s="15" t="str">
        <f t="shared" si="25"/>
        <v>0001001000000</v>
      </c>
      <c r="AG25" s="41" t="str">
        <f t="shared" si="26"/>
        <v>0000000001001</v>
      </c>
      <c r="AH25" s="15"/>
      <c r="AI25" s="21">
        <v>0</v>
      </c>
      <c r="AJ25" s="20" t="str">
        <f t="shared" si="28"/>
        <v>BB-0</v>
      </c>
      <c r="AK25" s="39" cm="1">
        <f t="array" ref="AK25">SUMPRODUCT(--(MID(AB$10:AB$135, SUMIF($Z$9:$Z$21, LEFT($AJ25,2), $Y$9:$Y$21), 1) = RIGHT($AJ25, 1)), J$10:J$135)</f>
        <v>67</v>
      </c>
      <c r="AL25" s="39" cm="1">
        <f t="array" ref="AL25">SUMPRODUCT(--(MID(AC$10:AC$135, SUMIF($Z$9:$Z$21, LEFT($AJ25,2), $Y$9:$Y$21), 1) = RIGHT($AJ25, 1)), K$10:K$135)</f>
        <v>43</v>
      </c>
      <c r="AM25" s="39" cm="1">
        <f t="array" ref="AM25">SUMPRODUCT(--(MID(AD$10:AD$135, SUMIF($Z$9:$Z$21, LEFT($AJ25,2), $Y$9:$Y$21), 1) = RIGHT($AJ25, 1)), L$10:L$135)</f>
        <v>28</v>
      </c>
      <c r="AN25" s="39" cm="1">
        <f t="array" ref="AN25">SUMPRODUCT(--(MID(AE$10:AE$135, SUMIF($Z$9:$Z$21, LEFT($AJ25,2), $Y$9:$Y$21), 1) = RIGHT($AJ25, 1)), M$10:M$135)</f>
        <v>52</v>
      </c>
      <c r="AO25" s="39" cm="1">
        <f t="array" ref="AO25">SUMPRODUCT(--(MID(AF$10:AF$135, SUMIF($Z$9:$Z$21, LEFT($AJ25,2), $Y$9:$Y$21), 1) = RIGHT($AJ25, 1)), N$10:N$135)</f>
        <v>28</v>
      </c>
      <c r="AP25" s="19" cm="1">
        <f t="array" ref="AP25">SUMPRODUCT(--(MID(AG$10:AG$135, SUMIF($Z$9:$Z$21, LEFT($AJ25,2), $Y$9:$Y$21), 1) = RIGHT($AJ25, 1)), O$10:O$135)</f>
        <v>67</v>
      </c>
      <c r="AR25" s="34" t="str">
        <f t="shared" si="30"/>
        <v>BB-0</v>
      </c>
      <c r="AS25" s="30">
        <f t="shared" si="31"/>
        <v>67</v>
      </c>
      <c r="AT25" s="30">
        <f t="shared" si="32"/>
        <v>43</v>
      </c>
      <c r="AU25" s="30">
        <f t="shared" si="33"/>
        <v>28</v>
      </c>
      <c r="AV25" s="30">
        <f t="shared" si="34"/>
        <v>52</v>
      </c>
      <c r="AW25" s="30">
        <f t="shared" si="35"/>
        <v>28</v>
      </c>
      <c r="AX25" s="35">
        <f t="shared" si="36"/>
        <v>67</v>
      </c>
    </row>
    <row r="26" spans="2:64">
      <c r="B26" s="34">
        <f t="shared" si="14"/>
        <v>16</v>
      </c>
      <c r="C26" s="30" t="s">
        <v>129</v>
      </c>
      <c r="D26" s="30" t="s">
        <v>133</v>
      </c>
      <c r="E26" s="30" t="s">
        <v>133</v>
      </c>
      <c r="F26" s="30" t="s">
        <v>132</v>
      </c>
      <c r="G26" s="30" t="s">
        <v>137</v>
      </c>
      <c r="H26" s="35" t="s">
        <v>129</v>
      </c>
      <c r="J26" s="34">
        <f t="shared" si="3"/>
        <v>1</v>
      </c>
      <c r="K26" s="30">
        <f t="shared" si="4"/>
        <v>1</v>
      </c>
      <c r="L26" s="30">
        <f t="shared" si="5"/>
        <v>1</v>
      </c>
      <c r="M26" s="30">
        <f t="shared" si="6"/>
        <v>1</v>
      </c>
      <c r="N26" s="30">
        <f t="shared" si="7"/>
        <v>1</v>
      </c>
      <c r="O26" s="35">
        <f t="shared" si="8"/>
        <v>1</v>
      </c>
      <c r="Y26" s="21"/>
      <c r="Z26" s="21"/>
      <c r="AA26" s="21"/>
      <c r="AB26" s="40" t="str">
        <f t="shared" si="21"/>
        <v>0000000002000</v>
      </c>
      <c r="AC26" s="15" t="str">
        <f t="shared" si="22"/>
        <v>0000000101000</v>
      </c>
      <c r="AD26" s="15" t="str">
        <f t="shared" si="23"/>
        <v>0000000200000</v>
      </c>
      <c r="AE26" s="15" t="str">
        <f t="shared" si="24"/>
        <v>0000000000200</v>
      </c>
      <c r="AF26" s="15" t="str">
        <f t="shared" si="25"/>
        <v>0000011000000</v>
      </c>
      <c r="AG26" s="41" t="str">
        <f t="shared" si="26"/>
        <v>0000000002000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30"/>
        <v>CC-0</v>
      </c>
      <c r="AS26" s="30">
        <f t="shared" si="31"/>
        <v>65</v>
      </c>
      <c r="AT26" s="30">
        <f t="shared" si="32"/>
        <v>46</v>
      </c>
      <c r="AU26" s="30">
        <f t="shared" si="33"/>
        <v>28</v>
      </c>
      <c r="AV26" s="30">
        <f t="shared" si="34"/>
        <v>40</v>
      </c>
      <c r="AW26" s="30">
        <f t="shared" si="35"/>
        <v>29</v>
      </c>
      <c r="AX26" s="35">
        <f t="shared" si="36"/>
        <v>60</v>
      </c>
    </row>
    <row r="27" spans="2:64">
      <c r="B27" s="34">
        <f t="shared" si="14"/>
        <v>17</v>
      </c>
      <c r="C27" s="30" t="s">
        <v>129</v>
      </c>
      <c r="D27" s="30" t="s">
        <v>135</v>
      </c>
      <c r="E27" s="30" t="s">
        <v>127</v>
      </c>
      <c r="F27" s="30" t="s">
        <v>135</v>
      </c>
      <c r="G27" s="30" t="s">
        <v>131</v>
      </c>
      <c r="H27" s="35" t="s">
        <v>129</v>
      </c>
      <c r="J27" s="34">
        <f t="shared" si="3"/>
        <v>1</v>
      </c>
      <c r="K27" s="30">
        <f t="shared" si="4"/>
        <v>1</v>
      </c>
      <c r="L27" s="30">
        <f t="shared" si="5"/>
        <v>1</v>
      </c>
      <c r="M27" s="30">
        <f t="shared" si="6"/>
        <v>1</v>
      </c>
      <c r="N27" s="30">
        <f t="shared" si="7"/>
        <v>1</v>
      </c>
      <c r="O27" s="35">
        <f t="shared" si="8"/>
        <v>1</v>
      </c>
      <c r="Y27" s="21"/>
      <c r="Z27" s="21"/>
      <c r="AA27" s="21"/>
      <c r="AB27" s="40" t="str">
        <f t="shared" si="21"/>
        <v>0000000002000</v>
      </c>
      <c r="AC27" s="15" t="str">
        <f t="shared" si="22"/>
        <v>0000000100001</v>
      </c>
      <c r="AD27" s="15" t="str">
        <f t="shared" si="23"/>
        <v>0010000100000</v>
      </c>
      <c r="AE27" s="15" t="str">
        <f t="shared" si="24"/>
        <v>0000000000101</v>
      </c>
      <c r="AF27" s="15" t="str">
        <f t="shared" si="25"/>
        <v>0100010000000</v>
      </c>
      <c r="AG27" s="41" t="str">
        <f t="shared" si="26"/>
        <v>0000000002000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30"/>
        <v>DD-0</v>
      </c>
      <c r="AS27" s="30">
        <f t="shared" si="31"/>
        <v>57</v>
      </c>
      <c r="AT27" s="30">
        <f t="shared" si="32"/>
        <v>55</v>
      </c>
      <c r="AU27" s="30">
        <f t="shared" si="33"/>
        <v>36</v>
      </c>
      <c r="AV27" s="30">
        <f t="shared" si="34"/>
        <v>55</v>
      </c>
      <c r="AW27" s="30">
        <f t="shared" si="35"/>
        <v>35</v>
      </c>
      <c r="AX27" s="35">
        <f t="shared" si="36"/>
        <v>65</v>
      </c>
    </row>
    <row r="28" spans="2:64">
      <c r="B28" s="34">
        <f t="shared" si="14"/>
        <v>18</v>
      </c>
      <c r="C28" s="30" t="s">
        <v>129</v>
      </c>
      <c r="D28" s="30" t="s">
        <v>131</v>
      </c>
      <c r="E28" s="30" t="s">
        <v>134</v>
      </c>
      <c r="F28" s="30" t="s">
        <v>134</v>
      </c>
      <c r="G28" s="30" t="s">
        <v>131</v>
      </c>
      <c r="H28" s="35" t="s">
        <v>133</v>
      </c>
      <c r="J28" s="34">
        <f t="shared" si="3"/>
        <v>1</v>
      </c>
      <c r="K28" s="30">
        <f t="shared" si="4"/>
        <v>1</v>
      </c>
      <c r="L28" s="30">
        <f t="shared" si="5"/>
        <v>1</v>
      </c>
      <c r="M28" s="30">
        <f t="shared" si="6"/>
        <v>1</v>
      </c>
      <c r="N28" s="30">
        <f t="shared" si="7"/>
        <v>1</v>
      </c>
      <c r="O28" s="35">
        <f t="shared" si="8"/>
        <v>1</v>
      </c>
      <c r="Y28" s="21"/>
      <c r="Z28" s="21"/>
      <c r="AA28" s="21"/>
      <c r="AB28" s="40" t="str">
        <f t="shared" si="21"/>
        <v>0000000002000</v>
      </c>
      <c r="AC28" s="15" t="str">
        <f t="shared" si="22"/>
        <v>0100000000001</v>
      </c>
      <c r="AD28" s="15" t="str">
        <f t="shared" si="23"/>
        <v>0011000000000</v>
      </c>
      <c r="AE28" s="15" t="str">
        <f t="shared" si="24"/>
        <v>0001000000001</v>
      </c>
      <c r="AF28" s="15" t="str">
        <f t="shared" si="25"/>
        <v>0200000000000</v>
      </c>
      <c r="AG28" s="41" t="str">
        <f t="shared" si="26"/>
        <v>0000000101000</v>
      </c>
      <c r="AH28" s="15"/>
      <c r="AI28" s="21">
        <v>5</v>
      </c>
      <c r="AJ28" s="20" t="str">
        <f t="shared" ref="AJ28:AJ33" si="3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30"/>
        <v>EE-0</v>
      </c>
      <c r="AS28" s="30">
        <f t="shared" si="31"/>
        <v>69</v>
      </c>
      <c r="AT28" s="30">
        <f t="shared" si="32"/>
        <v>56</v>
      </c>
      <c r="AU28" s="30">
        <f t="shared" si="33"/>
        <v>34</v>
      </c>
      <c r="AV28" s="30">
        <f t="shared" si="34"/>
        <v>53</v>
      </c>
      <c r="AW28" s="30">
        <f t="shared" si="35"/>
        <v>32</v>
      </c>
      <c r="AX28" s="35">
        <f t="shared" si="36"/>
        <v>77</v>
      </c>
    </row>
    <row r="29" spans="2:64">
      <c r="B29" s="34">
        <f t="shared" si="14"/>
        <v>19</v>
      </c>
      <c r="C29" s="30" t="s">
        <v>135</v>
      </c>
      <c r="D29" s="30" t="s">
        <v>131</v>
      </c>
      <c r="E29" s="30" t="s">
        <v>134</v>
      </c>
      <c r="F29" s="30" t="s">
        <v>134</v>
      </c>
      <c r="G29" s="30" t="s">
        <v>131</v>
      </c>
      <c r="H29" s="35" t="s">
        <v>134</v>
      </c>
      <c r="J29" s="34">
        <f t="shared" si="3"/>
        <v>1</v>
      </c>
      <c r="K29" s="30">
        <f t="shared" si="4"/>
        <v>1</v>
      </c>
      <c r="L29" s="30">
        <f t="shared" si="5"/>
        <v>1</v>
      </c>
      <c r="M29" s="30">
        <f t="shared" si="6"/>
        <v>1</v>
      </c>
      <c r="N29" s="30">
        <f t="shared" si="7"/>
        <v>1</v>
      </c>
      <c r="O29" s="35">
        <f t="shared" si="8"/>
        <v>1</v>
      </c>
      <c r="Y29" s="21"/>
      <c r="Z29" s="21"/>
      <c r="AA29" s="21"/>
      <c r="AB29" s="40" t="str">
        <f t="shared" si="21"/>
        <v>0000000001001</v>
      </c>
      <c r="AC29" s="15" t="str">
        <f t="shared" si="22"/>
        <v>0200000000000</v>
      </c>
      <c r="AD29" s="15" t="str">
        <f t="shared" si="23"/>
        <v>0002000000000</v>
      </c>
      <c r="AE29" s="15" t="str">
        <f t="shared" si="24"/>
        <v>0002000000000</v>
      </c>
      <c r="AF29" s="15" t="str">
        <f t="shared" si="25"/>
        <v>0200000000000</v>
      </c>
      <c r="AG29" s="41" t="str">
        <f t="shared" si="26"/>
        <v>0001000100000</v>
      </c>
      <c r="AH29" s="15"/>
      <c r="AI29" s="21">
        <v>4</v>
      </c>
      <c r="AJ29" s="20" t="str">
        <f t="shared" si="3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30"/>
        <v>FF-0</v>
      </c>
      <c r="AS29" s="30">
        <f t="shared" si="31"/>
        <v>53</v>
      </c>
      <c r="AT29" s="30">
        <f t="shared" si="32"/>
        <v>52</v>
      </c>
      <c r="AU29" s="30">
        <f t="shared" si="33"/>
        <v>34</v>
      </c>
      <c r="AV29" s="30">
        <f t="shared" si="34"/>
        <v>56</v>
      </c>
      <c r="AW29" s="30">
        <f t="shared" si="35"/>
        <v>34</v>
      </c>
      <c r="AX29" s="35">
        <f t="shared" si="36"/>
        <v>65</v>
      </c>
    </row>
    <row r="30" spans="2:64">
      <c r="B30" s="34">
        <f t="shared" si="14"/>
        <v>20</v>
      </c>
      <c r="C30" s="30" t="s">
        <v>128</v>
      </c>
      <c r="D30" s="30" t="s">
        <v>131</v>
      </c>
      <c r="E30" s="30" t="s">
        <v>134</v>
      </c>
      <c r="F30" s="30" t="s">
        <v>134</v>
      </c>
      <c r="G30" s="30" t="s">
        <v>127</v>
      </c>
      <c r="H30" s="35" t="s">
        <v>134</v>
      </c>
      <c r="J30" s="34">
        <f t="shared" si="3"/>
        <v>1</v>
      </c>
      <c r="K30" s="30">
        <f t="shared" si="4"/>
        <v>1</v>
      </c>
      <c r="L30" s="30">
        <f t="shared" si="5"/>
        <v>1</v>
      </c>
      <c r="M30" s="30">
        <f t="shared" si="6"/>
        <v>1</v>
      </c>
      <c r="N30" s="30">
        <f t="shared" si="7"/>
        <v>1</v>
      </c>
      <c r="O30" s="35">
        <f t="shared" si="8"/>
        <v>1</v>
      </c>
      <c r="Y30" s="21"/>
      <c r="Z30" s="21"/>
      <c r="AA30" s="21"/>
      <c r="AB30" s="40" t="str">
        <f t="shared" si="21"/>
        <v>0000001000001</v>
      </c>
      <c r="AC30" s="15" t="str">
        <f t="shared" si="22"/>
        <v>0200000000000</v>
      </c>
      <c r="AD30" s="15" t="str">
        <f t="shared" si="23"/>
        <v>0002000000000</v>
      </c>
      <c r="AE30" s="15" t="str">
        <f t="shared" si="24"/>
        <v>0002000000000</v>
      </c>
      <c r="AF30" s="15" t="str">
        <f t="shared" si="25"/>
        <v>0110000000000</v>
      </c>
      <c r="AG30" s="41" t="str">
        <f t="shared" si="26"/>
        <v>0002000000000</v>
      </c>
      <c r="AH30" s="15"/>
      <c r="AI30" s="21">
        <v>3</v>
      </c>
      <c r="AJ30" s="20" t="str">
        <f t="shared" si="3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30"/>
        <v>GG-0</v>
      </c>
      <c r="AS30" s="30">
        <f t="shared" si="31"/>
        <v>62</v>
      </c>
      <c r="AT30" s="30">
        <f t="shared" si="32"/>
        <v>47</v>
      </c>
      <c r="AU30" s="30">
        <f t="shared" si="33"/>
        <v>29</v>
      </c>
      <c r="AV30" s="30">
        <f t="shared" si="34"/>
        <v>39</v>
      </c>
      <c r="AW30" s="30">
        <f t="shared" si="35"/>
        <v>30</v>
      </c>
      <c r="AX30" s="35">
        <f t="shared" si="36"/>
        <v>67</v>
      </c>
    </row>
    <row r="31" spans="2:64">
      <c r="B31" s="34">
        <f t="shared" si="14"/>
        <v>21</v>
      </c>
      <c r="C31" s="30" t="s">
        <v>128</v>
      </c>
      <c r="D31" s="30" t="s">
        <v>132</v>
      </c>
      <c r="E31" s="30" t="s">
        <v>131</v>
      </c>
      <c r="F31" s="30" t="s">
        <v>126</v>
      </c>
      <c r="G31" s="30" t="s">
        <v>134</v>
      </c>
      <c r="H31" s="35" t="s">
        <v>134</v>
      </c>
      <c r="J31" s="34">
        <f t="shared" si="3"/>
        <v>1</v>
      </c>
      <c r="K31" s="30">
        <f t="shared" si="4"/>
        <v>1</v>
      </c>
      <c r="L31" s="30">
        <f t="shared" si="5"/>
        <v>1</v>
      </c>
      <c r="M31" s="30">
        <f t="shared" si="6"/>
        <v>1</v>
      </c>
      <c r="N31" s="30">
        <f t="shared" si="7"/>
        <v>1</v>
      </c>
      <c r="O31" s="35">
        <f t="shared" si="8"/>
        <v>1</v>
      </c>
      <c r="Y31" s="21"/>
      <c r="Z31" s="21"/>
      <c r="AA31" s="21"/>
      <c r="AB31" s="40" t="str">
        <f t="shared" si="21"/>
        <v>0000002000000</v>
      </c>
      <c r="AC31" s="15" t="str">
        <f t="shared" si="22"/>
        <v>0100000000100</v>
      </c>
      <c r="AD31" s="15" t="str">
        <f t="shared" si="23"/>
        <v>0101000000000</v>
      </c>
      <c r="AE31" s="15" t="str">
        <f t="shared" si="24"/>
        <v>1112111111110</v>
      </c>
      <c r="AF31" s="15" t="str">
        <f t="shared" si="25"/>
        <v>0011000000000</v>
      </c>
      <c r="AG31" s="41" t="str">
        <f t="shared" si="26"/>
        <v>0002000000000</v>
      </c>
      <c r="AH31" s="15"/>
      <c r="AI31" s="21">
        <v>2</v>
      </c>
      <c r="AJ31" s="20" t="str">
        <f t="shared" si="3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3</v>
      </c>
      <c r="AO31" s="39" cm="1">
        <f t="array" ref="AO31">SUMPRODUCT(--(MID(AF$10:AF$135, SUMIF($Z$9:$Z$21, LEFT($AJ31,2), $Y$9:$Y$21), 1) = RIGHT($AJ31, 1)), N$10:N$135)</f>
        <v>3</v>
      </c>
      <c r="AP31" s="19" cm="1">
        <f t="array" ref="AP31">SUMPRODUCT(--(MID(AG$10:AG$135, SUMIF($Z$9:$Z$21, LEFT($AJ31,2), $Y$9:$Y$21), 1) = RIGHT($AJ31, 1)), O$10:O$135)</f>
        <v>3</v>
      </c>
      <c r="AR31" s="34" t="str">
        <f t="shared" si="30"/>
        <v>HH-0</v>
      </c>
      <c r="AS31" s="30">
        <f t="shared" si="31"/>
        <v>71</v>
      </c>
      <c r="AT31" s="30">
        <f t="shared" si="32"/>
        <v>56</v>
      </c>
      <c r="AU31" s="30">
        <f t="shared" si="33"/>
        <v>34</v>
      </c>
      <c r="AV31" s="30">
        <f t="shared" si="34"/>
        <v>55</v>
      </c>
      <c r="AW31" s="30">
        <f t="shared" si="35"/>
        <v>34</v>
      </c>
      <c r="AX31" s="35">
        <f t="shared" si="36"/>
        <v>81</v>
      </c>
    </row>
    <row r="32" spans="2:64">
      <c r="B32" s="34">
        <f t="shared" si="14"/>
        <v>22</v>
      </c>
      <c r="C32" s="30" t="s">
        <v>128</v>
      </c>
      <c r="D32" s="30" t="s">
        <v>134</v>
      </c>
      <c r="E32" s="30" t="s">
        <v>131</v>
      </c>
      <c r="F32" s="30" t="s">
        <v>128</v>
      </c>
      <c r="G32" s="30" t="s">
        <v>126</v>
      </c>
      <c r="H32" s="35" t="s">
        <v>134</v>
      </c>
      <c r="J32" s="34">
        <f t="shared" si="3"/>
        <v>1</v>
      </c>
      <c r="K32" s="30">
        <f t="shared" si="4"/>
        <v>1</v>
      </c>
      <c r="L32" s="30">
        <f t="shared" si="5"/>
        <v>1</v>
      </c>
      <c r="M32" s="30">
        <f t="shared" si="6"/>
        <v>1</v>
      </c>
      <c r="N32" s="30">
        <f t="shared" si="7"/>
        <v>1</v>
      </c>
      <c r="O32" s="35">
        <f t="shared" si="8"/>
        <v>1</v>
      </c>
      <c r="Y32" s="21"/>
      <c r="Z32" s="21"/>
      <c r="AA32" s="21"/>
      <c r="AB32" s="40" t="str">
        <f t="shared" si="21"/>
        <v>0000002000000</v>
      </c>
      <c r="AC32" s="15" t="str">
        <f t="shared" si="22"/>
        <v>0001000000100</v>
      </c>
      <c r="AD32" s="15" t="str">
        <f t="shared" si="23"/>
        <v>0200000000000</v>
      </c>
      <c r="AE32" s="15" t="str">
        <f t="shared" si="24"/>
        <v>1111112111110</v>
      </c>
      <c r="AF32" s="15" t="str">
        <f t="shared" si="25"/>
        <v>1112111111110</v>
      </c>
      <c r="AG32" s="41" t="str">
        <f t="shared" si="26"/>
        <v>0002000000000</v>
      </c>
      <c r="AH32" s="15"/>
      <c r="AI32" s="21">
        <v>1</v>
      </c>
      <c r="AJ32" s="20" t="str">
        <f t="shared" si="37"/>
        <v>CC-1</v>
      </c>
      <c r="AK32" s="39" cm="1">
        <f t="array" ref="AK32">SUMPRODUCT(--(MID(AB$10:AB$135, SUMIF($Z$9:$Z$21, LEFT($AJ32,2), $Y$9:$Y$21), 1) = RIGHT($AJ32, 1)), J$10:J$135)</f>
        <v>6</v>
      </c>
      <c r="AL32" s="39" cm="1">
        <f t="array" ref="AL32">SUMPRODUCT(--(MID(AC$10:AC$135, SUMIF($Z$9:$Z$21, LEFT($AJ32,2), $Y$9:$Y$21), 1) = RIGHT($AJ32, 1)), K$10:K$135)</f>
        <v>14</v>
      </c>
      <c r="AM32" s="39" cm="1">
        <f t="array" ref="AM32">SUMPRODUCT(--(MID(AD$10:AD$135, SUMIF($Z$9:$Z$21, LEFT($AJ32,2), $Y$9:$Y$21), 1) = RIGHT($AJ32, 1)), L$10:L$135)</f>
        <v>14</v>
      </c>
      <c r="AN32" s="39" cm="1">
        <f t="array" ref="AN32">SUMPRODUCT(--(MID(AE$10:AE$135, SUMIF($Z$9:$Z$21, LEFT($AJ32,2), $Y$9:$Y$21), 1) = RIGHT($AJ32, 1)), M$10:M$135)</f>
        <v>16</v>
      </c>
      <c r="AO32" s="39" cm="1">
        <f t="array" ref="AO32">SUMPRODUCT(--(MID(AF$10:AF$135, SUMIF($Z$9:$Z$21, LEFT($AJ32,2), $Y$9:$Y$21), 1) = RIGHT($AJ32, 1)), N$10:N$135)</f>
        <v>6</v>
      </c>
      <c r="AP32" s="19" cm="1">
        <f t="array" ref="AP32">SUMPRODUCT(--(MID(AG$10:AG$135, SUMIF($Z$9:$Z$21, LEFT($AJ32,2), $Y$9:$Y$21), 1) = RIGHT($AJ32, 1)), O$10:O$135)</f>
        <v>20</v>
      </c>
      <c r="AR32" s="34" t="str">
        <f t="shared" si="30"/>
        <v>JJ-0</v>
      </c>
      <c r="AS32" s="30">
        <f t="shared" si="31"/>
        <v>62</v>
      </c>
      <c r="AT32" s="30">
        <f t="shared" si="32"/>
        <v>50</v>
      </c>
      <c r="AU32" s="30">
        <f t="shared" si="33"/>
        <v>31</v>
      </c>
      <c r="AV32" s="30">
        <f t="shared" si="34"/>
        <v>49</v>
      </c>
      <c r="AW32" s="30">
        <f t="shared" si="35"/>
        <v>30</v>
      </c>
      <c r="AX32" s="35">
        <f t="shared" si="36"/>
        <v>75</v>
      </c>
    </row>
    <row r="33" spans="2:50">
      <c r="B33" s="34">
        <f t="shared" si="14"/>
        <v>23</v>
      </c>
      <c r="C33" s="30" t="s">
        <v>137</v>
      </c>
      <c r="D33" s="30" t="s">
        <v>130</v>
      </c>
      <c r="E33" s="30" t="s">
        <v>131</v>
      </c>
      <c r="F33" s="30" t="s">
        <v>138</v>
      </c>
      <c r="G33" s="30" t="s">
        <v>136</v>
      </c>
      <c r="H33" s="35" t="s">
        <v>138</v>
      </c>
      <c r="J33" s="34">
        <f t="shared" si="3"/>
        <v>1</v>
      </c>
      <c r="K33" s="30">
        <f t="shared" si="4"/>
        <v>1</v>
      </c>
      <c r="L33" s="30">
        <f t="shared" si="5"/>
        <v>1</v>
      </c>
      <c r="M33" s="30">
        <f t="shared" si="6"/>
        <v>1</v>
      </c>
      <c r="N33" s="30">
        <f t="shared" si="7"/>
        <v>1</v>
      </c>
      <c r="O33" s="35">
        <f t="shared" si="8"/>
        <v>1</v>
      </c>
      <c r="Y33" s="21"/>
      <c r="Z33" s="21"/>
      <c r="AA33" s="21"/>
      <c r="AB33" s="40" t="str">
        <f t="shared" si="21"/>
        <v>0000011000000</v>
      </c>
      <c r="AC33" s="15" t="str">
        <f t="shared" si="22"/>
        <v>0001000010000</v>
      </c>
      <c r="AD33" s="15" t="str">
        <f t="shared" si="23"/>
        <v>0200000000000</v>
      </c>
      <c r="AE33" s="15" t="str">
        <f t="shared" si="24"/>
        <v>0000001000010</v>
      </c>
      <c r="AF33" s="15" t="str">
        <f t="shared" si="25"/>
        <v>1111211111110</v>
      </c>
      <c r="AG33" s="41" t="str">
        <f t="shared" si="26"/>
        <v>0001000000010</v>
      </c>
      <c r="AH33" s="15"/>
      <c r="AI33" s="21">
        <v>0</v>
      </c>
      <c r="AJ33" s="20" t="str">
        <f t="shared" si="37"/>
        <v>CC-0</v>
      </c>
      <c r="AK33" s="39" cm="1">
        <f t="array" ref="AK33">SUMPRODUCT(--(MID(AB$10:AB$135, SUMIF($Z$9:$Z$21, LEFT($AJ33,2), $Y$9:$Y$21), 1) = RIGHT($AJ33, 1)), J$10:J$135)</f>
        <v>65</v>
      </c>
      <c r="AL33" s="39" cm="1">
        <f t="array" ref="AL33">SUMPRODUCT(--(MID(AC$10:AC$135, SUMIF($Z$9:$Z$21, LEFT($AJ33,2), $Y$9:$Y$21), 1) = RIGHT($AJ33, 1)), K$10:K$135)</f>
        <v>46</v>
      </c>
      <c r="AM33" s="39" cm="1">
        <f t="array" ref="AM33">SUMPRODUCT(--(MID(AD$10:AD$135, SUMIF($Z$9:$Z$21, LEFT($AJ33,2), $Y$9:$Y$21), 1) = RIGHT($AJ33, 1)), L$10:L$135)</f>
        <v>28</v>
      </c>
      <c r="AN33" s="39" cm="1">
        <f t="array" ref="AN33">SUMPRODUCT(--(MID(AE$10:AE$135, SUMIF($Z$9:$Z$21, LEFT($AJ33,2), $Y$9:$Y$21), 1) = RIGHT($AJ33, 1)), M$10:M$135)</f>
        <v>40</v>
      </c>
      <c r="AO33" s="39" cm="1">
        <f t="array" ref="AO33">SUMPRODUCT(--(MID(AF$10:AF$135, SUMIF($Z$9:$Z$21, LEFT($AJ33,2), $Y$9:$Y$21), 1) = RIGHT($AJ33, 1)), N$10:N$135)</f>
        <v>29</v>
      </c>
      <c r="AP33" s="19" cm="1">
        <f t="array" ref="AP33">SUMPRODUCT(--(MID(AG$10:AG$135, SUMIF($Z$9:$Z$21, LEFT($AJ33,2), $Y$9:$Y$21), 1) = RIGHT($AJ33, 1)), O$10:O$135)</f>
        <v>60</v>
      </c>
      <c r="AR33" s="34" t="str">
        <f t="shared" si="30"/>
        <v>KK-0</v>
      </c>
      <c r="AS33" s="30">
        <f t="shared" si="31"/>
        <v>61</v>
      </c>
      <c r="AT33" s="30">
        <f t="shared" si="32"/>
        <v>44</v>
      </c>
      <c r="AU33" s="30">
        <f t="shared" si="33"/>
        <v>29</v>
      </c>
      <c r="AV33" s="30">
        <f t="shared" si="34"/>
        <v>50</v>
      </c>
      <c r="AW33" s="30">
        <f t="shared" si="35"/>
        <v>28</v>
      </c>
      <c r="AX33" s="35">
        <f t="shared" si="36"/>
        <v>67</v>
      </c>
    </row>
    <row r="34" spans="2:50">
      <c r="B34" s="34">
        <f t="shared" si="14"/>
        <v>24</v>
      </c>
      <c r="C34" s="30" t="s">
        <v>127</v>
      </c>
      <c r="D34" s="30" t="s">
        <v>134</v>
      </c>
      <c r="E34" s="30" t="s">
        <v>131</v>
      </c>
      <c r="F34" s="30" t="s">
        <v>129</v>
      </c>
      <c r="G34" s="30" t="s">
        <v>127</v>
      </c>
      <c r="H34" s="35" t="s">
        <v>132</v>
      </c>
      <c r="J34" s="34">
        <f t="shared" si="3"/>
        <v>1</v>
      </c>
      <c r="K34" s="30">
        <f t="shared" si="4"/>
        <v>1</v>
      </c>
      <c r="L34" s="30">
        <f t="shared" si="5"/>
        <v>1</v>
      </c>
      <c r="M34" s="30">
        <f t="shared" si="6"/>
        <v>1</v>
      </c>
      <c r="N34" s="30">
        <f t="shared" si="7"/>
        <v>1</v>
      </c>
      <c r="O34" s="35">
        <f t="shared" si="8"/>
        <v>1</v>
      </c>
      <c r="Y34" s="21"/>
      <c r="Z34" s="21"/>
      <c r="AA34" s="21"/>
      <c r="AB34" s="40" t="str">
        <f t="shared" si="21"/>
        <v>0010010000000</v>
      </c>
      <c r="AC34" s="15" t="str">
        <f t="shared" si="22"/>
        <v>0001000010000</v>
      </c>
      <c r="AD34" s="15" t="str">
        <f t="shared" si="23"/>
        <v>0200000000000</v>
      </c>
      <c r="AE34" s="15" t="str">
        <f t="shared" si="24"/>
        <v>0000000001010</v>
      </c>
      <c r="AF34" s="15" t="str">
        <f t="shared" si="25"/>
        <v>0010100000000</v>
      </c>
      <c r="AG34" s="41" t="str">
        <f t="shared" si="26"/>
        <v>0000000000110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30"/>
        <v>LL-0</v>
      </c>
      <c r="AS34" s="30">
        <f t="shared" si="31"/>
        <v>61</v>
      </c>
      <c r="AT34" s="30">
        <f t="shared" si="32"/>
        <v>43</v>
      </c>
      <c r="AU34" s="30">
        <f t="shared" si="33"/>
        <v>30</v>
      </c>
      <c r="AV34" s="30">
        <f t="shared" si="34"/>
        <v>43</v>
      </c>
      <c r="AW34" s="30">
        <f t="shared" si="35"/>
        <v>30</v>
      </c>
      <c r="AX34" s="35">
        <f t="shared" si="36"/>
        <v>71</v>
      </c>
    </row>
    <row r="35" spans="2:50">
      <c r="B35" s="34">
        <f t="shared" si="14"/>
        <v>25</v>
      </c>
      <c r="C35" s="30" t="s">
        <v>133</v>
      </c>
      <c r="D35" s="30" t="s">
        <v>134</v>
      </c>
      <c r="E35" s="30" t="s">
        <v>130</v>
      </c>
      <c r="F35" s="30" t="s">
        <v>129</v>
      </c>
      <c r="G35" s="30" t="s">
        <v>127</v>
      </c>
      <c r="H35" s="35" t="s">
        <v>136</v>
      </c>
      <c r="J35" s="34">
        <f t="shared" si="3"/>
        <v>1</v>
      </c>
      <c r="K35" s="30">
        <f t="shared" si="4"/>
        <v>1</v>
      </c>
      <c r="L35" s="30">
        <f t="shared" si="5"/>
        <v>1</v>
      </c>
      <c r="M35" s="30">
        <f t="shared" si="6"/>
        <v>1</v>
      </c>
      <c r="N35" s="30">
        <f t="shared" si="7"/>
        <v>1</v>
      </c>
      <c r="O35" s="35">
        <f t="shared" si="8"/>
        <v>1</v>
      </c>
      <c r="Y35" s="21"/>
      <c r="Z35" s="21"/>
      <c r="AA35" s="21"/>
      <c r="AB35" s="40" t="str">
        <f t="shared" si="21"/>
        <v>0010000100000</v>
      </c>
      <c r="AC35" s="15" t="str">
        <f t="shared" si="22"/>
        <v>0002000000000</v>
      </c>
      <c r="AD35" s="15" t="str">
        <f t="shared" si="23"/>
        <v>0100000010000</v>
      </c>
      <c r="AE35" s="15" t="str">
        <f t="shared" si="24"/>
        <v>0000000002000</v>
      </c>
      <c r="AF35" s="15" t="str">
        <f t="shared" si="25"/>
        <v>0020000000000</v>
      </c>
      <c r="AG35" s="41" t="str">
        <f t="shared" si="26"/>
        <v>0000100000100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30"/>
        <v>BN-0</v>
      </c>
      <c r="AS35" s="37">
        <f t="shared" si="31"/>
        <v>65</v>
      </c>
      <c r="AT35" s="37">
        <f t="shared" si="32"/>
        <v>60</v>
      </c>
      <c r="AU35" s="37">
        <f t="shared" si="33"/>
        <v>42</v>
      </c>
      <c r="AV35" s="37">
        <f t="shared" si="34"/>
        <v>57</v>
      </c>
      <c r="AW35" s="37">
        <f t="shared" si="35"/>
        <v>36</v>
      </c>
      <c r="AX35" s="38">
        <f t="shared" si="36"/>
        <v>79</v>
      </c>
    </row>
    <row r="36" spans="2:50">
      <c r="B36" s="34">
        <f t="shared" si="14"/>
        <v>26</v>
      </c>
      <c r="C36" s="30" t="s">
        <v>133</v>
      </c>
      <c r="D36" s="30" t="s">
        <v>134</v>
      </c>
      <c r="E36" s="30" t="s">
        <v>127</v>
      </c>
      <c r="F36" s="30" t="s">
        <v>129</v>
      </c>
      <c r="G36" s="30" t="s">
        <v>127</v>
      </c>
      <c r="H36" s="35" t="s">
        <v>136</v>
      </c>
      <c r="J36" s="34">
        <f t="shared" si="3"/>
        <v>1</v>
      </c>
      <c r="K36" s="30">
        <f t="shared" si="4"/>
        <v>1</v>
      </c>
      <c r="L36" s="30">
        <f t="shared" si="5"/>
        <v>1</v>
      </c>
      <c r="M36" s="30">
        <f t="shared" si="6"/>
        <v>1</v>
      </c>
      <c r="N36" s="30">
        <f t="shared" si="7"/>
        <v>1</v>
      </c>
      <c r="O36" s="35">
        <f t="shared" si="8"/>
        <v>1</v>
      </c>
      <c r="Y36" s="21"/>
      <c r="Z36" s="21"/>
      <c r="AA36" s="21"/>
      <c r="AB36" s="40" t="str">
        <f t="shared" si="21"/>
        <v>0000000200000</v>
      </c>
      <c r="AC36" s="15" t="str">
        <f t="shared" si="22"/>
        <v>0002000000000</v>
      </c>
      <c r="AD36" s="15" t="str">
        <f t="shared" si="23"/>
        <v>0010000010000</v>
      </c>
      <c r="AE36" s="15" t="str">
        <f t="shared" si="24"/>
        <v>0000000002000</v>
      </c>
      <c r="AF36" s="15" t="str">
        <f t="shared" si="25"/>
        <v>0020000000000</v>
      </c>
      <c r="AG36" s="41" t="str">
        <f t="shared" si="26"/>
        <v>0000200000000</v>
      </c>
      <c r="AH36" s="15"/>
      <c r="AI36" s="21">
        <v>5</v>
      </c>
      <c r="AJ36" s="20" t="str">
        <f t="shared" ref="AJ36:AJ41" si="3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14"/>
        <v>27</v>
      </c>
      <c r="C37" s="30" t="s">
        <v>133</v>
      </c>
      <c r="D37" s="30" t="s">
        <v>127</v>
      </c>
      <c r="E37" s="30" t="s">
        <v>127</v>
      </c>
      <c r="F37" s="30" t="s">
        <v>136</v>
      </c>
      <c r="G37" s="30" t="s">
        <v>131</v>
      </c>
      <c r="H37" s="35" t="s">
        <v>136</v>
      </c>
      <c r="J37" s="34">
        <f t="shared" si="3"/>
        <v>1</v>
      </c>
      <c r="K37" s="30">
        <f t="shared" si="4"/>
        <v>1</v>
      </c>
      <c r="L37" s="30">
        <f t="shared" si="5"/>
        <v>1</v>
      </c>
      <c r="M37" s="30">
        <f t="shared" si="6"/>
        <v>1</v>
      </c>
      <c r="N37" s="30">
        <f t="shared" si="7"/>
        <v>1</v>
      </c>
      <c r="O37" s="35">
        <f t="shared" si="8"/>
        <v>1</v>
      </c>
      <c r="Y37" s="21"/>
      <c r="Z37" s="21"/>
      <c r="AA37" s="21"/>
      <c r="AB37" s="40" t="str">
        <f t="shared" si="21"/>
        <v>0000000200000</v>
      </c>
      <c r="AC37" s="15" t="str">
        <f t="shared" si="22"/>
        <v>0011000000000</v>
      </c>
      <c r="AD37" s="15" t="str">
        <f t="shared" si="23"/>
        <v>0020000000000</v>
      </c>
      <c r="AE37" s="15" t="str">
        <f t="shared" si="24"/>
        <v>0000100001000</v>
      </c>
      <c r="AF37" s="15" t="str">
        <f t="shared" si="25"/>
        <v>0110000000000</v>
      </c>
      <c r="AG37" s="41" t="str">
        <f t="shared" si="26"/>
        <v>0000200000000</v>
      </c>
      <c r="AH37" s="15"/>
      <c r="AI37" s="21">
        <v>4</v>
      </c>
      <c r="AJ37" s="20" t="str">
        <f t="shared" si="3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14"/>
        <v>28</v>
      </c>
      <c r="C38" s="30" t="s">
        <v>133</v>
      </c>
      <c r="D38" s="30" t="s">
        <v>128</v>
      </c>
      <c r="E38" s="30" t="s">
        <v>127</v>
      </c>
      <c r="F38" s="30" t="s">
        <v>131</v>
      </c>
      <c r="G38" s="30" t="s">
        <v>138</v>
      </c>
      <c r="H38" s="35" t="s">
        <v>137</v>
      </c>
      <c r="J38" s="34">
        <f t="shared" si="3"/>
        <v>1</v>
      </c>
      <c r="K38" s="30">
        <f t="shared" si="4"/>
        <v>1</v>
      </c>
      <c r="L38" s="30">
        <f t="shared" si="5"/>
        <v>1</v>
      </c>
      <c r="M38" s="30">
        <f t="shared" si="6"/>
        <v>1</v>
      </c>
      <c r="N38" s="30">
        <f t="shared" si="7"/>
        <v>1</v>
      </c>
      <c r="O38" s="35">
        <f t="shared" si="8"/>
        <v>1</v>
      </c>
      <c r="Y38" s="21"/>
      <c r="Z38" s="21"/>
      <c r="AA38" s="21"/>
      <c r="AB38" s="40" t="str">
        <f t="shared" si="21"/>
        <v>0000000200000</v>
      </c>
      <c r="AC38" s="15" t="str">
        <f t="shared" si="22"/>
        <v>0010001000000</v>
      </c>
      <c r="AD38" s="15" t="str">
        <f t="shared" si="23"/>
        <v>0020000000000</v>
      </c>
      <c r="AE38" s="15" t="str">
        <f t="shared" si="24"/>
        <v>0100100000000</v>
      </c>
      <c r="AF38" s="15" t="str">
        <f t="shared" si="25"/>
        <v>0100000000010</v>
      </c>
      <c r="AG38" s="41" t="str">
        <f t="shared" si="26"/>
        <v>0000110000000</v>
      </c>
      <c r="AH38" s="15"/>
      <c r="AI38" s="21">
        <v>3</v>
      </c>
      <c r="AJ38" s="20" t="str">
        <f t="shared" si="3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14"/>
        <v>29</v>
      </c>
      <c r="C39" s="30" t="s">
        <v>138</v>
      </c>
      <c r="D39" s="30" t="s">
        <v>128</v>
      </c>
      <c r="E39" s="30" t="s">
        <v>129</v>
      </c>
      <c r="F39" s="30" t="s">
        <v>130</v>
      </c>
      <c r="G39" s="30" t="s">
        <v>138</v>
      </c>
      <c r="H39" s="35" t="s">
        <v>127</v>
      </c>
      <c r="J39" s="34">
        <f t="shared" si="3"/>
        <v>1</v>
      </c>
      <c r="K39" s="30">
        <f t="shared" si="4"/>
        <v>1</v>
      </c>
      <c r="L39" s="30">
        <f t="shared" si="5"/>
        <v>1</v>
      </c>
      <c r="M39" s="30">
        <f t="shared" si="6"/>
        <v>1</v>
      </c>
      <c r="N39" s="30">
        <f t="shared" si="7"/>
        <v>1</v>
      </c>
      <c r="O39" s="35">
        <f t="shared" si="8"/>
        <v>1</v>
      </c>
      <c r="Y39" s="21"/>
      <c r="Z39" s="21"/>
      <c r="AA39" s="21"/>
      <c r="AB39" s="40" t="str">
        <f t="shared" si="21"/>
        <v>0000000100010</v>
      </c>
      <c r="AC39" s="15" t="str">
        <f t="shared" si="22"/>
        <v>0000002000000</v>
      </c>
      <c r="AD39" s="15" t="str">
        <f t="shared" si="23"/>
        <v>0010000001000</v>
      </c>
      <c r="AE39" s="15" t="str">
        <f t="shared" si="24"/>
        <v>0100000010000</v>
      </c>
      <c r="AF39" s="15" t="str">
        <f t="shared" si="25"/>
        <v>0000000000020</v>
      </c>
      <c r="AG39" s="41" t="str">
        <f t="shared" si="26"/>
        <v>0010010000000</v>
      </c>
      <c r="AH39" s="15"/>
      <c r="AI39" s="21">
        <v>2</v>
      </c>
      <c r="AJ39" s="20" t="str">
        <f t="shared" si="3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1</v>
      </c>
      <c r="AM39" s="39" cm="1">
        <f t="array" ref="AM39">SUMPRODUCT(--(MID(AD$10:AD$135, SUMIF($Z$9:$Z$21, LEFT($AJ39,2), $Y$9:$Y$21), 1) = RIGHT($AJ39, 1)), L$10:L$135)</f>
        <v>2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1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14"/>
        <v>30</v>
      </c>
      <c r="C40" s="30" t="s">
        <v>131</v>
      </c>
      <c r="D40" s="30" t="s">
        <v>128</v>
      </c>
      <c r="E40" s="30" t="s">
        <v>134</v>
      </c>
      <c r="F40" s="30" t="s">
        <v>133</v>
      </c>
      <c r="G40" s="30" t="s">
        <v>138</v>
      </c>
      <c r="H40" s="35" t="s">
        <v>138</v>
      </c>
      <c r="J40" s="34">
        <f t="shared" si="3"/>
        <v>1</v>
      </c>
      <c r="K40" s="30">
        <f t="shared" si="4"/>
        <v>1</v>
      </c>
      <c r="L40" s="30">
        <f t="shared" si="5"/>
        <v>1</v>
      </c>
      <c r="M40" s="30">
        <f t="shared" si="6"/>
        <v>1</v>
      </c>
      <c r="N40" s="30">
        <f t="shared" si="7"/>
        <v>1</v>
      </c>
      <c r="O40" s="35">
        <f t="shared" si="8"/>
        <v>1</v>
      </c>
      <c r="Y40" s="21"/>
      <c r="Z40" s="21"/>
      <c r="AA40" s="21"/>
      <c r="AB40" s="40" t="str">
        <f t="shared" si="21"/>
        <v>0100000000010</v>
      </c>
      <c r="AC40" s="15" t="str">
        <f t="shared" si="22"/>
        <v>0000002000000</v>
      </c>
      <c r="AD40" s="15" t="str">
        <f t="shared" si="23"/>
        <v>0001000001000</v>
      </c>
      <c r="AE40" s="15" t="str">
        <f t="shared" si="24"/>
        <v>0000000110000</v>
      </c>
      <c r="AF40" s="15" t="str">
        <f t="shared" si="25"/>
        <v>0000000000020</v>
      </c>
      <c r="AG40" s="41" t="str">
        <f t="shared" si="26"/>
        <v>0010000000010</v>
      </c>
      <c r="AH40" s="15"/>
      <c r="AI40" s="21">
        <v>1</v>
      </c>
      <c r="AJ40" s="20" t="str">
        <f t="shared" si="38"/>
        <v>DD-1</v>
      </c>
      <c r="AK40" s="39" cm="1">
        <f t="array" ref="AK40">SUMPRODUCT(--(MID(AB$10:AB$135, SUMIF($Z$9:$Z$21, LEFT($AJ40,2), $Y$9:$Y$21), 1) = RIGHT($AJ40, 1)), J$10:J$135)</f>
        <v>14</v>
      </c>
      <c r="AL40" s="39" cm="1">
        <f t="array" ref="AL40">SUMPRODUCT(--(MID(AC$10:AC$135, SUMIF($Z$9:$Z$21, LEFT($AJ40,2), $Y$9:$Y$21), 1) = RIGHT($AJ40, 1)), K$10:K$135)</f>
        <v>6</v>
      </c>
      <c r="AM40" s="39" cm="1">
        <f t="array" ref="AM40">SUMPRODUCT(--(MID(AD$10:AD$135, SUMIF($Z$9:$Z$21, LEFT($AJ40,2), $Y$9:$Y$21), 1) = RIGHT($AJ40, 1)), L$10:L$135)</f>
        <v>6</v>
      </c>
      <c r="AN40" s="39" cm="1">
        <f t="array" ref="AN40">SUMPRODUCT(--(MID(AE$10:AE$135, SUMIF($Z$9:$Z$21, LEFT($AJ40,2), $Y$9:$Y$21), 1) = RIGHT($AJ40, 1)), M$10:M$135)</f>
        <v>4</v>
      </c>
      <c r="AO40" s="39" cm="1">
        <f t="array" ref="AO40">SUMPRODUCT(--(MID(AF$10:AF$135, SUMIF($Z$9:$Z$21, LEFT($AJ40,2), $Y$9:$Y$21), 1) = RIGHT($AJ40, 1)), N$10:N$135)</f>
        <v>2</v>
      </c>
      <c r="AP40" s="19" cm="1">
        <f t="array" ref="AP40">SUMPRODUCT(--(MID(AG$10:AG$135, SUMIF($Z$9:$Z$21, LEFT($AJ40,2), $Y$9:$Y$21), 1) = RIGHT($AJ40, 1)), O$10:O$135)</f>
        <v>16</v>
      </c>
    </row>
    <row r="41" spans="2:50">
      <c r="B41" s="34">
        <f t="shared" si="14"/>
        <v>31</v>
      </c>
      <c r="C41" s="30" t="s">
        <v>131</v>
      </c>
      <c r="D41" s="30" t="s">
        <v>132</v>
      </c>
      <c r="E41" s="30" t="s">
        <v>132</v>
      </c>
      <c r="F41" s="30" t="s">
        <v>131</v>
      </c>
      <c r="G41" s="30" t="s">
        <v>133</v>
      </c>
      <c r="H41" s="35" t="s">
        <v>138</v>
      </c>
      <c r="J41" s="34">
        <f t="shared" si="3"/>
        <v>1</v>
      </c>
      <c r="K41" s="30">
        <f t="shared" si="4"/>
        <v>1</v>
      </c>
      <c r="L41" s="30">
        <f t="shared" si="5"/>
        <v>1</v>
      </c>
      <c r="M41" s="30">
        <f t="shared" si="6"/>
        <v>1</v>
      </c>
      <c r="N41" s="30">
        <f t="shared" si="7"/>
        <v>1</v>
      </c>
      <c r="O41" s="35">
        <f t="shared" si="8"/>
        <v>1</v>
      </c>
      <c r="Y41" s="21"/>
      <c r="Z41" s="21"/>
      <c r="AA41" s="21"/>
      <c r="AB41" s="40" t="str">
        <f t="shared" si="21"/>
        <v>0200000000000</v>
      </c>
      <c r="AC41" s="15" t="str">
        <f t="shared" si="22"/>
        <v>0000001000100</v>
      </c>
      <c r="AD41" s="15" t="str">
        <f t="shared" si="23"/>
        <v>0001000000100</v>
      </c>
      <c r="AE41" s="15" t="str">
        <f t="shared" si="24"/>
        <v>0100000100000</v>
      </c>
      <c r="AF41" s="15" t="str">
        <f t="shared" si="25"/>
        <v>0000000100010</v>
      </c>
      <c r="AG41" s="41" t="str">
        <f t="shared" si="26"/>
        <v>0000000000020</v>
      </c>
      <c r="AH41" s="15"/>
      <c r="AI41" s="21">
        <v>0</v>
      </c>
      <c r="AJ41" s="20" t="str">
        <f t="shared" si="38"/>
        <v>DD-0</v>
      </c>
      <c r="AK41" s="39" cm="1">
        <f t="array" ref="AK41">SUMPRODUCT(--(MID(AB$10:AB$135, SUMIF($Z$9:$Z$21, LEFT($AJ41,2), $Y$9:$Y$21), 1) = RIGHT($AJ41, 1)), J$10:J$135)</f>
        <v>57</v>
      </c>
      <c r="AL41" s="39" cm="1">
        <f t="array" ref="AL41">SUMPRODUCT(--(MID(AC$10:AC$135, SUMIF($Z$9:$Z$21, LEFT($AJ41,2), $Y$9:$Y$21), 1) = RIGHT($AJ41, 1)), K$10:K$135)</f>
        <v>55</v>
      </c>
      <c r="AM41" s="39" cm="1">
        <f t="array" ref="AM41">SUMPRODUCT(--(MID(AD$10:AD$135, SUMIF($Z$9:$Z$21, LEFT($AJ41,2), $Y$9:$Y$21), 1) = RIGHT($AJ41, 1)), L$10:L$135)</f>
        <v>36</v>
      </c>
      <c r="AN41" s="39" cm="1">
        <f t="array" ref="AN41">SUMPRODUCT(--(MID(AE$10:AE$135, SUMIF($Z$9:$Z$21, LEFT($AJ41,2), $Y$9:$Y$21), 1) = RIGHT($AJ41, 1)), M$10:M$135)</f>
        <v>55</v>
      </c>
      <c r="AO41" s="39" cm="1">
        <f t="array" ref="AO41">SUMPRODUCT(--(MID(AF$10:AF$135, SUMIF($Z$9:$Z$21, LEFT($AJ41,2), $Y$9:$Y$21), 1) = RIGHT($AJ41, 1)), N$10:N$135)</f>
        <v>35</v>
      </c>
      <c r="AP41" s="19" cm="1">
        <f t="array" ref="AP41">SUMPRODUCT(--(MID(AG$10:AG$135, SUMIF($Z$9:$Z$21, LEFT($AJ41,2), $Y$9:$Y$21), 1) = RIGHT($AJ41, 1)), O$10:O$135)</f>
        <v>65</v>
      </c>
    </row>
    <row r="42" spans="2:50">
      <c r="B42" s="34">
        <f t="shared" si="14"/>
        <v>32</v>
      </c>
      <c r="C42" s="30" t="s">
        <v>131</v>
      </c>
      <c r="D42" s="30" t="s">
        <v>132</v>
      </c>
      <c r="E42" s="30" t="s">
        <v>126</v>
      </c>
      <c r="F42" s="30" t="s">
        <v>131</v>
      </c>
      <c r="G42" s="30" t="s">
        <v>133</v>
      </c>
      <c r="H42" s="35" t="s">
        <v>138</v>
      </c>
      <c r="J42" s="34">
        <f t="shared" si="3"/>
        <v>1</v>
      </c>
      <c r="K42" s="30">
        <f t="shared" si="4"/>
        <v>1</v>
      </c>
      <c r="L42" s="30">
        <f t="shared" si="5"/>
        <v>1</v>
      </c>
      <c r="M42" s="30">
        <f t="shared" si="6"/>
        <v>1</v>
      </c>
      <c r="N42" s="30">
        <f t="shared" si="7"/>
        <v>1</v>
      </c>
      <c r="O42" s="35">
        <f t="shared" si="8"/>
        <v>1</v>
      </c>
      <c r="Y42" s="21"/>
      <c r="Z42" s="21"/>
      <c r="AA42" s="21"/>
      <c r="AB42" s="40" t="str">
        <f t="shared" si="21"/>
        <v>0200000000000</v>
      </c>
      <c r="AC42" s="15" t="str">
        <f t="shared" si="22"/>
        <v>0000000000200</v>
      </c>
      <c r="AD42" s="15" t="str">
        <f t="shared" si="23"/>
        <v>1111111111210</v>
      </c>
      <c r="AE42" s="15" t="str">
        <f t="shared" si="24"/>
        <v>0200000000000</v>
      </c>
      <c r="AF42" s="15" t="str">
        <f t="shared" si="25"/>
        <v>0000000200000</v>
      </c>
      <c r="AG42" s="41" t="str">
        <f t="shared" si="26"/>
        <v>0000000000020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14"/>
        <v>33</v>
      </c>
      <c r="C43" s="30" t="s">
        <v>134</v>
      </c>
      <c r="D43" s="30" t="s">
        <v>132</v>
      </c>
      <c r="E43" s="30" t="s">
        <v>136</v>
      </c>
      <c r="F43" s="30" t="s">
        <v>131</v>
      </c>
      <c r="G43" s="30" t="s">
        <v>133</v>
      </c>
      <c r="H43" s="35" t="s">
        <v>133</v>
      </c>
      <c r="J43" s="34">
        <f t="shared" si="3"/>
        <v>1</v>
      </c>
      <c r="K43" s="30">
        <f t="shared" si="4"/>
        <v>1</v>
      </c>
      <c r="L43" s="30">
        <f t="shared" si="5"/>
        <v>1</v>
      </c>
      <c r="M43" s="30">
        <f t="shared" si="6"/>
        <v>1</v>
      </c>
      <c r="N43" s="30">
        <f t="shared" si="7"/>
        <v>1</v>
      </c>
      <c r="O43" s="35">
        <f t="shared" si="8"/>
        <v>1</v>
      </c>
      <c r="Y43" s="21"/>
      <c r="Z43" s="21"/>
      <c r="AA43" s="21"/>
      <c r="AB43" s="40" t="str">
        <f t="shared" si="21"/>
        <v>0101000000000</v>
      </c>
      <c r="AC43" s="15" t="str">
        <f t="shared" si="22"/>
        <v>0000000000200</v>
      </c>
      <c r="AD43" s="15" t="str">
        <f t="shared" si="23"/>
        <v>1111211111110</v>
      </c>
      <c r="AE43" s="15" t="str">
        <f t="shared" si="24"/>
        <v>0200000000000</v>
      </c>
      <c r="AF43" s="15" t="str">
        <f t="shared" si="25"/>
        <v>0000000200000</v>
      </c>
      <c r="AG43" s="41" t="str">
        <f t="shared" si="26"/>
        <v>0000000100010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14"/>
        <v>34</v>
      </c>
      <c r="C44" s="30" t="s">
        <v>134</v>
      </c>
      <c r="D44" s="30" t="s">
        <v>127</v>
      </c>
      <c r="E44" s="30" t="s">
        <v>126</v>
      </c>
      <c r="F44" s="30" t="s">
        <v>134</v>
      </c>
      <c r="G44" s="30" t="s">
        <v>132</v>
      </c>
      <c r="H44" s="35" t="s">
        <v>133</v>
      </c>
      <c r="J44" s="34">
        <f t="shared" si="3"/>
        <v>1</v>
      </c>
      <c r="K44" s="30">
        <f t="shared" si="4"/>
        <v>1</v>
      </c>
      <c r="L44" s="30">
        <f t="shared" si="5"/>
        <v>1</v>
      </c>
      <c r="M44" s="30">
        <f t="shared" si="6"/>
        <v>1</v>
      </c>
      <c r="N44" s="30">
        <f t="shared" si="7"/>
        <v>1</v>
      </c>
      <c r="O44" s="35">
        <f t="shared" si="8"/>
        <v>1</v>
      </c>
      <c r="Y44" s="21"/>
      <c r="Z44" s="21"/>
      <c r="AA44" s="21"/>
      <c r="AB44" s="40" t="str">
        <f t="shared" si="21"/>
        <v>0002000000000</v>
      </c>
      <c r="AC44" s="15" t="str">
        <f t="shared" si="22"/>
        <v>0010000000100</v>
      </c>
      <c r="AD44" s="15" t="str">
        <f t="shared" si="23"/>
        <v>1111211111110</v>
      </c>
      <c r="AE44" s="15" t="str">
        <f t="shared" si="24"/>
        <v>0101000000000</v>
      </c>
      <c r="AF44" s="15" t="str">
        <f t="shared" si="25"/>
        <v>0000000100100</v>
      </c>
      <c r="AG44" s="41" t="str">
        <f t="shared" si="26"/>
        <v>0000000200000</v>
      </c>
      <c r="AH44" s="15"/>
      <c r="AI44" s="21">
        <v>5</v>
      </c>
      <c r="AJ44" s="20" t="str">
        <f t="shared" ref="AJ44:AJ49" si="3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14"/>
        <v>35</v>
      </c>
      <c r="C45" s="30" t="s">
        <v>134</v>
      </c>
      <c r="D45" s="30" t="s">
        <v>127</v>
      </c>
      <c r="E45" s="30" t="s">
        <v>132</v>
      </c>
      <c r="F45" s="30" t="s">
        <v>138</v>
      </c>
      <c r="G45" s="30" t="s">
        <v>137</v>
      </c>
      <c r="H45" s="35" t="s">
        <v>133</v>
      </c>
      <c r="J45" s="34">
        <f t="shared" si="3"/>
        <v>1</v>
      </c>
      <c r="K45" s="30">
        <f t="shared" si="4"/>
        <v>1</v>
      </c>
      <c r="L45" s="30">
        <f t="shared" si="5"/>
        <v>1</v>
      </c>
      <c r="M45" s="30">
        <f t="shared" si="6"/>
        <v>1</v>
      </c>
      <c r="N45" s="30">
        <f t="shared" si="7"/>
        <v>1</v>
      </c>
      <c r="O45" s="35">
        <f t="shared" si="8"/>
        <v>1</v>
      </c>
      <c r="Y45" s="21"/>
      <c r="Z45" s="21"/>
      <c r="AA45" s="21"/>
      <c r="AB45" s="40" t="str">
        <f t="shared" si="21"/>
        <v>0002000000000</v>
      </c>
      <c r="AC45" s="15" t="str">
        <f t="shared" si="22"/>
        <v>0020000000000</v>
      </c>
      <c r="AD45" s="15" t="str">
        <f t="shared" si="23"/>
        <v>1111111111210</v>
      </c>
      <c r="AE45" s="15" t="str">
        <f t="shared" si="24"/>
        <v>0001000000010</v>
      </c>
      <c r="AF45" s="15" t="str">
        <f t="shared" si="25"/>
        <v>0000010000100</v>
      </c>
      <c r="AG45" s="41" t="str">
        <f t="shared" si="26"/>
        <v>0000000200000</v>
      </c>
      <c r="AH45" s="15"/>
      <c r="AI45" s="21">
        <v>4</v>
      </c>
      <c r="AJ45" s="20" t="str">
        <f t="shared" si="3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14"/>
        <v>36</v>
      </c>
      <c r="C46" s="30" t="s">
        <v>136</v>
      </c>
      <c r="D46" s="30" t="s">
        <v>127</v>
      </c>
      <c r="E46" s="30" t="s">
        <v>127</v>
      </c>
      <c r="F46" s="30" t="s">
        <v>133</v>
      </c>
      <c r="G46" s="30" t="s">
        <v>127</v>
      </c>
      <c r="H46" s="35" t="s">
        <v>127</v>
      </c>
      <c r="J46" s="34">
        <f t="shared" si="3"/>
        <v>1</v>
      </c>
      <c r="K46" s="30">
        <f t="shared" si="4"/>
        <v>1</v>
      </c>
      <c r="L46" s="30">
        <f t="shared" si="5"/>
        <v>1</v>
      </c>
      <c r="M46" s="30">
        <f t="shared" si="6"/>
        <v>1</v>
      </c>
      <c r="N46" s="30">
        <f t="shared" si="7"/>
        <v>1</v>
      </c>
      <c r="O46" s="35">
        <f t="shared" si="8"/>
        <v>1</v>
      </c>
      <c r="Y46" s="21"/>
      <c r="Z46" s="21"/>
      <c r="AA46" s="21"/>
      <c r="AB46" s="40" t="str">
        <f t="shared" si="21"/>
        <v>0001100000000</v>
      </c>
      <c r="AC46" s="15" t="str">
        <f t="shared" si="22"/>
        <v>0020000000000</v>
      </c>
      <c r="AD46" s="15" t="str">
        <f t="shared" si="23"/>
        <v>0010000000100</v>
      </c>
      <c r="AE46" s="15" t="str">
        <f t="shared" si="24"/>
        <v>0000000100010</v>
      </c>
      <c r="AF46" s="15" t="str">
        <f t="shared" si="25"/>
        <v>0010010000000</v>
      </c>
      <c r="AG46" s="41" t="str">
        <f t="shared" si="26"/>
        <v>0010000100000</v>
      </c>
      <c r="AH46" s="15"/>
      <c r="AI46" s="21">
        <v>3</v>
      </c>
      <c r="AJ46" s="20" t="str">
        <f t="shared" si="3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14"/>
        <v>37</v>
      </c>
      <c r="C47" s="30" t="s">
        <v>136</v>
      </c>
      <c r="D47" s="30" t="s">
        <v>131</v>
      </c>
      <c r="E47" s="30" t="s">
        <v>133</v>
      </c>
      <c r="F47" s="30" t="s">
        <v>129</v>
      </c>
      <c r="G47" s="30" t="s">
        <v>134</v>
      </c>
      <c r="H47" s="35" t="s">
        <v>127</v>
      </c>
      <c r="J47" s="34">
        <f t="shared" si="3"/>
        <v>1</v>
      </c>
      <c r="K47" s="30">
        <f t="shared" si="4"/>
        <v>1</v>
      </c>
      <c r="L47" s="30">
        <f t="shared" si="5"/>
        <v>1</v>
      </c>
      <c r="M47" s="30">
        <f t="shared" si="6"/>
        <v>1</v>
      </c>
      <c r="N47" s="30">
        <f t="shared" si="7"/>
        <v>1</v>
      </c>
      <c r="O47" s="35">
        <f t="shared" si="8"/>
        <v>1</v>
      </c>
      <c r="Y47" s="21"/>
      <c r="Z47" s="21"/>
      <c r="AA47" s="21"/>
      <c r="AB47" s="40" t="str">
        <f t="shared" si="21"/>
        <v>0000200000000</v>
      </c>
      <c r="AC47" s="15" t="str">
        <f t="shared" si="22"/>
        <v>0110000000000</v>
      </c>
      <c r="AD47" s="15" t="str">
        <f t="shared" si="23"/>
        <v>0010000100000</v>
      </c>
      <c r="AE47" s="15" t="str">
        <f t="shared" si="24"/>
        <v>0000000101000</v>
      </c>
      <c r="AF47" s="15" t="str">
        <f t="shared" si="25"/>
        <v>0011000000000</v>
      </c>
      <c r="AG47" s="41" t="str">
        <f t="shared" si="26"/>
        <v>0020000000000</v>
      </c>
      <c r="AH47" s="15"/>
      <c r="AI47" s="21">
        <v>2</v>
      </c>
      <c r="AJ47" s="20" t="str">
        <f t="shared" si="3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14"/>
        <v>38</v>
      </c>
      <c r="C48" s="30" t="s">
        <v>136</v>
      </c>
      <c r="D48" s="30" t="s">
        <v>133</v>
      </c>
      <c r="E48" s="30" t="s">
        <v>132</v>
      </c>
      <c r="F48" s="30" t="s">
        <v>133</v>
      </c>
      <c r="G48" s="30"/>
      <c r="H48" s="35" t="s">
        <v>127</v>
      </c>
      <c r="J48" s="34">
        <f t="shared" si="3"/>
        <v>1</v>
      </c>
      <c r="K48" s="30">
        <f t="shared" si="4"/>
        <v>1</v>
      </c>
      <c r="L48" s="30">
        <f t="shared" si="5"/>
        <v>1</v>
      </c>
      <c r="M48" s="30">
        <f t="shared" si="6"/>
        <v>1</v>
      </c>
      <c r="N48" s="30" t="str">
        <f t="shared" si="7"/>
        <v/>
      </c>
      <c r="O48" s="35">
        <f t="shared" si="8"/>
        <v>1</v>
      </c>
      <c r="Y48" s="21"/>
      <c r="Z48" s="21"/>
      <c r="AA48" s="15"/>
      <c r="AB48" s="40" t="str">
        <f t="shared" si="21"/>
        <v>0000200000000</v>
      </c>
      <c r="AC48" s="15" t="str">
        <f t="shared" si="22"/>
        <v>0100000100000</v>
      </c>
      <c r="AD48" s="15" t="str">
        <f t="shared" si="23"/>
        <v>0000000100100</v>
      </c>
      <c r="AE48" s="15" t="str">
        <f t="shared" si="24"/>
        <v>0000000101000</v>
      </c>
      <c r="AF48" s="15" t="str">
        <f t="shared" si="25"/>
        <v/>
      </c>
      <c r="AG48" s="41" t="str">
        <f t="shared" si="26"/>
        <v>0020000000000</v>
      </c>
      <c r="AH48" s="15"/>
      <c r="AI48" s="21">
        <v>1</v>
      </c>
      <c r="AJ48" s="20" t="str">
        <f t="shared" si="39"/>
        <v>EE-1</v>
      </c>
      <c r="AK48" s="39" cm="1">
        <f t="array" ref="AK48">SUMPRODUCT(--(MID(AB$10:AB$135, SUMIF($Z$9:$Z$21, LEFT($AJ48,2), $Y$9:$Y$21), 1) = RIGHT($AJ48, 1)), J$10:J$135)</f>
        <v>4</v>
      </c>
      <c r="AL48" s="39" cm="1">
        <f t="array" ref="AL48">SUMPRODUCT(--(MID(AC$10:AC$135, SUMIF($Z$9:$Z$21, LEFT($AJ48,2), $Y$9:$Y$21), 1) = RIGHT($AJ48, 1)), K$10:K$135)</f>
        <v>6</v>
      </c>
      <c r="AM48" s="39" cm="1">
        <f t="array" ref="AM48">SUMPRODUCT(--(MID(AD$10:AD$135, SUMIF($Z$9:$Z$21, LEFT($AJ48,2), $Y$9:$Y$21), 1) = RIGHT($AJ48, 1)), L$10:L$135)</f>
        <v>10</v>
      </c>
      <c r="AN48" s="39" cm="1">
        <f t="array" ref="AN48">SUMPRODUCT(--(MID(AE$10:AE$135, SUMIF($Z$9:$Z$21, LEFT($AJ48,2), $Y$9:$Y$21), 1) = RIGHT($AJ48, 1)), M$10:M$135)</f>
        <v>6</v>
      </c>
      <c r="AO48" s="39" cm="1">
        <f t="array" ref="AO48">SUMPRODUCT(--(MID(AF$10:AF$135, SUMIF($Z$9:$Z$21, LEFT($AJ48,2), $Y$9:$Y$21), 1) = RIGHT($AJ48, 1)), N$10:N$135)</f>
        <v>6</v>
      </c>
      <c r="AP48" s="19" cm="1">
        <f t="array" ref="AP48">SUMPRODUCT(--(MID(AG$10:AG$135, SUMIF($Z$9:$Z$21, LEFT($AJ48,2), $Y$9:$Y$21), 1) = RIGHT($AJ48, 1)), O$10:O$135)</f>
        <v>6</v>
      </c>
    </row>
    <row r="49" spans="2:42">
      <c r="B49" s="34">
        <f t="shared" si="14"/>
        <v>39</v>
      </c>
      <c r="C49" s="30" t="s">
        <v>137</v>
      </c>
      <c r="D49" s="30" t="s">
        <v>138</v>
      </c>
      <c r="E49" s="30" t="s">
        <v>126</v>
      </c>
      <c r="F49" s="30" t="s">
        <v>131</v>
      </c>
      <c r="G49" s="30"/>
      <c r="H49" s="35" t="s">
        <v>136</v>
      </c>
      <c r="J49" s="34">
        <f t="shared" si="3"/>
        <v>1</v>
      </c>
      <c r="K49" s="30">
        <f t="shared" si="4"/>
        <v>1</v>
      </c>
      <c r="L49" s="30">
        <f t="shared" si="5"/>
        <v>1</v>
      </c>
      <c r="M49" s="30">
        <f t="shared" si="6"/>
        <v>1</v>
      </c>
      <c r="N49" s="30" t="str">
        <f t="shared" si="7"/>
        <v/>
      </c>
      <c r="O49" s="35">
        <f t="shared" si="8"/>
        <v>1</v>
      </c>
      <c r="Y49" s="21"/>
      <c r="Z49" s="21"/>
      <c r="AA49" s="15"/>
      <c r="AB49" s="40" t="str">
        <f t="shared" si="21"/>
        <v>0000110000000</v>
      </c>
      <c r="AC49" s="15" t="str">
        <f t="shared" si="22"/>
        <v>0000000100010</v>
      </c>
      <c r="AD49" s="15" t="str">
        <f t="shared" si="23"/>
        <v>1111111111210</v>
      </c>
      <c r="AE49" s="15" t="str">
        <f t="shared" si="24"/>
        <v>0100000100000</v>
      </c>
      <c r="AF49" s="15" t="str">
        <f t="shared" si="25"/>
        <v/>
      </c>
      <c r="AG49" s="41" t="str">
        <f t="shared" si="26"/>
        <v>0010100000000</v>
      </c>
      <c r="AH49" s="15"/>
      <c r="AI49" s="21">
        <v>0</v>
      </c>
      <c r="AJ49" s="20" t="str">
        <f t="shared" si="39"/>
        <v>EE-0</v>
      </c>
      <c r="AK49" s="39" cm="1">
        <f t="array" ref="AK49">SUMPRODUCT(--(MID(AB$10:AB$135, SUMIF($Z$9:$Z$21, LEFT($AJ49,2), $Y$9:$Y$21), 1) = RIGHT($AJ49, 1)), J$10:J$135)</f>
        <v>69</v>
      </c>
      <c r="AL49" s="39" cm="1">
        <f t="array" ref="AL49">SUMPRODUCT(--(MID(AC$10:AC$135, SUMIF($Z$9:$Z$21, LEFT($AJ49,2), $Y$9:$Y$21), 1) = RIGHT($AJ49, 1)), K$10:K$135)</f>
        <v>56</v>
      </c>
      <c r="AM49" s="39" cm="1">
        <f t="array" ref="AM49">SUMPRODUCT(--(MID(AD$10:AD$135, SUMIF($Z$9:$Z$21, LEFT($AJ49,2), $Y$9:$Y$21), 1) = RIGHT($AJ49, 1)), L$10:L$135)</f>
        <v>34</v>
      </c>
      <c r="AN49" s="39" cm="1">
        <f t="array" ref="AN49">SUMPRODUCT(--(MID(AE$10:AE$135, SUMIF($Z$9:$Z$21, LEFT($AJ49,2), $Y$9:$Y$21), 1) = RIGHT($AJ49, 1)), M$10:M$135)</f>
        <v>53</v>
      </c>
      <c r="AO49" s="39" cm="1">
        <f t="array" ref="AO49">SUMPRODUCT(--(MID(AF$10:AF$135, SUMIF($Z$9:$Z$21, LEFT($AJ49,2), $Y$9:$Y$21), 1) = RIGHT($AJ49, 1)), N$10:N$135)</f>
        <v>32</v>
      </c>
      <c r="AP49" s="19" cm="1">
        <f t="array" ref="AP49">SUMPRODUCT(--(MID(AG$10:AG$135, SUMIF($Z$9:$Z$21, LEFT($AJ49,2), $Y$9:$Y$21), 1) = RIGHT($AJ49, 1)), O$10:O$135)</f>
        <v>77</v>
      </c>
    </row>
    <row r="50" spans="2:42">
      <c r="B50" s="34">
        <f t="shared" si="14"/>
        <v>40</v>
      </c>
      <c r="C50" s="30" t="s">
        <v>135</v>
      </c>
      <c r="D50" s="30" t="s">
        <v>132</v>
      </c>
      <c r="E50" s="30" t="s">
        <v>138</v>
      </c>
      <c r="F50" s="30" t="s">
        <v>133</v>
      </c>
      <c r="G50" s="30"/>
      <c r="H50" s="35" t="s">
        <v>132</v>
      </c>
      <c r="J50" s="34">
        <f t="shared" si="3"/>
        <v>1</v>
      </c>
      <c r="K50" s="30">
        <f t="shared" si="4"/>
        <v>1</v>
      </c>
      <c r="L50" s="30">
        <f t="shared" si="5"/>
        <v>1</v>
      </c>
      <c r="M50" s="30">
        <f t="shared" si="6"/>
        <v>1</v>
      </c>
      <c r="N50" s="30" t="str">
        <f t="shared" si="7"/>
        <v/>
      </c>
      <c r="O50" s="35">
        <f t="shared" si="8"/>
        <v>1</v>
      </c>
      <c r="Y50" s="21"/>
      <c r="Z50" s="21"/>
      <c r="AA50" s="15"/>
      <c r="AB50" s="40" t="str">
        <f t="shared" si="21"/>
        <v>0000010000001</v>
      </c>
      <c r="AC50" s="15" t="str">
        <f t="shared" si="22"/>
        <v>0000000000110</v>
      </c>
      <c r="AD50" s="15" t="str">
        <f t="shared" si="23"/>
        <v>1111111111120</v>
      </c>
      <c r="AE50" s="15" t="str">
        <f t="shared" si="24"/>
        <v>0100000100000</v>
      </c>
      <c r="AF50" s="15" t="str">
        <f t="shared" si="25"/>
        <v/>
      </c>
      <c r="AG50" s="41" t="str">
        <f t="shared" si="26"/>
        <v>0000100000100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14"/>
        <v>41</v>
      </c>
      <c r="C51" s="30" t="s">
        <v>128</v>
      </c>
      <c r="D51" s="30" t="s">
        <v>127</v>
      </c>
      <c r="E51" s="30" t="s">
        <v>134</v>
      </c>
      <c r="F51" s="30" t="s">
        <v>132</v>
      </c>
      <c r="G51" s="30"/>
      <c r="H51" s="35" t="s">
        <v>134</v>
      </c>
      <c r="J51" s="34">
        <f t="shared" si="3"/>
        <v>1</v>
      </c>
      <c r="K51" s="30">
        <f t="shared" si="4"/>
        <v>1</v>
      </c>
      <c r="L51" s="30">
        <f t="shared" si="5"/>
        <v>1</v>
      </c>
      <c r="M51" s="30">
        <f t="shared" si="6"/>
        <v>1</v>
      </c>
      <c r="N51" s="30" t="str">
        <f t="shared" si="7"/>
        <v/>
      </c>
      <c r="O51" s="35">
        <f t="shared" si="8"/>
        <v>1</v>
      </c>
      <c r="Y51" s="21"/>
      <c r="Z51" s="21"/>
      <c r="AA51" s="15"/>
      <c r="AB51" s="40" t="str">
        <f t="shared" si="21"/>
        <v>0000001000001</v>
      </c>
      <c r="AC51" s="15" t="str">
        <f t="shared" si="22"/>
        <v>0010000000100</v>
      </c>
      <c r="AD51" s="15" t="str">
        <f t="shared" si="23"/>
        <v>0001000000010</v>
      </c>
      <c r="AE51" s="15" t="str">
        <f t="shared" si="24"/>
        <v>0000000100100</v>
      </c>
      <c r="AF51" s="15" t="str">
        <f t="shared" si="25"/>
        <v/>
      </c>
      <c r="AG51" s="41" t="str">
        <f t="shared" si="26"/>
        <v>0001000000100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14"/>
        <v>42</v>
      </c>
      <c r="C52" s="30" t="s">
        <v>138</v>
      </c>
      <c r="D52" s="30" t="s">
        <v>129</v>
      </c>
      <c r="E52" s="30" t="s">
        <v>131</v>
      </c>
      <c r="F52" s="30" t="s">
        <v>133</v>
      </c>
      <c r="G52" s="30"/>
      <c r="H52" s="35" t="s">
        <v>127</v>
      </c>
      <c r="J52" s="34">
        <f t="shared" si="3"/>
        <v>1</v>
      </c>
      <c r="K52" s="30">
        <f t="shared" si="4"/>
        <v>1</v>
      </c>
      <c r="L52" s="30">
        <f t="shared" si="5"/>
        <v>1</v>
      </c>
      <c r="M52" s="30">
        <f t="shared" si="6"/>
        <v>1</v>
      </c>
      <c r="N52" s="30" t="str">
        <f t="shared" si="7"/>
        <v/>
      </c>
      <c r="O52" s="35">
        <f t="shared" si="8"/>
        <v>1</v>
      </c>
      <c r="Y52" s="21"/>
      <c r="Z52" s="21"/>
      <c r="AA52" s="15"/>
      <c r="AB52" s="40" t="str">
        <f t="shared" si="21"/>
        <v>0000001000010</v>
      </c>
      <c r="AC52" s="15" t="str">
        <f t="shared" si="22"/>
        <v>0010000001000</v>
      </c>
      <c r="AD52" s="15" t="str">
        <f t="shared" si="23"/>
        <v>0101000000000</v>
      </c>
      <c r="AE52" s="15" t="str">
        <f t="shared" si="24"/>
        <v>0000000100100</v>
      </c>
      <c r="AF52" s="15" t="str">
        <f t="shared" si="25"/>
        <v/>
      </c>
      <c r="AG52" s="41" t="str">
        <f t="shared" si="26"/>
        <v>0011000000000</v>
      </c>
      <c r="AH52" s="15"/>
      <c r="AI52" s="21">
        <v>5</v>
      </c>
      <c r="AJ52" s="20" t="str">
        <f t="shared" ref="AJ52:AJ57" si="4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14"/>
        <v>43</v>
      </c>
      <c r="C53" s="30" t="s">
        <v>136</v>
      </c>
      <c r="D53" s="30" t="s">
        <v>131</v>
      </c>
      <c r="E53" s="30" t="s">
        <v>126</v>
      </c>
      <c r="F53" s="30" t="s">
        <v>134</v>
      </c>
      <c r="G53" s="30"/>
      <c r="H53" s="35" t="s">
        <v>128</v>
      </c>
      <c r="J53" s="34">
        <f t="shared" si="3"/>
        <v>1</v>
      </c>
      <c r="K53" s="30">
        <f t="shared" si="4"/>
        <v>1</v>
      </c>
      <c r="L53" s="30">
        <f t="shared" si="5"/>
        <v>1</v>
      </c>
      <c r="M53" s="30">
        <f t="shared" si="6"/>
        <v>1</v>
      </c>
      <c r="N53" s="30" t="str">
        <f t="shared" si="7"/>
        <v/>
      </c>
      <c r="O53" s="35">
        <f t="shared" si="8"/>
        <v>1</v>
      </c>
      <c r="Y53" s="21"/>
      <c r="Z53" s="21"/>
      <c r="AA53" s="15"/>
      <c r="AB53" s="40" t="str">
        <f t="shared" si="21"/>
        <v>0000100000010</v>
      </c>
      <c r="AC53" s="15" t="str">
        <f t="shared" si="22"/>
        <v>0100000001000</v>
      </c>
      <c r="AD53" s="15" t="str">
        <f t="shared" si="23"/>
        <v>1211111111110</v>
      </c>
      <c r="AE53" s="15" t="str">
        <f t="shared" si="24"/>
        <v>0001000100000</v>
      </c>
      <c r="AF53" s="15" t="str">
        <f t="shared" si="25"/>
        <v/>
      </c>
      <c r="AG53" s="41" t="str">
        <f t="shared" si="26"/>
        <v>0010001000000</v>
      </c>
      <c r="AH53" s="15"/>
      <c r="AI53" s="21">
        <v>4</v>
      </c>
      <c r="AJ53" s="20" t="str">
        <f t="shared" si="4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14"/>
        <v>44</v>
      </c>
      <c r="C54" s="30" t="s">
        <v>128</v>
      </c>
      <c r="D54" s="30" t="s">
        <v>138</v>
      </c>
      <c r="E54" s="30"/>
      <c r="F54" s="30" t="s">
        <v>138</v>
      </c>
      <c r="G54" s="30"/>
      <c r="H54" s="35" t="s">
        <v>134</v>
      </c>
      <c r="J54" s="34">
        <f t="shared" si="3"/>
        <v>1</v>
      </c>
      <c r="K54" s="30">
        <f t="shared" si="4"/>
        <v>1</v>
      </c>
      <c r="L54" s="30" t="str">
        <f t="shared" si="5"/>
        <v/>
      </c>
      <c r="M54" s="30">
        <f t="shared" si="6"/>
        <v>1</v>
      </c>
      <c r="N54" s="30" t="str">
        <f t="shared" si="7"/>
        <v/>
      </c>
      <c r="O54" s="35">
        <f t="shared" si="8"/>
        <v>1</v>
      </c>
      <c r="Y54" s="21"/>
      <c r="Z54" s="21"/>
      <c r="AA54" s="15"/>
      <c r="AB54" s="40" t="str">
        <f t="shared" si="21"/>
        <v>0000101000000</v>
      </c>
      <c r="AC54" s="15" t="str">
        <f t="shared" si="22"/>
        <v>0100000000010</v>
      </c>
      <c r="AD54" s="15" t="str">
        <f t="shared" si="23"/>
        <v/>
      </c>
      <c r="AE54" s="15" t="str">
        <f t="shared" si="24"/>
        <v>0001000000010</v>
      </c>
      <c r="AF54" s="15" t="str">
        <f t="shared" si="25"/>
        <v/>
      </c>
      <c r="AG54" s="41" t="str">
        <f t="shared" si="26"/>
        <v>0001001000000</v>
      </c>
      <c r="AH54" s="15"/>
      <c r="AI54" s="21">
        <v>3</v>
      </c>
      <c r="AJ54" s="20" t="str">
        <f t="shared" si="4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14"/>
        <v>45</v>
      </c>
      <c r="C55" s="30" t="s">
        <v>132</v>
      </c>
      <c r="D55" s="30" t="s">
        <v>132</v>
      </c>
      <c r="E55" s="30"/>
      <c r="F55" s="30" t="s">
        <v>134</v>
      </c>
      <c r="G55" s="30"/>
      <c r="H55" s="35" t="s">
        <v>132</v>
      </c>
      <c r="J55" s="34">
        <f t="shared" si="3"/>
        <v>1</v>
      </c>
      <c r="K55" s="30">
        <f t="shared" si="4"/>
        <v>1</v>
      </c>
      <c r="L55" s="30" t="str">
        <f t="shared" si="5"/>
        <v/>
      </c>
      <c r="M55" s="30">
        <f t="shared" si="6"/>
        <v>1</v>
      </c>
      <c r="N55" s="30" t="str">
        <f t="shared" si="7"/>
        <v/>
      </c>
      <c r="O55" s="35">
        <f t="shared" si="8"/>
        <v>1</v>
      </c>
      <c r="Y55" s="21"/>
      <c r="Z55" s="21"/>
      <c r="AA55" s="15"/>
      <c r="AB55" s="40" t="str">
        <f t="shared" si="21"/>
        <v>0000001000100</v>
      </c>
      <c r="AC55" s="15" t="str">
        <f t="shared" si="22"/>
        <v>0000000000110</v>
      </c>
      <c r="AD55" s="15" t="str">
        <f t="shared" si="23"/>
        <v/>
      </c>
      <c r="AE55" s="15" t="str">
        <f t="shared" si="24"/>
        <v>0001000000010</v>
      </c>
      <c r="AF55" s="15" t="str">
        <f t="shared" si="25"/>
        <v/>
      </c>
      <c r="AG55" s="41" t="str">
        <f t="shared" si="26"/>
        <v>0001000000100</v>
      </c>
      <c r="AH55" s="15"/>
      <c r="AI55" s="21">
        <v>2</v>
      </c>
      <c r="AJ55" s="20" t="str">
        <f t="shared" si="4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0</v>
      </c>
      <c r="AN55" s="39" cm="1">
        <f t="array" ref="AN55">SUMPRODUCT(--(MID(AE$10:AE$135, SUMIF($Z$9:$Z$21, LEFT($AJ55,2), $Y$9:$Y$21), 1) = RIGHT($AJ55, 1)), M$10:M$135)</f>
        <v>1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14"/>
        <v>46</v>
      </c>
      <c r="C56" s="30" t="s">
        <v>136</v>
      </c>
      <c r="D56" s="30" t="s">
        <v>127</v>
      </c>
      <c r="E56" s="30"/>
      <c r="F56" s="30" t="s">
        <v>137</v>
      </c>
      <c r="G56" s="30"/>
      <c r="H56" s="35" t="s">
        <v>136</v>
      </c>
      <c r="J56" s="34">
        <f t="shared" si="3"/>
        <v>1</v>
      </c>
      <c r="K56" s="30">
        <f t="shared" si="4"/>
        <v>1</v>
      </c>
      <c r="L56" s="30" t="str">
        <f t="shared" si="5"/>
        <v/>
      </c>
      <c r="M56" s="30">
        <f t="shared" si="6"/>
        <v>1</v>
      </c>
      <c r="N56" s="30" t="str">
        <f t="shared" si="7"/>
        <v/>
      </c>
      <c r="O56" s="35">
        <f t="shared" si="8"/>
        <v>1</v>
      </c>
      <c r="Y56" s="21"/>
      <c r="Z56" s="21"/>
      <c r="AA56" s="15"/>
      <c r="AB56" s="40" t="str">
        <f t="shared" si="21"/>
        <v>0000100000100</v>
      </c>
      <c r="AC56" s="15" t="str">
        <f t="shared" si="22"/>
        <v>0010000000100</v>
      </c>
      <c r="AD56" s="15" t="str">
        <f t="shared" si="23"/>
        <v/>
      </c>
      <c r="AE56" s="15" t="str">
        <f t="shared" si="24"/>
        <v>0001010000000</v>
      </c>
      <c r="AF56" s="15" t="str">
        <f t="shared" si="25"/>
        <v/>
      </c>
      <c r="AG56" s="41" t="str">
        <f t="shared" si="26"/>
        <v>0000100000100</v>
      </c>
      <c r="AH56" s="15"/>
      <c r="AI56" s="21">
        <v>1</v>
      </c>
      <c r="AJ56" s="20" t="str">
        <f t="shared" si="40"/>
        <v>FF-1</v>
      </c>
      <c r="AK56" s="39" cm="1">
        <f t="array" ref="AK56">SUMPRODUCT(--(MID(AB$10:AB$135, SUMIF($Z$9:$Z$21, LEFT($AJ56,2), $Y$9:$Y$21), 1) = RIGHT($AJ56, 1)), J$10:J$135)</f>
        <v>18</v>
      </c>
      <c r="AL56" s="39" cm="1">
        <f t="array" ref="AL56">SUMPRODUCT(--(MID(AC$10:AC$135, SUMIF($Z$9:$Z$21, LEFT($AJ56,2), $Y$9:$Y$21), 1) = RIGHT($AJ56, 1)), K$10:K$135)</f>
        <v>8</v>
      </c>
      <c r="AM56" s="39" cm="1">
        <f t="array" ref="AM56">SUMPRODUCT(--(MID(AD$10:AD$135, SUMIF($Z$9:$Z$21, LEFT($AJ56,2), $Y$9:$Y$21), 1) = RIGHT($AJ56, 1)), L$10:L$135)</f>
        <v>10</v>
      </c>
      <c r="AN56" s="39" cm="1">
        <f t="array" ref="AN56">SUMPRODUCT(--(MID(AE$10:AE$135, SUMIF($Z$9:$Z$21, LEFT($AJ56,2), $Y$9:$Y$21), 1) = RIGHT($AJ56, 1)), M$10:M$135)</f>
        <v>2</v>
      </c>
      <c r="AO56" s="39" cm="1">
        <f t="array" ref="AO56">SUMPRODUCT(--(MID(AF$10:AF$135, SUMIF($Z$9:$Z$21, LEFT($AJ56,2), $Y$9:$Y$21), 1) = RIGHT($AJ56, 1)), N$10:N$135)</f>
        <v>4</v>
      </c>
      <c r="AP56" s="19" cm="1">
        <f t="array" ref="AP56">SUMPRODUCT(--(MID(AG$10:AG$135, SUMIF($Z$9:$Z$21, LEFT($AJ56,2), $Y$9:$Y$21), 1) = RIGHT($AJ56, 1)), O$10:O$135)</f>
        <v>16</v>
      </c>
    </row>
    <row r="57" spans="2:42">
      <c r="B57" s="34">
        <f t="shared" si="14"/>
        <v>47</v>
      </c>
      <c r="C57" s="30" t="s">
        <v>133</v>
      </c>
      <c r="D57" s="30" t="s">
        <v>126</v>
      </c>
      <c r="E57" s="30"/>
      <c r="F57" s="30" t="s">
        <v>133</v>
      </c>
      <c r="G57" s="30"/>
      <c r="H57" s="35" t="s">
        <v>134</v>
      </c>
      <c r="J57" s="34">
        <f t="shared" si="3"/>
        <v>1</v>
      </c>
      <c r="K57" s="30">
        <f t="shared" si="4"/>
        <v>1</v>
      </c>
      <c r="L57" s="30" t="str">
        <f t="shared" si="5"/>
        <v/>
      </c>
      <c r="M57" s="30">
        <f t="shared" si="6"/>
        <v>1</v>
      </c>
      <c r="N57" s="30" t="str">
        <f t="shared" si="7"/>
        <v/>
      </c>
      <c r="O57" s="35">
        <f t="shared" si="8"/>
        <v>1</v>
      </c>
      <c r="Y57" s="21"/>
      <c r="Z57" s="21"/>
      <c r="AA57" s="15"/>
      <c r="AB57" s="40" t="str">
        <f t="shared" si="21"/>
        <v>0000100100000</v>
      </c>
      <c r="AC57" s="15" t="str">
        <f t="shared" si="22"/>
        <v>1121111111110</v>
      </c>
      <c r="AD57" s="15" t="str">
        <f t="shared" si="23"/>
        <v/>
      </c>
      <c r="AE57" s="15" t="str">
        <f t="shared" si="24"/>
        <v>0000010100000</v>
      </c>
      <c r="AF57" s="15" t="str">
        <f t="shared" si="25"/>
        <v/>
      </c>
      <c r="AG57" s="41" t="str">
        <f t="shared" si="26"/>
        <v>0001100000000</v>
      </c>
      <c r="AH57" s="15"/>
      <c r="AI57" s="21">
        <v>0</v>
      </c>
      <c r="AJ57" s="20" t="str">
        <f t="shared" si="40"/>
        <v>FF-0</v>
      </c>
      <c r="AK57" s="39" cm="1">
        <f t="array" ref="AK57">SUMPRODUCT(--(MID(AB$10:AB$135, SUMIF($Z$9:$Z$21, LEFT($AJ57,2), $Y$9:$Y$21), 1) = RIGHT($AJ57, 1)), J$10:J$135)</f>
        <v>53</v>
      </c>
      <c r="AL57" s="39" cm="1">
        <f t="array" ref="AL57">SUMPRODUCT(--(MID(AC$10:AC$135, SUMIF($Z$9:$Z$21, LEFT($AJ57,2), $Y$9:$Y$21), 1) = RIGHT($AJ57, 1)), K$10:K$135)</f>
        <v>52</v>
      </c>
      <c r="AM57" s="39" cm="1">
        <f t="array" ref="AM57">SUMPRODUCT(--(MID(AD$10:AD$135, SUMIF($Z$9:$Z$21, LEFT($AJ57,2), $Y$9:$Y$21), 1) = RIGHT($AJ57, 1)), L$10:L$135)</f>
        <v>34</v>
      </c>
      <c r="AN57" s="39" cm="1">
        <f t="array" ref="AN57">SUMPRODUCT(--(MID(AE$10:AE$135, SUMIF($Z$9:$Z$21, LEFT($AJ57,2), $Y$9:$Y$21), 1) = RIGHT($AJ57, 1)), M$10:M$135)</f>
        <v>56</v>
      </c>
      <c r="AO57" s="39" cm="1">
        <f t="array" ref="AO57">SUMPRODUCT(--(MID(AF$10:AF$135, SUMIF($Z$9:$Z$21, LEFT($AJ57,2), $Y$9:$Y$21), 1) = RIGHT($AJ57, 1)), N$10:N$135)</f>
        <v>34</v>
      </c>
      <c r="AP57" s="19" cm="1">
        <f t="array" ref="AP57">SUMPRODUCT(--(MID(AG$10:AG$135, SUMIF($Z$9:$Z$21, LEFT($AJ57,2), $Y$9:$Y$21), 1) = RIGHT($AJ57, 1)), O$10:O$135)</f>
        <v>65</v>
      </c>
    </row>
    <row r="58" spans="2:42">
      <c r="B58" s="34">
        <f t="shared" si="14"/>
        <v>48</v>
      </c>
      <c r="C58" s="30" t="s">
        <v>131</v>
      </c>
      <c r="D58" s="30" t="s">
        <v>133</v>
      </c>
      <c r="E58" s="30"/>
      <c r="F58" s="30" t="s">
        <v>131</v>
      </c>
      <c r="G58" s="30"/>
      <c r="H58" s="35" t="s">
        <v>127</v>
      </c>
      <c r="J58" s="34">
        <f t="shared" si="3"/>
        <v>1</v>
      </c>
      <c r="K58" s="30">
        <f t="shared" si="4"/>
        <v>1</v>
      </c>
      <c r="L58" s="30" t="str">
        <f t="shared" si="5"/>
        <v/>
      </c>
      <c r="M58" s="30">
        <f t="shared" si="6"/>
        <v>1</v>
      </c>
      <c r="N58" s="30" t="str">
        <f t="shared" si="7"/>
        <v/>
      </c>
      <c r="O58" s="35">
        <f t="shared" si="8"/>
        <v>1</v>
      </c>
      <c r="Y58" s="21"/>
      <c r="Z58" s="21"/>
      <c r="AA58" s="15"/>
      <c r="AB58" s="40" t="str">
        <f t="shared" si="21"/>
        <v>0100000100000</v>
      </c>
      <c r="AC58" s="15" t="str">
        <f t="shared" si="22"/>
        <v>1111111211110</v>
      </c>
      <c r="AD58" s="15" t="str">
        <f t="shared" si="23"/>
        <v/>
      </c>
      <c r="AE58" s="15" t="str">
        <f t="shared" si="24"/>
        <v>0100000100000</v>
      </c>
      <c r="AF58" s="15" t="str">
        <f t="shared" si="25"/>
        <v/>
      </c>
      <c r="AG58" s="41" t="str">
        <f t="shared" si="26"/>
        <v>0011000000000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14"/>
        <v>49</v>
      </c>
      <c r="C59" s="30" t="s">
        <v>128</v>
      </c>
      <c r="D59" s="30" t="s">
        <v>134</v>
      </c>
      <c r="E59" s="30"/>
      <c r="F59" s="30" t="s">
        <v>134</v>
      </c>
      <c r="G59" s="30"/>
      <c r="H59" s="35" t="s">
        <v>134</v>
      </c>
      <c r="J59" s="34">
        <f t="shared" si="3"/>
        <v>1</v>
      </c>
      <c r="K59" s="30">
        <f t="shared" si="4"/>
        <v>1</v>
      </c>
      <c r="L59" s="30" t="str">
        <f t="shared" si="5"/>
        <v/>
      </c>
      <c r="M59" s="30">
        <f t="shared" si="6"/>
        <v>1</v>
      </c>
      <c r="N59" s="30" t="str">
        <f t="shared" si="7"/>
        <v/>
      </c>
      <c r="O59" s="35">
        <f t="shared" si="8"/>
        <v>1</v>
      </c>
      <c r="Y59" s="21"/>
      <c r="Z59" s="21"/>
      <c r="AA59" s="15"/>
      <c r="AB59" s="40" t="str">
        <f t="shared" si="21"/>
        <v>0100001000000</v>
      </c>
      <c r="AC59" s="15" t="str">
        <f t="shared" si="22"/>
        <v>0001000100000</v>
      </c>
      <c r="AD59" s="15" t="str">
        <f t="shared" si="23"/>
        <v/>
      </c>
      <c r="AE59" s="15" t="str">
        <f t="shared" si="24"/>
        <v>0101000000000</v>
      </c>
      <c r="AF59" s="15" t="str">
        <f t="shared" si="25"/>
        <v/>
      </c>
      <c r="AG59" s="41" t="str">
        <f t="shared" si="26"/>
        <v>0011000000000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14"/>
        <v>50</v>
      </c>
      <c r="C60" s="30" t="s">
        <v>133</v>
      </c>
      <c r="D60" s="30" t="s">
        <v>132</v>
      </c>
      <c r="E60" s="30"/>
      <c r="F60" s="30" t="s">
        <v>131</v>
      </c>
      <c r="G60" s="30"/>
      <c r="H60" s="35" t="s">
        <v>127</v>
      </c>
      <c r="J60" s="34">
        <f t="shared" si="3"/>
        <v>1</v>
      </c>
      <c r="K60" s="30">
        <f t="shared" si="4"/>
        <v>1</v>
      </c>
      <c r="L60" s="30" t="str">
        <f t="shared" si="5"/>
        <v/>
      </c>
      <c r="M60" s="30">
        <f t="shared" si="6"/>
        <v>1</v>
      </c>
      <c r="N60" s="30" t="str">
        <f t="shared" si="7"/>
        <v/>
      </c>
      <c r="O60" s="35">
        <f t="shared" si="8"/>
        <v>1</v>
      </c>
      <c r="AA60" s="15"/>
      <c r="AB60" s="40" t="str">
        <f t="shared" si="21"/>
        <v>0000001100000</v>
      </c>
      <c r="AC60" s="15" t="str">
        <f t="shared" si="22"/>
        <v>0001000000100</v>
      </c>
      <c r="AD60" s="15" t="str">
        <f t="shared" si="23"/>
        <v/>
      </c>
      <c r="AE60" s="15" t="str">
        <f t="shared" si="24"/>
        <v>0101000000000</v>
      </c>
      <c r="AF60" s="15" t="str">
        <f t="shared" si="25"/>
        <v/>
      </c>
      <c r="AG60" s="41" t="str">
        <f t="shared" si="26"/>
        <v>0011000000000</v>
      </c>
      <c r="AH60" s="15"/>
      <c r="AI60" s="21">
        <v>5</v>
      </c>
      <c r="AJ60" s="20" t="str">
        <f t="shared" ref="AJ60:AJ65" si="41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14"/>
        <v>51</v>
      </c>
      <c r="C61" s="30" t="s">
        <v>131</v>
      </c>
      <c r="D61" s="30" t="s">
        <v>133</v>
      </c>
      <c r="E61" s="30"/>
      <c r="F61" s="30" t="s">
        <v>134</v>
      </c>
      <c r="G61" s="30"/>
      <c r="H61" s="35" t="s">
        <v>136</v>
      </c>
      <c r="J61" s="34">
        <f t="shared" si="3"/>
        <v>1</v>
      </c>
      <c r="K61" s="30">
        <f t="shared" si="4"/>
        <v>1</v>
      </c>
      <c r="L61" s="30" t="str">
        <f t="shared" si="5"/>
        <v/>
      </c>
      <c r="M61" s="30">
        <f t="shared" si="6"/>
        <v>1</v>
      </c>
      <c r="N61" s="30" t="str">
        <f t="shared" si="7"/>
        <v/>
      </c>
      <c r="O61" s="35">
        <f t="shared" si="8"/>
        <v>1</v>
      </c>
      <c r="AA61" s="15"/>
      <c r="AB61" s="40" t="str">
        <f t="shared" si="21"/>
        <v>0100000100000</v>
      </c>
      <c r="AC61" s="15" t="str">
        <f t="shared" si="22"/>
        <v>0000000100100</v>
      </c>
      <c r="AD61" s="15" t="str">
        <f t="shared" si="23"/>
        <v/>
      </c>
      <c r="AE61" s="15" t="str">
        <f t="shared" si="24"/>
        <v>0101000000000</v>
      </c>
      <c r="AF61" s="15" t="str">
        <f t="shared" si="25"/>
        <v/>
      </c>
      <c r="AG61" s="41" t="str">
        <f t="shared" si="26"/>
        <v>0010100000000</v>
      </c>
      <c r="AH61" s="15"/>
      <c r="AI61" s="21">
        <v>4</v>
      </c>
      <c r="AJ61" s="20" t="str">
        <f t="shared" si="41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14"/>
        <v>52</v>
      </c>
      <c r="C62" s="30" t="s">
        <v>128</v>
      </c>
      <c r="D62" s="30" t="s">
        <v>127</v>
      </c>
      <c r="E62" s="30"/>
      <c r="F62" s="30" t="s">
        <v>133</v>
      </c>
      <c r="G62" s="30"/>
      <c r="H62" s="35" t="s">
        <v>134</v>
      </c>
      <c r="J62" s="34">
        <f t="shared" si="3"/>
        <v>1</v>
      </c>
      <c r="K62" s="30">
        <f t="shared" si="4"/>
        <v>1</v>
      </c>
      <c r="L62" s="30" t="str">
        <f t="shared" si="5"/>
        <v/>
      </c>
      <c r="M62" s="30">
        <f t="shared" si="6"/>
        <v>1</v>
      </c>
      <c r="N62" s="30" t="str">
        <f t="shared" si="7"/>
        <v/>
      </c>
      <c r="O62" s="35">
        <f t="shared" si="8"/>
        <v>1</v>
      </c>
      <c r="AA62" s="15"/>
      <c r="AB62" s="40" t="str">
        <f t="shared" si="21"/>
        <v>0100001000000</v>
      </c>
      <c r="AC62" s="15" t="str">
        <f t="shared" si="22"/>
        <v>0010000100000</v>
      </c>
      <c r="AD62" s="15" t="str">
        <f t="shared" si="23"/>
        <v/>
      </c>
      <c r="AE62" s="15" t="str">
        <f t="shared" si="24"/>
        <v>0001000100000</v>
      </c>
      <c r="AF62" s="15" t="str">
        <f t="shared" si="25"/>
        <v/>
      </c>
      <c r="AG62" s="41" t="str">
        <f t="shared" si="26"/>
        <v>0001100000000</v>
      </c>
      <c r="AH62" s="15"/>
      <c r="AI62" s="21">
        <v>3</v>
      </c>
      <c r="AJ62" s="20" t="str">
        <f t="shared" si="41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14"/>
        <v>53</v>
      </c>
      <c r="C63" s="30" t="s">
        <v>134</v>
      </c>
      <c r="D63" s="30" t="s">
        <v>134</v>
      </c>
      <c r="E63" s="30"/>
      <c r="F63" s="30" t="s">
        <v>131</v>
      </c>
      <c r="G63" s="30"/>
      <c r="H63" s="35" t="s">
        <v>128</v>
      </c>
      <c r="J63" s="34">
        <f t="shared" si="3"/>
        <v>1</v>
      </c>
      <c r="K63" s="30">
        <f t="shared" si="4"/>
        <v>1</v>
      </c>
      <c r="L63" s="30" t="str">
        <f t="shared" si="5"/>
        <v/>
      </c>
      <c r="M63" s="30">
        <f t="shared" si="6"/>
        <v>1</v>
      </c>
      <c r="N63" s="30" t="str">
        <f t="shared" si="7"/>
        <v/>
      </c>
      <c r="O63" s="35">
        <f t="shared" si="8"/>
        <v>1</v>
      </c>
      <c r="AA63" s="15"/>
      <c r="AB63" s="40" t="str">
        <f t="shared" si="21"/>
        <v>0001001000000</v>
      </c>
      <c r="AC63" s="15" t="str">
        <f t="shared" si="22"/>
        <v>0011000000000</v>
      </c>
      <c r="AD63" s="15" t="str">
        <f t="shared" si="23"/>
        <v/>
      </c>
      <c r="AE63" s="15" t="str">
        <f t="shared" si="24"/>
        <v>0100000100000</v>
      </c>
      <c r="AF63" s="15" t="str">
        <f t="shared" si="25"/>
        <v/>
      </c>
      <c r="AG63" s="41" t="str">
        <f t="shared" si="26"/>
        <v>0001001000000</v>
      </c>
      <c r="AH63" s="15"/>
      <c r="AI63" s="21">
        <v>2</v>
      </c>
      <c r="AJ63" s="20" t="str">
        <f t="shared" si="41"/>
        <v>GG-2</v>
      </c>
      <c r="AK63" s="39" cm="1">
        <f t="array" ref="AK63">SUMPRODUCT(--(MID(AB$10:AB$135, SUMIF($Z$9:$Z$21, LEFT($AJ63,2), $Y$9:$Y$21), 1) = RIGHT($AJ63, 1)), J$10:J$135)</f>
        <v>3</v>
      </c>
      <c r="AL63" s="39" cm="1">
        <f t="array" ref="AL63">SUMPRODUCT(--(MID(AC$10:AC$135, SUMIF($Z$9:$Z$21, LEFT($AJ63,2), $Y$9:$Y$21), 1) = RIGHT($AJ63, 1)), K$10:K$135)</f>
        <v>3</v>
      </c>
      <c r="AM63" s="39" cm="1">
        <f t="array" ref="AM63">SUMPRODUCT(--(MID(AD$10:AD$135, SUMIF($Z$9:$Z$21, LEFT($AJ63,2), $Y$9:$Y$21), 1) = RIGHT($AJ63, 1)), L$10:L$135)</f>
        <v>3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2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14"/>
        <v>54</v>
      </c>
      <c r="C64" s="30" t="s">
        <v>136</v>
      </c>
      <c r="D64" s="30" t="s">
        <v>127</v>
      </c>
      <c r="E64" s="30"/>
      <c r="F64" s="30" t="s">
        <v>138</v>
      </c>
      <c r="G64" s="30"/>
      <c r="H64" s="35" t="s">
        <v>137</v>
      </c>
      <c r="J64" s="34">
        <f t="shared" si="3"/>
        <v>1</v>
      </c>
      <c r="K64" s="30">
        <f t="shared" si="4"/>
        <v>1</v>
      </c>
      <c r="L64" s="30" t="str">
        <f t="shared" si="5"/>
        <v/>
      </c>
      <c r="M64" s="30">
        <f t="shared" si="6"/>
        <v>1</v>
      </c>
      <c r="N64" s="30" t="str">
        <f t="shared" si="7"/>
        <v/>
      </c>
      <c r="O64" s="35">
        <f t="shared" si="8"/>
        <v>1</v>
      </c>
      <c r="AB64" s="40" t="str">
        <f t="shared" si="21"/>
        <v>0001100000000</v>
      </c>
      <c r="AC64" s="15" t="str">
        <f t="shared" si="22"/>
        <v>0011000000000</v>
      </c>
      <c r="AD64" s="15" t="str">
        <f t="shared" si="23"/>
        <v/>
      </c>
      <c r="AE64" s="15" t="str">
        <f t="shared" si="24"/>
        <v>0100000000010</v>
      </c>
      <c r="AF64" s="15" t="str">
        <f t="shared" si="25"/>
        <v/>
      </c>
      <c r="AG64" s="41" t="str">
        <f t="shared" si="26"/>
        <v>0000011000000</v>
      </c>
      <c r="AH64" s="15"/>
      <c r="AI64" s="21">
        <v>1</v>
      </c>
      <c r="AJ64" s="20" t="str">
        <f t="shared" si="41"/>
        <v>GG-1</v>
      </c>
      <c r="AK64" s="39" cm="1">
        <f t="array" ref="AK64">SUMPRODUCT(--(MID(AB$10:AB$135, SUMIF($Z$9:$Z$21, LEFT($AJ64,2), $Y$9:$Y$21), 1) = RIGHT($AJ64, 1)), J$10:J$135)</f>
        <v>8</v>
      </c>
      <c r="AL64" s="39" cm="1">
        <f t="array" ref="AL64">SUMPRODUCT(--(MID(AC$10:AC$135, SUMIF($Z$9:$Z$21, LEFT($AJ64,2), $Y$9:$Y$21), 1) = RIGHT($AJ64, 1)), K$10:K$135)</f>
        <v>12</v>
      </c>
      <c r="AM64" s="39" cm="1">
        <f t="array" ref="AM64">SUMPRODUCT(--(MID(AD$10:AD$135, SUMIF($Z$9:$Z$21, LEFT($AJ64,2), $Y$9:$Y$21), 1) = RIGHT($AJ64, 1)), L$10:L$135)</f>
        <v>12</v>
      </c>
      <c r="AN64" s="39" cm="1">
        <f t="array" ref="AN64">SUMPRODUCT(--(MID(AE$10:AE$135, SUMIF($Z$9:$Z$21, LEFT($AJ64,2), $Y$9:$Y$21), 1) = RIGHT($AJ64, 1)), M$10:M$135)</f>
        <v>18</v>
      </c>
      <c r="AO64" s="39" cm="1">
        <f t="array" ref="AO64">SUMPRODUCT(--(MID(AF$10:AF$135, SUMIF($Z$9:$Z$21, LEFT($AJ64,2), $Y$9:$Y$21), 1) = RIGHT($AJ64, 1)), N$10:N$135)</f>
        <v>6</v>
      </c>
      <c r="AP64" s="19" cm="1">
        <f t="array" ref="AP64">SUMPRODUCT(--(MID(AG$10:AG$135, SUMIF($Z$9:$Z$21, LEFT($AJ64,2), $Y$9:$Y$21), 1) = RIGHT($AJ64, 1)), O$10:O$135)</f>
        <v>14</v>
      </c>
    </row>
    <row r="65" spans="2:42">
      <c r="B65" s="34">
        <f t="shared" si="14"/>
        <v>55</v>
      </c>
      <c r="C65" s="30" t="s">
        <v>135</v>
      </c>
      <c r="D65" s="30" t="s">
        <v>136</v>
      </c>
      <c r="E65" s="30"/>
      <c r="F65" s="30" t="s">
        <v>131</v>
      </c>
      <c r="G65" s="30"/>
      <c r="H65" s="35" t="s">
        <v>133</v>
      </c>
      <c r="J65" s="34">
        <f t="shared" si="3"/>
        <v>1</v>
      </c>
      <c r="K65" s="30">
        <f t="shared" si="4"/>
        <v>1</v>
      </c>
      <c r="L65" s="30" t="str">
        <f t="shared" si="5"/>
        <v/>
      </c>
      <c r="M65" s="30">
        <f t="shared" si="6"/>
        <v>1</v>
      </c>
      <c r="N65" s="30" t="str">
        <f t="shared" si="7"/>
        <v/>
      </c>
      <c r="O65" s="35">
        <f t="shared" si="8"/>
        <v>1</v>
      </c>
      <c r="AB65" s="40" t="str">
        <f t="shared" si="21"/>
        <v>0000100000001</v>
      </c>
      <c r="AC65" s="15" t="str">
        <f t="shared" si="22"/>
        <v>0010100000000</v>
      </c>
      <c r="AD65" s="15" t="str">
        <f t="shared" si="23"/>
        <v/>
      </c>
      <c r="AE65" s="15" t="str">
        <f t="shared" si="24"/>
        <v>0100000000010</v>
      </c>
      <c r="AF65" s="15" t="str">
        <f t="shared" si="25"/>
        <v/>
      </c>
      <c r="AG65" s="41" t="str">
        <f t="shared" si="26"/>
        <v>0000010100000</v>
      </c>
      <c r="AH65" s="15"/>
      <c r="AI65" s="21">
        <v>0</v>
      </c>
      <c r="AJ65" s="20" t="str">
        <f t="shared" si="41"/>
        <v>GG-0</v>
      </c>
      <c r="AK65" s="39" cm="1">
        <f t="array" ref="AK65">SUMPRODUCT(--(MID(AB$10:AB$135, SUMIF($Z$9:$Z$21, LEFT($AJ65,2), $Y$9:$Y$21), 1) = RIGHT($AJ65, 1)), J$10:J$135)</f>
        <v>62</v>
      </c>
      <c r="AL65" s="39" cm="1">
        <f t="array" ref="AL65">SUMPRODUCT(--(MID(AC$10:AC$135, SUMIF($Z$9:$Z$21, LEFT($AJ65,2), $Y$9:$Y$21), 1) = RIGHT($AJ65, 1)), K$10:K$135)</f>
        <v>47</v>
      </c>
      <c r="AM65" s="39" cm="1">
        <f t="array" ref="AM65">SUMPRODUCT(--(MID(AD$10:AD$135, SUMIF($Z$9:$Z$21, LEFT($AJ65,2), $Y$9:$Y$21), 1) = RIGHT($AJ65, 1)), L$10:L$135)</f>
        <v>29</v>
      </c>
      <c r="AN65" s="39" cm="1">
        <f t="array" ref="AN65">SUMPRODUCT(--(MID(AE$10:AE$135, SUMIF($Z$9:$Z$21, LEFT($AJ65,2), $Y$9:$Y$21), 1) = RIGHT($AJ65, 1)), M$10:M$135)</f>
        <v>39</v>
      </c>
      <c r="AO65" s="39" cm="1">
        <f t="array" ref="AO65">SUMPRODUCT(--(MID(AF$10:AF$135, SUMIF($Z$9:$Z$21, LEFT($AJ65,2), $Y$9:$Y$21), 1) = RIGHT($AJ65, 1)), N$10:N$135)</f>
        <v>30</v>
      </c>
      <c r="AP65" s="19" cm="1">
        <f t="array" ref="AP65">SUMPRODUCT(--(MID(AG$10:AG$135, SUMIF($Z$9:$Z$21, LEFT($AJ65,2), $Y$9:$Y$21), 1) = RIGHT($AJ65, 1)), O$10:O$135)</f>
        <v>67</v>
      </c>
    </row>
    <row r="66" spans="2:42">
      <c r="B66" s="34">
        <f t="shared" si="14"/>
        <v>56</v>
      </c>
      <c r="C66" s="30" t="s">
        <v>129</v>
      </c>
      <c r="D66" s="30" t="s">
        <v>127</v>
      </c>
      <c r="E66" s="30"/>
      <c r="F66" s="30" t="s">
        <v>134</v>
      </c>
      <c r="G66" s="30"/>
      <c r="H66" s="35" t="s">
        <v>128</v>
      </c>
      <c r="J66" s="34">
        <f t="shared" si="3"/>
        <v>1</v>
      </c>
      <c r="K66" s="30">
        <f t="shared" si="4"/>
        <v>1</v>
      </c>
      <c r="L66" s="30" t="str">
        <f t="shared" si="5"/>
        <v/>
      </c>
      <c r="M66" s="30">
        <f t="shared" si="6"/>
        <v>1</v>
      </c>
      <c r="N66" s="30" t="str">
        <f t="shared" si="7"/>
        <v/>
      </c>
      <c r="O66" s="35">
        <f t="shared" si="8"/>
        <v>1</v>
      </c>
      <c r="AB66" s="40" t="str">
        <f t="shared" si="21"/>
        <v>0000000001001</v>
      </c>
      <c r="AC66" s="15" t="str">
        <f t="shared" si="22"/>
        <v>0010100000000</v>
      </c>
      <c r="AD66" s="15" t="str">
        <f t="shared" si="23"/>
        <v/>
      </c>
      <c r="AE66" s="15" t="str">
        <f t="shared" si="24"/>
        <v>0101000000000</v>
      </c>
      <c r="AF66" s="15" t="str">
        <f t="shared" si="25"/>
        <v/>
      </c>
      <c r="AG66" s="41" t="str">
        <f t="shared" si="26"/>
        <v>0000001100000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14"/>
        <v>57</v>
      </c>
      <c r="C67" s="30" t="s">
        <v>132</v>
      </c>
      <c r="D67" s="30" t="s">
        <v>138</v>
      </c>
      <c r="E67" s="30"/>
      <c r="F67" s="30" t="s">
        <v>131</v>
      </c>
      <c r="G67" s="30"/>
      <c r="H67" s="35" t="s">
        <v>133</v>
      </c>
      <c r="J67" s="34">
        <f t="shared" si="3"/>
        <v>1</v>
      </c>
      <c r="K67" s="30">
        <f t="shared" si="4"/>
        <v>1</v>
      </c>
      <c r="L67" s="30" t="str">
        <f t="shared" si="5"/>
        <v/>
      </c>
      <c r="M67" s="30">
        <f t="shared" si="6"/>
        <v>1</v>
      </c>
      <c r="N67" s="30" t="str">
        <f t="shared" si="7"/>
        <v/>
      </c>
      <c r="O67" s="35">
        <f t="shared" si="8"/>
        <v>1</v>
      </c>
      <c r="AB67" s="40" t="str">
        <f t="shared" si="21"/>
        <v>0000000001100</v>
      </c>
      <c r="AC67" s="15" t="str">
        <f t="shared" si="22"/>
        <v>0010000000010</v>
      </c>
      <c r="AD67" s="15" t="str">
        <f t="shared" si="23"/>
        <v/>
      </c>
      <c r="AE67" s="15" t="str">
        <f t="shared" si="24"/>
        <v>0101000000000</v>
      </c>
      <c r="AF67" s="15" t="str">
        <f t="shared" si="25"/>
        <v/>
      </c>
      <c r="AG67" s="41" t="str">
        <f t="shared" si="26"/>
        <v>0000001100000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14"/>
        <v>58</v>
      </c>
      <c r="C68" s="30" t="s">
        <v>129</v>
      </c>
      <c r="D68" s="30" t="s">
        <v>134</v>
      </c>
      <c r="E68" s="30"/>
      <c r="F68" s="30" t="s">
        <v>138</v>
      </c>
      <c r="G68" s="30"/>
      <c r="H68" s="35" t="s">
        <v>138</v>
      </c>
      <c r="J68" s="34">
        <f t="shared" si="3"/>
        <v>1</v>
      </c>
      <c r="K68" s="30">
        <f t="shared" si="4"/>
        <v>1</v>
      </c>
      <c r="L68" s="30" t="str">
        <f t="shared" si="5"/>
        <v/>
      </c>
      <c r="M68" s="30">
        <f t="shared" si="6"/>
        <v>1</v>
      </c>
      <c r="N68" s="30" t="str">
        <f t="shared" si="7"/>
        <v/>
      </c>
      <c r="O68" s="35">
        <f t="shared" si="8"/>
        <v>1</v>
      </c>
      <c r="AB68" s="40" t="str">
        <f t="shared" si="21"/>
        <v>0000000001100</v>
      </c>
      <c r="AC68" s="15" t="str">
        <f t="shared" si="22"/>
        <v>0001000000010</v>
      </c>
      <c r="AD68" s="15" t="str">
        <f t="shared" si="23"/>
        <v/>
      </c>
      <c r="AE68" s="15" t="str">
        <f t="shared" si="24"/>
        <v>0100000000010</v>
      </c>
      <c r="AF68" s="15" t="str">
        <f t="shared" si="25"/>
        <v/>
      </c>
      <c r="AG68" s="41" t="str">
        <f t="shared" si="26"/>
        <v>0000000100010</v>
      </c>
      <c r="AH68" s="15"/>
      <c r="AI68" s="21">
        <v>5</v>
      </c>
      <c r="AJ68" s="20" t="str">
        <f t="shared" ref="AJ68:AJ73" si="42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14"/>
        <v>59</v>
      </c>
      <c r="C69" s="30" t="s">
        <v>134</v>
      </c>
      <c r="D69" s="30" t="s">
        <v>138</v>
      </c>
      <c r="E69" s="30"/>
      <c r="F69" s="30"/>
      <c r="G69" s="30"/>
      <c r="H69" s="35" t="s">
        <v>127</v>
      </c>
      <c r="J69" s="34">
        <f t="shared" ref="J69:J132" si="43">IF(C69="","",1)</f>
        <v>1</v>
      </c>
      <c r="K69" s="30">
        <f t="shared" ref="K69:K132" si="44">IF(D69="","",1)</f>
        <v>1</v>
      </c>
      <c r="L69" s="30" t="str">
        <f t="shared" ref="L69:L132" si="45">IF(E69="","",1)</f>
        <v/>
      </c>
      <c r="M69" s="30" t="str">
        <f t="shared" ref="M69:M132" si="46">IF(F69="","",1)</f>
        <v/>
      </c>
      <c r="N69" s="30" t="str">
        <f t="shared" ref="N69:N132" si="47">IF(G69="","",1)</f>
        <v/>
      </c>
      <c r="O69" s="35">
        <f t="shared" ref="O69:O132" si="48">IF(H69="","",1)</f>
        <v>1</v>
      </c>
      <c r="AB69" s="40" t="str">
        <f t="shared" si="21"/>
        <v>0001000001000</v>
      </c>
      <c r="AC69" s="15" t="str">
        <f t="shared" si="22"/>
        <v>0001000000010</v>
      </c>
      <c r="AD69" s="15" t="str">
        <f t="shared" si="23"/>
        <v/>
      </c>
      <c r="AE69" s="15" t="str">
        <f t="shared" si="24"/>
        <v/>
      </c>
      <c r="AF69" s="15" t="str">
        <f t="shared" si="25"/>
        <v/>
      </c>
      <c r="AG69" s="41" t="str">
        <f t="shared" si="26"/>
        <v>0010000000010</v>
      </c>
      <c r="AH69" s="15"/>
      <c r="AI69" s="21">
        <v>4</v>
      </c>
      <c r="AJ69" s="20" t="str">
        <f t="shared" si="42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14"/>
        <v>60</v>
      </c>
      <c r="C70" s="30" t="s">
        <v>138</v>
      </c>
      <c r="D70" s="30" t="s">
        <v>132</v>
      </c>
      <c r="E70" s="30"/>
      <c r="F70" s="30"/>
      <c r="G70" s="30"/>
      <c r="H70" s="35" t="s">
        <v>136</v>
      </c>
      <c r="J70" s="34">
        <f t="shared" si="43"/>
        <v>1</v>
      </c>
      <c r="K70" s="30">
        <f t="shared" si="44"/>
        <v>1</v>
      </c>
      <c r="L70" s="30" t="str">
        <f t="shared" si="45"/>
        <v/>
      </c>
      <c r="M70" s="30" t="str">
        <f t="shared" si="46"/>
        <v/>
      </c>
      <c r="N70" s="30" t="str">
        <f t="shared" si="47"/>
        <v/>
      </c>
      <c r="O70" s="35">
        <f t="shared" si="48"/>
        <v>1</v>
      </c>
      <c r="AB70" s="40" t="str">
        <f t="shared" si="21"/>
        <v>0001000000010</v>
      </c>
      <c r="AC70" s="15" t="str">
        <f t="shared" si="22"/>
        <v>0000000000110</v>
      </c>
      <c r="AD70" s="15" t="str">
        <f t="shared" si="23"/>
        <v/>
      </c>
      <c r="AE70" s="15" t="str">
        <f t="shared" si="24"/>
        <v/>
      </c>
      <c r="AF70" s="15" t="str">
        <f t="shared" si="25"/>
        <v/>
      </c>
      <c r="AG70" s="41" t="str">
        <f t="shared" si="26"/>
        <v>0010100000000</v>
      </c>
      <c r="AH70" s="15"/>
      <c r="AI70" s="21">
        <v>3</v>
      </c>
      <c r="AJ70" s="20" t="str">
        <f t="shared" si="42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14"/>
        <v>61</v>
      </c>
      <c r="C71" s="30" t="s">
        <v>128</v>
      </c>
      <c r="D71" s="30" t="s">
        <v>138</v>
      </c>
      <c r="E71" s="30"/>
      <c r="F71" s="30"/>
      <c r="G71" s="30"/>
      <c r="H71" s="35" t="s">
        <v>138</v>
      </c>
      <c r="J71" s="34">
        <f t="shared" si="43"/>
        <v>1</v>
      </c>
      <c r="K71" s="30">
        <f t="shared" si="44"/>
        <v>1</v>
      </c>
      <c r="L71" s="30" t="str">
        <f t="shared" si="45"/>
        <v/>
      </c>
      <c r="M71" s="30" t="str">
        <f t="shared" si="46"/>
        <v/>
      </c>
      <c r="N71" s="30" t="str">
        <f t="shared" si="47"/>
        <v/>
      </c>
      <c r="O71" s="35">
        <f t="shared" si="48"/>
        <v>1</v>
      </c>
      <c r="AB71" s="40" t="str">
        <f t="shared" si="21"/>
        <v>0000001000010</v>
      </c>
      <c r="AC71" s="15" t="str">
        <f t="shared" si="22"/>
        <v>0000000000110</v>
      </c>
      <c r="AD71" s="15" t="str">
        <f t="shared" si="23"/>
        <v/>
      </c>
      <c r="AE71" s="15" t="str">
        <f t="shared" si="24"/>
        <v/>
      </c>
      <c r="AF71" s="15" t="str">
        <f t="shared" si="25"/>
        <v/>
      </c>
      <c r="AG71" s="41" t="str">
        <f t="shared" si="26"/>
        <v>0000100000010</v>
      </c>
      <c r="AH71" s="15"/>
      <c r="AI71" s="21">
        <v>2</v>
      </c>
      <c r="AJ71" s="20" t="str">
        <f t="shared" si="42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14"/>
        <v>62</v>
      </c>
      <c r="C72" s="30" t="s">
        <v>131</v>
      </c>
      <c r="D72" s="30"/>
      <c r="E72" s="30"/>
      <c r="F72" s="30"/>
      <c r="G72" s="30"/>
      <c r="H72" s="35" t="s">
        <v>128</v>
      </c>
      <c r="J72" s="34">
        <f t="shared" si="43"/>
        <v>1</v>
      </c>
      <c r="K72" s="30" t="str">
        <f t="shared" si="44"/>
        <v/>
      </c>
      <c r="L72" s="30" t="str">
        <f t="shared" si="45"/>
        <v/>
      </c>
      <c r="M72" s="30" t="str">
        <f t="shared" si="46"/>
        <v/>
      </c>
      <c r="N72" s="30" t="str">
        <f t="shared" si="47"/>
        <v/>
      </c>
      <c r="O72" s="35">
        <f t="shared" si="48"/>
        <v>1</v>
      </c>
      <c r="AB72" s="40" t="str">
        <f t="shared" si="21"/>
        <v>0100001000000</v>
      </c>
      <c r="AC72" s="15" t="str">
        <f t="shared" si="22"/>
        <v/>
      </c>
      <c r="AD72" s="15" t="str">
        <f t="shared" si="23"/>
        <v/>
      </c>
      <c r="AE72" s="15" t="str">
        <f t="shared" si="24"/>
        <v/>
      </c>
      <c r="AF72" s="15" t="str">
        <f t="shared" si="25"/>
        <v/>
      </c>
      <c r="AG72" s="41" t="str">
        <f t="shared" si="26"/>
        <v>0000001000010</v>
      </c>
      <c r="AH72" s="15"/>
      <c r="AI72" s="21">
        <v>1</v>
      </c>
      <c r="AJ72" s="20" t="str">
        <f t="shared" si="42"/>
        <v>HH-1</v>
      </c>
      <c r="AK72" s="39" cm="1">
        <f t="array" ref="AK72">SUMPRODUCT(--(MID(AB$10:AB$135, SUMIF($Z$9:$Z$21, LEFT($AJ72,2), $Y$9:$Y$21), 1) = RIGHT($AJ72, 1)), J$10:J$135)</f>
        <v>2</v>
      </c>
      <c r="AL72" s="39" cm="1">
        <f t="array" ref="AL72">SUMPRODUCT(--(MID(AC$10:AC$135, SUMIF($Z$9:$Z$21, LEFT($AJ72,2), $Y$9:$Y$21), 1) = RIGHT($AJ72, 1)), K$10:K$135)</f>
        <v>6</v>
      </c>
      <c r="AM72" s="39" cm="1">
        <f t="array" ref="AM72">SUMPRODUCT(--(MID(AD$10:AD$135, SUMIF($Z$9:$Z$21, LEFT($AJ72,2), $Y$9:$Y$21), 1) = RIGHT($AJ72, 1)), L$10:L$135)</f>
        <v>10</v>
      </c>
      <c r="AN72" s="39" cm="1">
        <f t="array" ref="AN72">SUMPRODUCT(--(MID(AE$10:AE$135, SUMIF($Z$9:$Z$21, LEFT($AJ72,2), $Y$9:$Y$21), 1) = RIGHT($AJ72, 1)), M$10:M$135)</f>
        <v>4</v>
      </c>
      <c r="AO72" s="39" cm="1">
        <f t="array" ref="AO72">SUMPRODUCT(--(MID(AF$10:AF$135, SUMIF($Z$9:$Z$21, LEFT($AJ72,2), $Y$9:$Y$21), 1) = RIGHT($AJ72, 1)), N$10:N$135)</f>
        <v>4</v>
      </c>
      <c r="AP72" s="19" cm="1">
        <f t="array" ref="AP72">SUMPRODUCT(--(MID(AG$10:AG$135, SUMIF($Z$9:$Z$21, LEFT($AJ72,2), $Y$9:$Y$21), 1) = RIGHT($AJ72, 1)), O$10:O$135)</f>
        <v>2</v>
      </c>
    </row>
    <row r="73" spans="2:42">
      <c r="B73" s="34">
        <f t="shared" si="14"/>
        <v>63</v>
      </c>
      <c r="C73" s="30" t="s">
        <v>133</v>
      </c>
      <c r="D73" s="30"/>
      <c r="E73" s="30"/>
      <c r="F73" s="30"/>
      <c r="G73" s="30"/>
      <c r="H73" s="35" t="s">
        <v>127</v>
      </c>
      <c r="J73" s="34">
        <f t="shared" si="43"/>
        <v>1</v>
      </c>
      <c r="K73" s="30" t="str">
        <f t="shared" si="44"/>
        <v/>
      </c>
      <c r="L73" s="30" t="str">
        <f t="shared" si="45"/>
        <v/>
      </c>
      <c r="M73" s="30" t="str">
        <f t="shared" si="46"/>
        <v/>
      </c>
      <c r="N73" s="30" t="str">
        <f t="shared" si="47"/>
        <v/>
      </c>
      <c r="O73" s="35">
        <f t="shared" si="48"/>
        <v>1</v>
      </c>
      <c r="AB73" s="40" t="str">
        <f t="shared" si="21"/>
        <v>0100000100000</v>
      </c>
      <c r="AC73" s="15" t="str">
        <f t="shared" si="22"/>
        <v/>
      </c>
      <c r="AD73" s="15" t="str">
        <f t="shared" si="23"/>
        <v/>
      </c>
      <c r="AE73" s="15" t="str">
        <f t="shared" si="24"/>
        <v/>
      </c>
      <c r="AF73" s="15" t="str">
        <f t="shared" si="25"/>
        <v/>
      </c>
      <c r="AG73" s="41" t="str">
        <f t="shared" si="26"/>
        <v>0010001000000</v>
      </c>
      <c r="AH73" s="15"/>
      <c r="AI73" s="21">
        <v>0</v>
      </c>
      <c r="AJ73" s="20" t="str">
        <f t="shared" si="42"/>
        <v>HH-0</v>
      </c>
      <c r="AK73" s="39" cm="1">
        <f t="array" ref="AK73">SUMPRODUCT(--(MID(AB$10:AB$135, SUMIF($Z$9:$Z$21, LEFT($AJ73,2), $Y$9:$Y$21), 1) = RIGHT($AJ73, 1)), J$10:J$135)</f>
        <v>71</v>
      </c>
      <c r="AL73" s="39" cm="1">
        <f t="array" ref="AL73">SUMPRODUCT(--(MID(AC$10:AC$135, SUMIF($Z$9:$Z$21, LEFT($AJ73,2), $Y$9:$Y$21), 1) = RIGHT($AJ73, 1)), K$10:K$135)</f>
        <v>56</v>
      </c>
      <c r="AM73" s="39" cm="1">
        <f t="array" ref="AM73">SUMPRODUCT(--(MID(AD$10:AD$135, SUMIF($Z$9:$Z$21, LEFT($AJ73,2), $Y$9:$Y$21), 1) = RIGHT($AJ73, 1)), L$10:L$135)</f>
        <v>34</v>
      </c>
      <c r="AN73" s="39" cm="1">
        <f t="array" ref="AN73">SUMPRODUCT(--(MID(AE$10:AE$135, SUMIF($Z$9:$Z$21, LEFT($AJ73,2), $Y$9:$Y$21), 1) = RIGHT($AJ73, 1)), M$10:M$135)</f>
        <v>55</v>
      </c>
      <c r="AO73" s="39" cm="1">
        <f t="array" ref="AO73">SUMPRODUCT(--(MID(AF$10:AF$135, SUMIF($Z$9:$Z$21, LEFT($AJ73,2), $Y$9:$Y$21), 1) = RIGHT($AJ73, 1)), N$10:N$135)</f>
        <v>34</v>
      </c>
      <c r="AP73" s="19" cm="1">
        <f t="array" ref="AP73">SUMPRODUCT(--(MID(AG$10:AG$135, SUMIF($Z$9:$Z$21, LEFT($AJ73,2), $Y$9:$Y$21), 1) = RIGHT($AJ73, 1)), O$10:O$135)</f>
        <v>81</v>
      </c>
    </row>
    <row r="74" spans="2:42">
      <c r="B74" s="34">
        <f t="shared" si="14"/>
        <v>64</v>
      </c>
      <c r="C74" s="30" t="s">
        <v>131</v>
      </c>
      <c r="D74" s="30"/>
      <c r="E74" s="30"/>
      <c r="F74" s="30"/>
      <c r="G74" s="30"/>
      <c r="H74" s="35" t="s">
        <v>132</v>
      </c>
      <c r="J74" s="34">
        <f t="shared" si="43"/>
        <v>1</v>
      </c>
      <c r="K74" s="30" t="str">
        <f t="shared" si="44"/>
        <v/>
      </c>
      <c r="L74" s="30" t="str">
        <f t="shared" si="45"/>
        <v/>
      </c>
      <c r="M74" s="30" t="str">
        <f t="shared" si="46"/>
        <v/>
      </c>
      <c r="N74" s="30" t="str">
        <f t="shared" si="47"/>
        <v/>
      </c>
      <c r="O74" s="35">
        <f t="shared" si="48"/>
        <v>1</v>
      </c>
      <c r="AB74" s="40" t="str">
        <f t="shared" si="21"/>
        <v>0100000100000</v>
      </c>
      <c r="AC74" s="15" t="str">
        <f t="shared" si="22"/>
        <v/>
      </c>
      <c r="AD74" s="15" t="str">
        <f t="shared" si="23"/>
        <v/>
      </c>
      <c r="AE74" s="15" t="str">
        <f t="shared" si="24"/>
        <v/>
      </c>
      <c r="AF74" s="15" t="str">
        <f t="shared" si="25"/>
        <v/>
      </c>
      <c r="AG74" s="41" t="str">
        <f t="shared" si="26"/>
        <v>0010000000100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49">B74+1</f>
        <v>65</v>
      </c>
      <c r="C75" s="30" t="s">
        <v>128</v>
      </c>
      <c r="D75" s="30"/>
      <c r="E75" s="30"/>
      <c r="F75" s="30"/>
      <c r="G75" s="30"/>
      <c r="H75" s="35" t="s">
        <v>136</v>
      </c>
      <c r="J75" s="34">
        <f t="shared" si="43"/>
        <v>1</v>
      </c>
      <c r="K75" s="30" t="str">
        <f t="shared" si="44"/>
        <v/>
      </c>
      <c r="L75" s="30" t="str">
        <f t="shared" si="45"/>
        <v/>
      </c>
      <c r="M75" s="30" t="str">
        <f t="shared" si="46"/>
        <v/>
      </c>
      <c r="N75" s="30" t="str">
        <f t="shared" si="47"/>
        <v/>
      </c>
      <c r="O75" s="35">
        <f t="shared" si="48"/>
        <v>1</v>
      </c>
      <c r="AB75" s="40" t="str">
        <f t="shared" ref="AB75:AB135" si="50">IF(R$3=2,IF(COUNTA(C74:C75) = R$3,COUNTIF(C74:C75, $Z$9)  &amp; COUNTIF(C74:C75, $Z$9)+COUNTIF(C74:C75, $Z$10) &amp; COUNTIF(C74:C75, $Z$9)+COUNTIF(C74:C75, $Z$11) &amp; COUNTIF(C74:C75, $Z$9)+COUNTIF(C74:C75, $Z$12) &amp; COUNTIF(C74:C75, $Z$9)+COUNTIF(C74:C75, $Z$13) &amp; COUNTIF(C74:C75, $Z$9)+COUNTIF(C74:C75, $Z$14) &amp; COUNTIF(C74:C75, $Z$9)+COUNTIF(C74:C75, $Z$15) &amp; COUNTIF(C74:C75, $Z$9)+COUNTIF(C74:C75, $Z$16) &amp; COUNTIF(C74:C75, $Z$9)+COUNTIF(C74:C75, $Z$17) &amp; COUNTIF(C74:C75, $Z$9)+COUNTIF(C74:C75, $Z$18) &amp; COUNTIF(C74:C75, $Z$9)+COUNTIF(C74:C75, $Z$19)  &amp; COUNTIF(C74:C75, $Z$9)+COUNTIF(C74:C75, $Z$20) &amp; COUNTIF(C74:C75, $Z$21),""),
IF(R$3=3,IF(COUNTA(C73:C75) = R$3,COUNTIF(C73:C75, $Z$9)  &amp; COUNTIF(C73:C75, $Z$9)+COUNTIF(C73:C75, $Z$10) &amp; COUNTIF(C73:C75, $Z$9)+COUNTIF(C73:C75, $Z$11) &amp; COUNTIF(C73:C75, $Z$9)+COUNTIF(C73:C75, $Z$12) &amp; COUNTIF(C73:C75, $Z$9)+COUNTIF(C73:C75, $Z$13) &amp; COUNTIF(C73:C75, $Z$9)+COUNTIF(C73:C75, $Z$14) &amp; COUNTIF(C73:C75, $Z$9)+COUNTIF(C73:C75, $Z$15) &amp; COUNTIF(C73:C75, $Z$9)+COUNTIF(C73:C75, $Z$16) &amp; COUNTIF(C73:C75, $Z$9)+COUNTIF(C73:C75, $Z$17) &amp; COUNTIF(C73:C75, $Z$9)+COUNTIF(C73:C75, $Z$18) &amp; COUNTIF(C73:C75, $Z$9)+COUNTIF(C73:C75, $Z$19)  &amp; COUNTIF(C73:C75, $Z$9)+COUNTIF(C73:C75, $Z$20) &amp; COUNTIF(C73:C75, $Z$21),""),
IF(R$3=4,IF(COUNTA(C72:C75) = R$3,COUNTIF(C72:C75, $Z$9)  &amp; COUNTIF(C72:C75, $Z$9)+COUNTIF(C72:C75, $Z$10) &amp; COUNTIF(C72:C75, $Z$9)+COUNTIF(C72:C75, $Z$11) &amp; COUNTIF(C72:C75, $Z$9)+COUNTIF(C72:C75, $Z$12) &amp; COUNTIF(C72:C75, $Z$9)+COUNTIF(C72:C75, $Z$13) &amp; COUNTIF(C72:C75, $Z$9)+COUNTIF(C72:C75, $Z$14) &amp; COUNTIF(C72:C75, $Z$9)+COUNTIF(C72:C75, $Z$15) &amp; COUNTIF(C72:C75, $Z$9)+COUNTIF(C72:C75, $Z$16) &amp; COUNTIF(C72:C75, $Z$9)+COUNTIF(C72:C75, $Z$17) &amp; COUNTIF(C72:C75, $Z$9)+COUNTIF(C72:C75, $Z$18) &amp; COUNTIF(C72:C75, $Z$9)+COUNTIF(C72:C75, $Z$19)  &amp; COUNTIF(C72:C75, $Z$9)+COUNTIF(C72:C75, $Z$20) &amp; COUNTIF(C72:C75, $Z$21),""),
IF(R$3=5,IF(COUNTA(C71:C75) = R$3,COUNTIF(C71:C75, $Z$9)  &amp; COUNTIF(C71:C75, $Z$9)+COUNTIF(C71:C75, $Z$10) &amp; COUNTIF(C71:C75, $Z$9)+COUNTIF(C71:C75, $Z$11) &amp; COUNTIF(C71:C75, $Z$9)+COUNTIF(C71:C75, $Z$12) &amp; COUNTIF(C71:C75, $Z$9)+COUNTIF(C71:C75, $Z$13) &amp; COUNTIF(C71:C75, $Z$9)+COUNTIF(C71:C75, $Z$14) &amp; COUNTIF(C71:C75, $Z$9)+COUNTIF(C71:C75, $Z$15) &amp; COUNTIF(C71:C75, $Z$9)+COUNTIF(C71:C75, $Z$16) &amp; COUNTIF(C71:C75, $Z$9)+COUNTIF(C71:C75, $Z$17) &amp; COUNTIF(C71:C75, $Z$9)+COUNTIF(C71:C75, $Z$18) &amp; COUNTIF(C71:C75, $Z$9)+COUNTIF(C71:C75, $Z$19)  &amp; COUNTIF(C71:C75, $Z$9)+COUNTIF(C71:C75, $Z$20) &amp; COUNTIF(C71:C75, $Z$21),""),
IF(R$3=6,IF(COUNTA(C70:C75) = R$3,COUNTIF(C70:C75, $Z$9)  &amp; COUNTIF(C70:C75, $Z$9)+COUNTIF(C70:C75, $Z$10) &amp; COUNTIF(C70:C75, $Z$9)+COUNTIF(C70:C75, $Z$11) &amp; COUNTIF(C70:C75, $Z$9)+COUNTIF(C70:C75, $Z$12) &amp; COUNTIF(C70:C75, $Z$9)+COUNTIF(C70:C75, $Z$13) &amp; COUNTIF(C70:C75, $Z$9)+COUNTIF(C70:C75, $Z$14) &amp; COUNTIF(C70:C75, $Z$9)+COUNTIF(C70:C75, $Z$15) &amp; COUNTIF(C70:C75, $Z$9)+COUNTIF(C70:C75, $Z$16) &amp; COUNTIF(C70:C75, $Z$9)+COUNTIF(C70:C75, $Z$17) &amp; COUNTIF(C70:C75, $Z$9)+COUNTIF(C70:C75, $Z$18) &amp; COUNTIF(C70:C75, $Z$9)+COUNTIF(C70:C75, $Z$19)  &amp; COUNTIF(C70:C75, $Z$9)+COUNTIF(C70:C75, $Z$20) &amp; COUNTIF(C70:C75, $Z$21),""),
IF(R$3=7,IF(COUNTA(C69:C75) = R$3,COUNTIF(C69:C75, $Z$9)  &amp; COUNTIF(C69:C75, $Z$9)+COUNTIF(C69:C75, $Z$10) &amp; COUNTIF(C69:C75, $Z$9)+COUNTIF(C69:C75, $Z$11) &amp; COUNTIF(C69:C75, $Z$9)+COUNTIF(C69:C75, $Z$12) &amp; COUNTIF(C69:C75, $Z$9)+COUNTIF(C69:C75, $Z$13) &amp; COUNTIF(C69:C75, $Z$9)+COUNTIF(C69:C75, $Z$14) &amp; COUNTIF(C69:C75, $Z$9)+COUNTIF(C69:C75, $Z$15) &amp; COUNTIF(C69:C75, $Z$9)+COUNTIF(C69:C75, $Z$16) &amp; COUNTIF(C69:C75, $Z$9)+COUNTIF(C69:C75, $Z$17) &amp; COUNTIF(C69:C75, $Z$9)+COUNTIF(C69:C75, $Z$18) &amp; COUNTIF(C69:C75, $Z$9)+COUNTIF(C69:C75, $Z$19)  &amp; COUNTIF(C69:C75, $Z$9)+COUNTIF(C69:C75, $Z$20) &amp; COUNTIF(C69:C75, $Z$21),"")))))))</f>
        <v>0100001000000</v>
      </c>
      <c r="AC75" s="15" t="str">
        <f t="shared" ref="AC75:AC135" si="51">IF(S$3=2,IF(COUNTA(D74:D75) = S$3,COUNTIF(D74:D75, $Z$9)  &amp; COUNTIF(D74:D75, $Z$9)+COUNTIF(D74:D75, $Z$10) &amp; COUNTIF(D74:D75, $Z$9)+COUNTIF(D74:D75, $Z$11) &amp; COUNTIF(D74:D75, $Z$9)+COUNTIF(D74:D75, $Z$12) &amp; COUNTIF(D74:D75, $Z$9)+COUNTIF(D74:D75, $Z$13) &amp; COUNTIF(D74:D75, $Z$9)+COUNTIF(D74:D75, $Z$14) &amp; COUNTIF(D74:D75, $Z$9)+COUNTIF(D74:D75, $Z$15) &amp; COUNTIF(D74:D75, $Z$9)+COUNTIF(D74:D75, $Z$16) &amp; COUNTIF(D74:D75, $Z$9)+COUNTIF(D74:D75, $Z$17) &amp; COUNTIF(D74:D75, $Z$9)+COUNTIF(D74:D75, $Z$18) &amp; COUNTIF(D74:D75, $Z$9)+COUNTIF(D74:D75, $Z$19)  &amp; COUNTIF(D74:D75, $Z$9)+COUNTIF(D74:D75, $Z$20) &amp; COUNTIF(D74:D75, $Z$21),""),
IF(S$3=3,IF(COUNTA(D73:D75) = S$3,COUNTIF(D73:D75, $Z$9)  &amp; COUNTIF(D73:D75, $Z$9)+COUNTIF(D73:D75, $Z$10) &amp; COUNTIF(D73:D75, $Z$9)+COUNTIF(D73:D75, $Z$11) &amp; COUNTIF(D73:D75, $Z$9)+COUNTIF(D73:D75, $Z$12) &amp; COUNTIF(D73:D75, $Z$9)+COUNTIF(D73:D75, $Z$13) &amp; COUNTIF(D73:D75, $Z$9)+COUNTIF(D73:D75, $Z$14) &amp; COUNTIF(D73:D75, $Z$9)+COUNTIF(D73:D75, $Z$15) &amp; COUNTIF(D73:D75, $Z$9)+COUNTIF(D73:D75, $Z$16) &amp; COUNTIF(D73:D75, $Z$9)+COUNTIF(D73:D75, $Z$17) &amp; COUNTIF(D73:D75, $Z$9)+COUNTIF(D73:D75, $Z$18) &amp; COUNTIF(D73:D75, $Z$9)+COUNTIF(D73:D75, $Z$19)  &amp; COUNTIF(D73:D75, $Z$9)+COUNTIF(D73:D75, $Z$20) &amp; COUNTIF(D73:D75, $Z$21),""),
IF(S$3=4,IF(COUNTA(D72:D75) = S$3,COUNTIF(D72:D75, $Z$9)  &amp; COUNTIF(D72:D75, $Z$9)+COUNTIF(D72:D75, $Z$10) &amp; COUNTIF(D72:D75, $Z$9)+COUNTIF(D72:D75, $Z$11) &amp; COUNTIF(D72:D75, $Z$9)+COUNTIF(D72:D75, $Z$12) &amp; COUNTIF(D72:D75, $Z$9)+COUNTIF(D72:D75, $Z$13) &amp; COUNTIF(D72:D75, $Z$9)+COUNTIF(D72:D75, $Z$14) &amp; COUNTIF(D72:D75, $Z$9)+COUNTIF(D72:D75, $Z$15) &amp; COUNTIF(D72:D75, $Z$9)+COUNTIF(D72:D75, $Z$16) &amp; COUNTIF(D72:D75, $Z$9)+COUNTIF(D72:D75, $Z$17) &amp; COUNTIF(D72:D75, $Z$9)+COUNTIF(D72:D75, $Z$18) &amp; COUNTIF(D72:D75, $Z$9)+COUNTIF(D72:D75, $Z$19)  &amp; COUNTIF(D72:D75, $Z$9)+COUNTIF(D72:D75, $Z$20) &amp; COUNTIF(D72:D75, $Z$21),""),
IF(S$3=5,IF(COUNTA(D71:D75) = S$3,COUNTIF(D71:D75, $Z$9)  &amp; COUNTIF(D71:D75, $Z$9)+COUNTIF(D71:D75, $Z$10) &amp; COUNTIF(D71:D75, $Z$9)+COUNTIF(D71:D75, $Z$11) &amp; COUNTIF(D71:D75, $Z$9)+COUNTIF(D71:D75, $Z$12) &amp; COUNTIF(D71:D75, $Z$9)+COUNTIF(D71:D75, $Z$13) &amp; COUNTIF(D71:D75, $Z$9)+COUNTIF(D71:D75, $Z$14) &amp; COUNTIF(D71:D75, $Z$9)+COUNTIF(D71:D75, $Z$15) &amp; COUNTIF(D71:D75, $Z$9)+COUNTIF(D71:D75, $Z$16) &amp; COUNTIF(D71:D75, $Z$9)+COUNTIF(D71:D75, $Z$17) &amp; COUNTIF(D71:D75, $Z$9)+COUNTIF(D71:D75, $Z$18) &amp; COUNTIF(D71:D75, $Z$9)+COUNTIF(D71:D75, $Z$19)  &amp; COUNTIF(D71:D75, $Z$9)+COUNTIF(D71:D75, $Z$20) &amp; COUNTIF(D71:D75, $Z$21),""),
IF(S$3=6,IF(COUNTA(D70:D75) = S$3,COUNTIF(D70:D75, $Z$9)  &amp; COUNTIF(D70:D75, $Z$9)+COUNTIF(D70:D75, $Z$10) &amp; COUNTIF(D70:D75, $Z$9)+COUNTIF(D70:D75, $Z$11) &amp; COUNTIF(D70:D75, $Z$9)+COUNTIF(D70:D75, $Z$12) &amp; COUNTIF(D70:D75, $Z$9)+COUNTIF(D70:D75, $Z$13) &amp; COUNTIF(D70:D75, $Z$9)+COUNTIF(D70:D75, $Z$14) &amp; COUNTIF(D70:D75, $Z$9)+COUNTIF(D70:D75, $Z$15) &amp; COUNTIF(D70:D75, $Z$9)+COUNTIF(D70:D75, $Z$16) &amp; COUNTIF(D70:D75, $Z$9)+COUNTIF(D70:D75, $Z$17) &amp; COUNTIF(D70:D75, $Z$9)+COUNTIF(D70:D75, $Z$18) &amp; COUNTIF(D70:D75, $Z$9)+COUNTIF(D70:D75, $Z$19)  &amp; COUNTIF(D70:D75, $Z$9)+COUNTIF(D70:D75, $Z$20) &amp; COUNTIF(D70:D75, $Z$21),""),
IF(S$3=7,IF(COUNTA(D69:D75) = S$3,COUNTIF(D69:D75, $Z$9)  &amp; COUNTIF(D69:D75, $Z$9)+COUNTIF(D69:D75, $Z$10) &amp; COUNTIF(D69:D75, $Z$9)+COUNTIF(D69:D75, $Z$11) &amp; COUNTIF(D69:D75, $Z$9)+COUNTIF(D69:D75, $Z$12) &amp; COUNTIF(D69:D75, $Z$9)+COUNTIF(D69:D75, $Z$13) &amp; COUNTIF(D69:D75, $Z$9)+COUNTIF(D69:D75, $Z$14) &amp; COUNTIF(D69:D75, $Z$9)+COUNTIF(D69:D75, $Z$15) &amp; COUNTIF(D69:D75, $Z$9)+COUNTIF(D69:D75, $Z$16) &amp; COUNTIF(D69:D75, $Z$9)+COUNTIF(D69:D75, $Z$17) &amp; COUNTIF(D69:D75, $Z$9)+COUNTIF(D69:D75, $Z$18) &amp; COUNTIF(D69:D75, $Z$9)+COUNTIF(D69:D75, $Z$19)  &amp; COUNTIF(D69:D75, $Z$9)+COUNTIF(D69:D75, $Z$20) &amp; COUNTIF(D69:D75, $Z$21),"")))))))</f>
        <v/>
      </c>
      <c r="AD75" s="15" t="str">
        <f t="shared" ref="AD75:AD135" si="52">IF(T$3=2,IF(COUNTA(E74:E75) = T$3,COUNTIF(E74:E75, $Z$9)  &amp; COUNTIF(E74:E75, $Z$9)+COUNTIF(E74:E75, $Z$10) &amp; COUNTIF(E74:E75, $Z$9)+COUNTIF(E74:E75, $Z$11) &amp; COUNTIF(E74:E75, $Z$9)+COUNTIF(E74:E75, $Z$12) &amp; COUNTIF(E74:E75, $Z$9)+COUNTIF(E74:E75, $Z$13) &amp; COUNTIF(E74:E75, $Z$9)+COUNTIF(E74:E75, $Z$14) &amp; COUNTIF(E74:E75, $Z$9)+COUNTIF(E74:E75, $Z$15) &amp; COUNTIF(E74:E75, $Z$9)+COUNTIF(E74:E75, $Z$16) &amp; COUNTIF(E74:E75, $Z$9)+COUNTIF(E74:E75, $Z$17) &amp; COUNTIF(E74:E75, $Z$9)+COUNTIF(E74:E75, $Z$18) &amp; COUNTIF(E74:E75, $Z$9)+COUNTIF(E74:E75, $Z$19)  &amp; COUNTIF(E74:E75, $Z$9)+COUNTIF(E74:E75, $Z$20) &amp; COUNTIF(E74:E75, $Z$21),""),
IF(T$3=3,IF(COUNTA(E73:E75) = T$3,COUNTIF(E73:E75, $Z$9)  &amp; COUNTIF(E73:E75, $Z$9)+COUNTIF(E73:E75, $Z$10) &amp; COUNTIF(E73:E75, $Z$9)+COUNTIF(E73:E75, $Z$11) &amp; COUNTIF(E73:E75, $Z$9)+COUNTIF(E73:E75, $Z$12) &amp; COUNTIF(E73:E75, $Z$9)+COUNTIF(E73:E75, $Z$13) &amp; COUNTIF(E73:E75, $Z$9)+COUNTIF(E73:E75, $Z$14) &amp; COUNTIF(E73:E75, $Z$9)+COUNTIF(E73:E75, $Z$15) &amp; COUNTIF(E73:E75, $Z$9)+COUNTIF(E73:E75, $Z$16) &amp; COUNTIF(E73:E75, $Z$9)+COUNTIF(E73:E75, $Z$17) &amp; COUNTIF(E73:E75, $Z$9)+COUNTIF(E73:E75, $Z$18) &amp; COUNTIF(E73:E75, $Z$9)+COUNTIF(E73:E75, $Z$19)  &amp; COUNTIF(E73:E75, $Z$9)+COUNTIF(E73:E75, $Z$20) &amp; COUNTIF(E73:E75, $Z$21),""),
IF(T$3=4,IF(COUNTA(E72:E75) = T$3,COUNTIF(E72:E75, $Z$9)  &amp; COUNTIF(E72:E75, $Z$9)+COUNTIF(E72:E75, $Z$10) &amp; COUNTIF(E72:E75, $Z$9)+COUNTIF(E72:E75, $Z$11) &amp; COUNTIF(E72:E75, $Z$9)+COUNTIF(E72:E75, $Z$12) &amp; COUNTIF(E72:E75, $Z$9)+COUNTIF(E72:E75, $Z$13) &amp; COUNTIF(E72:E75, $Z$9)+COUNTIF(E72:E75, $Z$14) &amp; COUNTIF(E72:E75, $Z$9)+COUNTIF(E72:E75, $Z$15) &amp; COUNTIF(E72:E75, $Z$9)+COUNTIF(E72:E75, $Z$16) &amp; COUNTIF(E72:E75, $Z$9)+COUNTIF(E72:E75, $Z$17) &amp; COUNTIF(E72:E75, $Z$9)+COUNTIF(E72:E75, $Z$18) &amp; COUNTIF(E72:E75, $Z$9)+COUNTIF(E72:E75, $Z$19)  &amp; COUNTIF(E72:E75, $Z$9)+COUNTIF(E72:E75, $Z$20) &amp; COUNTIF(E72:E75, $Z$21),""),
IF(T$3=5,IF(COUNTA(E71:E75) = T$3,COUNTIF(E71:E75, $Z$9)  &amp; COUNTIF(E71:E75, $Z$9)+COUNTIF(E71:E75, $Z$10) &amp; COUNTIF(E71:E75, $Z$9)+COUNTIF(E71:E75, $Z$11) &amp; COUNTIF(E71:E75, $Z$9)+COUNTIF(E71:E75, $Z$12) &amp; COUNTIF(E71:E75, $Z$9)+COUNTIF(E71:E75, $Z$13) &amp; COUNTIF(E71:E75, $Z$9)+COUNTIF(E71:E75, $Z$14) &amp; COUNTIF(E71:E75, $Z$9)+COUNTIF(E71:E75, $Z$15) &amp; COUNTIF(E71:E75, $Z$9)+COUNTIF(E71:E75, $Z$16) &amp; COUNTIF(E71:E75, $Z$9)+COUNTIF(E71:E75, $Z$17) &amp; COUNTIF(E71:E75, $Z$9)+COUNTIF(E71:E75, $Z$18) &amp; COUNTIF(E71:E75, $Z$9)+COUNTIF(E71:E75, $Z$19)  &amp; COUNTIF(E71:E75, $Z$9)+COUNTIF(E71:E75, $Z$20) &amp; COUNTIF(E71:E75, $Z$21),""),
IF(T$3=6,IF(COUNTA(E70:E75) = T$3,COUNTIF(E70:E75, $Z$9)  &amp; COUNTIF(E70:E75, $Z$9)+COUNTIF(E70:E75, $Z$10) &amp; COUNTIF(E70:E75, $Z$9)+COUNTIF(E70:E75, $Z$11) &amp; COUNTIF(E70:E75, $Z$9)+COUNTIF(E70:E75, $Z$12) &amp; COUNTIF(E70:E75, $Z$9)+COUNTIF(E70:E75, $Z$13) &amp; COUNTIF(E70:E75, $Z$9)+COUNTIF(E70:E75, $Z$14) &amp; COUNTIF(E70:E75, $Z$9)+COUNTIF(E70:E75, $Z$15) &amp; COUNTIF(E70:E75, $Z$9)+COUNTIF(E70:E75, $Z$16) &amp; COUNTIF(E70:E75, $Z$9)+COUNTIF(E70:E75, $Z$17) &amp; COUNTIF(E70:E75, $Z$9)+COUNTIF(E70:E75, $Z$18) &amp; COUNTIF(E70:E75, $Z$9)+COUNTIF(E70:E75, $Z$19)  &amp; COUNTIF(E70:E75, $Z$9)+COUNTIF(E70:E75, $Z$20) &amp; COUNTIF(E70:E75, $Z$21),""),
IF(T$3=7,IF(COUNTA(E69:E75) = T$3,COUNTIF(E69:E75, $Z$9)  &amp; COUNTIF(E69:E75, $Z$9)+COUNTIF(E69:E75, $Z$10) &amp; COUNTIF(E69:E75, $Z$9)+COUNTIF(E69:E75, $Z$11) &amp; COUNTIF(E69:E75, $Z$9)+COUNTIF(E69:E75, $Z$12) &amp; COUNTIF(E69:E75, $Z$9)+COUNTIF(E69:E75, $Z$13) &amp; COUNTIF(E69:E75, $Z$9)+COUNTIF(E69:E75, $Z$14) &amp; COUNTIF(E69:E75, $Z$9)+COUNTIF(E69:E75, $Z$15) &amp; COUNTIF(E69:E75, $Z$9)+COUNTIF(E69:E75, $Z$16) &amp; COUNTIF(E69:E75, $Z$9)+COUNTIF(E69:E75, $Z$17) &amp; COUNTIF(E69:E75, $Z$9)+COUNTIF(E69:E75, $Z$18) &amp; COUNTIF(E69:E75, $Z$9)+COUNTIF(E69:E75, $Z$19)  &amp; COUNTIF(E69:E75, $Z$9)+COUNTIF(E69:E75, $Z$20) &amp; COUNTIF(E69:E75, $Z$21),"")))))))</f>
        <v/>
      </c>
      <c r="AE75" s="15" t="str">
        <f t="shared" ref="AE75:AE135" si="53">IF(U$3=2,IF(COUNTA(F74:F75) = U$3,COUNTIF(F74:F75, $Z$9)  &amp; COUNTIF(F74:F75, $Z$9)+COUNTIF(F74:F75, $Z$10) &amp; COUNTIF(F74:F75, $Z$9)+COUNTIF(F74:F75, $Z$11) &amp; COUNTIF(F74:F75, $Z$9)+COUNTIF(F74:F75, $Z$12) &amp; COUNTIF(F74:F75, $Z$9)+COUNTIF(F74:F75, $Z$13) &amp; COUNTIF(F74:F75, $Z$9)+COUNTIF(F74:F75, $Z$14) &amp; COUNTIF(F74:F75, $Z$9)+COUNTIF(F74:F75, $Z$15) &amp; COUNTIF(F74:F75, $Z$9)+COUNTIF(F74:F75, $Z$16) &amp; COUNTIF(F74:F75, $Z$9)+COUNTIF(F74:F75, $Z$17) &amp; COUNTIF(F74:F75, $Z$9)+COUNTIF(F74:F75, $Z$18) &amp; COUNTIF(F74:F75, $Z$9)+COUNTIF(F74:F75, $Z$19)  &amp; COUNTIF(F74:F75, $Z$9)+COUNTIF(F74:F75, $Z$20) &amp; COUNTIF(F74:F75, $Z$21),""),
IF(U$3=3,IF(COUNTA(F73:F75) = U$3,COUNTIF(F73:F75, $Z$9)  &amp; COUNTIF(F73:F75, $Z$9)+COUNTIF(F73:F75, $Z$10) &amp; COUNTIF(F73:F75, $Z$9)+COUNTIF(F73:F75, $Z$11) &amp; COUNTIF(F73:F75, $Z$9)+COUNTIF(F73:F75, $Z$12) &amp; COUNTIF(F73:F75, $Z$9)+COUNTIF(F73:F75, $Z$13) &amp; COUNTIF(F73:F75, $Z$9)+COUNTIF(F73:F75, $Z$14) &amp; COUNTIF(F73:F75, $Z$9)+COUNTIF(F73:F75, $Z$15) &amp; COUNTIF(F73:F75, $Z$9)+COUNTIF(F73:F75, $Z$16) &amp; COUNTIF(F73:F75, $Z$9)+COUNTIF(F73:F75, $Z$17) &amp; COUNTIF(F73:F75, $Z$9)+COUNTIF(F73:F75, $Z$18) &amp; COUNTIF(F73:F75, $Z$9)+COUNTIF(F73:F75, $Z$19)  &amp; COUNTIF(F73:F75, $Z$9)+COUNTIF(F73:F75, $Z$20) &amp; COUNTIF(F73:F75, $Z$21),""),
IF(U$3=4,IF(COUNTA(F72:F75) = U$3,COUNTIF(F72:F75, $Z$9)  &amp; COUNTIF(F72:F75, $Z$9)+COUNTIF(F72:F75, $Z$10) &amp; COUNTIF(F72:F75, $Z$9)+COUNTIF(F72:F75, $Z$11) &amp; COUNTIF(F72:F75, $Z$9)+COUNTIF(F72:F75, $Z$12) &amp; COUNTIF(F72:F75, $Z$9)+COUNTIF(F72:F75, $Z$13) &amp; COUNTIF(F72:F75, $Z$9)+COUNTIF(F72:F75, $Z$14) &amp; COUNTIF(F72:F75, $Z$9)+COUNTIF(F72:F75, $Z$15) &amp; COUNTIF(F72:F75, $Z$9)+COUNTIF(F72:F75, $Z$16) &amp; COUNTIF(F72:F75, $Z$9)+COUNTIF(F72:F75, $Z$17) &amp; COUNTIF(F72:F75, $Z$9)+COUNTIF(F72:F75, $Z$18) &amp; COUNTIF(F72:F75, $Z$9)+COUNTIF(F72:F75, $Z$19)  &amp; COUNTIF(F72:F75, $Z$9)+COUNTIF(F72:F75, $Z$20) &amp; COUNTIF(F72:F75, $Z$21),""),
IF(U$3=5,IF(COUNTA(F71:F75) = U$3,COUNTIF(F71:F75, $Z$9)  &amp; COUNTIF(F71:F75, $Z$9)+COUNTIF(F71:F75, $Z$10) &amp; COUNTIF(F71:F75, $Z$9)+COUNTIF(F71:F75, $Z$11) &amp; COUNTIF(F71:F75, $Z$9)+COUNTIF(F71:F75, $Z$12) &amp; COUNTIF(F71:F75, $Z$9)+COUNTIF(F71:F75, $Z$13) &amp; COUNTIF(F71:F75, $Z$9)+COUNTIF(F71:F75, $Z$14) &amp; COUNTIF(F71:F75, $Z$9)+COUNTIF(F71:F75, $Z$15) &amp; COUNTIF(F71:F75, $Z$9)+COUNTIF(F71:F75, $Z$16) &amp; COUNTIF(F71:F75, $Z$9)+COUNTIF(F71:F75, $Z$17) &amp; COUNTIF(F71:F75, $Z$9)+COUNTIF(F71:F75, $Z$18) &amp; COUNTIF(F71:F75, $Z$9)+COUNTIF(F71:F75, $Z$19)  &amp; COUNTIF(F71:F75, $Z$9)+COUNTIF(F71:F75, $Z$20) &amp; COUNTIF(F71:F75, $Z$21),""),
IF(U$3=6,IF(COUNTA(F70:F75) = U$3,COUNTIF(F70:F75, $Z$9)  &amp; COUNTIF(F70:F75, $Z$9)+COUNTIF(F70:F75, $Z$10) &amp; COUNTIF(F70:F75, $Z$9)+COUNTIF(F70:F75, $Z$11) &amp; COUNTIF(F70:F75, $Z$9)+COUNTIF(F70:F75, $Z$12) &amp; COUNTIF(F70:F75, $Z$9)+COUNTIF(F70:F75, $Z$13) &amp; COUNTIF(F70:F75, $Z$9)+COUNTIF(F70:F75, $Z$14) &amp; COUNTIF(F70:F75, $Z$9)+COUNTIF(F70:F75, $Z$15) &amp; COUNTIF(F70:F75, $Z$9)+COUNTIF(F70:F75, $Z$16) &amp; COUNTIF(F70:F75, $Z$9)+COUNTIF(F70:F75, $Z$17) &amp; COUNTIF(F70:F75, $Z$9)+COUNTIF(F70:F75, $Z$18) &amp; COUNTIF(F70:F75, $Z$9)+COUNTIF(F70:F75, $Z$19)  &amp; COUNTIF(F70:F75, $Z$9)+COUNTIF(F70:F75, $Z$20) &amp; COUNTIF(F70:F75, $Z$21),""),
IF(U$3=7,IF(COUNTA(F69:F75) = U$3,COUNTIF(F69:F75, $Z$9)  &amp; COUNTIF(F69:F75, $Z$9)+COUNTIF(F69:F75, $Z$10) &amp; COUNTIF(F69:F75, $Z$9)+COUNTIF(F69:F75, $Z$11) &amp; COUNTIF(F69:F75, $Z$9)+COUNTIF(F69:F75, $Z$12) &amp; COUNTIF(F69:F75, $Z$9)+COUNTIF(F69:F75, $Z$13) &amp; COUNTIF(F69:F75, $Z$9)+COUNTIF(F69:F75, $Z$14) &amp; COUNTIF(F69:F75, $Z$9)+COUNTIF(F69:F75, $Z$15) &amp; COUNTIF(F69:F75, $Z$9)+COUNTIF(F69:F75, $Z$16) &amp; COUNTIF(F69:F75, $Z$9)+COUNTIF(F69:F75, $Z$17) &amp; COUNTIF(F69:F75, $Z$9)+COUNTIF(F69:F75, $Z$18) &amp; COUNTIF(F69:F75, $Z$9)+COUNTIF(F69:F75, $Z$19)  &amp; COUNTIF(F69:F75, $Z$9)+COUNTIF(F69:F75, $Z$20) &amp; COUNTIF(F69:F75, $Z$21),"")))))))</f>
        <v/>
      </c>
      <c r="AF75" s="15" t="str">
        <f t="shared" ref="AF75:AF135" si="54">IF(V$3=2,IF(COUNTA(G74:G75) = V$3,COUNTIF(G74:G75, $Z$9)  &amp; COUNTIF(G74:G75, $Z$9)+COUNTIF(G74:G75, $Z$10) &amp; COUNTIF(G74:G75, $Z$9)+COUNTIF(G74:G75, $Z$11) &amp; COUNTIF(G74:G75, $Z$9)+COUNTIF(G74:G75, $Z$12) &amp; COUNTIF(G74:G75, $Z$9)+COUNTIF(G74:G75, $Z$13) &amp; COUNTIF(G74:G75, $Z$9)+COUNTIF(G74:G75, $Z$14) &amp; COUNTIF(G74:G75, $Z$9)+COUNTIF(G74:G75, $Z$15) &amp; COUNTIF(G74:G75, $Z$9)+COUNTIF(G74:G75, $Z$16) &amp; COUNTIF(G74:G75, $Z$9)+COUNTIF(G74:G75, $Z$17) &amp; COUNTIF(G74:G75, $Z$9)+COUNTIF(G74:G75, $Z$18) &amp; COUNTIF(G74:G75, $Z$9)+COUNTIF(G74:G75, $Z$19)  &amp; COUNTIF(G74:G75, $Z$9)+COUNTIF(G74:G75, $Z$20) &amp; COUNTIF(G74:G75, $Z$21),""),
IF(V$3=3,IF(COUNTA(G73:G75) = V$3,COUNTIF(G73:G75, $Z$9)  &amp; COUNTIF(G73:G75, $Z$9)+COUNTIF(G73:G75, $Z$10) &amp; COUNTIF(G73:G75, $Z$9)+COUNTIF(G73:G75, $Z$11) &amp; COUNTIF(G73:G75, $Z$9)+COUNTIF(G73:G75, $Z$12) &amp; COUNTIF(G73:G75, $Z$9)+COUNTIF(G73:G75, $Z$13) &amp; COUNTIF(G73:G75, $Z$9)+COUNTIF(G73:G75, $Z$14) &amp; COUNTIF(G73:G75, $Z$9)+COUNTIF(G73:G75, $Z$15) &amp; COUNTIF(G73:G75, $Z$9)+COUNTIF(G73:G75, $Z$16) &amp; COUNTIF(G73:G75, $Z$9)+COUNTIF(G73:G75, $Z$17) &amp; COUNTIF(G73:G75, $Z$9)+COUNTIF(G73:G75, $Z$18) &amp; COUNTIF(G73:G75, $Z$9)+COUNTIF(G73:G75, $Z$19)  &amp; COUNTIF(G73:G75, $Z$9)+COUNTIF(G73:G75, $Z$20) &amp; COUNTIF(G73:G75, $Z$21),""),
IF(V$3=4,IF(COUNTA(G72:G75) = V$3,COUNTIF(G72:G75, $Z$9)  &amp; COUNTIF(G72:G75, $Z$9)+COUNTIF(G72:G75, $Z$10) &amp; COUNTIF(G72:G75, $Z$9)+COUNTIF(G72:G75, $Z$11) &amp; COUNTIF(G72:G75, $Z$9)+COUNTIF(G72:G75, $Z$12) &amp; COUNTIF(G72:G75, $Z$9)+COUNTIF(G72:G75, $Z$13) &amp; COUNTIF(G72:G75, $Z$9)+COUNTIF(G72:G75, $Z$14) &amp; COUNTIF(G72:G75, $Z$9)+COUNTIF(G72:G75, $Z$15) &amp; COUNTIF(G72:G75, $Z$9)+COUNTIF(G72:G75, $Z$16) &amp; COUNTIF(G72:G75, $Z$9)+COUNTIF(G72:G75, $Z$17) &amp; COUNTIF(G72:G75, $Z$9)+COUNTIF(G72:G75, $Z$18) &amp; COUNTIF(G72:G75, $Z$9)+COUNTIF(G72:G75, $Z$19)  &amp; COUNTIF(G72:G75, $Z$9)+COUNTIF(G72:G75, $Z$20) &amp; COUNTIF(G72:G75, $Z$21),""),
IF(V$3=5,IF(COUNTA(G71:G75) = V$3,COUNTIF(G71:G75, $Z$9)  &amp; COUNTIF(G71:G75, $Z$9)+COUNTIF(G71:G75, $Z$10) &amp; COUNTIF(G71:G75, $Z$9)+COUNTIF(G71:G75, $Z$11) &amp; COUNTIF(G71:G75, $Z$9)+COUNTIF(G71:G75, $Z$12) &amp; COUNTIF(G71:G75, $Z$9)+COUNTIF(G71:G75, $Z$13) &amp; COUNTIF(G71:G75, $Z$9)+COUNTIF(G71:G75, $Z$14) &amp; COUNTIF(G71:G75, $Z$9)+COUNTIF(G71:G75, $Z$15) &amp; COUNTIF(G71:G75, $Z$9)+COUNTIF(G71:G75, $Z$16) &amp; COUNTIF(G71:G75, $Z$9)+COUNTIF(G71:G75, $Z$17) &amp; COUNTIF(G71:G75, $Z$9)+COUNTIF(G71:G75, $Z$18) &amp; COUNTIF(G71:G75, $Z$9)+COUNTIF(G71:G75, $Z$19)  &amp; COUNTIF(G71:G75, $Z$9)+COUNTIF(G71:G75, $Z$20) &amp; COUNTIF(G71:G75, $Z$21),""),
IF(V$3=6,IF(COUNTA(G70:G75) = V$3,COUNTIF(G70:G75, $Z$9)  &amp; COUNTIF(G70:G75, $Z$9)+COUNTIF(G70:G75, $Z$10) &amp; COUNTIF(G70:G75, $Z$9)+COUNTIF(G70:G75, $Z$11) &amp; COUNTIF(G70:G75, $Z$9)+COUNTIF(G70:G75, $Z$12) &amp; COUNTIF(G70:G75, $Z$9)+COUNTIF(G70:G75, $Z$13) &amp; COUNTIF(G70:G75, $Z$9)+COUNTIF(G70:G75, $Z$14) &amp; COUNTIF(G70:G75, $Z$9)+COUNTIF(G70:G75, $Z$15) &amp; COUNTIF(G70:G75, $Z$9)+COUNTIF(G70:G75, $Z$16) &amp; COUNTIF(G70:G75, $Z$9)+COUNTIF(G70:G75, $Z$17) &amp; COUNTIF(G70:G75, $Z$9)+COUNTIF(G70:G75, $Z$18) &amp; COUNTIF(G70:G75, $Z$9)+COUNTIF(G70:G75, $Z$19)  &amp; COUNTIF(G70:G75, $Z$9)+COUNTIF(G70:G75, $Z$20) &amp; COUNTIF(G70:G75, $Z$21),""),
IF(V$3=7,IF(COUNTA(G69:G75) = V$3,COUNTIF(G69:G75, $Z$9)  &amp; COUNTIF(G69:G75, $Z$9)+COUNTIF(G69:G75, $Z$10) &amp; COUNTIF(G69:G75, $Z$9)+COUNTIF(G69:G75, $Z$11) &amp; COUNTIF(G69:G75, $Z$9)+COUNTIF(G69:G75, $Z$12) &amp; COUNTIF(G69:G75, $Z$9)+COUNTIF(G69:G75, $Z$13) &amp; COUNTIF(G69:G75, $Z$9)+COUNTIF(G69:G75, $Z$14) &amp; COUNTIF(G69:G75, $Z$9)+COUNTIF(G69:G75, $Z$15) &amp; COUNTIF(G69:G75, $Z$9)+COUNTIF(G69:G75, $Z$16) &amp; COUNTIF(G69:G75, $Z$9)+COUNTIF(G69:G75, $Z$17) &amp; COUNTIF(G69:G75, $Z$9)+COUNTIF(G69:G75, $Z$18) &amp; COUNTIF(G69:G75, $Z$9)+COUNTIF(G69:G75, $Z$19)  &amp; COUNTIF(G69:G75, $Z$9)+COUNTIF(G69:G75, $Z$20) &amp; COUNTIF(G69:G75, $Z$21),"")))))))</f>
        <v/>
      </c>
      <c r="AG75" s="41" t="str">
        <f t="shared" ref="AG75:AG135" si="55">IF(W$3=2,IF(COUNTA(H74:H75) = W$3,COUNTIF(H74:H75, $Z$9)  &amp; COUNTIF(H74:H75, $Z$9)+COUNTIF(H74:H75, $Z$10) &amp; COUNTIF(H74:H75, $Z$9)+COUNTIF(H74:H75, $Z$11) &amp; COUNTIF(H74:H75, $Z$9)+COUNTIF(H74:H75, $Z$12) &amp; COUNTIF(H74:H75, $Z$9)+COUNTIF(H74:H75, $Z$13) &amp; COUNTIF(H74:H75, $Z$9)+COUNTIF(H74:H75, $Z$14) &amp; COUNTIF(H74:H75, $Z$9)+COUNTIF(H74:H75, $Z$15) &amp; COUNTIF(H74:H75, $Z$9)+COUNTIF(H74:H75, $Z$16) &amp; COUNTIF(H74:H75, $Z$9)+COUNTIF(H74:H75, $Z$17) &amp; COUNTIF(H74:H75, $Z$9)+COUNTIF(H74:H75, $Z$18) &amp; COUNTIF(H74:H75, $Z$9)+COUNTIF(H74:H75, $Z$19)  &amp; COUNTIF(H74:H75, $Z$9)+COUNTIF(H74:H75, $Z$20) &amp; COUNTIF(H74:H75, $Z$21),""),
IF(W$3=3,IF(COUNTA(H73:H75) = W$3,COUNTIF(H73:H75, $Z$9)  &amp; COUNTIF(H73:H75, $Z$9)+COUNTIF(H73:H75, $Z$10) &amp; COUNTIF(H73:H75, $Z$9)+COUNTIF(H73:H75, $Z$11) &amp; COUNTIF(H73:H75, $Z$9)+COUNTIF(H73:H75, $Z$12) &amp; COUNTIF(H73:H75, $Z$9)+COUNTIF(H73:H75, $Z$13) &amp; COUNTIF(H73:H75, $Z$9)+COUNTIF(H73:H75, $Z$14) &amp; COUNTIF(H73:H75, $Z$9)+COUNTIF(H73:H75, $Z$15) &amp; COUNTIF(H73:H75, $Z$9)+COUNTIF(H73:H75, $Z$16) &amp; COUNTIF(H73:H75, $Z$9)+COUNTIF(H73:H75, $Z$17) &amp; COUNTIF(H73:H75, $Z$9)+COUNTIF(H73:H75, $Z$18) &amp; COUNTIF(H73:H75, $Z$9)+COUNTIF(H73:H75, $Z$19)  &amp; COUNTIF(H73:H75, $Z$9)+COUNTIF(H73:H75, $Z$20) &amp; COUNTIF(H73:H75, $Z$21),""),
IF(W$3=4,IF(COUNTA(H72:H75) = W$3,COUNTIF(H72:H75, $Z$9)  &amp; COUNTIF(H72:H75, $Z$9)+COUNTIF(H72:H75, $Z$10) &amp; COUNTIF(H72:H75, $Z$9)+COUNTIF(H72:H75, $Z$11) &amp; COUNTIF(H72:H75, $Z$9)+COUNTIF(H72:H75, $Z$12) &amp; COUNTIF(H72:H75, $Z$9)+COUNTIF(H72:H75, $Z$13) &amp; COUNTIF(H72:H75, $Z$9)+COUNTIF(H72:H75, $Z$14) &amp; COUNTIF(H72:H75, $Z$9)+COUNTIF(H72:H75, $Z$15) &amp; COUNTIF(H72:H75, $Z$9)+COUNTIF(H72:H75, $Z$16) &amp; COUNTIF(H72:H75, $Z$9)+COUNTIF(H72:H75, $Z$17) &amp; COUNTIF(H72:H75, $Z$9)+COUNTIF(H72:H75, $Z$18) &amp; COUNTIF(H72:H75, $Z$9)+COUNTIF(H72:H75, $Z$19)  &amp; COUNTIF(H72:H75, $Z$9)+COUNTIF(H72:H75, $Z$20) &amp; COUNTIF(H72:H75, $Z$21),""),
IF(W$3=5,IF(COUNTA(H71:H75) = W$3,COUNTIF(H71:H75, $Z$9)  &amp; COUNTIF(H71:H75, $Z$9)+COUNTIF(H71:H75, $Z$10) &amp; COUNTIF(H71:H75, $Z$9)+COUNTIF(H71:H75, $Z$11) &amp; COUNTIF(H71:H75, $Z$9)+COUNTIF(H71:H75, $Z$12) &amp; COUNTIF(H71:H75, $Z$9)+COUNTIF(H71:H75, $Z$13) &amp; COUNTIF(H71:H75, $Z$9)+COUNTIF(H71:H75, $Z$14) &amp; COUNTIF(H71:H75, $Z$9)+COUNTIF(H71:H75, $Z$15) &amp; COUNTIF(H71:H75, $Z$9)+COUNTIF(H71:H75, $Z$16) &amp; COUNTIF(H71:H75, $Z$9)+COUNTIF(H71:H75, $Z$17) &amp; COUNTIF(H71:H75, $Z$9)+COUNTIF(H71:H75, $Z$18) &amp; COUNTIF(H71:H75, $Z$9)+COUNTIF(H71:H75, $Z$19)  &amp; COUNTIF(H71:H75, $Z$9)+COUNTIF(H71:H75, $Z$20) &amp; COUNTIF(H71:H75, $Z$21),""),
IF(W$3=6,IF(COUNTA(H70:H75) = W$3,COUNTIF(H70:H75, $Z$9)  &amp; COUNTIF(H70:H75, $Z$9)+COUNTIF(H70:H75, $Z$10) &amp; COUNTIF(H70:H75, $Z$9)+COUNTIF(H70:H75, $Z$11) &amp; COUNTIF(H70:H75, $Z$9)+COUNTIF(H70:H75, $Z$12) &amp; COUNTIF(H70:H75, $Z$9)+COUNTIF(H70:H75, $Z$13) &amp; COUNTIF(H70:H75, $Z$9)+COUNTIF(H70:H75, $Z$14) &amp; COUNTIF(H70:H75, $Z$9)+COUNTIF(H70:H75, $Z$15) &amp; COUNTIF(H70:H75, $Z$9)+COUNTIF(H70:H75, $Z$16) &amp; COUNTIF(H70:H75, $Z$9)+COUNTIF(H70:H75, $Z$17) &amp; COUNTIF(H70:H75, $Z$9)+COUNTIF(H70:H75, $Z$18) &amp; COUNTIF(H70:H75, $Z$9)+COUNTIF(H70:H75, $Z$19)  &amp; COUNTIF(H70:H75, $Z$9)+COUNTIF(H70:H75, $Z$20) &amp; COUNTIF(H70:H75, $Z$21),""),
IF(W$3=7,IF(COUNTA(H69:H75) = W$3,COUNTIF(H69:H75, $Z$9)  &amp; COUNTIF(H69:H75, $Z$9)+COUNTIF(H69:H75, $Z$10) &amp; COUNTIF(H69:H75, $Z$9)+COUNTIF(H69:H75, $Z$11) &amp; COUNTIF(H69:H75, $Z$9)+COUNTIF(H69:H75, $Z$12) &amp; COUNTIF(H69:H75, $Z$9)+COUNTIF(H69:H75, $Z$13) &amp; COUNTIF(H69:H75, $Z$9)+COUNTIF(H69:H75, $Z$14) &amp; COUNTIF(H69:H75, $Z$9)+COUNTIF(H69:H75, $Z$15) &amp; COUNTIF(H69:H75, $Z$9)+COUNTIF(H69:H75, $Z$16) &amp; COUNTIF(H69:H75, $Z$9)+COUNTIF(H69:H75, $Z$17) &amp; COUNTIF(H69:H75, $Z$9)+COUNTIF(H69:H75, $Z$18) &amp; COUNTIF(H69:H75, $Z$9)+COUNTIF(H69:H75, $Z$19)  &amp; COUNTIF(H69:H75, $Z$9)+COUNTIF(H69:H75, $Z$20) &amp; COUNTIF(H69:H75, $Z$21),"")))))))</f>
        <v>0000100000100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49"/>
        <v>66</v>
      </c>
      <c r="C76" s="30" t="s">
        <v>132</v>
      </c>
      <c r="D76" s="30"/>
      <c r="E76" s="30"/>
      <c r="F76" s="30"/>
      <c r="G76" s="30"/>
      <c r="H76" s="35" t="s">
        <v>132</v>
      </c>
      <c r="J76" s="34">
        <f t="shared" si="43"/>
        <v>1</v>
      </c>
      <c r="K76" s="30" t="str">
        <f t="shared" si="44"/>
        <v/>
      </c>
      <c r="L76" s="30" t="str">
        <f t="shared" si="45"/>
        <v/>
      </c>
      <c r="M76" s="30" t="str">
        <f t="shared" si="46"/>
        <v/>
      </c>
      <c r="N76" s="30" t="str">
        <f t="shared" si="47"/>
        <v/>
      </c>
      <c r="O76" s="35">
        <f t="shared" si="48"/>
        <v>1</v>
      </c>
      <c r="AB76" s="40" t="str">
        <f t="shared" si="50"/>
        <v>0000001000100</v>
      </c>
      <c r="AC76" s="15" t="str">
        <f t="shared" si="51"/>
        <v/>
      </c>
      <c r="AD76" s="15" t="str">
        <f t="shared" si="52"/>
        <v/>
      </c>
      <c r="AE76" s="15" t="str">
        <f t="shared" si="53"/>
        <v/>
      </c>
      <c r="AF76" s="15" t="str">
        <f t="shared" si="54"/>
        <v/>
      </c>
      <c r="AG76" s="41" t="str">
        <f t="shared" si="55"/>
        <v>0000100000100</v>
      </c>
      <c r="AH76" s="15"/>
      <c r="AI76" s="21">
        <v>5</v>
      </c>
      <c r="AJ76" s="20" t="str">
        <f t="shared" ref="AJ76:AJ81" si="5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49"/>
        <v>67</v>
      </c>
      <c r="C77" s="30" t="s">
        <v>136</v>
      </c>
      <c r="D77" s="30"/>
      <c r="E77" s="30"/>
      <c r="F77" s="30"/>
      <c r="G77" s="30"/>
      <c r="H77" s="35" t="s">
        <v>137</v>
      </c>
      <c r="J77" s="34">
        <f t="shared" si="43"/>
        <v>1</v>
      </c>
      <c r="K77" s="30" t="str">
        <f t="shared" si="44"/>
        <v/>
      </c>
      <c r="L77" s="30" t="str">
        <f t="shared" si="45"/>
        <v/>
      </c>
      <c r="M77" s="30" t="str">
        <f t="shared" si="46"/>
        <v/>
      </c>
      <c r="N77" s="30" t="str">
        <f t="shared" si="47"/>
        <v/>
      </c>
      <c r="O77" s="35">
        <f t="shared" si="48"/>
        <v>1</v>
      </c>
      <c r="AB77" s="40" t="str">
        <f t="shared" si="50"/>
        <v>0000100000100</v>
      </c>
      <c r="AC77" s="15" t="str">
        <f t="shared" si="51"/>
        <v/>
      </c>
      <c r="AD77" s="15" t="str">
        <f t="shared" si="52"/>
        <v/>
      </c>
      <c r="AE77" s="15" t="str">
        <f t="shared" si="53"/>
        <v/>
      </c>
      <c r="AF77" s="15" t="str">
        <f t="shared" si="54"/>
        <v/>
      </c>
      <c r="AG77" s="41" t="str">
        <f t="shared" si="55"/>
        <v>0000010000100</v>
      </c>
      <c r="AH77" s="15"/>
      <c r="AI77" s="21">
        <v>4</v>
      </c>
      <c r="AJ77" s="20" t="str">
        <f t="shared" si="5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49"/>
        <v>68</v>
      </c>
      <c r="C78" s="30" t="s">
        <v>131</v>
      </c>
      <c r="D78" s="30"/>
      <c r="E78" s="30"/>
      <c r="F78" s="30"/>
      <c r="G78" s="30"/>
      <c r="H78" s="35" t="s">
        <v>135</v>
      </c>
      <c r="J78" s="34">
        <f t="shared" si="43"/>
        <v>1</v>
      </c>
      <c r="K78" s="30" t="str">
        <f t="shared" si="44"/>
        <v/>
      </c>
      <c r="L78" s="30" t="str">
        <f t="shared" si="45"/>
        <v/>
      </c>
      <c r="M78" s="30" t="str">
        <f t="shared" si="46"/>
        <v/>
      </c>
      <c r="N78" s="30" t="str">
        <f t="shared" si="47"/>
        <v/>
      </c>
      <c r="O78" s="35">
        <f t="shared" si="48"/>
        <v>1</v>
      </c>
      <c r="AB78" s="40" t="str">
        <f t="shared" si="50"/>
        <v>0100100000000</v>
      </c>
      <c r="AC78" s="15" t="str">
        <f t="shared" si="51"/>
        <v/>
      </c>
      <c r="AD78" s="15" t="str">
        <f t="shared" si="52"/>
        <v/>
      </c>
      <c r="AE78" s="15" t="str">
        <f t="shared" si="53"/>
        <v/>
      </c>
      <c r="AF78" s="15" t="str">
        <f t="shared" si="54"/>
        <v/>
      </c>
      <c r="AG78" s="41" t="str">
        <f t="shared" si="55"/>
        <v>0000010000001</v>
      </c>
      <c r="AH78" s="15"/>
      <c r="AI78" s="21">
        <v>3</v>
      </c>
      <c r="AJ78" s="20" t="str">
        <f t="shared" si="5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49"/>
        <v>69</v>
      </c>
      <c r="C79" s="30" t="s">
        <v>129</v>
      </c>
      <c r="D79" s="30"/>
      <c r="E79" s="30"/>
      <c r="F79" s="30"/>
      <c r="G79" s="30"/>
      <c r="H79" s="35" t="s">
        <v>131</v>
      </c>
      <c r="J79" s="34">
        <f t="shared" si="43"/>
        <v>1</v>
      </c>
      <c r="K79" s="30" t="str">
        <f t="shared" si="44"/>
        <v/>
      </c>
      <c r="L79" s="30" t="str">
        <f t="shared" si="45"/>
        <v/>
      </c>
      <c r="M79" s="30" t="str">
        <f t="shared" si="46"/>
        <v/>
      </c>
      <c r="N79" s="30" t="str">
        <f t="shared" si="47"/>
        <v/>
      </c>
      <c r="O79" s="35">
        <f t="shared" si="48"/>
        <v>1</v>
      </c>
      <c r="AB79" s="40" t="str">
        <f t="shared" si="50"/>
        <v>0100000001000</v>
      </c>
      <c r="AC79" s="15" t="str">
        <f t="shared" si="51"/>
        <v/>
      </c>
      <c r="AD79" s="15" t="str">
        <f t="shared" si="52"/>
        <v/>
      </c>
      <c r="AE79" s="15" t="str">
        <f t="shared" si="53"/>
        <v/>
      </c>
      <c r="AF79" s="15" t="str">
        <f t="shared" si="54"/>
        <v/>
      </c>
      <c r="AG79" s="41" t="str">
        <f t="shared" si="55"/>
        <v>0100000000001</v>
      </c>
      <c r="AH79" s="15"/>
      <c r="AI79" s="21">
        <v>2</v>
      </c>
      <c r="AJ79" s="20" t="str">
        <f t="shared" si="56"/>
        <v>JJ-2</v>
      </c>
      <c r="AK79" s="39" cm="1">
        <f t="array" ref="AK79">SUMPRODUCT(--(MID(AB$10:AB$135, SUMIF($Z$9:$Z$21, LEFT($AJ79,2), $Y$9:$Y$21), 1) = RIGHT($AJ79, 1)), J$10:J$135)</f>
        <v>3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3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49"/>
        <v>70</v>
      </c>
      <c r="C80" s="30" t="s">
        <v>128</v>
      </c>
      <c r="D80" s="30"/>
      <c r="E80" s="30"/>
      <c r="F80" s="30"/>
      <c r="G80" s="30"/>
      <c r="H80" s="35" t="s">
        <v>138</v>
      </c>
      <c r="J80" s="34">
        <f t="shared" si="43"/>
        <v>1</v>
      </c>
      <c r="K80" s="30" t="str">
        <f t="shared" si="44"/>
        <v/>
      </c>
      <c r="L80" s="30" t="str">
        <f t="shared" si="45"/>
        <v/>
      </c>
      <c r="M80" s="30" t="str">
        <f t="shared" si="46"/>
        <v/>
      </c>
      <c r="N80" s="30" t="str">
        <f t="shared" si="47"/>
        <v/>
      </c>
      <c r="O80" s="35">
        <f t="shared" si="48"/>
        <v>1</v>
      </c>
      <c r="AB80" s="40" t="str">
        <f t="shared" si="50"/>
        <v>0000001001000</v>
      </c>
      <c r="AC80" s="15" t="str">
        <f t="shared" si="51"/>
        <v/>
      </c>
      <c r="AD80" s="15" t="str">
        <f t="shared" si="52"/>
        <v/>
      </c>
      <c r="AE80" s="15" t="str">
        <f t="shared" si="53"/>
        <v/>
      </c>
      <c r="AF80" s="15" t="str">
        <f t="shared" si="54"/>
        <v/>
      </c>
      <c r="AG80" s="41" t="str">
        <f t="shared" si="55"/>
        <v>0100000000010</v>
      </c>
      <c r="AH80" s="15"/>
      <c r="AI80" s="21">
        <v>1</v>
      </c>
      <c r="AJ80" s="20" t="str">
        <f t="shared" si="56"/>
        <v>JJ-1</v>
      </c>
      <c r="AK80" s="39" cm="1">
        <f t="array" ref="AK80">SUMPRODUCT(--(MID(AB$10:AB$135, SUMIF($Z$9:$Z$21, LEFT($AJ80,2), $Y$9:$Y$21), 1) = RIGHT($AJ80, 1)), J$10:J$135)</f>
        <v>8</v>
      </c>
      <c r="AL80" s="39" cm="1">
        <f t="array" ref="AL80">SUMPRODUCT(--(MID(AC$10:AC$135, SUMIF($Z$9:$Z$21, LEFT($AJ80,2), $Y$9:$Y$21), 1) = RIGHT($AJ80, 1)), K$10:K$135)</f>
        <v>10</v>
      </c>
      <c r="AM80" s="39" cm="1">
        <f t="array" ref="AM80">SUMPRODUCT(--(MID(AD$10:AD$135, SUMIF($Z$9:$Z$21, LEFT($AJ80,2), $Y$9:$Y$21), 1) = RIGHT($AJ80, 1)), L$10:L$135)</f>
        <v>10</v>
      </c>
      <c r="AN80" s="39" cm="1">
        <f t="array" ref="AN80">SUMPRODUCT(--(MID(AE$10:AE$135, SUMIF($Z$9:$Z$21, LEFT($AJ80,2), $Y$9:$Y$21), 1) = RIGHT($AJ80, 1)), M$10:M$135)</f>
        <v>8</v>
      </c>
      <c r="AO80" s="39" cm="1">
        <f t="array" ref="AO80">SUMPRODUCT(--(MID(AF$10:AF$135, SUMIF($Z$9:$Z$21, LEFT($AJ80,2), $Y$9:$Y$21), 1) = RIGHT($AJ80, 1)), N$10:N$135)</f>
        <v>6</v>
      </c>
      <c r="AP80" s="19" cm="1">
        <f t="array" ref="AP80">SUMPRODUCT(--(MID(AG$10:AG$135, SUMIF($Z$9:$Z$21, LEFT($AJ80,2), $Y$9:$Y$21), 1) = RIGHT($AJ80, 1)), O$10:O$135)</f>
        <v>6</v>
      </c>
    </row>
    <row r="81" spans="2:42">
      <c r="B81" s="34">
        <f t="shared" si="49"/>
        <v>71</v>
      </c>
      <c r="C81" s="30" t="s">
        <v>138</v>
      </c>
      <c r="D81" s="30"/>
      <c r="E81" s="30"/>
      <c r="F81" s="30"/>
      <c r="G81" s="30"/>
      <c r="H81" s="35" t="s">
        <v>129</v>
      </c>
      <c r="J81" s="34">
        <f t="shared" si="43"/>
        <v>1</v>
      </c>
      <c r="K81" s="30" t="str">
        <f t="shared" si="44"/>
        <v/>
      </c>
      <c r="L81" s="30" t="str">
        <f t="shared" si="45"/>
        <v/>
      </c>
      <c r="M81" s="30" t="str">
        <f t="shared" si="46"/>
        <v/>
      </c>
      <c r="N81" s="30" t="str">
        <f t="shared" si="47"/>
        <v/>
      </c>
      <c r="O81" s="35">
        <f t="shared" si="48"/>
        <v>1</v>
      </c>
      <c r="AB81" s="40" t="str">
        <f t="shared" si="50"/>
        <v>0000001000010</v>
      </c>
      <c r="AC81" s="15" t="str">
        <f t="shared" si="51"/>
        <v/>
      </c>
      <c r="AD81" s="15" t="str">
        <f t="shared" si="52"/>
        <v/>
      </c>
      <c r="AE81" s="15" t="str">
        <f t="shared" si="53"/>
        <v/>
      </c>
      <c r="AF81" s="15" t="str">
        <f t="shared" si="54"/>
        <v/>
      </c>
      <c r="AG81" s="41" t="str">
        <f t="shared" si="55"/>
        <v>0000000001010</v>
      </c>
      <c r="AH81" s="15"/>
      <c r="AI81" s="21">
        <v>0</v>
      </c>
      <c r="AJ81" s="20" t="str">
        <f t="shared" si="56"/>
        <v>JJ-0</v>
      </c>
      <c r="AK81" s="39" cm="1">
        <f t="array" ref="AK81">SUMPRODUCT(--(MID(AB$10:AB$135, SUMIF($Z$9:$Z$21, LEFT($AJ81,2), $Y$9:$Y$21), 1) = RIGHT($AJ81, 1)), J$10:J$135)</f>
        <v>62</v>
      </c>
      <c r="AL81" s="39" cm="1">
        <f t="array" ref="AL81">SUMPRODUCT(--(MID(AC$10:AC$135, SUMIF($Z$9:$Z$21, LEFT($AJ81,2), $Y$9:$Y$21), 1) = RIGHT($AJ81, 1)), K$10:K$135)</f>
        <v>50</v>
      </c>
      <c r="AM81" s="39" cm="1">
        <f t="array" ref="AM81">SUMPRODUCT(--(MID(AD$10:AD$135, SUMIF($Z$9:$Z$21, LEFT($AJ81,2), $Y$9:$Y$21), 1) = RIGHT($AJ81, 1)), L$10:L$135)</f>
        <v>31</v>
      </c>
      <c r="AN81" s="39" cm="1">
        <f t="array" ref="AN81">SUMPRODUCT(--(MID(AE$10:AE$135, SUMIF($Z$9:$Z$21, LEFT($AJ81,2), $Y$9:$Y$21), 1) = RIGHT($AJ81, 1)), M$10:M$135)</f>
        <v>49</v>
      </c>
      <c r="AO81" s="39" cm="1">
        <f t="array" ref="AO81">SUMPRODUCT(--(MID(AF$10:AF$135, SUMIF($Z$9:$Z$21, LEFT($AJ81,2), $Y$9:$Y$21), 1) = RIGHT($AJ81, 1)), N$10:N$135)</f>
        <v>30</v>
      </c>
      <c r="AP81" s="19" cm="1">
        <f t="array" ref="AP81">SUMPRODUCT(--(MID(AG$10:AG$135, SUMIF($Z$9:$Z$21, LEFT($AJ81,2), $Y$9:$Y$21), 1) = RIGHT($AJ81, 1)), O$10:O$135)</f>
        <v>75</v>
      </c>
    </row>
    <row r="82" spans="2:42">
      <c r="B82" s="34">
        <f t="shared" si="49"/>
        <v>72</v>
      </c>
      <c r="C82" s="30" t="s">
        <v>136</v>
      </c>
      <c r="D82" s="30"/>
      <c r="E82" s="30"/>
      <c r="F82" s="30"/>
      <c r="G82" s="30"/>
      <c r="H82" s="35" t="s">
        <v>134</v>
      </c>
      <c r="J82" s="34">
        <f t="shared" si="43"/>
        <v>1</v>
      </c>
      <c r="K82" s="30" t="str">
        <f t="shared" si="44"/>
        <v/>
      </c>
      <c r="L82" s="30" t="str">
        <f t="shared" si="45"/>
        <v/>
      </c>
      <c r="M82" s="30" t="str">
        <f t="shared" si="46"/>
        <v/>
      </c>
      <c r="N82" s="30" t="str">
        <f t="shared" si="47"/>
        <v/>
      </c>
      <c r="O82" s="35">
        <f t="shared" si="48"/>
        <v>1</v>
      </c>
      <c r="AB82" s="40" t="str">
        <f t="shared" si="50"/>
        <v>0000100000010</v>
      </c>
      <c r="AC82" s="15" t="str">
        <f t="shared" si="51"/>
        <v/>
      </c>
      <c r="AD82" s="15" t="str">
        <f t="shared" si="52"/>
        <v/>
      </c>
      <c r="AE82" s="15" t="str">
        <f t="shared" si="53"/>
        <v/>
      </c>
      <c r="AF82" s="15" t="str">
        <f t="shared" si="54"/>
        <v/>
      </c>
      <c r="AG82" s="41" t="str">
        <f t="shared" si="55"/>
        <v>0001000001000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49"/>
        <v>73</v>
      </c>
      <c r="C83" s="30"/>
      <c r="D83" s="30"/>
      <c r="E83" s="30"/>
      <c r="F83" s="30"/>
      <c r="G83" s="30"/>
      <c r="H83" s="35" t="s">
        <v>128</v>
      </c>
      <c r="J83" s="34" t="str">
        <f t="shared" si="43"/>
        <v/>
      </c>
      <c r="K83" s="30" t="str">
        <f t="shared" si="44"/>
        <v/>
      </c>
      <c r="L83" s="30" t="str">
        <f t="shared" si="45"/>
        <v/>
      </c>
      <c r="M83" s="30" t="str">
        <f t="shared" si="46"/>
        <v/>
      </c>
      <c r="N83" s="30" t="str">
        <f t="shared" si="47"/>
        <v/>
      </c>
      <c r="O83" s="35">
        <f t="shared" si="48"/>
        <v>1</v>
      </c>
      <c r="AB83" s="40" t="str">
        <f t="shared" si="50"/>
        <v/>
      </c>
      <c r="AC83" s="15" t="str">
        <f t="shared" si="51"/>
        <v/>
      </c>
      <c r="AD83" s="15" t="str">
        <f t="shared" si="52"/>
        <v/>
      </c>
      <c r="AE83" s="15" t="str">
        <f t="shared" si="53"/>
        <v/>
      </c>
      <c r="AF83" s="15" t="str">
        <f t="shared" si="54"/>
        <v/>
      </c>
      <c r="AG83" s="41" t="str">
        <f t="shared" si="55"/>
        <v>0001001000000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49"/>
        <v>74</v>
      </c>
      <c r="C84" s="30"/>
      <c r="D84" s="30"/>
      <c r="E84" s="30"/>
      <c r="F84" s="30"/>
      <c r="G84" s="30"/>
      <c r="H84" s="35" t="s">
        <v>133</v>
      </c>
      <c r="J84" s="34" t="str">
        <f t="shared" si="43"/>
        <v/>
      </c>
      <c r="K84" s="30" t="str">
        <f t="shared" si="44"/>
        <v/>
      </c>
      <c r="L84" s="30" t="str">
        <f t="shared" si="45"/>
        <v/>
      </c>
      <c r="M84" s="30" t="str">
        <f t="shared" si="46"/>
        <v/>
      </c>
      <c r="N84" s="30" t="str">
        <f t="shared" si="47"/>
        <v/>
      </c>
      <c r="O84" s="35">
        <f t="shared" si="48"/>
        <v>1</v>
      </c>
      <c r="AB84" s="40" t="str">
        <f t="shared" si="50"/>
        <v/>
      </c>
      <c r="AC84" s="15" t="str">
        <f t="shared" si="51"/>
        <v/>
      </c>
      <c r="AD84" s="15" t="str">
        <f t="shared" si="52"/>
        <v/>
      </c>
      <c r="AE84" s="15" t="str">
        <f t="shared" si="53"/>
        <v/>
      </c>
      <c r="AF84" s="15" t="str">
        <f t="shared" si="54"/>
        <v/>
      </c>
      <c r="AG84" s="41" t="str">
        <f t="shared" si="55"/>
        <v>0000001100000</v>
      </c>
      <c r="AH84" s="15"/>
      <c r="AI84" s="21">
        <v>5</v>
      </c>
      <c r="AJ84" s="20" t="str">
        <f t="shared" ref="AJ84:AJ89" si="5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49"/>
        <v>75</v>
      </c>
      <c r="C85" s="30"/>
      <c r="D85" s="30"/>
      <c r="E85" s="30"/>
      <c r="F85" s="30"/>
      <c r="G85" s="30"/>
      <c r="H85" s="35" t="s">
        <v>136</v>
      </c>
      <c r="J85" s="34" t="str">
        <f t="shared" si="43"/>
        <v/>
      </c>
      <c r="K85" s="30" t="str">
        <f t="shared" si="44"/>
        <v/>
      </c>
      <c r="L85" s="30" t="str">
        <f t="shared" si="45"/>
        <v/>
      </c>
      <c r="M85" s="30" t="str">
        <f t="shared" si="46"/>
        <v/>
      </c>
      <c r="N85" s="30" t="str">
        <f t="shared" si="47"/>
        <v/>
      </c>
      <c r="O85" s="35">
        <f t="shared" si="48"/>
        <v>1</v>
      </c>
      <c r="AB85" s="40" t="str">
        <f t="shared" si="50"/>
        <v/>
      </c>
      <c r="AC85" s="15" t="str">
        <f t="shared" si="51"/>
        <v/>
      </c>
      <c r="AD85" s="15" t="str">
        <f t="shared" si="52"/>
        <v/>
      </c>
      <c r="AE85" s="15" t="str">
        <f t="shared" si="53"/>
        <v/>
      </c>
      <c r="AF85" s="15" t="str">
        <f t="shared" si="54"/>
        <v/>
      </c>
      <c r="AG85" s="41" t="str">
        <f t="shared" si="55"/>
        <v>0000100100000</v>
      </c>
      <c r="AH85" s="15"/>
      <c r="AI85" s="21">
        <v>4</v>
      </c>
      <c r="AJ85" s="20" t="str">
        <f t="shared" si="5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49"/>
        <v>76</v>
      </c>
      <c r="C86" s="30"/>
      <c r="D86" s="30"/>
      <c r="E86" s="30"/>
      <c r="F86" s="30"/>
      <c r="G86" s="30"/>
      <c r="H86" s="35" t="s">
        <v>128</v>
      </c>
      <c r="J86" s="34" t="str">
        <f t="shared" si="43"/>
        <v/>
      </c>
      <c r="K86" s="30" t="str">
        <f t="shared" si="44"/>
        <v/>
      </c>
      <c r="L86" s="30" t="str">
        <f t="shared" si="45"/>
        <v/>
      </c>
      <c r="M86" s="30" t="str">
        <f t="shared" si="46"/>
        <v/>
      </c>
      <c r="N86" s="30" t="str">
        <f t="shared" si="47"/>
        <v/>
      </c>
      <c r="O86" s="35">
        <f t="shared" si="48"/>
        <v>1</v>
      </c>
      <c r="AB86" s="40" t="str">
        <f t="shared" si="50"/>
        <v/>
      </c>
      <c r="AC86" s="15" t="str">
        <f t="shared" si="51"/>
        <v/>
      </c>
      <c r="AD86" s="15" t="str">
        <f t="shared" si="52"/>
        <v/>
      </c>
      <c r="AE86" s="15" t="str">
        <f t="shared" si="53"/>
        <v/>
      </c>
      <c r="AF86" s="15" t="str">
        <f t="shared" si="54"/>
        <v/>
      </c>
      <c r="AG86" s="41" t="str">
        <f t="shared" si="55"/>
        <v>0000101000000</v>
      </c>
      <c r="AH86" s="15"/>
      <c r="AI86" s="21">
        <v>3</v>
      </c>
      <c r="AJ86" s="20" t="str">
        <f t="shared" si="5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49"/>
        <v>77</v>
      </c>
      <c r="C87" s="30"/>
      <c r="D87" s="30"/>
      <c r="E87" s="30"/>
      <c r="F87" s="30"/>
      <c r="G87" s="30"/>
      <c r="H87" s="35" t="s">
        <v>134</v>
      </c>
      <c r="J87" s="34" t="str">
        <f t="shared" si="43"/>
        <v/>
      </c>
      <c r="K87" s="30" t="str">
        <f t="shared" si="44"/>
        <v/>
      </c>
      <c r="L87" s="30" t="str">
        <f t="shared" si="45"/>
        <v/>
      </c>
      <c r="M87" s="30" t="str">
        <f t="shared" si="46"/>
        <v/>
      </c>
      <c r="N87" s="30" t="str">
        <f t="shared" si="47"/>
        <v/>
      </c>
      <c r="O87" s="35">
        <f t="shared" si="48"/>
        <v>1</v>
      </c>
      <c r="AB87" s="40" t="str">
        <f t="shared" si="50"/>
        <v/>
      </c>
      <c r="AC87" s="15" t="str">
        <f t="shared" si="51"/>
        <v/>
      </c>
      <c r="AD87" s="15" t="str">
        <f t="shared" si="52"/>
        <v/>
      </c>
      <c r="AE87" s="15" t="str">
        <f t="shared" si="53"/>
        <v/>
      </c>
      <c r="AF87" s="15" t="str">
        <f t="shared" si="54"/>
        <v/>
      </c>
      <c r="AG87" s="41" t="str">
        <f t="shared" si="55"/>
        <v>0001001000000</v>
      </c>
      <c r="AH87" s="15"/>
      <c r="AI87" s="21">
        <v>2</v>
      </c>
      <c r="AJ87" s="20" t="str">
        <f t="shared" si="5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5</v>
      </c>
      <c r="AN87" s="39" cm="1">
        <f t="array" ref="AN87">SUMPRODUCT(--(MID(AE$10:AE$135, SUMIF($Z$9:$Z$21, LEFT($AJ87,2), $Y$9:$Y$21), 1) = RIGHT($AJ87, 1)), M$10:M$135)</f>
        <v>3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49"/>
        <v>78</v>
      </c>
      <c r="C88" s="30"/>
      <c r="D88" s="30"/>
      <c r="E88" s="30"/>
      <c r="F88" s="30"/>
      <c r="G88" s="30"/>
      <c r="H88" s="35" t="s">
        <v>133</v>
      </c>
      <c r="J88" s="34" t="str">
        <f t="shared" si="43"/>
        <v/>
      </c>
      <c r="K88" s="30" t="str">
        <f t="shared" si="44"/>
        <v/>
      </c>
      <c r="L88" s="30" t="str">
        <f t="shared" si="45"/>
        <v/>
      </c>
      <c r="M88" s="30" t="str">
        <f t="shared" si="46"/>
        <v/>
      </c>
      <c r="N88" s="30" t="str">
        <f t="shared" si="47"/>
        <v/>
      </c>
      <c r="O88" s="35">
        <f t="shared" si="48"/>
        <v>1</v>
      </c>
      <c r="AB88" s="40" t="str">
        <f t="shared" si="50"/>
        <v/>
      </c>
      <c r="AC88" s="15" t="str">
        <f t="shared" si="51"/>
        <v/>
      </c>
      <c r="AD88" s="15" t="str">
        <f t="shared" si="52"/>
        <v/>
      </c>
      <c r="AE88" s="15" t="str">
        <f t="shared" si="53"/>
        <v/>
      </c>
      <c r="AF88" s="15" t="str">
        <f t="shared" si="54"/>
        <v/>
      </c>
      <c r="AG88" s="41" t="str">
        <f t="shared" si="55"/>
        <v>0001000100000</v>
      </c>
      <c r="AH88" s="15"/>
      <c r="AI88" s="21">
        <v>1</v>
      </c>
      <c r="AJ88" s="20" t="str">
        <f t="shared" si="57"/>
        <v>KK-1</v>
      </c>
      <c r="AK88" s="39" cm="1">
        <f t="array" ref="AK88">SUMPRODUCT(--(MID(AB$10:AB$135, SUMIF($Z$9:$Z$21, LEFT($AJ88,2), $Y$9:$Y$21), 1) = RIGHT($AJ88, 1)), J$10:J$135)</f>
        <v>10</v>
      </c>
      <c r="AL88" s="39" cm="1">
        <f t="array" ref="AL88">SUMPRODUCT(--(MID(AC$10:AC$135, SUMIF($Z$9:$Z$21, LEFT($AJ88,2), $Y$9:$Y$21), 1) = RIGHT($AJ88, 1)), K$10:K$135)</f>
        <v>16</v>
      </c>
      <c r="AM88" s="39" cm="1">
        <f t="array" ref="AM88">SUMPRODUCT(--(MID(AD$10:AD$135, SUMIF($Z$9:$Z$21, LEFT($AJ88,2), $Y$9:$Y$21), 1) = RIGHT($AJ88, 1)), L$10:L$135)</f>
        <v>10</v>
      </c>
      <c r="AN88" s="39" cm="1">
        <f t="array" ref="AN88">SUMPRODUCT(--(MID(AE$10:AE$135, SUMIF($Z$9:$Z$21, LEFT($AJ88,2), $Y$9:$Y$21), 1) = RIGHT($AJ88, 1)), M$10:M$135)</f>
        <v>6</v>
      </c>
      <c r="AO88" s="39" cm="1">
        <f t="array" ref="AO88">SUMPRODUCT(--(MID(AF$10:AF$135, SUMIF($Z$9:$Z$21, LEFT($AJ88,2), $Y$9:$Y$21), 1) = RIGHT($AJ88, 1)), N$10:N$135)</f>
        <v>8</v>
      </c>
      <c r="AP88" s="19" cm="1">
        <f t="array" ref="AP88">SUMPRODUCT(--(MID(AG$10:AG$135, SUMIF($Z$9:$Z$21, LEFT($AJ88,2), $Y$9:$Y$21), 1) = RIGHT($AJ88, 1)), O$10:O$135)</f>
        <v>14</v>
      </c>
    </row>
    <row r="89" spans="2:42">
      <c r="B89" s="34">
        <f t="shared" si="49"/>
        <v>79</v>
      </c>
      <c r="C89" s="30"/>
      <c r="D89" s="30"/>
      <c r="E89" s="30"/>
      <c r="F89" s="30"/>
      <c r="G89" s="30"/>
      <c r="H89" s="35" t="s">
        <v>134</v>
      </c>
      <c r="J89" s="34" t="str">
        <f t="shared" si="43"/>
        <v/>
      </c>
      <c r="K89" s="30" t="str">
        <f t="shared" si="44"/>
        <v/>
      </c>
      <c r="L89" s="30" t="str">
        <f t="shared" si="45"/>
        <v/>
      </c>
      <c r="M89" s="30" t="str">
        <f t="shared" si="46"/>
        <v/>
      </c>
      <c r="N89" s="30" t="str">
        <f t="shared" si="47"/>
        <v/>
      </c>
      <c r="O89" s="35">
        <f t="shared" si="48"/>
        <v>1</v>
      </c>
      <c r="AB89" s="40" t="str">
        <f t="shared" si="50"/>
        <v/>
      </c>
      <c r="AC89" s="15" t="str">
        <f t="shared" si="51"/>
        <v/>
      </c>
      <c r="AD89" s="15" t="str">
        <f t="shared" si="52"/>
        <v/>
      </c>
      <c r="AE89" s="15" t="str">
        <f t="shared" si="53"/>
        <v/>
      </c>
      <c r="AF89" s="15" t="str">
        <f t="shared" si="54"/>
        <v/>
      </c>
      <c r="AG89" s="41" t="str">
        <f t="shared" si="55"/>
        <v>0001000100000</v>
      </c>
      <c r="AH89" s="15"/>
      <c r="AI89" s="21">
        <v>0</v>
      </c>
      <c r="AJ89" s="20" t="str">
        <f t="shared" si="57"/>
        <v>KK-0</v>
      </c>
      <c r="AK89" s="39" cm="1">
        <f t="array" ref="AK89">SUMPRODUCT(--(MID(AB$10:AB$135, SUMIF($Z$9:$Z$21, LEFT($AJ89,2), $Y$9:$Y$21), 1) = RIGHT($AJ89, 1)), J$10:J$135)</f>
        <v>61</v>
      </c>
      <c r="AL89" s="39" cm="1">
        <f t="array" ref="AL89">SUMPRODUCT(--(MID(AC$10:AC$135, SUMIF($Z$9:$Z$21, LEFT($AJ89,2), $Y$9:$Y$21), 1) = RIGHT($AJ89, 1)), K$10:K$135)</f>
        <v>44</v>
      </c>
      <c r="AM89" s="39" cm="1">
        <f t="array" ref="AM89">SUMPRODUCT(--(MID(AD$10:AD$135, SUMIF($Z$9:$Z$21, LEFT($AJ89,2), $Y$9:$Y$21), 1) = RIGHT($AJ89, 1)), L$10:L$135)</f>
        <v>29</v>
      </c>
      <c r="AN89" s="39" cm="1">
        <f t="array" ref="AN89">SUMPRODUCT(--(MID(AE$10:AE$135, SUMIF($Z$9:$Z$21, LEFT($AJ89,2), $Y$9:$Y$21), 1) = RIGHT($AJ89, 1)), M$10:M$135)</f>
        <v>50</v>
      </c>
      <c r="AO89" s="39" cm="1">
        <f t="array" ref="AO89">SUMPRODUCT(--(MID(AF$10:AF$135, SUMIF($Z$9:$Z$21, LEFT($AJ89,2), $Y$9:$Y$21), 1) = RIGHT($AJ89, 1)), N$10:N$135)</f>
        <v>28</v>
      </c>
      <c r="AP89" s="19" cm="1">
        <f t="array" ref="AP89">SUMPRODUCT(--(MID(AG$10:AG$135, SUMIF($Z$9:$Z$21, LEFT($AJ89,2), $Y$9:$Y$21), 1) = RIGHT($AJ89, 1)), O$10:O$135)</f>
        <v>67</v>
      </c>
    </row>
    <row r="90" spans="2:42">
      <c r="B90" s="34">
        <f t="shared" si="49"/>
        <v>80</v>
      </c>
      <c r="C90" s="30"/>
      <c r="D90" s="30"/>
      <c r="E90" s="30"/>
      <c r="F90" s="30"/>
      <c r="G90" s="30"/>
      <c r="H90" s="35" t="s">
        <v>133</v>
      </c>
      <c r="J90" s="34" t="str">
        <f t="shared" si="43"/>
        <v/>
      </c>
      <c r="K90" s="30" t="str">
        <f t="shared" si="44"/>
        <v/>
      </c>
      <c r="L90" s="30" t="str">
        <f t="shared" si="45"/>
        <v/>
      </c>
      <c r="M90" s="30" t="str">
        <f t="shared" si="46"/>
        <v/>
      </c>
      <c r="N90" s="30" t="str">
        <f t="shared" si="47"/>
        <v/>
      </c>
      <c r="O90" s="35">
        <f t="shared" si="48"/>
        <v>1</v>
      </c>
      <c r="AB90" s="40" t="str">
        <f t="shared" si="50"/>
        <v/>
      </c>
      <c r="AC90" s="15" t="str">
        <f t="shared" si="51"/>
        <v/>
      </c>
      <c r="AD90" s="15" t="str">
        <f t="shared" si="52"/>
        <v/>
      </c>
      <c r="AE90" s="15" t="str">
        <f t="shared" si="53"/>
        <v/>
      </c>
      <c r="AF90" s="15" t="str">
        <f t="shared" si="54"/>
        <v/>
      </c>
      <c r="AG90" s="41" t="str">
        <f t="shared" si="55"/>
        <v>0001000100000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49"/>
        <v>81</v>
      </c>
      <c r="C91" s="30"/>
      <c r="D91" s="30"/>
      <c r="E91" s="30"/>
      <c r="F91" s="30"/>
      <c r="G91" s="30"/>
      <c r="H91" s="35" t="s">
        <v>134</v>
      </c>
      <c r="J91" s="34" t="str">
        <f t="shared" si="43"/>
        <v/>
      </c>
      <c r="K91" s="30" t="str">
        <f t="shared" si="44"/>
        <v/>
      </c>
      <c r="L91" s="30" t="str">
        <f t="shared" si="45"/>
        <v/>
      </c>
      <c r="M91" s="30" t="str">
        <f t="shared" si="46"/>
        <v/>
      </c>
      <c r="N91" s="30" t="str">
        <f t="shared" si="47"/>
        <v/>
      </c>
      <c r="O91" s="35">
        <f t="shared" si="48"/>
        <v>1</v>
      </c>
      <c r="AB91" s="40" t="str">
        <f t="shared" si="50"/>
        <v/>
      </c>
      <c r="AC91" s="15" t="str">
        <f t="shared" si="51"/>
        <v/>
      </c>
      <c r="AD91" s="15" t="str">
        <f t="shared" si="52"/>
        <v/>
      </c>
      <c r="AE91" s="15" t="str">
        <f t="shared" si="53"/>
        <v/>
      </c>
      <c r="AF91" s="15" t="str">
        <f t="shared" si="54"/>
        <v/>
      </c>
      <c r="AG91" s="41" t="str">
        <f t="shared" si="55"/>
        <v>0001000100000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49"/>
        <v>82</v>
      </c>
      <c r="C92" s="30"/>
      <c r="D92" s="30"/>
      <c r="E92" s="30"/>
      <c r="F92" s="30"/>
      <c r="G92" s="30"/>
      <c r="H92" s="35" t="s">
        <v>132</v>
      </c>
      <c r="J92" s="34" t="str">
        <f t="shared" si="43"/>
        <v/>
      </c>
      <c r="K92" s="30" t="str">
        <f t="shared" si="44"/>
        <v/>
      </c>
      <c r="L92" s="30" t="str">
        <f t="shared" si="45"/>
        <v/>
      </c>
      <c r="M92" s="30" t="str">
        <f t="shared" si="46"/>
        <v/>
      </c>
      <c r="N92" s="30" t="str">
        <f t="shared" si="47"/>
        <v/>
      </c>
      <c r="O92" s="35">
        <f t="shared" si="48"/>
        <v>1</v>
      </c>
      <c r="AB92" s="40" t="str">
        <f t="shared" si="50"/>
        <v/>
      </c>
      <c r="AC92" s="15" t="str">
        <f t="shared" si="51"/>
        <v/>
      </c>
      <c r="AD92" s="15" t="str">
        <f t="shared" si="52"/>
        <v/>
      </c>
      <c r="AE92" s="15" t="str">
        <f t="shared" si="53"/>
        <v/>
      </c>
      <c r="AF92" s="15" t="str">
        <f t="shared" si="54"/>
        <v/>
      </c>
      <c r="AG92" s="41" t="str">
        <f t="shared" si="55"/>
        <v>0001000000100</v>
      </c>
      <c r="AH92" s="15"/>
      <c r="AI92" s="21">
        <v>5</v>
      </c>
      <c r="AJ92" s="20" t="str">
        <f t="shared" ref="AJ92:AJ97" si="5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49"/>
        <v>83</v>
      </c>
      <c r="C93" s="30"/>
      <c r="D93" s="30"/>
      <c r="E93" s="30"/>
      <c r="F93" s="30"/>
      <c r="G93" s="30"/>
      <c r="H93" s="35"/>
      <c r="J93" s="34" t="str">
        <f t="shared" si="43"/>
        <v/>
      </c>
      <c r="K93" s="30" t="str">
        <f t="shared" si="44"/>
        <v/>
      </c>
      <c r="L93" s="30" t="str">
        <f t="shared" si="45"/>
        <v/>
      </c>
      <c r="M93" s="30" t="str">
        <f t="shared" si="46"/>
        <v/>
      </c>
      <c r="N93" s="30" t="str">
        <f t="shared" si="47"/>
        <v/>
      </c>
      <c r="O93" s="35" t="str">
        <f t="shared" si="48"/>
        <v/>
      </c>
      <c r="AB93" s="40" t="str">
        <f t="shared" si="50"/>
        <v/>
      </c>
      <c r="AC93" s="15" t="str">
        <f t="shared" si="51"/>
        <v/>
      </c>
      <c r="AD93" s="15" t="str">
        <f t="shared" si="52"/>
        <v/>
      </c>
      <c r="AE93" s="15" t="str">
        <f t="shared" si="53"/>
        <v/>
      </c>
      <c r="AF93" s="15" t="str">
        <f t="shared" si="54"/>
        <v/>
      </c>
      <c r="AG93" s="41" t="str">
        <f t="shared" si="55"/>
        <v/>
      </c>
      <c r="AH93" s="15"/>
      <c r="AI93" s="21">
        <v>4</v>
      </c>
      <c r="AJ93" s="20" t="str">
        <f t="shared" si="5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49"/>
        <v>84</v>
      </c>
      <c r="C94" s="30"/>
      <c r="D94" s="30"/>
      <c r="E94" s="30"/>
      <c r="F94" s="30"/>
      <c r="G94" s="30"/>
      <c r="H94" s="35"/>
      <c r="J94" s="34" t="str">
        <f t="shared" si="43"/>
        <v/>
      </c>
      <c r="K94" s="30" t="str">
        <f t="shared" si="44"/>
        <v/>
      </c>
      <c r="L94" s="30" t="str">
        <f t="shared" si="45"/>
        <v/>
      </c>
      <c r="M94" s="30" t="str">
        <f t="shared" si="46"/>
        <v/>
      </c>
      <c r="N94" s="30" t="str">
        <f t="shared" si="47"/>
        <v/>
      </c>
      <c r="O94" s="35" t="str">
        <f t="shared" si="48"/>
        <v/>
      </c>
      <c r="AB94" s="40" t="str">
        <f t="shared" si="50"/>
        <v/>
      </c>
      <c r="AC94" s="15" t="str">
        <f t="shared" si="51"/>
        <v/>
      </c>
      <c r="AD94" s="15" t="str">
        <f t="shared" si="52"/>
        <v/>
      </c>
      <c r="AE94" s="15" t="str">
        <f t="shared" si="53"/>
        <v/>
      </c>
      <c r="AF94" s="15" t="str">
        <f t="shared" si="54"/>
        <v/>
      </c>
      <c r="AG94" s="41" t="str">
        <f t="shared" si="55"/>
        <v/>
      </c>
      <c r="AH94" s="15"/>
      <c r="AI94" s="21">
        <v>3</v>
      </c>
      <c r="AJ94" s="20" t="str">
        <f t="shared" si="5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49"/>
        <v>85</v>
      </c>
      <c r="C95" s="30"/>
      <c r="D95" s="30"/>
      <c r="E95" s="30"/>
      <c r="F95" s="30"/>
      <c r="G95" s="30"/>
      <c r="H95" s="35"/>
      <c r="J95" s="34" t="str">
        <f t="shared" si="43"/>
        <v/>
      </c>
      <c r="K95" s="30" t="str">
        <f t="shared" si="44"/>
        <v/>
      </c>
      <c r="L95" s="30" t="str">
        <f t="shared" si="45"/>
        <v/>
      </c>
      <c r="M95" s="30" t="str">
        <f t="shared" si="46"/>
        <v/>
      </c>
      <c r="N95" s="30" t="str">
        <f t="shared" si="47"/>
        <v/>
      </c>
      <c r="O95" s="35" t="str">
        <f t="shared" si="48"/>
        <v/>
      </c>
      <c r="AB95" s="40" t="str">
        <f t="shared" si="50"/>
        <v/>
      </c>
      <c r="AC95" s="15" t="str">
        <f t="shared" si="51"/>
        <v/>
      </c>
      <c r="AD95" s="15" t="str">
        <f t="shared" si="52"/>
        <v/>
      </c>
      <c r="AE95" s="15" t="str">
        <f t="shared" si="53"/>
        <v/>
      </c>
      <c r="AF95" s="15" t="str">
        <f t="shared" si="54"/>
        <v/>
      </c>
      <c r="AG95" s="41" t="str">
        <f t="shared" si="55"/>
        <v/>
      </c>
      <c r="AH95" s="15"/>
      <c r="AI95" s="21">
        <v>2</v>
      </c>
      <c r="AJ95" s="20" t="str">
        <f t="shared" si="5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3</v>
      </c>
      <c r="AM95" s="39" cm="1">
        <f t="array" ref="AM95">SUMPRODUCT(--(MID(AD$10:AD$135, SUMIF($Z$9:$Z$21, LEFT($AJ95,2), $Y$9:$Y$21), 1) = RIGHT($AJ95, 1)), L$10:L$135)</f>
        <v>4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49"/>
        <v>86</v>
      </c>
      <c r="C96" s="30"/>
      <c r="D96" s="30"/>
      <c r="E96" s="30"/>
      <c r="F96" s="30"/>
      <c r="G96" s="30"/>
      <c r="H96" s="35"/>
      <c r="J96" s="34" t="str">
        <f t="shared" si="43"/>
        <v/>
      </c>
      <c r="K96" s="30" t="str">
        <f t="shared" si="44"/>
        <v/>
      </c>
      <c r="L96" s="30" t="str">
        <f t="shared" si="45"/>
        <v/>
      </c>
      <c r="M96" s="30" t="str">
        <f t="shared" si="46"/>
        <v/>
      </c>
      <c r="N96" s="30" t="str">
        <f t="shared" si="47"/>
        <v/>
      </c>
      <c r="O96" s="35" t="str">
        <f t="shared" si="48"/>
        <v/>
      </c>
      <c r="AB96" s="40" t="str">
        <f t="shared" si="50"/>
        <v/>
      </c>
      <c r="AC96" s="15" t="str">
        <f t="shared" si="51"/>
        <v/>
      </c>
      <c r="AD96" s="15" t="str">
        <f t="shared" si="52"/>
        <v/>
      </c>
      <c r="AE96" s="15" t="str">
        <f t="shared" si="53"/>
        <v/>
      </c>
      <c r="AF96" s="15" t="str">
        <f t="shared" si="54"/>
        <v/>
      </c>
      <c r="AG96" s="41" t="str">
        <f t="shared" si="55"/>
        <v/>
      </c>
      <c r="AH96" s="15"/>
      <c r="AI96" s="21">
        <v>1</v>
      </c>
      <c r="AJ96" s="20" t="str">
        <f t="shared" si="58"/>
        <v>LL-1</v>
      </c>
      <c r="AK96" s="39" cm="1">
        <f t="array" ref="AK96">SUMPRODUCT(--(MID(AB$10:AB$135, SUMIF($Z$9:$Z$21, LEFT($AJ96,2), $Y$9:$Y$21), 1) = RIGHT($AJ96, 1)), J$10:J$135)</f>
        <v>10</v>
      </c>
      <c r="AL96" s="39" cm="1">
        <f t="array" ref="AL96">SUMPRODUCT(--(MID(AC$10:AC$135, SUMIF($Z$9:$Z$21, LEFT($AJ96,2), $Y$9:$Y$21), 1) = RIGHT($AJ96, 1)), K$10:K$135)</f>
        <v>16</v>
      </c>
      <c r="AM96" s="39" cm="1">
        <f t="array" ref="AM96">SUMPRODUCT(--(MID(AD$10:AD$135, SUMIF($Z$9:$Z$21, LEFT($AJ96,2), $Y$9:$Y$21), 1) = RIGHT($AJ96, 1)), L$10:L$135)</f>
        <v>10</v>
      </c>
      <c r="AN96" s="39" cm="1">
        <f t="array" ref="AN96">SUMPRODUCT(--(MID(AE$10:AE$135, SUMIF($Z$9:$Z$21, LEFT($AJ96,2), $Y$9:$Y$21), 1) = RIGHT($AJ96, 1)), M$10:M$135)</f>
        <v>14</v>
      </c>
      <c r="AO96" s="39" cm="1">
        <f t="array" ref="AO96">SUMPRODUCT(--(MID(AF$10:AF$135, SUMIF($Z$9:$Z$21, LEFT($AJ96,2), $Y$9:$Y$21), 1) = RIGHT($AJ96, 1)), N$10:N$135)</f>
        <v>6</v>
      </c>
      <c r="AP96" s="19" cm="1">
        <f t="array" ref="AP96">SUMPRODUCT(--(MID(AG$10:AG$135, SUMIF($Z$9:$Z$21, LEFT($AJ96,2), $Y$9:$Y$21), 1) = RIGHT($AJ96, 1)), O$10:O$135)</f>
        <v>10</v>
      </c>
    </row>
    <row r="97" spans="2:44">
      <c r="B97" s="34">
        <f t="shared" si="49"/>
        <v>87</v>
      </c>
      <c r="C97" s="30"/>
      <c r="D97" s="30"/>
      <c r="E97" s="30"/>
      <c r="F97" s="30"/>
      <c r="G97" s="30"/>
      <c r="H97" s="35"/>
      <c r="J97" s="34" t="str">
        <f t="shared" si="43"/>
        <v/>
      </c>
      <c r="K97" s="30" t="str">
        <f t="shared" si="44"/>
        <v/>
      </c>
      <c r="L97" s="30" t="str">
        <f t="shared" si="45"/>
        <v/>
      </c>
      <c r="M97" s="30" t="str">
        <f t="shared" si="46"/>
        <v/>
      </c>
      <c r="N97" s="30" t="str">
        <f t="shared" si="47"/>
        <v/>
      </c>
      <c r="O97" s="35" t="str">
        <f t="shared" si="48"/>
        <v/>
      </c>
      <c r="AB97" s="40" t="str">
        <f t="shared" si="50"/>
        <v/>
      </c>
      <c r="AC97" s="15" t="str">
        <f t="shared" si="51"/>
        <v/>
      </c>
      <c r="AD97" s="15" t="str">
        <f t="shared" si="52"/>
        <v/>
      </c>
      <c r="AE97" s="15" t="str">
        <f t="shared" si="53"/>
        <v/>
      </c>
      <c r="AF97" s="15" t="str">
        <f t="shared" si="54"/>
        <v/>
      </c>
      <c r="AG97" s="41" t="str">
        <f t="shared" si="55"/>
        <v/>
      </c>
      <c r="AH97" s="15"/>
      <c r="AI97" s="21">
        <v>0</v>
      </c>
      <c r="AJ97" s="20" t="str">
        <f t="shared" si="58"/>
        <v>LL-0</v>
      </c>
      <c r="AK97" s="39" cm="1">
        <f t="array" ref="AK97">SUMPRODUCT(--(MID(AB$10:AB$135, SUMIF($Z$9:$Z$21, LEFT($AJ97,2), $Y$9:$Y$21), 1) = RIGHT($AJ97, 1)), J$10:J$135)</f>
        <v>61</v>
      </c>
      <c r="AL97" s="39" cm="1">
        <f t="array" ref="AL97">SUMPRODUCT(--(MID(AC$10:AC$135, SUMIF($Z$9:$Z$21, LEFT($AJ97,2), $Y$9:$Y$21), 1) = RIGHT($AJ97, 1)), K$10:K$135)</f>
        <v>43</v>
      </c>
      <c r="AM97" s="39" cm="1">
        <f t="array" ref="AM97">SUMPRODUCT(--(MID(AD$10:AD$135, SUMIF($Z$9:$Z$21, LEFT($AJ97,2), $Y$9:$Y$21), 1) = RIGHT($AJ97, 1)), L$10:L$135)</f>
        <v>30</v>
      </c>
      <c r="AN97" s="39" cm="1">
        <f t="array" ref="AN97">SUMPRODUCT(--(MID(AE$10:AE$135, SUMIF($Z$9:$Z$21, LEFT($AJ97,2), $Y$9:$Y$21), 1) = RIGHT($AJ97, 1)), M$10:M$135)</f>
        <v>43</v>
      </c>
      <c r="AO97" s="39" cm="1">
        <f t="array" ref="AO97">SUMPRODUCT(--(MID(AF$10:AF$135, SUMIF($Z$9:$Z$21, LEFT($AJ97,2), $Y$9:$Y$21), 1) = RIGHT($AJ97, 1)), N$10:N$135)</f>
        <v>30</v>
      </c>
      <c r="AP97" s="19" cm="1">
        <f t="array" ref="AP97">SUMPRODUCT(--(MID(AG$10:AG$135, SUMIF($Z$9:$Z$21, LEFT($AJ97,2), $Y$9:$Y$21), 1) = RIGHT($AJ97, 1)), O$10:O$135)</f>
        <v>71</v>
      </c>
    </row>
    <row r="98" spans="2:44">
      <c r="B98" s="34">
        <f t="shared" si="49"/>
        <v>88</v>
      </c>
      <c r="C98" s="30"/>
      <c r="D98" s="30"/>
      <c r="E98" s="30"/>
      <c r="F98" s="30"/>
      <c r="G98" s="30"/>
      <c r="H98" s="35"/>
      <c r="J98" s="34" t="str">
        <f t="shared" si="43"/>
        <v/>
      </c>
      <c r="K98" s="30" t="str">
        <f t="shared" si="44"/>
        <v/>
      </c>
      <c r="L98" s="30" t="str">
        <f t="shared" si="45"/>
        <v/>
      </c>
      <c r="M98" s="30" t="str">
        <f t="shared" si="46"/>
        <v/>
      </c>
      <c r="N98" s="30" t="str">
        <f t="shared" si="47"/>
        <v/>
      </c>
      <c r="O98" s="35" t="str">
        <f t="shared" si="48"/>
        <v/>
      </c>
      <c r="AB98" s="40" t="str">
        <f t="shared" si="50"/>
        <v/>
      </c>
      <c r="AC98" s="15" t="str">
        <f t="shared" si="51"/>
        <v/>
      </c>
      <c r="AD98" s="15" t="str">
        <f t="shared" si="52"/>
        <v/>
      </c>
      <c r="AE98" s="15" t="str">
        <f t="shared" si="53"/>
        <v/>
      </c>
      <c r="AF98" s="15" t="str">
        <f t="shared" si="54"/>
        <v/>
      </c>
      <c r="AG98" s="41" t="str">
        <f t="shared" si="55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49"/>
        <v>89</v>
      </c>
      <c r="C99" s="30"/>
      <c r="D99" s="30"/>
      <c r="E99" s="30"/>
      <c r="F99" s="30"/>
      <c r="G99" s="30"/>
      <c r="H99" s="35"/>
      <c r="J99" s="34" t="str">
        <f t="shared" si="43"/>
        <v/>
      </c>
      <c r="K99" s="30" t="str">
        <f t="shared" si="44"/>
        <v/>
      </c>
      <c r="L99" s="30" t="str">
        <f t="shared" si="45"/>
        <v/>
      </c>
      <c r="M99" s="30" t="str">
        <f t="shared" si="46"/>
        <v/>
      </c>
      <c r="N99" s="30" t="str">
        <f t="shared" si="47"/>
        <v/>
      </c>
      <c r="O99" s="35" t="str">
        <f t="shared" si="48"/>
        <v/>
      </c>
      <c r="AB99" s="40" t="str">
        <f t="shared" si="50"/>
        <v/>
      </c>
      <c r="AC99" s="15" t="str">
        <f t="shared" si="51"/>
        <v/>
      </c>
      <c r="AD99" s="15" t="str">
        <f t="shared" si="52"/>
        <v/>
      </c>
      <c r="AE99" s="15" t="str">
        <f t="shared" si="53"/>
        <v/>
      </c>
      <c r="AF99" s="15" t="str">
        <f t="shared" si="54"/>
        <v/>
      </c>
      <c r="AG99" s="41" t="str">
        <f t="shared" si="55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49"/>
        <v>90</v>
      </c>
      <c r="C100" s="30"/>
      <c r="D100" s="30"/>
      <c r="E100" s="30"/>
      <c r="F100" s="30"/>
      <c r="G100" s="30"/>
      <c r="H100" s="35"/>
      <c r="J100" s="34" t="str">
        <f t="shared" si="43"/>
        <v/>
      </c>
      <c r="K100" s="30" t="str">
        <f t="shared" si="44"/>
        <v/>
      </c>
      <c r="L100" s="30" t="str">
        <f t="shared" si="45"/>
        <v/>
      </c>
      <c r="M100" s="30" t="str">
        <f t="shared" si="46"/>
        <v/>
      </c>
      <c r="N100" s="30" t="str">
        <f t="shared" si="47"/>
        <v/>
      </c>
      <c r="O100" s="35" t="str">
        <f t="shared" si="48"/>
        <v/>
      </c>
      <c r="AB100" s="40" t="str">
        <f t="shared" si="50"/>
        <v/>
      </c>
      <c r="AC100" s="15" t="str">
        <f t="shared" si="51"/>
        <v/>
      </c>
      <c r="AD100" s="15" t="str">
        <f t="shared" si="52"/>
        <v/>
      </c>
      <c r="AE100" s="15" t="str">
        <f t="shared" si="53"/>
        <v/>
      </c>
      <c r="AF100" s="15" t="str">
        <f t="shared" si="54"/>
        <v/>
      </c>
      <c r="AG100" s="41" t="str">
        <f t="shared" si="55"/>
        <v/>
      </c>
      <c r="AH100" s="15"/>
      <c r="AI100" s="21">
        <v>5</v>
      </c>
      <c r="AJ100" s="20" t="str">
        <f t="shared" ref="AJ100:AJ105" si="5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49"/>
        <v>91</v>
      </c>
      <c r="C101" s="30"/>
      <c r="D101" s="30"/>
      <c r="E101" s="30"/>
      <c r="F101" s="30"/>
      <c r="G101" s="30"/>
      <c r="H101" s="35"/>
      <c r="J101" s="34" t="str">
        <f t="shared" si="43"/>
        <v/>
      </c>
      <c r="K101" s="30" t="str">
        <f t="shared" si="44"/>
        <v/>
      </c>
      <c r="L101" s="30" t="str">
        <f t="shared" si="45"/>
        <v/>
      </c>
      <c r="M101" s="30" t="str">
        <f t="shared" si="46"/>
        <v/>
      </c>
      <c r="N101" s="30" t="str">
        <f t="shared" si="47"/>
        <v/>
      </c>
      <c r="O101" s="35" t="str">
        <f t="shared" si="48"/>
        <v/>
      </c>
      <c r="AB101" s="40" t="str">
        <f t="shared" si="50"/>
        <v/>
      </c>
      <c r="AC101" s="15" t="str">
        <f t="shared" si="51"/>
        <v/>
      </c>
      <c r="AD101" s="15" t="str">
        <f t="shared" si="52"/>
        <v/>
      </c>
      <c r="AE101" s="15" t="str">
        <f t="shared" si="53"/>
        <v/>
      </c>
      <c r="AF101" s="15" t="str">
        <f t="shared" si="54"/>
        <v/>
      </c>
      <c r="AG101" s="41" t="str">
        <f t="shared" si="55"/>
        <v/>
      </c>
      <c r="AH101" s="15"/>
      <c r="AI101" s="21">
        <v>4</v>
      </c>
      <c r="AJ101" s="20" t="str">
        <f t="shared" si="5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49"/>
        <v>92</v>
      </c>
      <c r="C102" s="30"/>
      <c r="D102" s="30"/>
      <c r="E102" s="30"/>
      <c r="F102" s="30"/>
      <c r="G102" s="30"/>
      <c r="H102" s="35"/>
      <c r="J102" s="34" t="str">
        <f t="shared" si="43"/>
        <v/>
      </c>
      <c r="K102" s="30" t="str">
        <f t="shared" si="44"/>
        <v/>
      </c>
      <c r="L102" s="30" t="str">
        <f t="shared" si="45"/>
        <v/>
      </c>
      <c r="M102" s="30" t="str">
        <f t="shared" si="46"/>
        <v/>
      </c>
      <c r="N102" s="30" t="str">
        <f t="shared" si="47"/>
        <v/>
      </c>
      <c r="O102" s="35" t="str">
        <f t="shared" si="48"/>
        <v/>
      </c>
      <c r="AB102" s="40" t="str">
        <f t="shared" si="50"/>
        <v/>
      </c>
      <c r="AC102" s="15" t="str">
        <f t="shared" si="51"/>
        <v/>
      </c>
      <c r="AD102" s="15" t="str">
        <f t="shared" si="52"/>
        <v/>
      </c>
      <c r="AE102" s="15" t="str">
        <f t="shared" si="53"/>
        <v/>
      </c>
      <c r="AF102" s="15" t="str">
        <f t="shared" si="54"/>
        <v/>
      </c>
      <c r="AG102" s="41" t="str">
        <f t="shared" si="55"/>
        <v/>
      </c>
      <c r="AH102" s="15"/>
      <c r="AI102" s="21">
        <v>3</v>
      </c>
      <c r="AJ102" s="20" t="str">
        <f t="shared" si="5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49"/>
        <v>93</v>
      </c>
      <c r="C103" s="30"/>
      <c r="D103" s="30"/>
      <c r="E103" s="30"/>
      <c r="F103" s="30"/>
      <c r="G103" s="30"/>
      <c r="H103" s="35"/>
      <c r="J103" s="34" t="str">
        <f t="shared" si="43"/>
        <v/>
      </c>
      <c r="K103" s="30" t="str">
        <f t="shared" si="44"/>
        <v/>
      </c>
      <c r="L103" s="30" t="str">
        <f t="shared" si="45"/>
        <v/>
      </c>
      <c r="M103" s="30" t="str">
        <f t="shared" si="46"/>
        <v/>
      </c>
      <c r="N103" s="30" t="str">
        <f t="shared" si="47"/>
        <v/>
      </c>
      <c r="O103" s="35" t="str">
        <f t="shared" si="48"/>
        <v/>
      </c>
      <c r="AB103" s="40" t="str">
        <f t="shared" si="50"/>
        <v/>
      </c>
      <c r="AC103" s="15" t="str">
        <f t="shared" si="51"/>
        <v/>
      </c>
      <c r="AD103" s="15" t="str">
        <f t="shared" si="52"/>
        <v/>
      </c>
      <c r="AE103" s="15" t="str">
        <f t="shared" si="53"/>
        <v/>
      </c>
      <c r="AF103" s="15" t="str">
        <f t="shared" si="54"/>
        <v/>
      </c>
      <c r="AG103" s="41" t="str">
        <f t="shared" si="55"/>
        <v/>
      </c>
      <c r="AH103" s="15"/>
      <c r="AI103" s="21">
        <v>2</v>
      </c>
      <c r="AJ103" s="20" t="str">
        <f t="shared" si="5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49"/>
        <v>94</v>
      </c>
      <c r="C104" s="30"/>
      <c r="D104" s="30"/>
      <c r="E104" s="30"/>
      <c r="F104" s="30"/>
      <c r="G104" s="30"/>
      <c r="H104" s="35"/>
      <c r="J104" s="34" t="str">
        <f t="shared" si="43"/>
        <v/>
      </c>
      <c r="K104" s="30" t="str">
        <f t="shared" si="44"/>
        <v/>
      </c>
      <c r="L104" s="30" t="str">
        <f t="shared" si="45"/>
        <v/>
      </c>
      <c r="M104" s="30" t="str">
        <f t="shared" si="46"/>
        <v/>
      </c>
      <c r="N104" s="30" t="str">
        <f t="shared" si="47"/>
        <v/>
      </c>
      <c r="O104" s="35" t="str">
        <f t="shared" si="48"/>
        <v/>
      </c>
      <c r="AB104" s="40" t="str">
        <f t="shared" si="50"/>
        <v/>
      </c>
      <c r="AC104" s="15" t="str">
        <f t="shared" si="51"/>
        <v/>
      </c>
      <c r="AD104" s="15" t="str">
        <f t="shared" si="52"/>
        <v/>
      </c>
      <c r="AE104" s="15" t="str">
        <f t="shared" si="53"/>
        <v/>
      </c>
      <c r="AF104" s="15" t="str">
        <f t="shared" si="54"/>
        <v/>
      </c>
      <c r="AG104" s="41" t="str">
        <f t="shared" si="55"/>
        <v/>
      </c>
      <c r="AH104" s="15"/>
      <c r="AI104" s="21">
        <v>1</v>
      </c>
      <c r="AJ104" s="20" t="str">
        <f t="shared" si="59"/>
        <v>BN-1</v>
      </c>
      <c r="AK104" s="39" cm="1">
        <f t="array" ref="AK104">SUMPRODUCT(--(MID(AB$10:AB$135, SUMIF($Z$9:$Z$21, LEFT($AJ104,2), $Y$9:$Y$21), 1) = RIGHT($AJ104, 1)), J$10:J$135)</f>
        <v>8</v>
      </c>
      <c r="AL104" s="39" cm="1">
        <f t="array" ref="AL104">SUMPRODUCT(--(MID(AC$10:AC$135, SUMIF($Z$9:$Z$21, LEFT($AJ104,2), $Y$9:$Y$21), 1) = RIGHT($AJ104, 1)), K$10:K$135)</f>
        <v>2</v>
      </c>
      <c r="AM104" s="39" cm="1">
        <f t="array" ref="AM104">SUMPRODUCT(--(MID(AD$10:AD$135, SUMIF($Z$9:$Z$21, LEFT($AJ104,2), $Y$9:$Y$21), 1) = RIGHT($AJ104, 1)), L$10:L$135)</f>
        <v>2</v>
      </c>
      <c r="AN104" s="39" cm="1">
        <f t="array" ref="AN104">SUMPRODUCT(--(MID(AE$10:AE$135, SUMIF($Z$9:$Z$21, LEFT($AJ104,2), $Y$9:$Y$21), 1) = RIGHT($AJ104, 1)), M$10:M$135)</f>
        <v>2</v>
      </c>
      <c r="AO104" s="39" cm="1">
        <f t="array" ref="AO104">SUMPRODUCT(--(MID(AF$10:AF$135, SUMIF($Z$9:$Z$21, LEFT($AJ104,2), $Y$9:$Y$21), 1) = RIGHT($AJ104, 1)), N$10:N$135)</f>
        <v>2</v>
      </c>
      <c r="AP104" s="19" cm="1">
        <f t="array" ref="AP104">SUMPRODUCT(--(MID(AG$10:AG$135, SUMIF($Z$9:$Z$21, LEFT($AJ104,2), $Y$9:$Y$21), 1) = RIGHT($AJ104, 1)), O$10:O$135)</f>
        <v>4</v>
      </c>
    </row>
    <row r="105" spans="2:44">
      <c r="B105" s="34">
        <f t="shared" si="49"/>
        <v>95</v>
      </c>
      <c r="C105" s="30"/>
      <c r="D105" s="30"/>
      <c r="E105" s="30"/>
      <c r="F105" s="30"/>
      <c r="G105" s="30"/>
      <c r="H105" s="35"/>
      <c r="J105" s="34" t="str">
        <f t="shared" si="43"/>
        <v/>
      </c>
      <c r="K105" s="30" t="str">
        <f t="shared" si="44"/>
        <v/>
      </c>
      <c r="L105" s="30" t="str">
        <f t="shared" si="45"/>
        <v/>
      </c>
      <c r="M105" s="30" t="str">
        <f t="shared" si="46"/>
        <v/>
      </c>
      <c r="N105" s="30" t="str">
        <f t="shared" si="47"/>
        <v/>
      </c>
      <c r="O105" s="35" t="str">
        <f t="shared" si="48"/>
        <v/>
      </c>
      <c r="AB105" s="40" t="str">
        <f t="shared" si="50"/>
        <v/>
      </c>
      <c r="AC105" s="15" t="str">
        <f t="shared" si="51"/>
        <v/>
      </c>
      <c r="AD105" s="15" t="str">
        <f t="shared" si="52"/>
        <v/>
      </c>
      <c r="AE105" s="15" t="str">
        <f t="shared" si="53"/>
        <v/>
      </c>
      <c r="AF105" s="15" t="str">
        <f t="shared" si="54"/>
        <v/>
      </c>
      <c r="AG105" s="41" t="str">
        <f t="shared" si="55"/>
        <v/>
      </c>
      <c r="AH105" s="15"/>
      <c r="AI105" s="21">
        <v>0</v>
      </c>
      <c r="AJ105" s="20" t="str">
        <f t="shared" si="59"/>
        <v>BN-0</v>
      </c>
      <c r="AK105" s="39" cm="1">
        <f t="array" ref="AK105">SUMPRODUCT(--(MID(AB$10:AB$135, SUMIF($Z$9:$Z$21, LEFT($AJ105,2), $Y$9:$Y$21), 1) = RIGHT($AJ105, 1)), J$10:J$135)</f>
        <v>65</v>
      </c>
      <c r="AL105" s="39" cm="1">
        <f t="array" ref="AL105">SUMPRODUCT(--(MID(AC$10:AC$135, SUMIF($Z$9:$Z$21, LEFT($AJ105,2), $Y$9:$Y$21), 1) = RIGHT($AJ105, 1)), K$10:K$135)</f>
        <v>60</v>
      </c>
      <c r="AM105" s="39" cm="1">
        <f t="array" ref="AM105">SUMPRODUCT(--(MID(AD$10:AD$135, SUMIF($Z$9:$Z$21, LEFT($AJ105,2), $Y$9:$Y$21), 1) = RIGHT($AJ105, 1)), L$10:L$135)</f>
        <v>42</v>
      </c>
      <c r="AN105" s="39" cm="1">
        <f t="array" ref="AN105">SUMPRODUCT(--(MID(AE$10:AE$135, SUMIF($Z$9:$Z$21, LEFT($AJ105,2), $Y$9:$Y$21), 1) = RIGHT($AJ105, 1)), M$10:M$135)</f>
        <v>57</v>
      </c>
      <c r="AO105" s="39" cm="1">
        <f t="array" ref="AO105">SUMPRODUCT(--(MID(AF$10:AF$135, SUMIF($Z$9:$Z$21, LEFT($AJ105,2), $Y$9:$Y$21), 1) = RIGHT($AJ105, 1)), N$10:N$135)</f>
        <v>36</v>
      </c>
      <c r="AP105" s="19" cm="1">
        <f t="array" ref="AP105">SUMPRODUCT(--(MID(AG$10:AG$135, SUMIF($Z$9:$Z$21, LEFT($AJ105,2), $Y$9:$Y$21), 1) = RIGHT($AJ105, 1)), O$10:O$135)</f>
        <v>79</v>
      </c>
      <c r="AR105" s="39"/>
    </row>
    <row r="106" spans="2:44">
      <c r="B106" s="34">
        <f t="shared" si="49"/>
        <v>96</v>
      </c>
      <c r="C106" s="30"/>
      <c r="D106" s="30"/>
      <c r="E106" s="30"/>
      <c r="F106" s="30"/>
      <c r="G106" s="30"/>
      <c r="H106" s="35"/>
      <c r="J106" s="34" t="str">
        <f t="shared" si="43"/>
        <v/>
      </c>
      <c r="K106" s="30" t="str">
        <f t="shared" si="44"/>
        <v/>
      </c>
      <c r="L106" s="30" t="str">
        <f t="shared" si="45"/>
        <v/>
      </c>
      <c r="M106" s="30" t="str">
        <f t="shared" si="46"/>
        <v/>
      </c>
      <c r="N106" s="30" t="str">
        <f t="shared" si="47"/>
        <v/>
      </c>
      <c r="O106" s="35" t="str">
        <f t="shared" si="48"/>
        <v/>
      </c>
      <c r="AB106" s="40" t="str">
        <f t="shared" si="50"/>
        <v/>
      </c>
      <c r="AC106" s="15" t="str">
        <f t="shared" si="51"/>
        <v/>
      </c>
      <c r="AD106" s="15" t="str">
        <f t="shared" si="52"/>
        <v/>
      </c>
      <c r="AE106" s="15" t="str">
        <f t="shared" si="53"/>
        <v/>
      </c>
      <c r="AF106" s="15" t="str">
        <f t="shared" si="54"/>
        <v/>
      </c>
      <c r="AG106" s="41" t="str">
        <f t="shared" si="55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49"/>
        <v>97</v>
      </c>
      <c r="C107" s="30"/>
      <c r="D107" s="30"/>
      <c r="E107" s="30"/>
      <c r="F107" s="30"/>
      <c r="G107" s="30"/>
      <c r="H107" s="35"/>
      <c r="J107" s="34" t="str">
        <f t="shared" si="43"/>
        <v/>
      </c>
      <c r="K107" s="30" t="str">
        <f t="shared" si="44"/>
        <v/>
      </c>
      <c r="L107" s="30" t="str">
        <f t="shared" si="45"/>
        <v/>
      </c>
      <c r="M107" s="30" t="str">
        <f t="shared" si="46"/>
        <v/>
      </c>
      <c r="N107" s="30" t="str">
        <f t="shared" si="47"/>
        <v/>
      </c>
      <c r="O107" s="35" t="str">
        <f t="shared" si="48"/>
        <v/>
      </c>
      <c r="AB107" s="40" t="str">
        <f t="shared" si="50"/>
        <v/>
      </c>
      <c r="AC107" s="15" t="str">
        <f t="shared" si="51"/>
        <v/>
      </c>
      <c r="AD107" s="15" t="str">
        <f t="shared" si="52"/>
        <v/>
      </c>
      <c r="AE107" s="15" t="str">
        <f t="shared" si="53"/>
        <v/>
      </c>
      <c r="AF107" s="15" t="str">
        <f t="shared" si="54"/>
        <v/>
      </c>
      <c r="AG107" s="41" t="str">
        <f t="shared" si="55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49"/>
        <v>98</v>
      </c>
      <c r="C108" s="30"/>
      <c r="D108" s="30"/>
      <c r="E108" s="30"/>
      <c r="F108" s="30"/>
      <c r="G108" s="30"/>
      <c r="H108" s="35"/>
      <c r="J108" s="34" t="str">
        <f t="shared" si="43"/>
        <v/>
      </c>
      <c r="K108" s="30" t="str">
        <f t="shared" si="44"/>
        <v/>
      </c>
      <c r="L108" s="30" t="str">
        <f t="shared" si="45"/>
        <v/>
      </c>
      <c r="M108" s="30" t="str">
        <f t="shared" si="46"/>
        <v/>
      </c>
      <c r="N108" s="30" t="str">
        <f t="shared" si="47"/>
        <v/>
      </c>
      <c r="O108" s="35" t="str">
        <f t="shared" si="48"/>
        <v/>
      </c>
      <c r="AB108" s="40" t="str">
        <f t="shared" si="50"/>
        <v/>
      </c>
      <c r="AC108" s="15" t="str">
        <f t="shared" si="51"/>
        <v/>
      </c>
      <c r="AD108" s="15" t="str">
        <f t="shared" si="52"/>
        <v/>
      </c>
      <c r="AE108" s="15" t="str">
        <f t="shared" si="53"/>
        <v/>
      </c>
      <c r="AF108" s="15" t="str">
        <f t="shared" si="54"/>
        <v/>
      </c>
      <c r="AG108" s="41" t="str">
        <f t="shared" si="55"/>
        <v/>
      </c>
      <c r="AH108" s="15"/>
      <c r="AI108" s="21">
        <v>5</v>
      </c>
      <c r="AJ108" s="20" t="str">
        <f t="shared" ref="AJ108:AJ113" si="60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49"/>
        <v>99</v>
      </c>
      <c r="C109" s="30"/>
      <c r="D109" s="30"/>
      <c r="E109" s="30"/>
      <c r="F109" s="30"/>
      <c r="G109" s="30"/>
      <c r="H109" s="35"/>
      <c r="J109" s="34" t="str">
        <f t="shared" si="43"/>
        <v/>
      </c>
      <c r="K109" s="30" t="str">
        <f t="shared" si="44"/>
        <v/>
      </c>
      <c r="L109" s="30" t="str">
        <f t="shared" si="45"/>
        <v/>
      </c>
      <c r="M109" s="30" t="str">
        <f t="shared" si="46"/>
        <v/>
      </c>
      <c r="N109" s="30" t="str">
        <f t="shared" si="47"/>
        <v/>
      </c>
      <c r="O109" s="35" t="str">
        <f t="shared" si="48"/>
        <v/>
      </c>
      <c r="AB109" s="40" t="str">
        <f t="shared" si="50"/>
        <v/>
      </c>
      <c r="AC109" s="15" t="str">
        <f t="shared" si="51"/>
        <v/>
      </c>
      <c r="AD109" s="15" t="str">
        <f t="shared" si="52"/>
        <v/>
      </c>
      <c r="AE109" s="15" t="str">
        <f t="shared" si="53"/>
        <v/>
      </c>
      <c r="AF109" s="15" t="str">
        <f t="shared" si="54"/>
        <v/>
      </c>
      <c r="AG109" s="41" t="str">
        <f t="shared" si="55"/>
        <v/>
      </c>
      <c r="AH109" s="15"/>
      <c r="AI109" s="21">
        <v>4</v>
      </c>
      <c r="AJ109" s="20" t="str">
        <f t="shared" si="60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49"/>
        <v>100</v>
      </c>
      <c r="C110" s="30"/>
      <c r="D110" s="30"/>
      <c r="E110" s="30"/>
      <c r="F110" s="30"/>
      <c r="G110" s="30"/>
      <c r="H110" s="35"/>
      <c r="J110" s="34" t="str">
        <f t="shared" si="43"/>
        <v/>
      </c>
      <c r="K110" s="30" t="str">
        <f t="shared" si="44"/>
        <v/>
      </c>
      <c r="L110" s="30" t="str">
        <f t="shared" si="45"/>
        <v/>
      </c>
      <c r="M110" s="30" t="str">
        <f t="shared" si="46"/>
        <v/>
      </c>
      <c r="N110" s="30" t="str">
        <f t="shared" si="47"/>
        <v/>
      </c>
      <c r="O110" s="35" t="str">
        <f t="shared" si="48"/>
        <v/>
      </c>
      <c r="AB110" s="40" t="str">
        <f t="shared" si="50"/>
        <v/>
      </c>
      <c r="AC110" s="15" t="str">
        <f t="shared" si="51"/>
        <v/>
      </c>
      <c r="AD110" s="15" t="str">
        <f t="shared" si="52"/>
        <v/>
      </c>
      <c r="AE110" s="15" t="str">
        <f t="shared" si="53"/>
        <v/>
      </c>
      <c r="AF110" s="15" t="str">
        <f t="shared" si="54"/>
        <v/>
      </c>
      <c r="AG110" s="41" t="str">
        <f t="shared" si="55"/>
        <v/>
      </c>
      <c r="AH110" s="15"/>
      <c r="AI110" s="21">
        <v>3</v>
      </c>
      <c r="AJ110" s="20" t="str">
        <f t="shared" si="60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49"/>
        <v>101</v>
      </c>
      <c r="C111" s="30"/>
      <c r="D111" s="30"/>
      <c r="E111" s="30"/>
      <c r="F111" s="30"/>
      <c r="G111" s="30"/>
      <c r="H111" s="35"/>
      <c r="J111" s="34" t="str">
        <f t="shared" si="43"/>
        <v/>
      </c>
      <c r="K111" s="30" t="str">
        <f t="shared" si="44"/>
        <v/>
      </c>
      <c r="L111" s="30" t="str">
        <f t="shared" si="45"/>
        <v/>
      </c>
      <c r="M111" s="30" t="str">
        <f t="shared" si="46"/>
        <v/>
      </c>
      <c r="N111" s="30" t="str">
        <f t="shared" si="47"/>
        <v/>
      </c>
      <c r="O111" s="35" t="str">
        <f t="shared" si="48"/>
        <v/>
      </c>
      <c r="AB111" s="40" t="str">
        <f t="shared" si="50"/>
        <v/>
      </c>
      <c r="AC111" s="15" t="str">
        <f t="shared" si="51"/>
        <v/>
      </c>
      <c r="AD111" s="15" t="str">
        <f t="shared" si="52"/>
        <v/>
      </c>
      <c r="AE111" s="15" t="str">
        <f t="shared" si="53"/>
        <v/>
      </c>
      <c r="AF111" s="15" t="str">
        <f t="shared" si="54"/>
        <v/>
      </c>
      <c r="AG111" s="41" t="str">
        <f t="shared" si="55"/>
        <v/>
      </c>
      <c r="AH111" s="15"/>
      <c r="AI111" s="21">
        <v>2</v>
      </c>
      <c r="AJ111" s="20" t="str">
        <f t="shared" si="60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49"/>
        <v>102</v>
      </c>
      <c r="C112" s="30"/>
      <c r="D112" s="30"/>
      <c r="E112" s="30"/>
      <c r="F112" s="30"/>
      <c r="G112" s="30"/>
      <c r="H112" s="35"/>
      <c r="J112" s="34" t="str">
        <f t="shared" si="43"/>
        <v/>
      </c>
      <c r="K112" s="30" t="str">
        <f t="shared" si="44"/>
        <v/>
      </c>
      <c r="L112" s="30" t="str">
        <f t="shared" si="45"/>
        <v/>
      </c>
      <c r="M112" s="30" t="str">
        <f t="shared" si="46"/>
        <v/>
      </c>
      <c r="N112" s="30" t="str">
        <f t="shared" si="47"/>
        <v/>
      </c>
      <c r="O112" s="35" t="str">
        <f t="shared" si="48"/>
        <v/>
      </c>
      <c r="AB112" s="40" t="str">
        <f t="shared" si="50"/>
        <v/>
      </c>
      <c r="AC112" s="15" t="str">
        <f t="shared" si="51"/>
        <v/>
      </c>
      <c r="AD112" s="15" t="str">
        <f t="shared" si="52"/>
        <v/>
      </c>
      <c r="AE112" s="15" t="str">
        <f t="shared" si="53"/>
        <v/>
      </c>
      <c r="AF112" s="15" t="str">
        <f t="shared" si="54"/>
        <v/>
      </c>
      <c r="AG112" s="41" t="str">
        <f t="shared" si="55"/>
        <v/>
      </c>
      <c r="AH112" s="15"/>
      <c r="AI112" s="21">
        <v>1</v>
      </c>
      <c r="AJ112" s="20" t="str">
        <f t="shared" si="60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4</v>
      </c>
      <c r="AM112" s="39" cm="1">
        <f t="array" ref="AM112">SUMPRODUCT(--(MID(AD$10:AD$135, SUMIF($Z$9:$Z$21, LEFT($AJ112,2), $Y$9:$Y$21), 1) = RIGHT($AJ112, 1)), L$10:L$135)</f>
        <v>8</v>
      </c>
      <c r="AN112" s="39" cm="1">
        <f t="array" ref="AN112">SUMPRODUCT(--(MID(AE$10:AE$135, SUMIF($Z$9:$Z$21, LEFT($AJ112,2), $Y$9:$Y$21), 1) = RIGHT($AJ112, 1)), M$10:M$135)</f>
        <v>2</v>
      </c>
      <c r="AO112" s="39" cm="1">
        <f t="array" ref="AO112">SUMPRODUCT(--(MID(AF$10:AF$135, SUMIF($Z$9:$Z$21, LEFT($AJ112,2), $Y$9:$Y$21), 1) = RIGHT($AJ112, 1)), N$10:N$135)</f>
        <v>2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49"/>
        <v>103</v>
      </c>
      <c r="C113" s="30"/>
      <c r="D113" s="30"/>
      <c r="E113" s="30"/>
      <c r="F113" s="30"/>
      <c r="G113" s="30"/>
      <c r="H113" s="35"/>
      <c r="J113" s="34" t="str">
        <f t="shared" si="43"/>
        <v/>
      </c>
      <c r="K113" s="30" t="str">
        <f t="shared" si="44"/>
        <v/>
      </c>
      <c r="L113" s="30" t="str">
        <f t="shared" si="45"/>
        <v/>
      </c>
      <c r="M113" s="30" t="str">
        <f t="shared" si="46"/>
        <v/>
      </c>
      <c r="N113" s="30" t="str">
        <f t="shared" si="47"/>
        <v/>
      </c>
      <c r="O113" s="35" t="str">
        <f t="shared" si="48"/>
        <v/>
      </c>
      <c r="AB113" s="40" t="str">
        <f t="shared" si="50"/>
        <v/>
      </c>
      <c r="AC113" s="15" t="str">
        <f t="shared" si="51"/>
        <v/>
      </c>
      <c r="AD113" s="15" t="str">
        <f t="shared" si="52"/>
        <v/>
      </c>
      <c r="AE113" s="15" t="str">
        <f t="shared" si="53"/>
        <v/>
      </c>
      <c r="AF113" s="15" t="str">
        <f t="shared" si="54"/>
        <v/>
      </c>
      <c r="AG113" s="41" t="str">
        <f t="shared" si="55"/>
        <v/>
      </c>
      <c r="AH113" s="15"/>
      <c r="AI113" s="21">
        <v>0</v>
      </c>
      <c r="AJ113" s="18" t="str">
        <f t="shared" si="60"/>
        <v>WC-0</v>
      </c>
      <c r="AK113" s="17" cm="1">
        <f t="array" ref="AK113">SUMPRODUCT(--(MID(AB$10:AB$135, SUMIF($Z$9:$Z$21, LEFT($AJ113,2), $Y$9:$Y$21), 1) = RIGHT($AJ113, 1)), J$10:J$135)</f>
        <v>73</v>
      </c>
      <c r="AL113" s="17" cm="1">
        <f t="array" ref="AL113">SUMPRODUCT(--(MID(AC$10:AC$135, SUMIF($Z$9:$Z$21, LEFT($AJ113,2), $Y$9:$Y$21), 1) = RIGHT($AJ113, 1)), K$10:K$135)</f>
        <v>58</v>
      </c>
      <c r="AM113" s="17" cm="1">
        <f t="array" ref="AM113">SUMPRODUCT(--(MID(AD$10:AD$135, SUMIF($Z$9:$Z$21, LEFT($AJ113,2), $Y$9:$Y$21), 1) = RIGHT($AJ113, 1)), L$10:L$135)</f>
        <v>36</v>
      </c>
      <c r="AN113" s="17" cm="1">
        <f t="array" ref="AN113">SUMPRODUCT(--(MID(AE$10:AE$135, SUMIF($Z$9:$Z$21, LEFT($AJ113,2), $Y$9:$Y$21), 1) = RIGHT($AJ113, 1)), M$10:M$135)</f>
        <v>57</v>
      </c>
      <c r="AO113" s="17" cm="1">
        <f t="array" ref="AO113">SUMPRODUCT(--(MID(AF$10:AF$135, SUMIF($Z$9:$Z$21, LEFT($AJ113,2), $Y$9:$Y$21), 1) = RIGHT($AJ113, 1)), N$10:N$135)</f>
        <v>36</v>
      </c>
      <c r="AP113" s="16" cm="1">
        <f t="array" ref="AP113">SUMPRODUCT(--(MID(AG$10:AG$135, SUMIF($Z$9:$Z$21, LEFT($AJ113,2), $Y$9:$Y$21), 1) = RIGHT($AJ113, 1)), O$10:O$135)</f>
        <v>83</v>
      </c>
    </row>
    <row r="114" spans="2:42">
      <c r="B114" s="34">
        <f t="shared" si="49"/>
        <v>104</v>
      </c>
      <c r="C114" s="30"/>
      <c r="D114" s="30"/>
      <c r="E114" s="30"/>
      <c r="F114" s="30"/>
      <c r="G114" s="30"/>
      <c r="H114" s="35"/>
      <c r="J114" s="34" t="str">
        <f t="shared" si="43"/>
        <v/>
      </c>
      <c r="K114" s="30" t="str">
        <f t="shared" si="44"/>
        <v/>
      </c>
      <c r="L114" s="30" t="str">
        <f t="shared" si="45"/>
        <v/>
      </c>
      <c r="M114" s="30" t="str">
        <f t="shared" si="46"/>
        <v/>
      </c>
      <c r="N114" s="30" t="str">
        <f t="shared" si="47"/>
        <v/>
      </c>
      <c r="O114" s="35" t="str">
        <f t="shared" si="48"/>
        <v/>
      </c>
      <c r="AB114" s="40" t="str">
        <f t="shared" si="50"/>
        <v/>
      </c>
      <c r="AC114" s="15" t="str">
        <f t="shared" si="51"/>
        <v/>
      </c>
      <c r="AD114" s="15" t="str">
        <f t="shared" si="52"/>
        <v/>
      </c>
      <c r="AE114" s="15" t="str">
        <f t="shared" si="53"/>
        <v/>
      </c>
      <c r="AF114" s="15" t="str">
        <f t="shared" si="54"/>
        <v/>
      </c>
      <c r="AG114" s="41" t="str">
        <f t="shared" si="55"/>
        <v/>
      </c>
      <c r="AH114" s="15"/>
    </row>
    <row r="115" spans="2:42">
      <c r="B115" s="34">
        <f t="shared" si="49"/>
        <v>105</v>
      </c>
      <c r="C115" s="30"/>
      <c r="D115" s="30"/>
      <c r="E115" s="30"/>
      <c r="F115" s="30"/>
      <c r="G115" s="30"/>
      <c r="H115" s="35"/>
      <c r="J115" s="34" t="str">
        <f t="shared" si="43"/>
        <v/>
      </c>
      <c r="K115" s="30" t="str">
        <f t="shared" si="44"/>
        <v/>
      </c>
      <c r="L115" s="30" t="str">
        <f t="shared" si="45"/>
        <v/>
      </c>
      <c r="M115" s="30" t="str">
        <f t="shared" si="46"/>
        <v/>
      </c>
      <c r="N115" s="30" t="str">
        <f t="shared" si="47"/>
        <v/>
      </c>
      <c r="O115" s="35" t="str">
        <f t="shared" si="48"/>
        <v/>
      </c>
      <c r="AB115" s="40" t="str">
        <f t="shared" si="50"/>
        <v/>
      </c>
      <c r="AC115" s="15" t="str">
        <f t="shared" si="51"/>
        <v/>
      </c>
      <c r="AD115" s="15" t="str">
        <f t="shared" si="52"/>
        <v/>
      </c>
      <c r="AE115" s="15" t="str">
        <f t="shared" si="53"/>
        <v/>
      </c>
      <c r="AF115" s="15" t="str">
        <f t="shared" si="54"/>
        <v/>
      </c>
      <c r="AG115" s="41" t="str">
        <f t="shared" si="55"/>
        <v/>
      </c>
      <c r="AH115" s="15"/>
    </row>
    <row r="116" spans="2:42">
      <c r="B116" s="34">
        <f t="shared" si="49"/>
        <v>106</v>
      </c>
      <c r="C116" s="30"/>
      <c r="D116" s="30"/>
      <c r="E116" s="30"/>
      <c r="F116" s="30"/>
      <c r="G116" s="30"/>
      <c r="H116" s="35"/>
      <c r="J116" s="34" t="str">
        <f t="shared" si="43"/>
        <v/>
      </c>
      <c r="K116" s="30" t="str">
        <f t="shared" si="44"/>
        <v/>
      </c>
      <c r="L116" s="30" t="str">
        <f t="shared" si="45"/>
        <v/>
      </c>
      <c r="M116" s="30" t="str">
        <f t="shared" si="46"/>
        <v/>
      </c>
      <c r="N116" s="30" t="str">
        <f t="shared" si="47"/>
        <v/>
      </c>
      <c r="O116" s="35" t="str">
        <f t="shared" si="48"/>
        <v/>
      </c>
      <c r="AB116" s="40" t="str">
        <f t="shared" si="50"/>
        <v/>
      </c>
      <c r="AC116" s="15" t="str">
        <f t="shared" si="51"/>
        <v/>
      </c>
      <c r="AD116" s="15" t="str">
        <f t="shared" si="52"/>
        <v/>
      </c>
      <c r="AE116" s="15" t="str">
        <f t="shared" si="53"/>
        <v/>
      </c>
      <c r="AF116" s="15" t="str">
        <f t="shared" si="54"/>
        <v/>
      </c>
      <c r="AG116" s="41" t="str">
        <f t="shared" si="55"/>
        <v/>
      </c>
      <c r="AH116" s="15"/>
    </row>
    <row r="117" spans="2:42">
      <c r="B117" s="34">
        <f t="shared" si="49"/>
        <v>107</v>
      </c>
      <c r="C117" s="30"/>
      <c r="D117" s="30"/>
      <c r="E117" s="30"/>
      <c r="F117" s="30"/>
      <c r="G117" s="30"/>
      <c r="H117" s="35"/>
      <c r="J117" s="34" t="str">
        <f t="shared" si="43"/>
        <v/>
      </c>
      <c r="K117" s="30" t="str">
        <f t="shared" si="44"/>
        <v/>
      </c>
      <c r="L117" s="30" t="str">
        <f t="shared" si="45"/>
        <v/>
      </c>
      <c r="M117" s="30" t="str">
        <f t="shared" si="46"/>
        <v/>
      </c>
      <c r="N117" s="30" t="str">
        <f t="shared" si="47"/>
        <v/>
      </c>
      <c r="O117" s="35" t="str">
        <f t="shared" si="48"/>
        <v/>
      </c>
      <c r="AB117" s="40" t="str">
        <f t="shared" si="50"/>
        <v/>
      </c>
      <c r="AC117" s="15" t="str">
        <f t="shared" si="51"/>
        <v/>
      </c>
      <c r="AD117" s="15" t="str">
        <f t="shared" si="52"/>
        <v/>
      </c>
      <c r="AE117" s="15" t="str">
        <f t="shared" si="53"/>
        <v/>
      </c>
      <c r="AF117" s="15" t="str">
        <f t="shared" si="54"/>
        <v/>
      </c>
      <c r="AG117" s="41" t="str">
        <f t="shared" si="55"/>
        <v/>
      </c>
      <c r="AH117" s="15"/>
    </row>
    <row r="118" spans="2:42">
      <c r="B118" s="34">
        <f t="shared" si="49"/>
        <v>108</v>
      </c>
      <c r="C118" s="30"/>
      <c r="D118" s="30"/>
      <c r="E118" s="30"/>
      <c r="F118" s="30"/>
      <c r="G118" s="30"/>
      <c r="H118" s="35"/>
      <c r="J118" s="34" t="str">
        <f t="shared" si="43"/>
        <v/>
      </c>
      <c r="K118" s="30" t="str">
        <f t="shared" si="44"/>
        <v/>
      </c>
      <c r="L118" s="30" t="str">
        <f t="shared" si="45"/>
        <v/>
      </c>
      <c r="M118" s="30" t="str">
        <f t="shared" si="46"/>
        <v/>
      </c>
      <c r="N118" s="30" t="str">
        <f t="shared" si="47"/>
        <v/>
      </c>
      <c r="O118" s="35" t="str">
        <f t="shared" si="48"/>
        <v/>
      </c>
      <c r="AB118" s="40" t="str">
        <f t="shared" si="50"/>
        <v/>
      </c>
      <c r="AC118" s="15" t="str">
        <f t="shared" si="51"/>
        <v/>
      </c>
      <c r="AD118" s="15" t="str">
        <f t="shared" si="52"/>
        <v/>
      </c>
      <c r="AE118" s="15" t="str">
        <f t="shared" si="53"/>
        <v/>
      </c>
      <c r="AF118" s="15" t="str">
        <f t="shared" si="54"/>
        <v/>
      </c>
      <c r="AG118" s="41" t="str">
        <f t="shared" si="55"/>
        <v/>
      </c>
      <c r="AH118" s="15"/>
    </row>
    <row r="119" spans="2:42">
      <c r="B119" s="34">
        <f t="shared" si="49"/>
        <v>109</v>
      </c>
      <c r="C119" s="30"/>
      <c r="D119" s="30"/>
      <c r="E119" s="30"/>
      <c r="F119" s="30"/>
      <c r="G119" s="30"/>
      <c r="H119" s="35"/>
      <c r="J119" s="34" t="str">
        <f t="shared" si="43"/>
        <v/>
      </c>
      <c r="K119" s="30" t="str">
        <f t="shared" si="44"/>
        <v/>
      </c>
      <c r="L119" s="30" t="str">
        <f t="shared" si="45"/>
        <v/>
      </c>
      <c r="M119" s="30" t="str">
        <f t="shared" si="46"/>
        <v/>
      </c>
      <c r="N119" s="30" t="str">
        <f t="shared" si="47"/>
        <v/>
      </c>
      <c r="O119" s="35" t="str">
        <f t="shared" si="48"/>
        <v/>
      </c>
      <c r="AB119" s="40" t="str">
        <f t="shared" si="50"/>
        <v/>
      </c>
      <c r="AC119" s="15" t="str">
        <f t="shared" si="51"/>
        <v/>
      </c>
      <c r="AD119" s="15" t="str">
        <f t="shared" si="52"/>
        <v/>
      </c>
      <c r="AE119" s="15" t="str">
        <f t="shared" si="53"/>
        <v/>
      </c>
      <c r="AF119" s="15" t="str">
        <f t="shared" si="54"/>
        <v/>
      </c>
      <c r="AG119" s="41" t="str">
        <f t="shared" si="55"/>
        <v/>
      </c>
      <c r="AH119" s="15"/>
    </row>
    <row r="120" spans="2:42">
      <c r="B120" s="34">
        <f t="shared" si="49"/>
        <v>110</v>
      </c>
      <c r="C120" s="30"/>
      <c r="D120" s="30"/>
      <c r="E120" s="30"/>
      <c r="F120" s="30"/>
      <c r="G120" s="30"/>
      <c r="H120" s="35"/>
      <c r="J120" s="34" t="str">
        <f t="shared" si="43"/>
        <v/>
      </c>
      <c r="K120" s="30" t="str">
        <f t="shared" si="44"/>
        <v/>
      </c>
      <c r="L120" s="30" t="str">
        <f t="shared" si="45"/>
        <v/>
      </c>
      <c r="M120" s="30" t="str">
        <f t="shared" si="46"/>
        <v/>
      </c>
      <c r="N120" s="30" t="str">
        <f t="shared" si="47"/>
        <v/>
      </c>
      <c r="O120" s="35" t="str">
        <f t="shared" si="48"/>
        <v/>
      </c>
      <c r="AB120" s="40" t="str">
        <f t="shared" si="50"/>
        <v/>
      </c>
      <c r="AC120" s="15" t="str">
        <f t="shared" si="51"/>
        <v/>
      </c>
      <c r="AD120" s="15" t="str">
        <f t="shared" si="52"/>
        <v/>
      </c>
      <c r="AE120" s="15" t="str">
        <f t="shared" si="53"/>
        <v/>
      </c>
      <c r="AF120" s="15" t="str">
        <f t="shared" si="54"/>
        <v/>
      </c>
      <c r="AG120" s="41" t="str">
        <f t="shared" si="55"/>
        <v/>
      </c>
      <c r="AH120" s="15"/>
    </row>
    <row r="121" spans="2:42">
      <c r="B121" s="34">
        <f t="shared" si="49"/>
        <v>111</v>
      </c>
      <c r="C121" s="30"/>
      <c r="D121" s="30"/>
      <c r="E121" s="30"/>
      <c r="F121" s="30"/>
      <c r="G121" s="30"/>
      <c r="H121" s="35"/>
      <c r="J121" s="34" t="str">
        <f t="shared" si="43"/>
        <v/>
      </c>
      <c r="K121" s="30" t="str">
        <f t="shared" si="44"/>
        <v/>
      </c>
      <c r="L121" s="30" t="str">
        <f t="shared" si="45"/>
        <v/>
      </c>
      <c r="M121" s="30" t="str">
        <f t="shared" si="46"/>
        <v/>
      </c>
      <c r="N121" s="30" t="str">
        <f t="shared" si="47"/>
        <v/>
      </c>
      <c r="O121" s="35" t="str">
        <f t="shared" si="48"/>
        <v/>
      </c>
      <c r="AB121" s="40" t="str">
        <f t="shared" si="50"/>
        <v/>
      </c>
      <c r="AC121" s="15" t="str">
        <f t="shared" si="51"/>
        <v/>
      </c>
      <c r="AD121" s="15" t="str">
        <f t="shared" si="52"/>
        <v/>
      </c>
      <c r="AE121" s="15" t="str">
        <f t="shared" si="53"/>
        <v/>
      </c>
      <c r="AF121" s="15" t="str">
        <f t="shared" si="54"/>
        <v/>
      </c>
      <c r="AG121" s="41" t="str">
        <f t="shared" si="55"/>
        <v/>
      </c>
      <c r="AH121" s="15"/>
    </row>
    <row r="122" spans="2:42">
      <c r="B122" s="34">
        <f t="shared" si="49"/>
        <v>112</v>
      </c>
      <c r="C122" s="30"/>
      <c r="D122" s="30"/>
      <c r="E122" s="30"/>
      <c r="F122" s="30"/>
      <c r="G122" s="30"/>
      <c r="H122" s="35"/>
      <c r="J122" s="34" t="str">
        <f t="shared" si="43"/>
        <v/>
      </c>
      <c r="K122" s="30" t="str">
        <f t="shared" si="44"/>
        <v/>
      </c>
      <c r="L122" s="30" t="str">
        <f t="shared" si="45"/>
        <v/>
      </c>
      <c r="M122" s="30" t="str">
        <f t="shared" si="46"/>
        <v/>
      </c>
      <c r="N122" s="30" t="str">
        <f t="shared" si="47"/>
        <v/>
      </c>
      <c r="O122" s="35" t="str">
        <f t="shared" si="48"/>
        <v/>
      </c>
      <c r="AB122" s="40" t="str">
        <f t="shared" si="50"/>
        <v/>
      </c>
      <c r="AC122" s="15" t="str">
        <f t="shared" si="51"/>
        <v/>
      </c>
      <c r="AD122" s="15" t="str">
        <f t="shared" si="52"/>
        <v/>
      </c>
      <c r="AE122" s="15" t="str">
        <f t="shared" si="53"/>
        <v/>
      </c>
      <c r="AF122" s="15" t="str">
        <f t="shared" si="54"/>
        <v/>
      </c>
      <c r="AG122" s="41" t="str">
        <f t="shared" si="55"/>
        <v/>
      </c>
      <c r="AH122" s="15"/>
    </row>
    <row r="123" spans="2:42">
      <c r="B123" s="34">
        <f t="shared" si="49"/>
        <v>113</v>
      </c>
      <c r="C123" s="30"/>
      <c r="D123" s="30"/>
      <c r="E123" s="30"/>
      <c r="F123" s="30"/>
      <c r="G123" s="30"/>
      <c r="H123" s="35"/>
      <c r="J123" s="34" t="str">
        <f t="shared" si="43"/>
        <v/>
      </c>
      <c r="K123" s="30" t="str">
        <f t="shared" si="44"/>
        <v/>
      </c>
      <c r="L123" s="30" t="str">
        <f t="shared" si="45"/>
        <v/>
      </c>
      <c r="M123" s="30" t="str">
        <f t="shared" si="46"/>
        <v/>
      </c>
      <c r="N123" s="30" t="str">
        <f t="shared" si="47"/>
        <v/>
      </c>
      <c r="O123" s="35" t="str">
        <f t="shared" si="48"/>
        <v/>
      </c>
      <c r="AB123" s="40" t="str">
        <f t="shared" si="50"/>
        <v/>
      </c>
      <c r="AC123" s="15" t="str">
        <f t="shared" si="51"/>
        <v/>
      </c>
      <c r="AD123" s="15" t="str">
        <f t="shared" si="52"/>
        <v/>
      </c>
      <c r="AE123" s="15" t="str">
        <f t="shared" si="53"/>
        <v/>
      </c>
      <c r="AF123" s="15" t="str">
        <f t="shared" si="54"/>
        <v/>
      </c>
      <c r="AG123" s="41" t="str">
        <f t="shared" si="55"/>
        <v/>
      </c>
      <c r="AH123" s="15"/>
    </row>
    <row r="124" spans="2:42">
      <c r="B124" s="34">
        <f t="shared" si="49"/>
        <v>114</v>
      </c>
      <c r="C124" s="30"/>
      <c r="D124" s="30"/>
      <c r="E124" s="30"/>
      <c r="F124" s="30"/>
      <c r="G124" s="30"/>
      <c r="H124" s="35"/>
      <c r="J124" s="34" t="str">
        <f t="shared" si="43"/>
        <v/>
      </c>
      <c r="K124" s="30" t="str">
        <f t="shared" si="44"/>
        <v/>
      </c>
      <c r="L124" s="30" t="str">
        <f t="shared" si="45"/>
        <v/>
      </c>
      <c r="M124" s="30" t="str">
        <f t="shared" si="46"/>
        <v/>
      </c>
      <c r="N124" s="30" t="str">
        <f t="shared" si="47"/>
        <v/>
      </c>
      <c r="O124" s="35" t="str">
        <f t="shared" si="48"/>
        <v/>
      </c>
      <c r="AB124" s="40" t="str">
        <f t="shared" si="50"/>
        <v/>
      </c>
      <c r="AC124" s="15" t="str">
        <f t="shared" si="51"/>
        <v/>
      </c>
      <c r="AD124" s="15" t="str">
        <f t="shared" si="52"/>
        <v/>
      </c>
      <c r="AE124" s="15" t="str">
        <f t="shared" si="53"/>
        <v/>
      </c>
      <c r="AF124" s="15" t="str">
        <f t="shared" si="54"/>
        <v/>
      </c>
      <c r="AG124" s="41" t="str">
        <f t="shared" si="55"/>
        <v/>
      </c>
      <c r="AH124" s="15"/>
    </row>
    <row r="125" spans="2:42">
      <c r="B125" s="34">
        <f t="shared" si="49"/>
        <v>115</v>
      </c>
      <c r="C125" s="30"/>
      <c r="D125" s="30"/>
      <c r="E125" s="30"/>
      <c r="F125" s="30"/>
      <c r="G125" s="30"/>
      <c r="H125" s="35"/>
      <c r="J125" s="34" t="str">
        <f t="shared" si="43"/>
        <v/>
      </c>
      <c r="K125" s="30" t="str">
        <f t="shared" si="44"/>
        <v/>
      </c>
      <c r="L125" s="30" t="str">
        <f t="shared" si="45"/>
        <v/>
      </c>
      <c r="M125" s="30" t="str">
        <f t="shared" si="46"/>
        <v/>
      </c>
      <c r="N125" s="30" t="str">
        <f t="shared" si="47"/>
        <v/>
      </c>
      <c r="O125" s="35" t="str">
        <f t="shared" si="48"/>
        <v/>
      </c>
      <c r="AB125" s="40" t="str">
        <f t="shared" si="50"/>
        <v/>
      </c>
      <c r="AC125" s="15" t="str">
        <f t="shared" si="51"/>
        <v/>
      </c>
      <c r="AD125" s="15" t="str">
        <f t="shared" si="52"/>
        <v/>
      </c>
      <c r="AE125" s="15" t="str">
        <f t="shared" si="53"/>
        <v/>
      </c>
      <c r="AF125" s="15" t="str">
        <f t="shared" si="54"/>
        <v/>
      </c>
      <c r="AG125" s="41" t="str">
        <f t="shared" si="55"/>
        <v/>
      </c>
      <c r="AH125" s="15"/>
    </row>
    <row r="126" spans="2:42">
      <c r="B126" s="34">
        <f t="shared" si="49"/>
        <v>116</v>
      </c>
      <c r="C126" s="30"/>
      <c r="D126" s="30"/>
      <c r="E126" s="30"/>
      <c r="F126" s="30"/>
      <c r="G126" s="30"/>
      <c r="H126" s="35"/>
      <c r="J126" s="34" t="str">
        <f t="shared" si="43"/>
        <v/>
      </c>
      <c r="K126" s="30" t="str">
        <f t="shared" si="44"/>
        <v/>
      </c>
      <c r="L126" s="30" t="str">
        <f t="shared" si="45"/>
        <v/>
      </c>
      <c r="M126" s="30" t="str">
        <f t="shared" si="46"/>
        <v/>
      </c>
      <c r="N126" s="30" t="str">
        <f t="shared" si="47"/>
        <v/>
      </c>
      <c r="O126" s="35" t="str">
        <f t="shared" si="48"/>
        <v/>
      </c>
      <c r="AB126" s="40" t="str">
        <f t="shared" si="50"/>
        <v/>
      </c>
      <c r="AC126" s="15" t="str">
        <f t="shared" si="51"/>
        <v/>
      </c>
      <c r="AD126" s="15" t="str">
        <f t="shared" si="52"/>
        <v/>
      </c>
      <c r="AE126" s="15" t="str">
        <f t="shared" si="53"/>
        <v/>
      </c>
      <c r="AF126" s="15" t="str">
        <f t="shared" si="54"/>
        <v/>
      </c>
      <c r="AG126" s="41" t="str">
        <f t="shared" si="55"/>
        <v/>
      </c>
      <c r="AH126" s="15"/>
    </row>
    <row r="127" spans="2:42">
      <c r="B127" s="34">
        <f t="shared" si="49"/>
        <v>117</v>
      </c>
      <c r="C127" s="30"/>
      <c r="D127" s="30"/>
      <c r="E127" s="30"/>
      <c r="F127" s="30"/>
      <c r="G127" s="30"/>
      <c r="H127" s="35"/>
      <c r="J127" s="34" t="str">
        <f t="shared" si="43"/>
        <v/>
      </c>
      <c r="K127" s="30" t="str">
        <f t="shared" si="44"/>
        <v/>
      </c>
      <c r="L127" s="30" t="str">
        <f t="shared" si="45"/>
        <v/>
      </c>
      <c r="M127" s="30" t="str">
        <f t="shared" si="46"/>
        <v/>
      </c>
      <c r="N127" s="30" t="str">
        <f t="shared" si="47"/>
        <v/>
      </c>
      <c r="O127" s="35" t="str">
        <f t="shared" si="48"/>
        <v/>
      </c>
      <c r="AB127" s="40" t="str">
        <f t="shared" si="50"/>
        <v/>
      </c>
      <c r="AC127" s="15" t="str">
        <f t="shared" si="51"/>
        <v/>
      </c>
      <c r="AD127" s="15" t="str">
        <f t="shared" si="52"/>
        <v/>
      </c>
      <c r="AE127" s="15" t="str">
        <f t="shared" si="53"/>
        <v/>
      </c>
      <c r="AF127" s="15" t="str">
        <f t="shared" si="54"/>
        <v/>
      </c>
      <c r="AG127" s="41" t="str">
        <f t="shared" si="55"/>
        <v/>
      </c>
      <c r="AH127" s="15"/>
    </row>
    <row r="128" spans="2:42">
      <c r="B128" s="34">
        <f t="shared" si="49"/>
        <v>118</v>
      </c>
      <c r="C128" s="30"/>
      <c r="D128" s="30"/>
      <c r="E128" s="30"/>
      <c r="F128" s="30"/>
      <c r="G128" s="30"/>
      <c r="H128" s="35"/>
      <c r="J128" s="34" t="str">
        <f t="shared" si="43"/>
        <v/>
      </c>
      <c r="K128" s="30" t="str">
        <f t="shared" si="44"/>
        <v/>
      </c>
      <c r="L128" s="30" t="str">
        <f t="shared" si="45"/>
        <v/>
      </c>
      <c r="M128" s="30" t="str">
        <f t="shared" si="46"/>
        <v/>
      </c>
      <c r="N128" s="30" t="str">
        <f t="shared" si="47"/>
        <v/>
      </c>
      <c r="O128" s="35" t="str">
        <f t="shared" si="48"/>
        <v/>
      </c>
      <c r="AB128" s="40" t="str">
        <f t="shared" si="50"/>
        <v/>
      </c>
      <c r="AC128" s="15" t="str">
        <f t="shared" si="51"/>
        <v/>
      </c>
      <c r="AD128" s="15" t="str">
        <f t="shared" si="52"/>
        <v/>
      </c>
      <c r="AE128" s="15" t="str">
        <f t="shared" si="53"/>
        <v/>
      </c>
      <c r="AF128" s="15" t="str">
        <f t="shared" si="54"/>
        <v/>
      </c>
      <c r="AG128" s="41" t="str">
        <f t="shared" si="55"/>
        <v/>
      </c>
      <c r="AH128" s="15"/>
    </row>
    <row r="129" spans="2:34">
      <c r="B129" s="34">
        <f t="shared" si="49"/>
        <v>119</v>
      </c>
      <c r="C129" s="30"/>
      <c r="D129" s="30"/>
      <c r="E129" s="30"/>
      <c r="F129" s="30"/>
      <c r="G129" s="30"/>
      <c r="H129" s="35"/>
      <c r="J129" s="34" t="str">
        <f t="shared" si="43"/>
        <v/>
      </c>
      <c r="K129" s="30" t="str">
        <f t="shared" si="44"/>
        <v/>
      </c>
      <c r="L129" s="30" t="str">
        <f t="shared" si="45"/>
        <v/>
      </c>
      <c r="M129" s="30" t="str">
        <f t="shared" si="46"/>
        <v/>
      </c>
      <c r="N129" s="30" t="str">
        <f t="shared" si="47"/>
        <v/>
      </c>
      <c r="O129" s="35" t="str">
        <f t="shared" si="48"/>
        <v/>
      </c>
      <c r="AB129" s="40" t="str">
        <f t="shared" si="50"/>
        <v/>
      </c>
      <c r="AC129" s="15" t="str">
        <f t="shared" si="51"/>
        <v/>
      </c>
      <c r="AD129" s="15" t="str">
        <f t="shared" si="52"/>
        <v/>
      </c>
      <c r="AE129" s="15" t="str">
        <f t="shared" si="53"/>
        <v/>
      </c>
      <c r="AF129" s="15" t="str">
        <f t="shared" si="54"/>
        <v/>
      </c>
      <c r="AG129" s="41" t="str">
        <f t="shared" si="55"/>
        <v/>
      </c>
      <c r="AH129" s="15"/>
    </row>
    <row r="130" spans="2:34">
      <c r="B130" s="34">
        <f t="shared" si="49"/>
        <v>120</v>
      </c>
      <c r="C130" s="30"/>
      <c r="D130" s="30"/>
      <c r="E130" s="30"/>
      <c r="F130" s="30"/>
      <c r="G130" s="30"/>
      <c r="H130" s="35"/>
      <c r="J130" s="34" t="str">
        <f t="shared" si="43"/>
        <v/>
      </c>
      <c r="K130" s="30" t="str">
        <f t="shared" si="44"/>
        <v/>
      </c>
      <c r="L130" s="30" t="str">
        <f t="shared" si="45"/>
        <v/>
      </c>
      <c r="M130" s="30" t="str">
        <f t="shared" si="46"/>
        <v/>
      </c>
      <c r="N130" s="30" t="str">
        <f t="shared" si="47"/>
        <v/>
      </c>
      <c r="O130" s="35" t="str">
        <f t="shared" si="48"/>
        <v/>
      </c>
      <c r="AB130" s="40" t="str">
        <f t="shared" si="50"/>
        <v/>
      </c>
      <c r="AC130" s="15" t="str">
        <f t="shared" si="51"/>
        <v/>
      </c>
      <c r="AD130" s="15" t="str">
        <f t="shared" si="52"/>
        <v/>
      </c>
      <c r="AE130" s="15" t="str">
        <f t="shared" si="53"/>
        <v/>
      </c>
      <c r="AF130" s="15" t="str">
        <f t="shared" si="54"/>
        <v/>
      </c>
      <c r="AG130" s="41" t="str">
        <f t="shared" si="55"/>
        <v/>
      </c>
      <c r="AH130" s="15"/>
    </row>
    <row r="131" spans="2:34">
      <c r="B131" s="34">
        <f t="shared" si="49"/>
        <v>121</v>
      </c>
      <c r="C131" s="30"/>
      <c r="D131" s="30"/>
      <c r="E131" s="30"/>
      <c r="F131" s="30"/>
      <c r="G131" s="30"/>
      <c r="H131" s="35"/>
      <c r="J131" s="34" t="str">
        <f t="shared" si="43"/>
        <v/>
      </c>
      <c r="K131" s="30" t="str">
        <f t="shared" si="44"/>
        <v/>
      </c>
      <c r="L131" s="30" t="str">
        <f t="shared" si="45"/>
        <v/>
      </c>
      <c r="M131" s="30" t="str">
        <f t="shared" si="46"/>
        <v/>
      </c>
      <c r="N131" s="30" t="str">
        <f t="shared" si="47"/>
        <v/>
      </c>
      <c r="O131" s="35" t="str">
        <f t="shared" si="48"/>
        <v/>
      </c>
      <c r="AB131" s="40" t="str">
        <f t="shared" si="50"/>
        <v/>
      </c>
      <c r="AC131" s="15" t="str">
        <f t="shared" si="51"/>
        <v/>
      </c>
      <c r="AD131" s="15" t="str">
        <f t="shared" si="52"/>
        <v/>
      </c>
      <c r="AE131" s="15" t="str">
        <f t="shared" si="53"/>
        <v/>
      </c>
      <c r="AF131" s="15" t="str">
        <f t="shared" si="54"/>
        <v/>
      </c>
      <c r="AG131" s="41" t="str">
        <f t="shared" si="55"/>
        <v/>
      </c>
      <c r="AH131" s="15"/>
    </row>
    <row r="132" spans="2:34">
      <c r="B132" s="34">
        <f t="shared" si="49"/>
        <v>122</v>
      </c>
      <c r="C132" s="30"/>
      <c r="D132" s="30"/>
      <c r="E132" s="30"/>
      <c r="F132" s="30"/>
      <c r="G132" s="30"/>
      <c r="H132" s="35"/>
      <c r="J132" s="34" t="str">
        <f t="shared" si="43"/>
        <v/>
      </c>
      <c r="K132" s="30" t="str">
        <f t="shared" si="44"/>
        <v/>
      </c>
      <c r="L132" s="30" t="str">
        <f t="shared" si="45"/>
        <v/>
      </c>
      <c r="M132" s="30" t="str">
        <f t="shared" si="46"/>
        <v/>
      </c>
      <c r="N132" s="30" t="str">
        <f t="shared" si="47"/>
        <v/>
      </c>
      <c r="O132" s="35" t="str">
        <f t="shared" si="48"/>
        <v/>
      </c>
      <c r="AB132" s="40" t="str">
        <f t="shared" si="50"/>
        <v/>
      </c>
      <c r="AC132" s="15" t="str">
        <f t="shared" si="51"/>
        <v/>
      </c>
      <c r="AD132" s="15" t="str">
        <f t="shared" si="52"/>
        <v/>
      </c>
      <c r="AE132" s="15" t="str">
        <f t="shared" si="53"/>
        <v/>
      </c>
      <c r="AF132" s="15" t="str">
        <f t="shared" si="54"/>
        <v/>
      </c>
      <c r="AG132" s="41" t="str">
        <f t="shared" si="55"/>
        <v/>
      </c>
      <c r="AH132" s="15"/>
    </row>
    <row r="133" spans="2:34">
      <c r="B133" s="34">
        <f t="shared" si="49"/>
        <v>123</v>
      </c>
      <c r="C133" s="30"/>
      <c r="D133" s="30"/>
      <c r="E133" s="30"/>
      <c r="F133" s="30"/>
      <c r="G133" s="30"/>
      <c r="H133" s="35"/>
      <c r="J133" s="34" t="str">
        <f t="shared" ref="J133:J135" si="61">IF(C133="","",1)</f>
        <v/>
      </c>
      <c r="K133" s="30" t="str">
        <f t="shared" ref="K133:K135" si="62">IF(D133="","",1)</f>
        <v/>
      </c>
      <c r="L133" s="30" t="str">
        <f t="shared" ref="L133:L135" si="63">IF(E133="","",1)</f>
        <v/>
      </c>
      <c r="M133" s="30" t="str">
        <f t="shared" ref="M133:M135" si="64">IF(F133="","",1)</f>
        <v/>
      </c>
      <c r="N133" s="30" t="str">
        <f t="shared" ref="N133:N135" si="65">IF(G133="","",1)</f>
        <v/>
      </c>
      <c r="O133" s="35" t="str">
        <f t="shared" ref="O133:O135" si="66">IF(H133="","",1)</f>
        <v/>
      </c>
      <c r="AB133" s="40" t="str">
        <f t="shared" si="50"/>
        <v/>
      </c>
      <c r="AC133" s="15" t="str">
        <f t="shared" si="51"/>
        <v/>
      </c>
      <c r="AD133" s="15" t="str">
        <f t="shared" si="52"/>
        <v/>
      </c>
      <c r="AE133" s="15" t="str">
        <f t="shared" si="53"/>
        <v/>
      </c>
      <c r="AF133" s="15" t="str">
        <f t="shared" si="54"/>
        <v/>
      </c>
      <c r="AG133" s="41" t="str">
        <f t="shared" si="55"/>
        <v/>
      </c>
      <c r="AH133" s="15"/>
    </row>
    <row r="134" spans="2:34">
      <c r="B134" s="34">
        <f t="shared" si="49"/>
        <v>124</v>
      </c>
      <c r="C134" s="30"/>
      <c r="D134" s="30"/>
      <c r="E134" s="30"/>
      <c r="F134" s="30"/>
      <c r="G134" s="30"/>
      <c r="H134" s="35"/>
      <c r="J134" s="34" t="str">
        <f t="shared" si="61"/>
        <v/>
      </c>
      <c r="K134" s="30" t="str">
        <f t="shared" si="62"/>
        <v/>
      </c>
      <c r="L134" s="30" t="str">
        <f t="shared" si="63"/>
        <v/>
      </c>
      <c r="M134" s="30" t="str">
        <f t="shared" si="64"/>
        <v/>
      </c>
      <c r="N134" s="30" t="str">
        <f t="shared" si="65"/>
        <v/>
      </c>
      <c r="O134" s="35" t="str">
        <f t="shared" si="66"/>
        <v/>
      </c>
      <c r="AB134" s="40" t="str">
        <f t="shared" si="50"/>
        <v/>
      </c>
      <c r="AC134" s="15" t="str">
        <f t="shared" si="51"/>
        <v/>
      </c>
      <c r="AD134" s="15" t="str">
        <f t="shared" si="52"/>
        <v/>
      </c>
      <c r="AE134" s="15" t="str">
        <f t="shared" si="53"/>
        <v/>
      </c>
      <c r="AF134" s="15" t="str">
        <f t="shared" si="54"/>
        <v/>
      </c>
      <c r="AG134" s="41" t="str">
        <f t="shared" si="55"/>
        <v/>
      </c>
      <c r="AH134" s="15"/>
    </row>
    <row r="135" spans="2:34">
      <c r="B135" s="36">
        <f t="shared" si="49"/>
        <v>125</v>
      </c>
      <c r="C135" s="37"/>
      <c r="D135" s="37"/>
      <c r="E135" s="37"/>
      <c r="F135" s="37"/>
      <c r="G135" s="37"/>
      <c r="H135" s="38"/>
      <c r="J135" s="36" t="str">
        <f t="shared" si="61"/>
        <v/>
      </c>
      <c r="K135" s="37" t="str">
        <f t="shared" si="62"/>
        <v/>
      </c>
      <c r="L135" s="37" t="str">
        <f t="shared" si="63"/>
        <v/>
      </c>
      <c r="M135" s="37" t="str">
        <f t="shared" si="64"/>
        <v/>
      </c>
      <c r="N135" s="37" t="str">
        <f t="shared" si="65"/>
        <v/>
      </c>
      <c r="O135" s="38" t="str">
        <f t="shared" si="66"/>
        <v/>
      </c>
      <c r="AB135" s="42" t="str">
        <f t="shared" si="50"/>
        <v/>
      </c>
      <c r="AC135" s="43" t="str">
        <f t="shared" si="51"/>
        <v/>
      </c>
      <c r="AD135" s="43" t="str">
        <f t="shared" si="52"/>
        <v/>
      </c>
      <c r="AE135" s="43" t="str">
        <f t="shared" si="53"/>
        <v/>
      </c>
      <c r="AF135" s="43" t="str">
        <f t="shared" si="54"/>
        <v/>
      </c>
      <c r="AG135" s="44" t="str">
        <f t="shared" si="55"/>
        <v/>
      </c>
      <c r="AH135" s="15"/>
    </row>
  </sheetData>
  <phoneticPr fontId="3" type="noConversion"/>
  <conditionalFormatting sqref="C3:H223">
    <cfRule type="cellIs" dxfId="53" priority="2" operator="equal">
      <formula>"WC"</formula>
    </cfRule>
    <cfRule type="cellIs" dxfId="52" priority="3" operator="equal">
      <formula>"FG"</formula>
    </cfRule>
  </conditionalFormatting>
  <conditionalFormatting sqref="J3:O3">
    <cfRule type="cellIs" dxfId="51" priority="8" operator="equal">
      <formula>$E$24</formula>
    </cfRule>
    <cfRule type="cellIs" dxfId="50" priority="9" operator="equal">
      <formula>$C$20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C523-F893-4966-9940-28A40AEAD5F2}">
  <dimension ref="B2:BL135"/>
  <sheetViews>
    <sheetView topLeftCell="D1" zoomScale="91" zoomScaleNormal="84" workbookViewId="0">
      <selection activeCell="H10" sqref="H10:H109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HH</v>
      </c>
      <c r="D4" s="32" t="str">
        <f t="shared" si="1"/>
        <v>JJ</v>
      </c>
      <c r="E4" s="32" t="str">
        <f t="shared" si="1"/>
        <v>BB</v>
      </c>
      <c r="F4" s="32" t="str">
        <f t="shared" si="1"/>
        <v>GG</v>
      </c>
      <c r="G4" s="32" t="str">
        <f t="shared" si="1"/>
        <v>KK</v>
      </c>
      <c r="H4" s="33" t="str">
        <f t="shared" si="1"/>
        <v>DD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KK</v>
      </c>
      <c r="D5" s="30" t="str">
        <f t="shared" si="1"/>
        <v>JJ</v>
      </c>
      <c r="E5" s="30" t="str">
        <f t="shared" si="1"/>
        <v>LL</v>
      </c>
      <c r="F5" s="30" t="str">
        <f t="shared" si="1"/>
        <v>WC</v>
      </c>
      <c r="G5" s="30" t="str">
        <f t="shared" si="1"/>
        <v>AA</v>
      </c>
      <c r="H5" s="35" t="str">
        <f t="shared" si="1"/>
        <v>BB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GG</v>
      </c>
      <c r="D6" s="30" t="str">
        <f t="shared" si="1"/>
        <v>BB</v>
      </c>
      <c r="E6" s="30" t="str">
        <f t="shared" si="1"/>
        <v>WC</v>
      </c>
      <c r="F6" s="30" t="str">
        <f t="shared" si="1"/>
        <v>FF</v>
      </c>
      <c r="G6" s="30" t="str">
        <f t="shared" si="1"/>
        <v>LL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AA</v>
      </c>
      <c r="D7" s="30" t="str">
        <f t="shared" si="1"/>
        <v>BB</v>
      </c>
      <c r="E7" s="30" t="str">
        <f t="shared" si="1"/>
        <v>CC</v>
      </c>
      <c r="F7" s="30" t="str">
        <f t="shared" si="1"/>
        <v>JJ</v>
      </c>
      <c r="G7" s="30" t="str">
        <f t="shared" si="1"/>
        <v>KK</v>
      </c>
      <c r="H7" s="35" t="str">
        <f t="shared" si="1"/>
        <v>JJ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HH</v>
      </c>
      <c r="D8" s="30" t="str">
        <f t="shared" si="1"/>
        <v>BB</v>
      </c>
      <c r="E8" s="30" t="str">
        <f t="shared" si="1"/>
        <v>AA</v>
      </c>
      <c r="F8" s="30" t="str">
        <f t="shared" si="1"/>
        <v>KK</v>
      </c>
      <c r="G8" s="30" t="str">
        <f t="shared" si="1"/>
        <v>CC</v>
      </c>
      <c r="H8" s="35" t="str">
        <f t="shared" si="1"/>
        <v>GG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LL</v>
      </c>
      <c r="D9" s="37" t="str">
        <f t="shared" si="1"/>
        <v>CC</v>
      </c>
      <c r="E9" s="37" t="str">
        <f t="shared" si="1"/>
        <v>BB</v>
      </c>
      <c r="F9" s="37" t="str">
        <f t="shared" si="1"/>
        <v>CC</v>
      </c>
      <c r="G9" s="37" t="str">
        <f t="shared" si="1"/>
        <v>GG</v>
      </c>
      <c r="H9" s="38" t="str">
        <f t="shared" si="1"/>
        <v>DD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127</v>
      </c>
      <c r="D10" s="30" t="s">
        <v>131</v>
      </c>
      <c r="E10" s="30" t="s">
        <v>128</v>
      </c>
      <c r="F10" s="30" t="s">
        <v>127</v>
      </c>
      <c r="G10" s="30" t="s">
        <v>127</v>
      </c>
      <c r="H10" s="35" t="s">
        <v>138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1</v>
      </c>
      <c r="T10" s="30">
        <f t="shared" si="5"/>
        <v>4</v>
      </c>
      <c r="U10" s="30">
        <f t="shared" si="5"/>
        <v>5</v>
      </c>
      <c r="V10" s="30">
        <f t="shared" si="5"/>
        <v>5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0010000000010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0101000000000</v>
      </c>
      <c r="AD10" s="15" t="str">
        <f t="shared" si="7"/>
        <v>0010001000000</v>
      </c>
      <c r="AE10" s="15" t="str">
        <f t="shared" si="7"/>
        <v>0011000000000</v>
      </c>
      <c r="AF10" s="15" t="str">
        <f t="shared" si="7"/>
        <v>0010000100000</v>
      </c>
      <c r="AG10" s="41" t="str">
        <f t="shared" si="7"/>
        <v>0000100000010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2</v>
      </c>
      <c r="AU10" s="30" cm="1">
        <f t="array" ref="AU10">SUMPRODUCT($AI$10:$AI$113,AM$10:AM$113,IF(LEFT($AJ$10:$AJ$113,2)=$AR10,1,0))</f>
        <v>8</v>
      </c>
      <c r="AV10" s="30" cm="1">
        <f t="array" ref="AV10">SUMPRODUCT($AI$10:$AI$113,AN$10:AN$113,IF(LEFT($AJ$10:$AJ$113,2)=$AR10,1,0))</f>
        <v>10</v>
      </c>
      <c r="AW10" s="30" cm="1">
        <f t="array" ref="AW10">SUMPRODUCT($AI$10:$AI$113,AO$10:AO$113,IF(LEFT($AJ$10:$AJ$113,2)=$AR10,1,0))</f>
        <v>10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128</v>
      </c>
      <c r="D11" s="30" t="s">
        <v>131</v>
      </c>
      <c r="E11" s="30" t="s">
        <v>128</v>
      </c>
      <c r="F11" s="30" t="s">
        <v>132</v>
      </c>
      <c r="G11" s="30" t="s">
        <v>133</v>
      </c>
      <c r="H11" s="35" t="s">
        <v>138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13</v>
      </c>
      <c r="S11" s="30">
        <f t="shared" si="5"/>
        <v>4</v>
      </c>
      <c r="T11" s="30">
        <f t="shared" si="5"/>
        <v>10</v>
      </c>
      <c r="U11" s="30">
        <f t="shared" si="5"/>
        <v>11</v>
      </c>
      <c r="V11" s="30">
        <f t="shared" si="5"/>
        <v>16</v>
      </c>
      <c r="W11" s="35">
        <f t="shared" si="5"/>
        <v>9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0010001000000</v>
      </c>
      <c r="AC11" s="15" t="str">
        <f t="shared" si="7"/>
        <v>0200000000000</v>
      </c>
      <c r="AD11" s="15" t="str">
        <f t="shared" si="7"/>
        <v>0000002000000</v>
      </c>
      <c r="AE11" s="15" t="str">
        <f t="shared" si="7"/>
        <v>0010000000100</v>
      </c>
      <c r="AF11" s="15" t="str">
        <f t="shared" si="7"/>
        <v>0010000100000</v>
      </c>
      <c r="AG11" s="41" t="str">
        <f t="shared" si="7"/>
        <v>0000000000020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26</v>
      </c>
      <c r="AT11" s="30" cm="1">
        <f t="array" ref="AT11">SUMPRODUCT($AI$10:$AI$113,AL$10:AL$113,IF(LEFT($AJ$10:$AJ$113,2)=$AR11,1,0))</f>
        <v>10</v>
      </c>
      <c r="AU11" s="30" cm="1">
        <f t="array" ref="AU11">SUMPRODUCT($AI$10:$AI$113,AM$10:AM$113,IF(LEFT($AJ$10:$AJ$113,2)=$AR11,1,0))</f>
        <v>28</v>
      </c>
      <c r="AV11" s="30" cm="1">
        <f t="array" ref="AV11">SUMPRODUCT($AI$10:$AI$113,AN$10:AN$113,IF(LEFT($AJ$10:$AJ$113,2)=$AR11,1,0))</f>
        <v>32</v>
      </c>
      <c r="AW11" s="30" cm="1">
        <f t="array" ref="AW11">SUMPRODUCT($AI$10:$AI$113,AO$10:AO$113,IF(LEFT($AJ$10:$AJ$113,2)=$AR11,1,0))</f>
        <v>42</v>
      </c>
      <c r="AX11" s="35" cm="1">
        <f t="array" ref="AX11">SUMPRODUCT($AI$10:$AI$113,AP$10:AP$113,IF(LEFT($AJ$10:$AJ$113,2)=$AR11,1,0))</f>
        <v>18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130</v>
      </c>
      <c r="D12" s="30" t="s">
        <v>131</v>
      </c>
      <c r="E12" s="30" t="s">
        <v>128</v>
      </c>
      <c r="F12" s="30" t="s">
        <v>132</v>
      </c>
      <c r="G12" s="30" t="s">
        <v>128</v>
      </c>
      <c r="H12" s="35" t="s">
        <v>138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4</v>
      </c>
      <c r="S12" s="30">
        <f t="shared" si="5"/>
        <v>4</v>
      </c>
      <c r="T12" s="30">
        <f t="shared" si="5"/>
        <v>10</v>
      </c>
      <c r="U12" s="30">
        <f t="shared" si="5"/>
        <v>4</v>
      </c>
      <c r="V12" s="30">
        <f t="shared" si="5"/>
        <v>4</v>
      </c>
      <c r="W12" s="35">
        <f t="shared" si="5"/>
        <v>15</v>
      </c>
      <c r="Y12" s="20">
        <f t="shared" si="6"/>
        <v>4</v>
      </c>
      <c r="Z12" s="23" t="s">
        <v>134</v>
      </c>
      <c r="AB12" s="40" t="str">
        <f t="shared" si="11"/>
        <v>0000001010000</v>
      </c>
      <c r="AC12" s="15" t="str">
        <f t="shared" si="7"/>
        <v>0200000000000</v>
      </c>
      <c r="AD12" s="15" t="str">
        <f t="shared" si="7"/>
        <v>0000002000000</v>
      </c>
      <c r="AE12" s="15" t="str">
        <f t="shared" si="7"/>
        <v>0000000000200</v>
      </c>
      <c r="AF12" s="15" t="str">
        <f t="shared" si="7"/>
        <v>0000001100000</v>
      </c>
      <c r="AG12" s="41" t="str">
        <f t="shared" si="7"/>
        <v>0000000000020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8</v>
      </c>
      <c r="AT12" s="30" cm="1">
        <f t="array" ref="AT12">SUMPRODUCT($AI$10:$AI$113,AL$10:AL$113,IF(LEFT($AJ$10:$AJ$113,2)=$AR12,1,0))</f>
        <v>10</v>
      </c>
      <c r="AU12" s="30" cm="1">
        <f t="array" ref="AU12">SUMPRODUCT($AI$10:$AI$113,AM$10:AM$113,IF(LEFT($AJ$10:$AJ$113,2)=$AR12,1,0))</f>
        <v>28</v>
      </c>
      <c r="AV12" s="30" cm="1">
        <f t="array" ref="AV12">SUMPRODUCT($AI$10:$AI$113,AN$10:AN$113,IF(LEFT($AJ$10:$AJ$113,2)=$AR12,1,0))</f>
        <v>18</v>
      </c>
      <c r="AW12" s="30" cm="1">
        <f t="array" ref="AW12">SUMPRODUCT($AI$10:$AI$113,AO$10:AO$113,IF(LEFT($AJ$10:$AJ$113,2)=$AR12,1,0))</f>
        <v>18</v>
      </c>
      <c r="AX12" s="35" cm="1">
        <f t="array" ref="AX12">SUMPRODUCT($AI$10:$AI$113,AP$10:AP$113,IF(LEFT($AJ$10:$AJ$113,2)=$AR12,1,0))</f>
        <v>30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136</v>
      </c>
      <c r="D13" s="30" t="s">
        <v>129</v>
      </c>
      <c r="E13" s="30" t="s">
        <v>138</v>
      </c>
      <c r="F13" s="30" t="s">
        <v>132</v>
      </c>
      <c r="G13" s="30" t="s">
        <v>138</v>
      </c>
      <c r="H13" s="35" t="s">
        <v>131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5</v>
      </c>
      <c r="S13" s="30">
        <f t="shared" si="5"/>
        <v>5</v>
      </c>
      <c r="T13" s="30">
        <f t="shared" si="5"/>
        <v>10</v>
      </c>
      <c r="U13" s="30">
        <f t="shared" si="5"/>
        <v>10</v>
      </c>
      <c r="V13" s="30">
        <f t="shared" si="5"/>
        <v>11</v>
      </c>
      <c r="W13" s="35">
        <f t="shared" si="5"/>
        <v>11</v>
      </c>
      <c r="Y13" s="20">
        <f t="shared" si="6"/>
        <v>5</v>
      </c>
      <c r="Z13" s="23" t="s">
        <v>136</v>
      </c>
      <c r="AB13" s="40" t="str">
        <f t="shared" si="11"/>
        <v>0000100010000</v>
      </c>
      <c r="AC13" s="15" t="str">
        <f t="shared" si="7"/>
        <v>0100000001000</v>
      </c>
      <c r="AD13" s="15" t="str">
        <f t="shared" si="7"/>
        <v>0000001000010</v>
      </c>
      <c r="AE13" s="15" t="str">
        <f t="shared" si="7"/>
        <v>0000000000200</v>
      </c>
      <c r="AF13" s="15" t="str">
        <f t="shared" si="7"/>
        <v>0000001000010</v>
      </c>
      <c r="AG13" s="41" t="str">
        <f t="shared" si="7"/>
        <v>0100000000010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10</v>
      </c>
      <c r="AT13" s="30" cm="1">
        <f t="array" ref="AT13">SUMPRODUCT($AI$10:$AI$113,AL$10:AL$113,IF(LEFT($AJ$10:$AJ$113,2)=$AR13,1,0))</f>
        <v>12</v>
      </c>
      <c r="AU13" s="30" cm="1">
        <f t="array" ref="AU13">SUMPRODUCT($AI$10:$AI$113,AM$10:AM$113,IF(LEFT($AJ$10:$AJ$113,2)=$AR13,1,0))</f>
        <v>28</v>
      </c>
      <c r="AV13" s="30" cm="1">
        <f t="array" ref="AV13">SUMPRODUCT($AI$10:$AI$113,AN$10:AN$113,IF(LEFT($AJ$10:$AJ$113,2)=$AR13,1,0))</f>
        <v>30</v>
      </c>
      <c r="AW13" s="30" cm="1">
        <f t="array" ref="AW13">SUMPRODUCT($AI$10:$AI$113,AO$10:AO$113,IF(LEFT($AJ$10:$AJ$113,2)=$AR13,1,0))</f>
        <v>32</v>
      </c>
      <c r="AX13" s="35" cm="1">
        <f t="array" ref="AX13">SUMPRODUCT($AI$10:$AI$113,AP$10:AP$113,IF(LEFT($AJ$10:$AJ$113,2)=$AR13,1,0))</f>
        <v>22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136</v>
      </c>
      <c r="D14" s="30" t="s">
        <v>128</v>
      </c>
      <c r="E14" s="30" t="s">
        <v>138</v>
      </c>
      <c r="F14" s="30" t="s">
        <v>130</v>
      </c>
      <c r="G14" s="30" t="s">
        <v>131</v>
      </c>
      <c r="H14" s="35" t="s">
        <v>132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12</v>
      </c>
      <c r="S14" s="30">
        <f t="shared" si="5"/>
        <v>1</v>
      </c>
      <c r="T14" s="30">
        <f t="shared" si="5"/>
        <v>1</v>
      </c>
      <c r="U14" s="30">
        <f t="shared" si="5"/>
        <v>2</v>
      </c>
      <c r="V14" s="30">
        <f t="shared" si="5"/>
        <v>2</v>
      </c>
      <c r="W14" s="35">
        <f t="shared" si="5"/>
        <v>16</v>
      </c>
      <c r="Y14" s="20">
        <f t="shared" si="6"/>
        <v>6</v>
      </c>
      <c r="Z14" s="23" t="s">
        <v>137</v>
      </c>
      <c r="AB14" s="40" t="str">
        <f t="shared" si="11"/>
        <v>0000200000000</v>
      </c>
      <c r="AC14" s="15" t="str">
        <f t="shared" si="7"/>
        <v>0000001001000</v>
      </c>
      <c r="AD14" s="15" t="str">
        <f t="shared" si="7"/>
        <v>0000000000020</v>
      </c>
      <c r="AE14" s="15" t="str">
        <f t="shared" si="7"/>
        <v>0000000010100</v>
      </c>
      <c r="AF14" s="15" t="str">
        <f t="shared" si="7"/>
        <v>0100000000010</v>
      </c>
      <c r="AG14" s="41" t="str">
        <f t="shared" si="7"/>
        <v>0100000000100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24</v>
      </c>
      <c r="AT14" s="30" cm="1">
        <f t="array" ref="AT14">SUMPRODUCT($AI$10:$AI$113,AL$10:AL$113,IF(LEFT($AJ$10:$AJ$113,2)=$AR14,1,0))</f>
        <v>4</v>
      </c>
      <c r="AU14" s="30" cm="1">
        <f t="array" ref="AU14">SUMPRODUCT($AI$10:$AI$113,AM$10:AM$113,IF(LEFT($AJ$10:$AJ$113,2)=$AR14,1,0))</f>
        <v>10</v>
      </c>
      <c r="AV14" s="30" cm="1">
        <f t="array" ref="AV14">SUMPRODUCT($AI$10:$AI$113,AN$10:AN$113,IF(LEFT($AJ$10:$AJ$113,2)=$AR14,1,0))</f>
        <v>14</v>
      </c>
      <c r="AW14" s="30" cm="1">
        <f t="array" ref="AW14">SUMPRODUCT($AI$10:$AI$113,AO$10:AO$113,IF(LEFT($AJ$10:$AJ$113,2)=$AR14,1,0))</f>
        <v>14</v>
      </c>
      <c r="AX14" s="35" cm="1">
        <f t="array" ref="AX14">SUMPRODUCT($AI$10:$AI$113,AP$10:AP$113,IF(LEFT($AJ$10:$AJ$113,2)=$AR14,1,0))</f>
        <v>32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136</v>
      </c>
      <c r="D15" s="30" t="s">
        <v>128</v>
      </c>
      <c r="E15" s="30" t="s">
        <v>138</v>
      </c>
      <c r="F15" s="30" t="s">
        <v>138</v>
      </c>
      <c r="G15" s="30" t="s">
        <v>137</v>
      </c>
      <c r="H15" s="35" t="s">
        <v>132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2</v>
      </c>
      <c r="S15" s="30">
        <f t="shared" si="5"/>
        <v>1</v>
      </c>
      <c r="T15" s="30">
        <f t="shared" si="5"/>
        <v>2</v>
      </c>
      <c r="U15" s="30">
        <f t="shared" si="5"/>
        <v>3</v>
      </c>
      <c r="V15" s="30">
        <f t="shared" si="5"/>
        <v>3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0000200000000</v>
      </c>
      <c r="AC15" s="15" t="str">
        <f t="shared" si="7"/>
        <v>0000002000000</v>
      </c>
      <c r="AD15" s="15" t="str">
        <f t="shared" si="7"/>
        <v>0000000000020</v>
      </c>
      <c r="AE15" s="15" t="str">
        <f t="shared" si="7"/>
        <v>0000000010010</v>
      </c>
      <c r="AF15" s="15" t="str">
        <f t="shared" si="7"/>
        <v>0100010000000</v>
      </c>
      <c r="AG15" s="41" t="str">
        <f t="shared" si="7"/>
        <v>0000000000200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3</v>
      </c>
      <c r="AN15" s="39" cm="1">
        <f t="array" ref="AN15">SUMPRODUCT(--(MID(AE$10:AE$135, SUMIF($Z$9:$Z$21, LEFT($AJ15,2), $Y$9:$Y$21), 1) = RIGHT($AJ15, 1)), M$10:M$135)</f>
        <v>6</v>
      </c>
      <c r="AO15" s="39" cm="1">
        <f t="array" ref="AO15">SUMPRODUCT(--(MID(AF$10:AF$135, SUMIF($Z$9:$Z$21, LEFT($AJ15,2), $Y$9:$Y$21), 1) = RIGHT($AJ15, 1)), N$10:N$135)</f>
        <v>3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4</v>
      </c>
      <c r="AT15" s="30" cm="1">
        <f t="array" ref="AT15">SUMPRODUCT($AI$10:$AI$113,AL$10:AL$113,IF(LEFT($AJ$10:$AJ$113,2)=$AR15,1,0))</f>
        <v>4</v>
      </c>
      <c r="AU15" s="30" cm="1">
        <f t="array" ref="AU15">SUMPRODUCT($AI$10:$AI$113,AM$10:AM$113,IF(LEFT($AJ$10:$AJ$113,2)=$AR15,1,0))</f>
        <v>12</v>
      </c>
      <c r="AV15" s="30" cm="1">
        <f t="array" ref="AV15">SUMPRODUCT($AI$10:$AI$113,AN$10:AN$113,IF(LEFT($AJ$10:$AJ$113,2)=$AR15,1,0))</f>
        <v>16</v>
      </c>
      <c r="AW15" s="30" cm="1">
        <f t="array" ref="AW15">SUMPRODUCT($AI$10:$AI$113,AO$10:AO$113,IF(LEFT($AJ$10:$AJ$113,2)=$AR15,1,0))</f>
        <v>16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138</v>
      </c>
      <c r="D16" s="30" t="s">
        <v>128</v>
      </c>
      <c r="E16" s="30" t="s">
        <v>138</v>
      </c>
      <c r="F16" s="30" t="s">
        <v>138</v>
      </c>
      <c r="G16" s="30" t="s">
        <v>136</v>
      </c>
      <c r="H16" s="35" t="s">
        <v>132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8</v>
      </c>
      <c r="S16" s="30">
        <f t="shared" si="5"/>
        <v>4</v>
      </c>
      <c r="T16" s="30">
        <f t="shared" si="5"/>
        <v>4</v>
      </c>
      <c r="U16" s="30">
        <f t="shared" si="5"/>
        <v>6</v>
      </c>
      <c r="V16" s="30">
        <f t="shared" si="5"/>
        <v>1</v>
      </c>
      <c r="W16" s="35">
        <f t="shared" si="5"/>
        <v>9</v>
      </c>
      <c r="Y16" s="20">
        <f t="shared" si="6"/>
        <v>8</v>
      </c>
      <c r="Z16" s="23" t="s">
        <v>133</v>
      </c>
      <c r="AB16" s="40" t="str">
        <f t="shared" si="11"/>
        <v>0000100000010</v>
      </c>
      <c r="AC16" s="15" t="str">
        <f t="shared" si="7"/>
        <v>0000002000000</v>
      </c>
      <c r="AD16" s="15" t="str">
        <f t="shared" si="7"/>
        <v>0000000000020</v>
      </c>
      <c r="AE16" s="15" t="str">
        <f t="shared" si="7"/>
        <v>0000000000020</v>
      </c>
      <c r="AF16" s="15" t="str">
        <f t="shared" si="7"/>
        <v>0000110000000</v>
      </c>
      <c r="AG16" s="41" t="str">
        <f t="shared" si="7"/>
        <v>0000000000200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22</v>
      </c>
      <c r="AL16" s="39" cm="1">
        <f t="array" ref="AL16">SUMPRODUCT(--(MID(AC$10:AC$135, SUMIF($Z$9:$Z$21, LEFT($AJ16,2), $Y$9:$Y$21), 1) = RIGHT($AJ16, 1)), K$10:K$135)</f>
        <v>6</v>
      </c>
      <c r="AM16" s="39" cm="1">
        <f t="array" ref="AM16">SUMPRODUCT(--(MID(AD$10:AD$135, SUMIF($Z$9:$Z$21, LEFT($AJ16,2), $Y$9:$Y$21), 1) = RIGHT($AJ16, 1)), L$10:L$135)</f>
        <v>22</v>
      </c>
      <c r="AN16" s="39" cm="1">
        <f t="array" ref="AN16">SUMPRODUCT(--(MID(AE$10:AE$135, SUMIF($Z$9:$Z$21, LEFT($AJ16,2), $Y$9:$Y$21), 1) = RIGHT($AJ16, 1)), M$10:M$135)</f>
        <v>20</v>
      </c>
      <c r="AO16" s="39" cm="1">
        <f t="array" ref="AO16">SUMPRODUCT(--(MID(AF$10:AF$135, SUMIF($Z$9:$Z$21, LEFT($AJ16,2), $Y$9:$Y$21), 1) = RIGHT($AJ16, 1)), N$10:N$135)</f>
        <v>36</v>
      </c>
      <c r="AP16" s="19" cm="1">
        <f t="array" ref="AP16">SUMPRODUCT(--(MID(AG$10:AG$135, SUMIF($Z$9:$Z$21, LEFT($AJ16,2), $Y$9:$Y$21), 1) = RIGHT($AJ16, 1)), O$10:O$135)</f>
        <v>14</v>
      </c>
      <c r="AR16" s="34" t="str">
        <f t="shared" si="8"/>
        <v>FF</v>
      </c>
      <c r="AS16" s="30" cm="1">
        <f t="array" ref="AS16">SUMPRODUCT($AI$10:$AI$113,AK$10:AK$113,IF(LEFT($AJ$10:$AJ$113,2)=$AR16,1,0))</f>
        <v>16</v>
      </c>
      <c r="AT16" s="30" cm="1">
        <f t="array" ref="AT16">SUMPRODUCT($AI$10:$AI$113,AL$10:AL$113,IF(LEFT($AJ$10:$AJ$113,2)=$AR16,1,0))</f>
        <v>10</v>
      </c>
      <c r="AU16" s="30" cm="1">
        <f t="array" ref="AU16">SUMPRODUCT($AI$10:$AI$113,AM$10:AM$113,IF(LEFT($AJ$10:$AJ$113,2)=$AR16,1,0))</f>
        <v>16</v>
      </c>
      <c r="AV16" s="30" cm="1">
        <f t="array" ref="AV16">SUMPRODUCT($AI$10:$AI$113,AN$10:AN$113,IF(LEFT($AJ$10:$AJ$113,2)=$AR16,1,0))</f>
        <v>22</v>
      </c>
      <c r="AW16" s="30" cm="1">
        <f t="array" ref="AW16">SUMPRODUCT($AI$10:$AI$113,AO$10:AO$113,IF(LEFT($AJ$10:$AJ$113,2)=$AR16,1,0))</f>
        <v>12</v>
      </c>
      <c r="AX16" s="35" cm="1">
        <f t="array" ref="AX16">SUMPRODUCT($AI$10:$AI$113,AP$10:AP$113,IF(LEFT($AJ$10:$AJ$113,2)=$AR16,1,0))</f>
        <v>18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133</v>
      </c>
      <c r="D17" s="30" t="s">
        <v>136</v>
      </c>
      <c r="E17" s="30" t="s">
        <v>136</v>
      </c>
      <c r="F17" s="30" t="s">
        <v>138</v>
      </c>
      <c r="G17" s="30" t="s">
        <v>129</v>
      </c>
      <c r="H17" s="35" t="s">
        <v>137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10</v>
      </c>
      <c r="S17" s="30">
        <f t="shared" si="5"/>
        <v>4</v>
      </c>
      <c r="T17" s="30">
        <f t="shared" si="5"/>
        <v>6</v>
      </c>
      <c r="U17" s="30">
        <f t="shared" si="5"/>
        <v>9</v>
      </c>
      <c r="V17" s="30">
        <f t="shared" si="5"/>
        <v>14</v>
      </c>
      <c r="W17" s="35">
        <f t="shared" si="5"/>
        <v>11</v>
      </c>
      <c r="Y17" s="20">
        <f t="shared" si="6"/>
        <v>9</v>
      </c>
      <c r="Z17" s="23" t="s">
        <v>130</v>
      </c>
      <c r="AB17" s="40" t="str">
        <f t="shared" si="11"/>
        <v>0000000100010</v>
      </c>
      <c r="AC17" s="15" t="str">
        <f t="shared" si="7"/>
        <v>0000101000000</v>
      </c>
      <c r="AD17" s="15" t="str">
        <f t="shared" si="7"/>
        <v>0000100000010</v>
      </c>
      <c r="AE17" s="15" t="str">
        <f t="shared" si="7"/>
        <v>0000000000020</v>
      </c>
      <c r="AF17" s="15" t="str">
        <f t="shared" si="7"/>
        <v>0000100001000</v>
      </c>
      <c r="AG17" s="41" t="str">
        <f t="shared" si="7"/>
        <v>0000010000100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63</v>
      </c>
      <c r="AL17" s="39" cm="1">
        <f t="array" ref="AL17">SUMPRODUCT(--(MID(AC$10:AC$135, SUMIF($Z$9:$Z$21, LEFT($AJ17,2), $Y$9:$Y$21), 1) = RIGHT($AJ17, 1)), K$10:K$135)</f>
        <v>29</v>
      </c>
      <c r="AM17" s="39" cm="1">
        <f t="array" ref="AM17">SUMPRODUCT(--(MID(AD$10:AD$135, SUMIF($Z$9:$Z$21, LEFT($AJ17,2), $Y$9:$Y$21), 1) = RIGHT($AJ17, 1)), L$10:L$135)</f>
        <v>54</v>
      </c>
      <c r="AN17" s="39" cm="1">
        <f t="array" ref="AN17">SUMPRODUCT(--(MID(AE$10:AE$135, SUMIF($Z$9:$Z$21, LEFT($AJ17,2), $Y$9:$Y$21), 1) = RIGHT($AJ17, 1)), M$10:M$135)</f>
        <v>49</v>
      </c>
      <c r="AO17" s="39" cm="1">
        <f t="array" ref="AO17">SUMPRODUCT(--(MID(AF$10:AF$135, SUMIF($Z$9:$Z$21, LEFT($AJ17,2), $Y$9:$Y$21), 1) = RIGHT($AJ17, 1)), N$10:N$135)</f>
        <v>60</v>
      </c>
      <c r="AP17" s="19" cm="1">
        <f t="array" ref="AP17">SUMPRODUCT(--(MID(AG$10:AG$135, SUMIF($Z$9:$Z$21, LEFT($AJ17,2), $Y$9:$Y$21), 1) = RIGHT($AJ17, 1)), O$10:O$135)</f>
        <v>84</v>
      </c>
      <c r="AR17" s="34" t="str">
        <f t="shared" si="8"/>
        <v>GG</v>
      </c>
      <c r="AS17" s="30" cm="1">
        <f t="array" ref="AS17">SUMPRODUCT($AI$10:$AI$113,AK$10:AK$113,IF(LEFT($AJ$10:$AJ$113,2)=$AR17,1,0))</f>
        <v>20</v>
      </c>
      <c r="AT17" s="30" cm="1">
        <f t="array" ref="AT17">SUMPRODUCT($AI$10:$AI$113,AL$10:AL$113,IF(LEFT($AJ$10:$AJ$113,2)=$AR17,1,0))</f>
        <v>10</v>
      </c>
      <c r="AU17" s="30" cm="1">
        <f t="array" ref="AU17">SUMPRODUCT($AI$10:$AI$113,AM$10:AM$113,IF(LEFT($AJ$10:$AJ$113,2)=$AR17,1,0))</f>
        <v>20</v>
      </c>
      <c r="AV17" s="30" cm="1">
        <f t="array" ref="AV17">SUMPRODUCT($AI$10:$AI$113,AN$10:AN$113,IF(LEFT($AJ$10:$AJ$113,2)=$AR17,1,0))</f>
        <v>28</v>
      </c>
      <c r="AW17" s="30" cm="1">
        <f t="array" ref="AW17">SUMPRODUCT($AI$10:$AI$113,AO$10:AO$113,IF(LEFT($AJ$10:$AJ$113,2)=$AR17,1,0))</f>
        <v>38</v>
      </c>
      <c r="AX17" s="35" cm="1">
        <f t="array" ref="AX17">SUMPRODUCT($AI$10:$AI$113,AP$10:AP$113,IF(LEFT($AJ$10:$AJ$113,2)=$AR17,1,0))</f>
        <v>22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133</v>
      </c>
      <c r="D18" s="30" t="s">
        <v>138</v>
      </c>
      <c r="E18" s="30" t="s">
        <v>130</v>
      </c>
      <c r="F18" s="30" t="s">
        <v>134</v>
      </c>
      <c r="G18" s="30" t="s">
        <v>138</v>
      </c>
      <c r="H18" s="35" t="s">
        <v>133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6</v>
      </c>
      <c r="S18" s="30">
        <f t="shared" si="5"/>
        <v>1</v>
      </c>
      <c r="T18" s="30">
        <f t="shared" si="5"/>
        <v>1</v>
      </c>
      <c r="U18" s="30">
        <f t="shared" si="5"/>
        <v>1</v>
      </c>
      <c r="V18" s="30">
        <f t="shared" si="5"/>
        <v>1</v>
      </c>
      <c r="W18" s="35">
        <f t="shared" si="5"/>
        <v>1</v>
      </c>
      <c r="Y18" s="20">
        <f t="shared" si="6"/>
        <v>10</v>
      </c>
      <c r="Z18" s="23" t="s">
        <v>129</v>
      </c>
      <c r="AB18" s="40" t="str">
        <f t="shared" si="11"/>
        <v>0000000200000</v>
      </c>
      <c r="AC18" s="15" t="str">
        <f t="shared" si="7"/>
        <v>0000100000010</v>
      </c>
      <c r="AD18" s="15" t="str">
        <f t="shared" si="7"/>
        <v>0000100010000</v>
      </c>
      <c r="AE18" s="15" t="str">
        <f t="shared" si="7"/>
        <v>0001000000010</v>
      </c>
      <c r="AF18" s="15" t="str">
        <f t="shared" si="7"/>
        <v>0000000001010</v>
      </c>
      <c r="AG18" s="41" t="str">
        <f t="shared" si="7"/>
        <v>0000010100000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12</v>
      </c>
      <c r="AT18" s="30" cm="1">
        <f t="array" ref="AT18">SUMPRODUCT($AI$10:$AI$113,AL$10:AL$113,IF(LEFT($AJ$10:$AJ$113,2)=$AR18,1,0))</f>
        <v>4</v>
      </c>
      <c r="AU18" s="30" cm="1">
        <f t="array" ref="AU18">SUMPRODUCT($AI$10:$AI$113,AM$10:AM$113,IF(LEFT($AJ$10:$AJ$113,2)=$AR18,1,0))</f>
        <v>10</v>
      </c>
      <c r="AV18" s="30" cm="1">
        <f t="array" ref="AV18">SUMPRODUCT($AI$10:$AI$113,AN$10:AN$113,IF(LEFT($AJ$10:$AJ$113,2)=$AR18,1,0))</f>
        <v>12</v>
      </c>
      <c r="AW18" s="30" cm="1">
        <f t="array" ref="AW18">SUMPRODUCT($AI$10:$AI$113,AO$10:AO$113,IF(LEFT($AJ$10:$AJ$113,2)=$AR18,1,0))</f>
        <v>12</v>
      </c>
      <c r="AX18" s="35" cm="1">
        <f t="array" ref="AX18">SUMPRODUCT($AI$10:$AI$113,AP$10:AP$113,IF(LEFT($AJ$10:$AJ$113,2)=$AR18,1,0))</f>
        <v>2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133</v>
      </c>
      <c r="D19" s="30" t="s">
        <v>138</v>
      </c>
      <c r="E19" s="30" t="s">
        <v>127</v>
      </c>
      <c r="F19" s="30" t="s">
        <v>131</v>
      </c>
      <c r="G19" s="30" t="s">
        <v>138</v>
      </c>
      <c r="H19" s="35" t="s">
        <v>128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6</v>
      </c>
      <c r="S19" s="30">
        <f t="shared" si="5"/>
        <v>4</v>
      </c>
      <c r="T19" s="30">
        <f t="shared" si="5"/>
        <v>8</v>
      </c>
      <c r="U19" s="30">
        <f t="shared" si="5"/>
        <v>8</v>
      </c>
      <c r="V19" s="30">
        <f t="shared" si="5"/>
        <v>7</v>
      </c>
      <c r="W19" s="35">
        <f t="shared" si="5"/>
        <v>14</v>
      </c>
      <c r="Y19" s="20">
        <f t="shared" si="6"/>
        <v>11</v>
      </c>
      <c r="Z19" s="23" t="s">
        <v>132</v>
      </c>
      <c r="AA19" s="21"/>
      <c r="AB19" s="40" t="str">
        <f t="shared" si="11"/>
        <v>0000000200000</v>
      </c>
      <c r="AC19" s="15" t="str">
        <f t="shared" si="7"/>
        <v>0000000000020</v>
      </c>
      <c r="AD19" s="15" t="str">
        <f t="shared" si="7"/>
        <v>0010000010000</v>
      </c>
      <c r="AE19" s="15" t="str">
        <f t="shared" si="7"/>
        <v>0101000000000</v>
      </c>
      <c r="AF19" s="15" t="str">
        <f t="shared" si="7"/>
        <v>0000000000020</v>
      </c>
      <c r="AG19" s="41" t="str">
        <f t="shared" si="7"/>
        <v>0000001100000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12</v>
      </c>
      <c r="AT19" s="30" cm="1">
        <f t="array" ref="AT19">SUMPRODUCT($AI$10:$AI$113,AL$10:AL$113,IF(LEFT($AJ$10:$AJ$113,2)=$AR19,1,0))</f>
        <v>10</v>
      </c>
      <c r="AU19" s="30" cm="1">
        <f t="array" ref="AU19">SUMPRODUCT($AI$10:$AI$113,AM$10:AM$113,IF(LEFT($AJ$10:$AJ$113,2)=$AR19,1,0))</f>
        <v>24</v>
      </c>
      <c r="AV19" s="30" cm="1">
        <f t="array" ref="AV19">SUMPRODUCT($AI$10:$AI$113,AN$10:AN$113,IF(LEFT($AJ$10:$AJ$113,2)=$AR19,1,0))</f>
        <v>26</v>
      </c>
      <c r="AW19" s="30" cm="1">
        <f t="array" ref="AW19">SUMPRODUCT($AI$10:$AI$113,AO$10:AO$113,IF(LEFT($AJ$10:$AJ$113,2)=$AR19,1,0))</f>
        <v>24</v>
      </c>
      <c r="AX19" s="35" cm="1">
        <f t="array" ref="AX19">SUMPRODUCT($AI$10:$AI$113,AP$10:AP$113,IF(LEFT($AJ$10:$AJ$113,2)=$AR19,1,0))</f>
        <v>28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133</v>
      </c>
      <c r="D20" s="30" t="s">
        <v>138</v>
      </c>
      <c r="E20" s="30" t="s">
        <v>137</v>
      </c>
      <c r="F20" s="30" t="s">
        <v>131</v>
      </c>
      <c r="G20" s="30" t="s">
        <v>138</v>
      </c>
      <c r="H20" s="35" t="s">
        <v>128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10</v>
      </c>
      <c r="S20" s="30">
        <f t="shared" si="5"/>
        <v>4</v>
      </c>
      <c r="T20" s="30">
        <f t="shared" si="5"/>
        <v>6</v>
      </c>
      <c r="U20" s="30">
        <f t="shared" si="5"/>
        <v>11</v>
      </c>
      <c r="V20" s="30">
        <f t="shared" si="5"/>
        <v>14</v>
      </c>
      <c r="W20" s="35">
        <f t="shared" si="5"/>
        <v>9</v>
      </c>
      <c r="Y20" s="20">
        <v>12</v>
      </c>
      <c r="Z20" s="23" t="s">
        <v>138</v>
      </c>
      <c r="AA20" s="21"/>
      <c r="AB20" s="40" t="str">
        <f t="shared" si="11"/>
        <v>0000000200000</v>
      </c>
      <c r="AC20" s="15" t="str">
        <f t="shared" si="7"/>
        <v>0000000000020</v>
      </c>
      <c r="AD20" s="15" t="str">
        <f t="shared" si="7"/>
        <v>0010010000000</v>
      </c>
      <c r="AE20" s="15" t="str">
        <f t="shared" si="7"/>
        <v>0200000000000</v>
      </c>
      <c r="AF20" s="15" t="str">
        <f t="shared" si="7"/>
        <v>0000000000020</v>
      </c>
      <c r="AG20" s="41" t="str">
        <f t="shared" si="7"/>
        <v>0000002000000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20</v>
      </c>
      <c r="AT20" s="30" cm="1">
        <f t="array" ref="AT20">SUMPRODUCT($AI$10:$AI$113,AL$10:AL$113,IF(LEFT($AJ$10:$AJ$113,2)=$AR20,1,0))</f>
        <v>10</v>
      </c>
      <c r="AU20" s="30" cm="1">
        <f t="array" ref="AU20">SUMPRODUCT($AI$10:$AI$113,AM$10:AM$113,IF(LEFT($AJ$10:$AJ$113,2)=$AR20,1,0))</f>
        <v>20</v>
      </c>
      <c r="AV20" s="30" cm="1">
        <f t="array" ref="AV20">SUMPRODUCT($AI$10:$AI$113,AN$10:AN$113,IF(LEFT($AJ$10:$AJ$113,2)=$AR20,1,0))</f>
        <v>32</v>
      </c>
      <c r="AW20" s="30" cm="1">
        <f t="array" ref="AW20">SUMPRODUCT($AI$10:$AI$113,AO$10:AO$113,IF(LEFT($AJ$10:$AJ$113,2)=$AR20,1,0))</f>
        <v>38</v>
      </c>
      <c r="AX20" s="35" cm="1">
        <f t="array" ref="AX20">SUMPRODUCT($AI$10:$AI$113,AP$10:AP$113,IF(LEFT($AJ$10:$AJ$113,2)=$AR20,1,0))</f>
        <v>18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137</v>
      </c>
      <c r="D21" s="30" t="s">
        <v>133</v>
      </c>
      <c r="E21" s="30" t="s">
        <v>129</v>
      </c>
      <c r="F21" s="30" t="s">
        <v>131</v>
      </c>
      <c r="G21" s="30" t="s">
        <v>134</v>
      </c>
      <c r="H21" s="35" t="s">
        <v>128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11</v>
      </c>
      <c r="S21" s="30">
        <f t="shared" si="5"/>
        <v>4</v>
      </c>
      <c r="T21" s="30">
        <f t="shared" si="5"/>
        <v>17</v>
      </c>
      <c r="U21" s="30">
        <f t="shared" si="5"/>
        <v>5</v>
      </c>
      <c r="V21" s="30">
        <f t="shared" si="5"/>
        <v>21</v>
      </c>
      <c r="W21" s="35">
        <f t="shared" si="5"/>
        <v>4</v>
      </c>
      <c r="Y21" s="18">
        <v>13</v>
      </c>
      <c r="Z21" s="22" t="s">
        <v>135</v>
      </c>
      <c r="AA21" s="21"/>
      <c r="AB21" s="40" t="str">
        <f t="shared" si="11"/>
        <v>0000010100000</v>
      </c>
      <c r="AC21" s="15" t="str">
        <f t="shared" si="7"/>
        <v>0000000100010</v>
      </c>
      <c r="AD21" s="15" t="str">
        <f t="shared" si="7"/>
        <v>0000010001000</v>
      </c>
      <c r="AE21" s="15" t="str">
        <f t="shared" si="7"/>
        <v>0200000000000</v>
      </c>
      <c r="AF21" s="15" t="str">
        <f t="shared" si="7"/>
        <v>0001000000010</v>
      </c>
      <c r="AG21" s="41" t="str">
        <f t="shared" si="7"/>
        <v>0000002000000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22</v>
      </c>
      <c r="AT21" s="30" cm="1">
        <f t="array" ref="AT21">SUMPRODUCT($AI$10:$AI$113,AL$10:AL$113,IF(LEFT($AJ$10:$AJ$113,2)=$AR21,1,0))</f>
        <v>10</v>
      </c>
      <c r="AU21" s="30" cm="1">
        <f t="array" ref="AU21">SUMPRODUCT($AI$10:$AI$113,AM$10:AM$113,IF(LEFT($AJ$10:$AJ$113,2)=$AR21,1,0))</f>
        <v>42</v>
      </c>
      <c r="AV21" s="30" cm="1">
        <f t="array" ref="AV21">SUMPRODUCT($AI$10:$AI$113,AN$10:AN$113,IF(LEFT($AJ$10:$AJ$113,2)=$AR21,1,0))</f>
        <v>20</v>
      </c>
      <c r="AW21" s="30" cm="1">
        <f t="array" ref="AW21">SUMPRODUCT($AI$10:$AI$113,AO$10:AO$113,IF(LEFT($AJ$10:$AJ$113,2)=$AR21,1,0))</f>
        <v>52</v>
      </c>
      <c r="AX21" s="35" cm="1">
        <f t="array" ref="AX21">SUMPRODUCT($AI$10:$AI$113,AP$10:AP$113,IF(LEFT($AJ$10:$AJ$113,2)=$AR21,1,0))</f>
        <v>8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132</v>
      </c>
      <c r="D22" s="30" t="s">
        <v>133</v>
      </c>
      <c r="E22" s="30" t="s">
        <v>133</v>
      </c>
      <c r="F22" s="30" t="s">
        <v>126</v>
      </c>
      <c r="G22" s="30" t="s">
        <v>126</v>
      </c>
      <c r="H22" s="35" t="s">
        <v>136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0000010000100</v>
      </c>
      <c r="AC22" s="15" t="str">
        <f t="shared" si="7"/>
        <v>0000000200000</v>
      </c>
      <c r="AD22" s="15" t="str">
        <f t="shared" si="7"/>
        <v>0000000101000</v>
      </c>
      <c r="AE22" s="15" t="str">
        <f t="shared" si="7"/>
        <v>1211111111110</v>
      </c>
      <c r="AF22" s="15" t="str">
        <f t="shared" si="7"/>
        <v>1112111111110</v>
      </c>
      <c r="AG22" s="41" t="str">
        <f t="shared" si="7"/>
        <v>0000101000000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134</v>
      </c>
      <c r="D23" s="30" t="s">
        <v>133</v>
      </c>
      <c r="E23" s="30" t="s">
        <v>129</v>
      </c>
      <c r="F23" s="30" t="s">
        <v>129</v>
      </c>
      <c r="G23" s="30" t="s">
        <v>133</v>
      </c>
      <c r="H23" s="35" t="s">
        <v>136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87</v>
      </c>
      <c r="S23" s="37">
        <f t="shared" ref="S23:W23" si="14">SUM(S10:S22)</f>
        <v>37</v>
      </c>
      <c r="T23" s="37">
        <f t="shared" si="14"/>
        <v>79</v>
      </c>
      <c r="U23" s="37">
        <f t="shared" si="14"/>
        <v>75</v>
      </c>
      <c r="V23" s="37">
        <f t="shared" si="14"/>
        <v>99</v>
      </c>
      <c r="W23" s="38">
        <f t="shared" si="14"/>
        <v>100</v>
      </c>
      <c r="Y23" s="21"/>
      <c r="Z23" s="21"/>
      <c r="AA23" s="21"/>
      <c r="AB23" s="40" t="str">
        <f t="shared" si="11"/>
        <v>0001000000100</v>
      </c>
      <c r="AC23" s="15" t="str">
        <f t="shared" si="7"/>
        <v>0000000200000</v>
      </c>
      <c r="AD23" s="15" t="str">
        <f t="shared" si="7"/>
        <v>0000000101000</v>
      </c>
      <c r="AE23" s="15" t="str">
        <f t="shared" si="7"/>
        <v>1111111112110</v>
      </c>
      <c r="AF23" s="15" t="str">
        <f t="shared" si="7"/>
        <v>1111111211110</v>
      </c>
      <c r="AG23" s="41" t="str">
        <f t="shared" si="7"/>
        <v>0000200000000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3</v>
      </c>
      <c r="AM23" s="39" cm="1">
        <f t="array" ref="AM23">SUMPRODUCT(--(MID(AD$10:AD$135, SUMIF($Z$9:$Z$21, LEFT($AJ23,2), $Y$9:$Y$21), 1) = RIGHT($AJ23, 1)), L$10:L$135)</f>
        <v>3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87</v>
      </c>
      <c r="AT23" s="30">
        <f t="shared" si="16"/>
        <v>35</v>
      </c>
      <c r="AU23" s="30">
        <f t="shared" si="16"/>
        <v>71</v>
      </c>
      <c r="AV23" s="30">
        <f t="shared" si="16"/>
        <v>65</v>
      </c>
      <c r="AW23" s="30">
        <f t="shared" si="16"/>
        <v>89</v>
      </c>
      <c r="AX23" s="35">
        <f t="shared" si="16"/>
        <v>100</v>
      </c>
    </row>
    <row r="24" spans="2:64">
      <c r="B24" s="34">
        <f t="shared" si="9"/>
        <v>14</v>
      </c>
      <c r="C24" s="30" t="s">
        <v>138</v>
      </c>
      <c r="D24" s="30" t="s">
        <v>133</v>
      </c>
      <c r="E24" s="30" t="s">
        <v>129</v>
      </c>
      <c r="F24" s="30" t="s">
        <v>137</v>
      </c>
      <c r="G24" s="30" t="s">
        <v>133</v>
      </c>
      <c r="H24" s="35" t="s">
        <v>136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0001000000010</v>
      </c>
      <c r="AC24" s="15" t="str">
        <f t="shared" si="7"/>
        <v>0000000200000</v>
      </c>
      <c r="AD24" s="15" t="str">
        <f t="shared" si="7"/>
        <v>0000000002000</v>
      </c>
      <c r="AE24" s="15" t="str">
        <f t="shared" si="7"/>
        <v>0000010001000</v>
      </c>
      <c r="AF24" s="15" t="str">
        <f t="shared" si="7"/>
        <v>0000000200000</v>
      </c>
      <c r="AG24" s="41" t="str">
        <f t="shared" si="7"/>
        <v>0000200000000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4</v>
      </c>
      <c r="AL24" s="39" cm="1">
        <f t="array" ref="AL24">SUMPRODUCT(--(MID(AC$10:AC$135, SUMIF($Z$9:$Z$21, LEFT($AJ24,2), $Y$9:$Y$21), 1) = RIGHT($AJ24, 1)), K$10:K$135)</f>
        <v>4</v>
      </c>
      <c r="AM24" s="39" cm="1">
        <f t="array" ref="AM24">SUMPRODUCT(--(MID(AD$10:AD$135, SUMIF($Z$9:$Z$21, LEFT($AJ24,2), $Y$9:$Y$21), 1) = RIGHT($AJ24, 1)), L$10:L$135)</f>
        <v>22</v>
      </c>
      <c r="AN24" s="39" cm="1">
        <f t="array" ref="AN24">SUMPRODUCT(--(MID(AE$10:AE$135, SUMIF($Z$9:$Z$21, LEFT($AJ24,2), $Y$9:$Y$21), 1) = RIGHT($AJ24, 1)), M$10:M$135)</f>
        <v>14</v>
      </c>
      <c r="AO24" s="39" cm="1">
        <f t="array" ref="AO24">SUMPRODUCT(--(MID(AF$10:AF$135, SUMIF($Z$9:$Z$21, LEFT($AJ24,2), $Y$9:$Y$21), 1) = RIGHT($AJ24, 1)), N$10:N$135)</f>
        <v>14</v>
      </c>
      <c r="AP24" s="19" cm="1">
        <f t="array" ref="AP24">SUMPRODUCT(--(MID(AG$10:AG$135, SUMIF($Z$9:$Z$21, LEFT($AJ24,2), $Y$9:$Y$21), 1) = RIGHT($AJ24, 1)), O$10:O$135)</f>
        <v>26</v>
      </c>
      <c r="AR24" s="34" t="str">
        <f t="shared" si="15"/>
        <v>AA-0</v>
      </c>
      <c r="AS24" s="30">
        <f t="shared" si="16"/>
        <v>63</v>
      </c>
      <c r="AT24" s="30">
        <f t="shared" si="16"/>
        <v>29</v>
      </c>
      <c r="AU24" s="30">
        <f t="shared" si="16"/>
        <v>54</v>
      </c>
      <c r="AV24" s="30">
        <f t="shared" si="16"/>
        <v>49</v>
      </c>
      <c r="AW24" s="30">
        <f t="shared" si="16"/>
        <v>60</v>
      </c>
      <c r="AX24" s="35">
        <f t="shared" si="16"/>
        <v>84</v>
      </c>
    </row>
    <row r="25" spans="2:64">
      <c r="B25" s="34">
        <f t="shared" si="9"/>
        <v>15</v>
      </c>
      <c r="C25" s="30" t="s">
        <v>138</v>
      </c>
      <c r="D25" s="30" t="s">
        <v>130</v>
      </c>
      <c r="E25" s="30" t="s">
        <v>129</v>
      </c>
      <c r="F25" s="30" t="s">
        <v>136</v>
      </c>
      <c r="G25" s="30" t="s">
        <v>133</v>
      </c>
      <c r="H25" s="35" t="s">
        <v>136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0000000000020</v>
      </c>
      <c r="AC25" s="15" t="str">
        <f t="shared" si="7"/>
        <v>0000000110000</v>
      </c>
      <c r="AD25" s="15" t="str">
        <f t="shared" si="7"/>
        <v>0000000002000</v>
      </c>
      <c r="AE25" s="15" t="str">
        <f t="shared" si="7"/>
        <v>0000110000000</v>
      </c>
      <c r="AF25" s="15" t="str">
        <f t="shared" si="7"/>
        <v>0000000200000</v>
      </c>
      <c r="AG25" s="41" t="str">
        <f t="shared" si="7"/>
        <v>0000200000000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81</v>
      </c>
      <c r="AL25" s="39" cm="1">
        <f t="array" ref="AL25">SUMPRODUCT(--(MID(AC$10:AC$135, SUMIF($Z$9:$Z$21, LEFT($AJ25,2), $Y$9:$Y$21), 1) = RIGHT($AJ25, 1)), K$10:K$135)</f>
        <v>30</v>
      </c>
      <c r="AM25" s="39" cm="1">
        <f t="array" ref="AM25">SUMPRODUCT(--(MID(AD$10:AD$135, SUMIF($Z$9:$Z$21, LEFT($AJ25,2), $Y$9:$Y$21), 1) = RIGHT($AJ25, 1)), L$10:L$135)</f>
        <v>54</v>
      </c>
      <c r="AN25" s="39" cm="1">
        <f t="array" ref="AN25">SUMPRODUCT(--(MID(AE$10:AE$135, SUMIF($Z$9:$Z$21, LEFT($AJ25,2), $Y$9:$Y$21), 1) = RIGHT($AJ25, 1)), M$10:M$135)</f>
        <v>59</v>
      </c>
      <c r="AO25" s="39" cm="1">
        <f t="array" ref="AO25">SUMPRODUCT(--(MID(AF$10:AF$135, SUMIF($Z$9:$Z$21, LEFT($AJ25,2), $Y$9:$Y$21), 1) = RIGHT($AJ25, 1)), N$10:N$135)</f>
        <v>83</v>
      </c>
      <c r="AP25" s="19" cm="1">
        <f t="array" ref="AP25">SUMPRODUCT(--(MID(AG$10:AG$135, SUMIF($Z$9:$Z$21, LEFT($AJ25,2), $Y$9:$Y$21), 1) = RIGHT($AJ25, 1)), O$10:O$135)</f>
        <v>72</v>
      </c>
      <c r="AR25" s="34" t="str">
        <f t="shared" si="15"/>
        <v>BB-0</v>
      </c>
      <c r="AS25" s="30">
        <f t="shared" si="16"/>
        <v>81</v>
      </c>
      <c r="AT25" s="30">
        <f t="shared" si="16"/>
        <v>30</v>
      </c>
      <c r="AU25" s="30">
        <f t="shared" si="16"/>
        <v>54</v>
      </c>
      <c r="AV25" s="30">
        <f t="shared" si="16"/>
        <v>59</v>
      </c>
      <c r="AW25" s="30">
        <f t="shared" si="16"/>
        <v>83</v>
      </c>
      <c r="AX25" s="35">
        <f t="shared" si="16"/>
        <v>72</v>
      </c>
    </row>
    <row r="26" spans="2:64">
      <c r="B26" s="34">
        <f t="shared" si="9"/>
        <v>16</v>
      </c>
      <c r="C26" s="30" t="s">
        <v>138</v>
      </c>
      <c r="D26" s="30" t="s">
        <v>134</v>
      </c>
      <c r="E26" s="30" t="s">
        <v>134</v>
      </c>
      <c r="F26" s="30" t="s">
        <v>138</v>
      </c>
      <c r="G26" s="30" t="s">
        <v>132</v>
      </c>
      <c r="H26" s="35" t="s">
        <v>130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0000000000020</v>
      </c>
      <c r="AC26" s="15" t="str">
        <f t="shared" si="11"/>
        <v>0001000010000</v>
      </c>
      <c r="AD26" s="15" t="str">
        <f t="shared" si="11"/>
        <v>0001000001000</v>
      </c>
      <c r="AE26" s="15" t="str">
        <f t="shared" si="11"/>
        <v>0000100000010</v>
      </c>
      <c r="AF26" s="15" t="str">
        <f t="shared" si="11"/>
        <v>0000000100100</v>
      </c>
      <c r="AG26" s="41" t="str">
        <f t="shared" si="11"/>
        <v>0000100010000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79</v>
      </c>
      <c r="AT26" s="30">
        <f t="shared" si="16"/>
        <v>27</v>
      </c>
      <c r="AU26" s="30">
        <f t="shared" si="16"/>
        <v>54</v>
      </c>
      <c r="AV26" s="30">
        <f t="shared" si="16"/>
        <v>47</v>
      </c>
      <c r="AW26" s="30">
        <f t="shared" si="16"/>
        <v>70</v>
      </c>
      <c r="AX26" s="35">
        <f t="shared" si="16"/>
        <v>81</v>
      </c>
    </row>
    <row r="27" spans="2:64">
      <c r="B27" s="34">
        <f t="shared" si="9"/>
        <v>17</v>
      </c>
      <c r="C27" s="30" t="s">
        <v>129</v>
      </c>
      <c r="D27" s="30" t="s">
        <v>134</v>
      </c>
      <c r="E27" s="30" t="s">
        <v>131</v>
      </c>
      <c r="F27" s="30" t="s">
        <v>129</v>
      </c>
      <c r="G27" s="30" t="s">
        <v>130</v>
      </c>
      <c r="H27" s="35" t="s">
        <v>127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0000000001010</v>
      </c>
      <c r="AC27" s="15" t="str">
        <f t="shared" si="11"/>
        <v>0002000000000</v>
      </c>
      <c r="AD27" s="15" t="str">
        <f t="shared" si="11"/>
        <v>0101000000000</v>
      </c>
      <c r="AE27" s="15" t="str">
        <f t="shared" si="11"/>
        <v>0000000001010</v>
      </c>
      <c r="AF27" s="15" t="str">
        <f t="shared" si="11"/>
        <v>0000000010100</v>
      </c>
      <c r="AG27" s="41" t="str">
        <f t="shared" si="11"/>
        <v>0010000010000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65</v>
      </c>
      <c r="AT27" s="30">
        <f t="shared" si="16"/>
        <v>33</v>
      </c>
      <c r="AU27" s="30">
        <f t="shared" si="16"/>
        <v>69</v>
      </c>
      <c r="AV27" s="30">
        <f t="shared" si="16"/>
        <v>62</v>
      </c>
      <c r="AW27" s="30">
        <f t="shared" si="16"/>
        <v>86</v>
      </c>
      <c r="AX27" s="35">
        <f t="shared" si="16"/>
        <v>71</v>
      </c>
    </row>
    <row r="28" spans="2:64">
      <c r="B28" s="34">
        <f t="shared" si="9"/>
        <v>18</v>
      </c>
      <c r="C28" s="30" t="s">
        <v>127</v>
      </c>
      <c r="D28" s="30" t="s">
        <v>134</v>
      </c>
      <c r="E28" s="30" t="s">
        <v>131</v>
      </c>
      <c r="F28" s="30" t="s">
        <v>129</v>
      </c>
      <c r="G28" s="30" t="s">
        <v>127</v>
      </c>
      <c r="H28" s="35" t="s">
        <v>134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0010000001000</v>
      </c>
      <c r="AC28" s="15" t="str">
        <f t="shared" si="11"/>
        <v>0002000000000</v>
      </c>
      <c r="AD28" s="15" t="str">
        <f t="shared" si="11"/>
        <v>0200000000000</v>
      </c>
      <c r="AE28" s="15" t="str">
        <f t="shared" si="11"/>
        <v>0000000002000</v>
      </c>
      <c r="AF28" s="15" t="str">
        <f t="shared" si="11"/>
        <v>0010000010000</v>
      </c>
      <c r="AG28" s="41" t="str">
        <f t="shared" si="11"/>
        <v>0011000000000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83</v>
      </c>
      <c r="AT28" s="30">
        <f t="shared" si="16"/>
        <v>33</v>
      </c>
      <c r="AU28" s="30">
        <f t="shared" si="16"/>
        <v>67</v>
      </c>
      <c r="AV28" s="30">
        <f t="shared" si="16"/>
        <v>59</v>
      </c>
      <c r="AW28" s="30">
        <f t="shared" si="16"/>
        <v>83</v>
      </c>
      <c r="AX28" s="35">
        <f t="shared" si="16"/>
        <v>98</v>
      </c>
    </row>
    <row r="29" spans="2:64">
      <c r="B29" s="34">
        <f t="shared" si="9"/>
        <v>19</v>
      </c>
      <c r="C29" s="30" t="s">
        <v>127</v>
      </c>
      <c r="D29" s="30" t="s">
        <v>138</v>
      </c>
      <c r="E29" s="30" t="s">
        <v>131</v>
      </c>
      <c r="F29" s="30" t="s">
        <v>129</v>
      </c>
      <c r="G29" s="30" t="s">
        <v>127</v>
      </c>
      <c r="H29" s="35" t="s">
        <v>134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0020000000000</v>
      </c>
      <c r="AC29" s="15" t="str">
        <f t="shared" si="11"/>
        <v>0001000000010</v>
      </c>
      <c r="AD29" s="15" t="str">
        <f t="shared" si="11"/>
        <v>0200000000000</v>
      </c>
      <c r="AE29" s="15" t="str">
        <f t="shared" si="11"/>
        <v>0000000002000</v>
      </c>
      <c r="AF29" s="15" t="str">
        <f t="shared" si="11"/>
        <v>0020000000000</v>
      </c>
      <c r="AG29" s="41" t="str">
        <f t="shared" si="11"/>
        <v>0002000000000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73</v>
      </c>
      <c r="AT29" s="30">
        <f t="shared" si="16"/>
        <v>29</v>
      </c>
      <c r="AU29" s="30">
        <f t="shared" si="16"/>
        <v>66</v>
      </c>
      <c r="AV29" s="30">
        <f t="shared" si="16"/>
        <v>54</v>
      </c>
      <c r="AW29" s="30">
        <f t="shared" si="16"/>
        <v>87</v>
      </c>
      <c r="AX29" s="35">
        <f t="shared" si="16"/>
        <v>84</v>
      </c>
    </row>
    <row r="30" spans="2:64">
      <c r="B30" s="34">
        <f t="shared" si="9"/>
        <v>20</v>
      </c>
      <c r="C30" s="30" t="s">
        <v>127</v>
      </c>
      <c r="D30" s="30" t="s">
        <v>132</v>
      </c>
      <c r="E30" s="30" t="s">
        <v>128</v>
      </c>
      <c r="F30" s="30" t="s">
        <v>131</v>
      </c>
      <c r="G30" s="30" t="s">
        <v>127</v>
      </c>
      <c r="H30" s="35" t="s">
        <v>134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0020000000000</v>
      </c>
      <c r="AC30" s="15" t="str">
        <f t="shared" si="11"/>
        <v>0000000000110</v>
      </c>
      <c r="AD30" s="15" t="str">
        <f t="shared" si="11"/>
        <v>0100001000000</v>
      </c>
      <c r="AE30" s="15" t="str">
        <f t="shared" si="11"/>
        <v>0100000001000</v>
      </c>
      <c r="AF30" s="15" t="str">
        <f t="shared" si="11"/>
        <v>0020000000000</v>
      </c>
      <c r="AG30" s="41" t="str">
        <f t="shared" si="11"/>
        <v>0002000000000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70</v>
      </c>
      <c r="AT30" s="30">
        <f t="shared" si="16"/>
        <v>30</v>
      </c>
      <c r="AU30" s="30">
        <f t="shared" si="16"/>
        <v>61</v>
      </c>
      <c r="AV30" s="30">
        <f t="shared" si="16"/>
        <v>52</v>
      </c>
      <c r="AW30" s="30">
        <f t="shared" si="16"/>
        <v>65</v>
      </c>
      <c r="AX30" s="35">
        <f t="shared" si="16"/>
        <v>80</v>
      </c>
    </row>
    <row r="31" spans="2:64">
      <c r="B31" s="34">
        <f t="shared" si="9"/>
        <v>21</v>
      </c>
      <c r="C31" s="30" t="s">
        <v>136</v>
      </c>
      <c r="D31" s="30" t="s">
        <v>132</v>
      </c>
      <c r="E31" s="30" t="s">
        <v>126</v>
      </c>
      <c r="F31" s="30" t="s">
        <v>132</v>
      </c>
      <c r="G31" s="30" t="s">
        <v>129</v>
      </c>
      <c r="H31" s="35" t="s">
        <v>134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0010100000000</v>
      </c>
      <c r="AC31" s="15" t="str">
        <f t="shared" si="11"/>
        <v>0000000000200</v>
      </c>
      <c r="AD31" s="15" t="str">
        <f t="shared" si="11"/>
        <v>1111112111110</v>
      </c>
      <c r="AE31" s="15" t="str">
        <f t="shared" si="11"/>
        <v>0100000000100</v>
      </c>
      <c r="AF31" s="15" t="str">
        <f t="shared" si="11"/>
        <v>0010000001000</v>
      </c>
      <c r="AG31" s="41" t="str">
        <f t="shared" si="11"/>
        <v>0002000000000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3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3</v>
      </c>
      <c r="AP31" s="19" cm="1">
        <f t="array" ref="AP31">SUMPRODUCT(--(MID(AG$10:AG$135, SUMIF($Z$9:$Z$21, LEFT($AJ31,2), $Y$9:$Y$21), 1) = RIGHT($AJ31, 1)), O$10:O$135)</f>
        <v>3</v>
      </c>
      <c r="AR31" s="34" t="str">
        <f t="shared" si="15"/>
        <v>HH-0</v>
      </c>
      <c r="AS31" s="30">
        <f t="shared" si="16"/>
        <v>75</v>
      </c>
      <c r="AT31" s="30">
        <f t="shared" si="16"/>
        <v>33</v>
      </c>
      <c r="AU31" s="30">
        <f t="shared" si="16"/>
        <v>69</v>
      </c>
      <c r="AV31" s="30">
        <f t="shared" si="16"/>
        <v>63</v>
      </c>
      <c r="AW31" s="30">
        <f t="shared" si="16"/>
        <v>87</v>
      </c>
      <c r="AX31" s="35">
        <f t="shared" si="16"/>
        <v>98</v>
      </c>
    </row>
    <row r="32" spans="2:64">
      <c r="B32" s="34">
        <f t="shared" si="9"/>
        <v>22</v>
      </c>
      <c r="C32" s="30" t="s">
        <v>128</v>
      </c>
      <c r="D32" s="30" t="s">
        <v>132</v>
      </c>
      <c r="E32" s="30" t="s">
        <v>131</v>
      </c>
      <c r="F32" s="30" t="s">
        <v>133</v>
      </c>
      <c r="G32" s="30" t="s">
        <v>129</v>
      </c>
      <c r="H32" s="35" t="s">
        <v>138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0000101000000</v>
      </c>
      <c r="AC32" s="15" t="str">
        <f t="shared" si="11"/>
        <v>0000000000200</v>
      </c>
      <c r="AD32" s="15" t="str">
        <f t="shared" si="11"/>
        <v>1211111111110</v>
      </c>
      <c r="AE32" s="15" t="str">
        <f t="shared" si="11"/>
        <v>0000000100100</v>
      </c>
      <c r="AF32" s="15" t="str">
        <f t="shared" si="11"/>
        <v>0000000002000</v>
      </c>
      <c r="AG32" s="41" t="str">
        <f t="shared" si="11"/>
        <v>0001000000010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6</v>
      </c>
      <c r="AL32" s="39" cm="1">
        <f t="array" ref="AL32">SUMPRODUCT(--(MID(AC$10:AC$135, SUMIF($Z$9:$Z$21, LEFT($AJ32,2), $Y$9:$Y$21), 1) = RIGHT($AJ32, 1)), K$10:K$135)</f>
        <v>8</v>
      </c>
      <c r="AM32" s="39" cm="1">
        <f t="array" ref="AM32">SUMPRODUCT(--(MID(AD$10:AD$135, SUMIF($Z$9:$Z$21, LEFT($AJ32,2), $Y$9:$Y$21), 1) = RIGHT($AJ32, 1)), L$10:L$135)</f>
        <v>22</v>
      </c>
      <c r="AN32" s="39" cm="1">
        <f t="array" ref="AN32">SUMPRODUCT(--(MID(AE$10:AE$135, SUMIF($Z$9:$Z$21, LEFT($AJ32,2), $Y$9:$Y$21), 1) = RIGHT($AJ32, 1)), M$10:M$135)</f>
        <v>26</v>
      </c>
      <c r="AO32" s="39" cm="1">
        <f t="array" ref="AO32">SUMPRODUCT(--(MID(AF$10:AF$135, SUMIF($Z$9:$Z$21, LEFT($AJ32,2), $Y$9:$Y$21), 1) = RIGHT($AJ32, 1)), N$10:N$135)</f>
        <v>26</v>
      </c>
      <c r="AP32" s="19" cm="1">
        <f t="array" ref="AP32">SUMPRODUCT(--(MID(AG$10:AG$135, SUMIF($Z$9:$Z$21, LEFT($AJ32,2), $Y$9:$Y$21), 1) = RIGHT($AJ32, 1)), O$10:O$135)</f>
        <v>16</v>
      </c>
      <c r="AR32" s="34" t="str">
        <f t="shared" si="15"/>
        <v>JJ-0</v>
      </c>
      <c r="AS32" s="30">
        <f t="shared" si="16"/>
        <v>77</v>
      </c>
      <c r="AT32" s="30">
        <f t="shared" si="16"/>
        <v>29</v>
      </c>
      <c r="AU32" s="30">
        <f t="shared" si="16"/>
        <v>57</v>
      </c>
      <c r="AV32" s="30">
        <f t="shared" si="16"/>
        <v>53</v>
      </c>
      <c r="AW32" s="30">
        <f t="shared" si="16"/>
        <v>79</v>
      </c>
      <c r="AX32" s="35">
        <f t="shared" si="16"/>
        <v>74</v>
      </c>
    </row>
    <row r="33" spans="2:50">
      <c r="B33" s="34">
        <f t="shared" si="9"/>
        <v>23</v>
      </c>
      <c r="C33" s="30" t="s">
        <v>128</v>
      </c>
      <c r="D33" s="30" t="s">
        <v>134</v>
      </c>
      <c r="E33" s="30" t="s">
        <v>132</v>
      </c>
      <c r="F33" s="30" t="s">
        <v>133</v>
      </c>
      <c r="G33" s="30" t="s">
        <v>129</v>
      </c>
      <c r="H33" s="35" t="s">
        <v>129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0000002000000</v>
      </c>
      <c r="AC33" s="15" t="str">
        <f t="shared" si="11"/>
        <v>0001000000100</v>
      </c>
      <c r="AD33" s="15" t="str">
        <f t="shared" si="11"/>
        <v>0100000000100</v>
      </c>
      <c r="AE33" s="15" t="str">
        <f t="shared" si="11"/>
        <v>0000000200000</v>
      </c>
      <c r="AF33" s="15" t="str">
        <f t="shared" si="11"/>
        <v>0000000002000</v>
      </c>
      <c r="AG33" s="41" t="str">
        <f t="shared" si="11"/>
        <v>0000000001010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79</v>
      </c>
      <c r="AL33" s="39" cm="1">
        <f t="array" ref="AL33">SUMPRODUCT(--(MID(AC$10:AC$135, SUMIF($Z$9:$Z$21, LEFT($AJ33,2), $Y$9:$Y$21), 1) = RIGHT($AJ33, 1)), K$10:K$135)</f>
        <v>27</v>
      </c>
      <c r="AM33" s="39" cm="1">
        <f t="array" ref="AM33">SUMPRODUCT(--(MID(AD$10:AD$135, SUMIF($Z$9:$Z$21, LEFT($AJ33,2), $Y$9:$Y$21), 1) = RIGHT($AJ33, 1)), L$10:L$135)</f>
        <v>54</v>
      </c>
      <c r="AN33" s="39" cm="1">
        <f t="array" ref="AN33">SUMPRODUCT(--(MID(AE$10:AE$135, SUMIF($Z$9:$Z$21, LEFT($AJ33,2), $Y$9:$Y$21), 1) = RIGHT($AJ33, 1)), M$10:M$135)</f>
        <v>47</v>
      </c>
      <c r="AO33" s="39" cm="1">
        <f t="array" ref="AO33">SUMPRODUCT(--(MID(AF$10:AF$135, SUMIF($Z$9:$Z$21, LEFT($AJ33,2), $Y$9:$Y$21), 1) = RIGHT($AJ33, 1)), N$10:N$135)</f>
        <v>70</v>
      </c>
      <c r="AP33" s="19" cm="1">
        <f t="array" ref="AP33">SUMPRODUCT(--(MID(AG$10:AG$135, SUMIF($Z$9:$Z$21, LEFT($AJ33,2), $Y$9:$Y$21), 1) = RIGHT($AJ33, 1)), O$10:O$135)</f>
        <v>81</v>
      </c>
      <c r="AR33" s="34" t="str">
        <f t="shared" si="15"/>
        <v>KK-0</v>
      </c>
      <c r="AS33" s="30">
        <f t="shared" si="16"/>
        <v>69</v>
      </c>
      <c r="AT33" s="30">
        <f t="shared" si="16"/>
        <v>30</v>
      </c>
      <c r="AU33" s="30">
        <f t="shared" si="16"/>
        <v>62</v>
      </c>
      <c r="AV33" s="30">
        <f t="shared" si="16"/>
        <v>45</v>
      </c>
      <c r="AW33" s="30">
        <f t="shared" si="16"/>
        <v>64</v>
      </c>
      <c r="AX33" s="35">
        <f t="shared" si="16"/>
        <v>84</v>
      </c>
    </row>
    <row r="34" spans="2:50">
      <c r="B34" s="34">
        <f t="shared" si="9"/>
        <v>24</v>
      </c>
      <c r="C34" s="30" t="s">
        <v>128</v>
      </c>
      <c r="D34" s="30" t="s">
        <v>131</v>
      </c>
      <c r="E34" s="30" t="s">
        <v>133</v>
      </c>
      <c r="F34" s="30" t="s">
        <v>133</v>
      </c>
      <c r="G34" s="30" t="s">
        <v>132</v>
      </c>
      <c r="H34" s="35" t="s">
        <v>129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0000002000000</v>
      </c>
      <c r="AC34" s="15" t="str">
        <f t="shared" si="11"/>
        <v>0101000000000</v>
      </c>
      <c r="AD34" s="15" t="str">
        <f t="shared" si="11"/>
        <v>0000000100100</v>
      </c>
      <c r="AE34" s="15" t="str">
        <f t="shared" si="11"/>
        <v>0000000200000</v>
      </c>
      <c r="AF34" s="15" t="str">
        <f t="shared" si="11"/>
        <v>0000000001100</v>
      </c>
      <c r="AG34" s="41" t="str">
        <f t="shared" si="11"/>
        <v>0000000002000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67</v>
      </c>
      <c r="AT34" s="30">
        <f t="shared" si="16"/>
        <v>29</v>
      </c>
      <c r="AU34" s="30">
        <f t="shared" si="16"/>
        <v>43</v>
      </c>
      <c r="AV34" s="30">
        <f t="shared" si="16"/>
        <v>57</v>
      </c>
      <c r="AW34" s="30">
        <f t="shared" si="16"/>
        <v>51</v>
      </c>
      <c r="AX34" s="35">
        <f t="shared" si="16"/>
        <v>94</v>
      </c>
    </row>
    <row r="35" spans="2:50">
      <c r="B35" s="34">
        <f t="shared" si="9"/>
        <v>25</v>
      </c>
      <c r="C35" s="30" t="s">
        <v>131</v>
      </c>
      <c r="D35" s="30" t="s">
        <v>127</v>
      </c>
      <c r="E35" s="30" t="s">
        <v>133</v>
      </c>
      <c r="F35" s="30" t="s">
        <v>133</v>
      </c>
      <c r="G35" s="30" t="s">
        <v>132</v>
      </c>
      <c r="H35" s="35" t="s">
        <v>129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0100001000000</v>
      </c>
      <c r="AC35" s="15" t="str">
        <f t="shared" si="11"/>
        <v>0110000000000</v>
      </c>
      <c r="AD35" s="15" t="str">
        <f t="shared" si="11"/>
        <v>0000000200000</v>
      </c>
      <c r="AE35" s="15" t="str">
        <f t="shared" si="11"/>
        <v>0000000200000</v>
      </c>
      <c r="AF35" s="15" t="str">
        <f t="shared" si="11"/>
        <v>0000000000200</v>
      </c>
      <c r="AG35" s="41" t="str">
        <f t="shared" si="11"/>
        <v>0000000002000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87</v>
      </c>
      <c r="AT35" s="37">
        <f t="shared" si="16"/>
        <v>37</v>
      </c>
      <c r="AU35" s="37">
        <f t="shared" si="16"/>
        <v>79</v>
      </c>
      <c r="AV35" s="37">
        <f t="shared" si="16"/>
        <v>75</v>
      </c>
      <c r="AW35" s="37">
        <f t="shared" si="16"/>
        <v>99</v>
      </c>
      <c r="AX35" s="38">
        <f t="shared" si="16"/>
        <v>100</v>
      </c>
    </row>
    <row r="36" spans="2:50">
      <c r="B36" s="34">
        <f t="shared" si="9"/>
        <v>26</v>
      </c>
      <c r="C36" s="30" t="s">
        <v>129</v>
      </c>
      <c r="D36" s="30" t="s">
        <v>126</v>
      </c>
      <c r="E36" s="30" t="s">
        <v>133</v>
      </c>
      <c r="F36" s="30" t="s">
        <v>128</v>
      </c>
      <c r="G36" s="30" t="s">
        <v>132</v>
      </c>
      <c r="H36" s="35" t="s">
        <v>128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0100000001000</v>
      </c>
      <c r="AC36" s="15" t="str">
        <f t="shared" si="11"/>
        <v>1121111111110</v>
      </c>
      <c r="AD36" s="15" t="str">
        <f t="shared" si="11"/>
        <v>0000000200000</v>
      </c>
      <c r="AE36" s="15" t="str">
        <f t="shared" si="11"/>
        <v>0000001100000</v>
      </c>
      <c r="AF36" s="15" t="str">
        <f t="shared" si="11"/>
        <v>0000000000200</v>
      </c>
      <c r="AG36" s="41" t="str">
        <f t="shared" si="11"/>
        <v>0000001001000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129</v>
      </c>
      <c r="D37" s="30" t="s">
        <v>132</v>
      </c>
      <c r="E37" s="30" t="s">
        <v>127</v>
      </c>
      <c r="F37" s="30" t="s">
        <v>134</v>
      </c>
      <c r="G37" s="30" t="s">
        <v>134</v>
      </c>
      <c r="H37" s="35" t="s">
        <v>132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0000000002000</v>
      </c>
      <c r="AC37" s="15" t="str">
        <f t="shared" si="11"/>
        <v>1111111111210</v>
      </c>
      <c r="AD37" s="15" t="str">
        <f t="shared" si="11"/>
        <v>0010000100000</v>
      </c>
      <c r="AE37" s="15" t="str">
        <f t="shared" si="11"/>
        <v>0001001000000</v>
      </c>
      <c r="AF37" s="15" t="str">
        <f t="shared" si="11"/>
        <v>0001000000100</v>
      </c>
      <c r="AG37" s="41" t="str">
        <f t="shared" si="11"/>
        <v>0000001000100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129</v>
      </c>
      <c r="D38" s="30" t="s">
        <v>128</v>
      </c>
      <c r="E38" s="30" t="s">
        <v>127</v>
      </c>
      <c r="F38" s="30" t="s">
        <v>134</v>
      </c>
      <c r="G38" s="30" t="s">
        <v>134</v>
      </c>
      <c r="H38" s="35" t="s">
        <v>129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0000000002000</v>
      </c>
      <c r="AC38" s="15" t="str">
        <f t="shared" si="11"/>
        <v>0000001000100</v>
      </c>
      <c r="AD38" s="15" t="str">
        <f t="shared" si="11"/>
        <v>0020000000000</v>
      </c>
      <c r="AE38" s="15" t="str">
        <f t="shared" si="11"/>
        <v>0002000000000</v>
      </c>
      <c r="AF38" s="15" t="str">
        <f t="shared" si="11"/>
        <v>0002000000000</v>
      </c>
      <c r="AG38" s="41" t="str">
        <f t="shared" si="11"/>
        <v>0000000001100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131</v>
      </c>
      <c r="D39" s="30" t="s">
        <v>137</v>
      </c>
      <c r="E39" s="30" t="s">
        <v>127</v>
      </c>
      <c r="F39" s="30" t="s">
        <v>134</v>
      </c>
      <c r="G39" s="30" t="s">
        <v>134</v>
      </c>
      <c r="H39" s="35" t="s">
        <v>133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0100000001000</v>
      </c>
      <c r="AC39" s="15" t="str">
        <f t="shared" si="11"/>
        <v>0000011000000</v>
      </c>
      <c r="AD39" s="15" t="str">
        <f t="shared" si="11"/>
        <v>0020000000000</v>
      </c>
      <c r="AE39" s="15" t="str">
        <f t="shared" si="11"/>
        <v>0002000000000</v>
      </c>
      <c r="AF39" s="15" t="str">
        <f t="shared" si="11"/>
        <v>0002000000000</v>
      </c>
      <c r="AG39" s="41" t="str">
        <f t="shared" si="11"/>
        <v>0000000101000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1</v>
      </c>
      <c r="AO39" s="39" cm="1">
        <f t="array" ref="AO39">SUMPRODUCT(--(MID(AF$10:AF$135, SUMIF($Z$9:$Z$21, LEFT($AJ39,2), $Y$9:$Y$21), 1) = RIGHT($AJ39, 1)), N$10:N$135)</f>
        <v>1</v>
      </c>
      <c r="AP39" s="19" cm="1">
        <f t="array" ref="AP39">SUMPRODUCT(--(MID(AG$10:AG$135, SUMIF($Z$9:$Z$21, LEFT($AJ39,2), $Y$9:$Y$21), 1) = RIGHT($AJ39, 1)), O$10:O$135)</f>
        <v>3</v>
      </c>
    </row>
    <row r="40" spans="2:50">
      <c r="B40" s="34">
        <f t="shared" si="9"/>
        <v>30</v>
      </c>
      <c r="C40" s="30" t="s">
        <v>131</v>
      </c>
      <c r="D40" s="30" t="s">
        <v>129</v>
      </c>
      <c r="E40" s="30" t="s">
        <v>134</v>
      </c>
      <c r="F40" s="30" t="s">
        <v>127</v>
      </c>
      <c r="G40" s="30" t="s">
        <v>131</v>
      </c>
      <c r="H40" s="35" t="s">
        <v>133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0200000000000</v>
      </c>
      <c r="AC40" s="15" t="str">
        <f t="shared" si="11"/>
        <v>0000010001000</v>
      </c>
      <c r="AD40" s="15" t="str">
        <f t="shared" si="11"/>
        <v>0011000000000</v>
      </c>
      <c r="AE40" s="15" t="str">
        <f t="shared" si="11"/>
        <v>0011000000000</v>
      </c>
      <c r="AF40" s="15" t="str">
        <f t="shared" si="11"/>
        <v>0101000000000</v>
      </c>
      <c r="AG40" s="41" t="str">
        <f t="shared" si="11"/>
        <v>0000000200000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20</v>
      </c>
      <c r="AL40" s="39" cm="1">
        <f t="array" ref="AL40">SUMPRODUCT(--(MID(AC$10:AC$135, SUMIF($Z$9:$Z$21, LEFT($AJ40,2), $Y$9:$Y$21), 1) = RIGHT($AJ40, 1)), K$10:K$135)</f>
        <v>4</v>
      </c>
      <c r="AM40" s="39" cm="1">
        <f t="array" ref="AM40">SUMPRODUCT(--(MID(AD$10:AD$135, SUMIF($Z$9:$Z$21, LEFT($AJ40,2), $Y$9:$Y$21), 1) = RIGHT($AJ40, 1)), L$10:L$135)</f>
        <v>10</v>
      </c>
      <c r="AN40" s="39" cm="1">
        <f t="array" ref="AN40">SUMPRODUCT(--(MID(AE$10:AE$135, SUMIF($Z$9:$Z$21, LEFT($AJ40,2), $Y$9:$Y$21), 1) = RIGHT($AJ40, 1)), M$10:M$135)</f>
        <v>12</v>
      </c>
      <c r="AO40" s="39" cm="1">
        <f t="array" ref="AO40">SUMPRODUCT(--(MID(AF$10:AF$135, SUMIF($Z$9:$Z$21, LEFT($AJ40,2), $Y$9:$Y$21), 1) = RIGHT($AJ40, 1)), N$10:N$135)</f>
        <v>12</v>
      </c>
      <c r="AP40" s="19" cm="1">
        <f t="array" ref="AP40">SUMPRODUCT(--(MID(AG$10:AG$135, SUMIF($Z$9:$Z$21, LEFT($AJ40,2), $Y$9:$Y$21), 1) = RIGHT($AJ40, 1)), O$10:O$135)</f>
        <v>26</v>
      </c>
    </row>
    <row r="41" spans="2:50">
      <c r="B41" s="34">
        <f t="shared" si="9"/>
        <v>31</v>
      </c>
      <c r="C41" s="30" t="s">
        <v>131</v>
      </c>
      <c r="D41" s="30" t="s">
        <v>129</v>
      </c>
      <c r="E41" s="30" t="s">
        <v>134</v>
      </c>
      <c r="F41" s="30" t="s">
        <v>127</v>
      </c>
      <c r="G41" s="30" t="s">
        <v>131</v>
      </c>
      <c r="H41" s="35" t="s">
        <v>133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0200000000000</v>
      </c>
      <c r="AC41" s="15" t="str">
        <f t="shared" si="11"/>
        <v>0000000002000</v>
      </c>
      <c r="AD41" s="15" t="str">
        <f t="shared" si="11"/>
        <v>0002000000000</v>
      </c>
      <c r="AE41" s="15" t="str">
        <f t="shared" si="11"/>
        <v>0020000000000</v>
      </c>
      <c r="AF41" s="15" t="str">
        <f t="shared" si="11"/>
        <v>0200000000000</v>
      </c>
      <c r="AG41" s="41" t="str">
        <f t="shared" si="11"/>
        <v>0000000200000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65</v>
      </c>
      <c r="AL41" s="39" cm="1">
        <f t="array" ref="AL41">SUMPRODUCT(--(MID(AC$10:AC$135, SUMIF($Z$9:$Z$21, LEFT($AJ41,2), $Y$9:$Y$21), 1) = RIGHT($AJ41, 1)), K$10:K$135)</f>
        <v>33</v>
      </c>
      <c r="AM41" s="39" cm="1">
        <f t="array" ref="AM41">SUMPRODUCT(--(MID(AD$10:AD$135, SUMIF($Z$9:$Z$21, LEFT($AJ41,2), $Y$9:$Y$21), 1) = RIGHT($AJ41, 1)), L$10:L$135)</f>
        <v>69</v>
      </c>
      <c r="AN41" s="39" cm="1">
        <f t="array" ref="AN41">SUMPRODUCT(--(MID(AE$10:AE$135, SUMIF($Z$9:$Z$21, LEFT($AJ41,2), $Y$9:$Y$21), 1) = RIGHT($AJ41, 1)), M$10:M$135)</f>
        <v>62</v>
      </c>
      <c r="AO41" s="39" cm="1">
        <f t="array" ref="AO41">SUMPRODUCT(--(MID(AF$10:AF$135, SUMIF($Z$9:$Z$21, LEFT($AJ41,2), $Y$9:$Y$21), 1) = RIGHT($AJ41, 1)), N$10:N$135)</f>
        <v>86</v>
      </c>
      <c r="AP41" s="19" cm="1">
        <f t="array" ref="AP41">SUMPRODUCT(--(MID(AG$10:AG$135, SUMIF($Z$9:$Z$21, LEFT($AJ41,2), $Y$9:$Y$21), 1) = RIGHT($AJ41, 1)), O$10:O$135)</f>
        <v>71</v>
      </c>
    </row>
    <row r="42" spans="2:50">
      <c r="B42" s="34">
        <f t="shared" si="9"/>
        <v>32</v>
      </c>
      <c r="C42" s="30" t="s">
        <v>132</v>
      </c>
      <c r="D42" s="30" t="s">
        <v>129</v>
      </c>
      <c r="E42" s="30" t="s">
        <v>134</v>
      </c>
      <c r="F42" s="30" t="s">
        <v>127</v>
      </c>
      <c r="G42" s="30" t="s">
        <v>131</v>
      </c>
      <c r="H42" s="35" t="s">
        <v>131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0100000000100</v>
      </c>
      <c r="AC42" s="15" t="str">
        <f t="shared" si="11"/>
        <v>0000000002000</v>
      </c>
      <c r="AD42" s="15" t="str">
        <f t="shared" si="11"/>
        <v>0002000000000</v>
      </c>
      <c r="AE42" s="15" t="str">
        <f t="shared" si="11"/>
        <v>0020000000000</v>
      </c>
      <c r="AF42" s="15" t="str">
        <f t="shared" si="11"/>
        <v>0200000000000</v>
      </c>
      <c r="AG42" s="41" t="str">
        <f t="shared" si="11"/>
        <v>0100000100000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132</v>
      </c>
      <c r="D43" s="30" t="s">
        <v>127</v>
      </c>
      <c r="E43" s="30" t="s">
        <v>132</v>
      </c>
      <c r="F43" s="30" t="s">
        <v>134</v>
      </c>
      <c r="G43" s="30" t="s">
        <v>138</v>
      </c>
      <c r="H43" s="35" t="s">
        <v>131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0000000000200</v>
      </c>
      <c r="AC43" s="15" t="str">
        <f t="shared" si="11"/>
        <v>0010000001000</v>
      </c>
      <c r="AD43" s="15" t="str">
        <f t="shared" si="11"/>
        <v>0001000000100</v>
      </c>
      <c r="AE43" s="15" t="str">
        <f t="shared" si="11"/>
        <v>0011000000000</v>
      </c>
      <c r="AF43" s="15" t="str">
        <f t="shared" si="11"/>
        <v>0100000000010</v>
      </c>
      <c r="AG43" s="41" t="str">
        <f t="shared" si="11"/>
        <v>0200000000000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132</v>
      </c>
      <c r="D44" s="30" t="s">
        <v>127</v>
      </c>
      <c r="E44" s="30" t="s">
        <v>132</v>
      </c>
      <c r="F44" s="30" t="s">
        <v>128</v>
      </c>
      <c r="G44" s="30" t="s">
        <v>131</v>
      </c>
      <c r="H44" s="35" t="s">
        <v>131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0000000000200</v>
      </c>
      <c r="AC44" s="15" t="str">
        <f t="shared" si="11"/>
        <v>0020000000000</v>
      </c>
      <c r="AD44" s="15" t="str">
        <f t="shared" si="11"/>
        <v>0000000000200</v>
      </c>
      <c r="AE44" s="15" t="str">
        <f t="shared" si="11"/>
        <v>0001001000000</v>
      </c>
      <c r="AF44" s="15" t="str">
        <f t="shared" si="11"/>
        <v>0100000000010</v>
      </c>
      <c r="AG44" s="41" t="str">
        <f t="shared" si="11"/>
        <v>0200000000000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134</v>
      </c>
      <c r="D45" s="30" t="s">
        <v>127</v>
      </c>
      <c r="E45" s="30" t="s">
        <v>132</v>
      </c>
      <c r="F45" s="30" t="s">
        <v>132</v>
      </c>
      <c r="G45" s="30" t="s">
        <v>129</v>
      </c>
      <c r="H45" s="35" t="s">
        <v>127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0001000000100</v>
      </c>
      <c r="AC45" s="15" t="str">
        <f t="shared" si="11"/>
        <v>0020000000000</v>
      </c>
      <c r="AD45" s="15" t="str">
        <f t="shared" si="11"/>
        <v>0000000000200</v>
      </c>
      <c r="AE45" s="15" t="str">
        <f t="shared" si="11"/>
        <v>0000001000100</v>
      </c>
      <c r="AF45" s="15" t="str">
        <f t="shared" si="11"/>
        <v>0100000001000</v>
      </c>
      <c r="AG45" s="41" t="str">
        <f t="shared" si="11"/>
        <v>0110000000000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134</v>
      </c>
      <c r="D46" s="30" t="s">
        <v>134</v>
      </c>
      <c r="E46" s="30" t="s">
        <v>134</v>
      </c>
      <c r="F46" s="30" t="s">
        <v>129</v>
      </c>
      <c r="G46" s="30" t="s">
        <v>126</v>
      </c>
      <c r="H46" s="35" t="s">
        <v>127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0002000000000</v>
      </c>
      <c r="AC46" s="15" t="str">
        <f t="shared" si="11"/>
        <v>0011000000000</v>
      </c>
      <c r="AD46" s="15" t="str">
        <f t="shared" si="11"/>
        <v>0001000000100</v>
      </c>
      <c r="AE46" s="15" t="str">
        <f t="shared" si="11"/>
        <v>0000000001100</v>
      </c>
      <c r="AF46" s="15" t="str">
        <f t="shared" si="11"/>
        <v>1111111112110</v>
      </c>
      <c r="AG46" s="41" t="str">
        <f t="shared" si="11"/>
        <v>0020000000000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134</v>
      </c>
      <c r="D47" s="30"/>
      <c r="E47" s="30" t="s">
        <v>138</v>
      </c>
      <c r="F47" s="30" t="s">
        <v>132</v>
      </c>
      <c r="G47" s="30" t="s">
        <v>138</v>
      </c>
      <c r="H47" s="35" t="s">
        <v>127</v>
      </c>
      <c r="J47" s="34">
        <f t="shared" si="3"/>
        <v>1</v>
      </c>
      <c r="K47" s="30" t="str">
        <f t="shared" si="3"/>
        <v/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0002000000000</v>
      </c>
      <c r="AC47" s="15" t="str">
        <f t="shared" si="11"/>
        <v/>
      </c>
      <c r="AD47" s="15" t="str">
        <f t="shared" si="11"/>
        <v>0001000000010</v>
      </c>
      <c r="AE47" s="15" t="str">
        <f t="shared" si="11"/>
        <v>0000000001100</v>
      </c>
      <c r="AF47" s="15" t="str">
        <f t="shared" si="11"/>
        <v>1111111111120</v>
      </c>
      <c r="AG47" s="41" t="str">
        <f t="shared" si="11"/>
        <v>0020000000000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137</v>
      </c>
      <c r="D48" s="30"/>
      <c r="E48" s="30" t="s">
        <v>133</v>
      </c>
      <c r="F48" s="30" t="s">
        <v>128</v>
      </c>
      <c r="G48" s="30" t="s">
        <v>126</v>
      </c>
      <c r="H48" s="35" t="s">
        <v>134</v>
      </c>
      <c r="J48" s="34">
        <f t="shared" si="3"/>
        <v>1</v>
      </c>
      <c r="K48" s="30" t="str">
        <f t="shared" si="3"/>
        <v/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0001010000000</v>
      </c>
      <c r="AC48" s="15" t="str">
        <f t="shared" si="11"/>
        <v/>
      </c>
      <c r="AD48" s="15" t="str">
        <f t="shared" si="11"/>
        <v>0000000100010</v>
      </c>
      <c r="AE48" s="15" t="str">
        <f t="shared" si="11"/>
        <v>0000001000100</v>
      </c>
      <c r="AF48" s="15" t="str">
        <f t="shared" si="11"/>
        <v>1111111111120</v>
      </c>
      <c r="AG48" s="41" t="str">
        <f t="shared" si="11"/>
        <v>0011000000000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4</v>
      </c>
      <c r="AL48" s="39" cm="1">
        <f t="array" ref="AL48">SUMPRODUCT(--(MID(AC$10:AC$135, SUMIF($Z$9:$Z$21, LEFT($AJ48,2), $Y$9:$Y$21), 1) = RIGHT($AJ48, 1)), K$10:K$135)</f>
        <v>4</v>
      </c>
      <c r="AM48" s="39" cm="1">
        <f t="array" ref="AM48">SUMPRODUCT(--(MID(AD$10:AD$135, SUMIF($Z$9:$Z$21, LEFT($AJ48,2), $Y$9:$Y$21), 1) = RIGHT($AJ48, 1)), L$10:L$135)</f>
        <v>12</v>
      </c>
      <c r="AN48" s="39" cm="1">
        <f t="array" ref="AN48">SUMPRODUCT(--(MID(AE$10:AE$135, SUMIF($Z$9:$Z$21, LEFT($AJ48,2), $Y$9:$Y$21), 1) = RIGHT($AJ48, 1)), M$10:M$135)</f>
        <v>16</v>
      </c>
      <c r="AO48" s="39" cm="1">
        <f t="array" ref="AO48">SUMPRODUCT(--(MID(AF$10:AF$135, SUMIF($Z$9:$Z$21, LEFT($AJ48,2), $Y$9:$Y$21), 1) = RIGHT($AJ48, 1)), N$10:N$135)</f>
        <v>16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134</v>
      </c>
      <c r="D49" s="30"/>
      <c r="E49" s="30" t="s">
        <v>138</v>
      </c>
      <c r="F49" s="30" t="s">
        <v>131</v>
      </c>
      <c r="G49" s="30" t="s">
        <v>132</v>
      </c>
      <c r="H49" s="35" t="s">
        <v>129</v>
      </c>
      <c r="J49" s="34">
        <f t="shared" si="3"/>
        <v>1</v>
      </c>
      <c r="K49" s="30" t="str">
        <f t="shared" si="3"/>
        <v/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0001010000000</v>
      </c>
      <c r="AC49" s="15" t="str">
        <f t="shared" si="11"/>
        <v/>
      </c>
      <c r="AD49" s="15" t="str">
        <f t="shared" si="11"/>
        <v>0000000100010</v>
      </c>
      <c r="AE49" s="15" t="str">
        <f t="shared" si="11"/>
        <v>0100001000000</v>
      </c>
      <c r="AF49" s="15" t="str">
        <f t="shared" si="11"/>
        <v>1111111111210</v>
      </c>
      <c r="AG49" s="41" t="str">
        <f t="shared" si="11"/>
        <v>0001000001000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83</v>
      </c>
      <c r="AL49" s="39" cm="1">
        <f t="array" ref="AL49">SUMPRODUCT(--(MID(AC$10:AC$135, SUMIF($Z$9:$Z$21, LEFT($AJ49,2), $Y$9:$Y$21), 1) = RIGHT($AJ49, 1)), K$10:K$135)</f>
        <v>33</v>
      </c>
      <c r="AM49" s="39" cm="1">
        <f t="array" ref="AM49">SUMPRODUCT(--(MID(AD$10:AD$135, SUMIF($Z$9:$Z$21, LEFT($AJ49,2), $Y$9:$Y$21), 1) = RIGHT($AJ49, 1)), L$10:L$135)</f>
        <v>67</v>
      </c>
      <c r="AN49" s="39" cm="1">
        <f t="array" ref="AN49">SUMPRODUCT(--(MID(AE$10:AE$135, SUMIF($Z$9:$Z$21, LEFT($AJ49,2), $Y$9:$Y$21), 1) = RIGHT($AJ49, 1)), M$10:M$135)</f>
        <v>59</v>
      </c>
      <c r="AO49" s="39" cm="1">
        <f t="array" ref="AO49">SUMPRODUCT(--(MID(AF$10:AF$135, SUMIF($Z$9:$Z$21, LEFT($AJ49,2), $Y$9:$Y$21), 1) = RIGHT($AJ49, 1)), N$10:N$135)</f>
        <v>83</v>
      </c>
      <c r="AP49" s="19" cm="1">
        <f t="array" ref="AP49">SUMPRODUCT(--(MID(AG$10:AG$135, SUMIF($Z$9:$Z$21, LEFT($AJ49,2), $Y$9:$Y$21), 1) = RIGHT($AJ49, 1)), O$10:O$135)</f>
        <v>98</v>
      </c>
    </row>
    <row r="50" spans="2:42">
      <c r="B50" s="34">
        <f t="shared" si="9"/>
        <v>40</v>
      </c>
      <c r="C50" s="30" t="s">
        <v>136</v>
      </c>
      <c r="D50" s="30"/>
      <c r="E50" s="30" t="s">
        <v>134</v>
      </c>
      <c r="F50" s="30" t="s">
        <v>138</v>
      </c>
      <c r="G50" s="30" t="s">
        <v>131</v>
      </c>
      <c r="H50" s="35" t="s">
        <v>133</v>
      </c>
      <c r="J50" s="34">
        <f t="shared" si="3"/>
        <v>1</v>
      </c>
      <c r="K50" s="30" t="str">
        <f t="shared" si="3"/>
        <v/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0001100000000</v>
      </c>
      <c r="AC50" s="15" t="str">
        <f t="shared" si="11"/>
        <v/>
      </c>
      <c r="AD50" s="15" t="str">
        <f t="shared" si="11"/>
        <v>0001000000010</v>
      </c>
      <c r="AE50" s="15" t="str">
        <f t="shared" si="11"/>
        <v>0100000000010</v>
      </c>
      <c r="AF50" s="15" t="str">
        <f t="shared" si="11"/>
        <v>0100000000100</v>
      </c>
      <c r="AG50" s="41" t="str">
        <f t="shared" si="11"/>
        <v>0000000101000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129</v>
      </c>
      <c r="D51" s="30"/>
      <c r="E51" s="30" t="s">
        <v>129</v>
      </c>
      <c r="F51" s="30" t="s">
        <v>129</v>
      </c>
      <c r="G51" s="30" t="s">
        <v>138</v>
      </c>
      <c r="H51" s="35" t="s">
        <v>136</v>
      </c>
      <c r="J51" s="34">
        <f t="shared" si="3"/>
        <v>1</v>
      </c>
      <c r="K51" s="30" t="str">
        <f t="shared" si="3"/>
        <v/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0000100001000</v>
      </c>
      <c r="AC51" s="15" t="str">
        <f t="shared" si="11"/>
        <v/>
      </c>
      <c r="AD51" s="15" t="str">
        <f t="shared" si="11"/>
        <v>0001000001000</v>
      </c>
      <c r="AE51" s="15" t="str">
        <f t="shared" si="11"/>
        <v>0000000001010</v>
      </c>
      <c r="AF51" s="15" t="str">
        <f t="shared" si="11"/>
        <v>0100000000010</v>
      </c>
      <c r="AG51" s="41" t="str">
        <f t="shared" si="11"/>
        <v>0000100100000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138</v>
      </c>
      <c r="D52" s="30"/>
      <c r="E52" s="30" t="s">
        <v>138</v>
      </c>
      <c r="F52" s="30" t="s">
        <v>126</v>
      </c>
      <c r="G52" s="30" t="s">
        <v>137</v>
      </c>
      <c r="H52" s="35" t="s">
        <v>127</v>
      </c>
      <c r="J52" s="34">
        <f t="shared" si="3"/>
        <v>1</v>
      </c>
      <c r="K52" s="30" t="str">
        <f t="shared" si="3"/>
        <v/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0000000001010</v>
      </c>
      <c r="AC52" s="15" t="str">
        <f t="shared" si="11"/>
        <v/>
      </c>
      <c r="AD52" s="15" t="str">
        <f t="shared" si="11"/>
        <v>0000000001010</v>
      </c>
      <c r="AE52" s="15" t="str">
        <f t="shared" si="11"/>
        <v>1111111112110</v>
      </c>
      <c r="AF52" s="15" t="str">
        <f t="shared" si="11"/>
        <v>0000010000010</v>
      </c>
      <c r="AG52" s="41" t="str">
        <f t="shared" si="11"/>
        <v>0010100000000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133</v>
      </c>
      <c r="D53" s="30"/>
      <c r="E53" s="30" t="s">
        <v>126</v>
      </c>
      <c r="F53" s="30" t="s">
        <v>133</v>
      </c>
      <c r="G53" s="30" t="s">
        <v>138</v>
      </c>
      <c r="H53" s="35" t="s">
        <v>128</v>
      </c>
      <c r="J53" s="34">
        <f t="shared" si="3"/>
        <v>1</v>
      </c>
      <c r="K53" s="30" t="str">
        <f t="shared" si="3"/>
        <v/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0000000100010</v>
      </c>
      <c r="AC53" s="15" t="str">
        <f t="shared" si="11"/>
        <v/>
      </c>
      <c r="AD53" s="15" t="str">
        <f t="shared" si="11"/>
        <v>1111111111120</v>
      </c>
      <c r="AE53" s="15" t="str">
        <f t="shared" si="11"/>
        <v>1111111211110</v>
      </c>
      <c r="AF53" s="15" t="str">
        <f t="shared" si="11"/>
        <v>0000010000010</v>
      </c>
      <c r="AG53" s="41" t="str">
        <f t="shared" si="11"/>
        <v>0010001000000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136</v>
      </c>
      <c r="D54" s="30"/>
      <c r="E54" s="30" t="s">
        <v>138</v>
      </c>
      <c r="F54" s="30" t="s">
        <v>136</v>
      </c>
      <c r="G54" s="30" t="s">
        <v>133</v>
      </c>
      <c r="H54" s="35" t="s">
        <v>129</v>
      </c>
      <c r="J54" s="34">
        <f t="shared" si="3"/>
        <v>1</v>
      </c>
      <c r="K54" s="30" t="str">
        <f t="shared" si="3"/>
        <v/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0000100100000</v>
      </c>
      <c r="AC54" s="15" t="str">
        <f t="shared" si="11"/>
        <v/>
      </c>
      <c r="AD54" s="15" t="str">
        <f t="shared" si="11"/>
        <v>1111111111120</v>
      </c>
      <c r="AE54" s="15" t="str">
        <f t="shared" si="11"/>
        <v>0000100100000</v>
      </c>
      <c r="AF54" s="15" t="str">
        <f t="shared" si="11"/>
        <v>0000000100010</v>
      </c>
      <c r="AG54" s="41" t="str">
        <f t="shared" si="11"/>
        <v>0000001001000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130</v>
      </c>
      <c r="D55" s="30"/>
      <c r="E55" s="30" t="s">
        <v>131</v>
      </c>
      <c r="F55" s="30" t="s">
        <v>126</v>
      </c>
      <c r="G55" s="30" t="s">
        <v>131</v>
      </c>
      <c r="H55" s="35" t="s">
        <v>127</v>
      </c>
      <c r="J55" s="34">
        <f t="shared" si="3"/>
        <v>1</v>
      </c>
      <c r="K55" s="30" t="str">
        <f t="shared" si="3"/>
        <v/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0000100010000</v>
      </c>
      <c r="AC55" s="15" t="str">
        <f t="shared" si="11"/>
        <v/>
      </c>
      <c r="AD55" s="15" t="str">
        <f t="shared" si="11"/>
        <v>0100000000010</v>
      </c>
      <c r="AE55" s="15" t="str">
        <f t="shared" si="11"/>
        <v>1111211111110</v>
      </c>
      <c r="AF55" s="15" t="str">
        <f t="shared" si="11"/>
        <v>0100000100000</v>
      </c>
      <c r="AG55" s="41" t="str">
        <f t="shared" si="11"/>
        <v>0010000001000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3</v>
      </c>
      <c r="AN55" s="39" cm="1">
        <f t="array" ref="AN55">SUMPRODUCT(--(MID(AE$10:AE$135, SUMIF($Z$9:$Z$21, LEFT($AJ55,2), $Y$9:$Y$21), 1) = RIGHT($AJ55, 1)), M$10:M$135)</f>
        <v>1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131</v>
      </c>
      <c r="D56" s="30"/>
      <c r="E56" s="30" t="s">
        <v>138</v>
      </c>
      <c r="F56" s="30" t="s">
        <v>131</v>
      </c>
      <c r="G56" s="30" t="s">
        <v>126</v>
      </c>
      <c r="H56" s="35" t="s">
        <v>133</v>
      </c>
      <c r="J56" s="34">
        <f t="shared" si="3"/>
        <v>1</v>
      </c>
      <c r="K56" s="30" t="str">
        <f t="shared" si="3"/>
        <v/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0100000010000</v>
      </c>
      <c r="AC56" s="15" t="str">
        <f t="shared" si="11"/>
        <v/>
      </c>
      <c r="AD56" s="15" t="str">
        <f t="shared" si="11"/>
        <v>0100000000010</v>
      </c>
      <c r="AE56" s="15" t="str">
        <f t="shared" si="11"/>
        <v>1211111111110</v>
      </c>
      <c r="AF56" s="15" t="str">
        <f t="shared" si="11"/>
        <v>1211111111110</v>
      </c>
      <c r="AG56" s="41" t="str">
        <f t="shared" si="11"/>
        <v>0010000100000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12</v>
      </c>
      <c r="AL56" s="39" cm="1">
        <f t="array" ref="AL56">SUMPRODUCT(--(MID(AC$10:AC$135, SUMIF($Z$9:$Z$21, LEFT($AJ56,2), $Y$9:$Y$21), 1) = RIGHT($AJ56, 1)), K$10:K$135)</f>
        <v>6</v>
      </c>
      <c r="AM56" s="39" cm="1">
        <f t="array" ref="AM56">SUMPRODUCT(--(MID(AD$10:AD$135, SUMIF($Z$9:$Z$21, LEFT($AJ56,2), $Y$9:$Y$21), 1) = RIGHT($AJ56, 1)), L$10:L$135)</f>
        <v>10</v>
      </c>
      <c r="AN56" s="39" cm="1">
        <f t="array" ref="AN56">SUMPRODUCT(--(MID(AE$10:AE$135, SUMIF($Z$9:$Z$21, LEFT($AJ56,2), $Y$9:$Y$21), 1) = RIGHT($AJ56, 1)), M$10:M$135)</f>
        <v>20</v>
      </c>
      <c r="AO56" s="39" cm="1">
        <f t="array" ref="AO56">SUMPRODUCT(--(MID(AF$10:AF$135, SUMIF($Z$9:$Z$21, LEFT($AJ56,2), $Y$9:$Y$21), 1) = RIGHT($AJ56, 1)), N$10:N$135)</f>
        <v>12</v>
      </c>
      <c r="AP56" s="19" cm="1">
        <f t="array" ref="AP56">SUMPRODUCT(--(MID(AG$10:AG$135, SUMIF($Z$9:$Z$21, LEFT($AJ56,2), $Y$9:$Y$21), 1) = RIGHT($AJ56, 1)), O$10:O$135)</f>
        <v>14</v>
      </c>
    </row>
    <row r="57" spans="2:42">
      <c r="B57" s="34">
        <f t="shared" si="9"/>
        <v>47</v>
      </c>
      <c r="C57" s="30" t="s">
        <v>136</v>
      </c>
      <c r="D57" s="30"/>
      <c r="E57" s="30" t="s">
        <v>134</v>
      </c>
      <c r="F57" s="30" t="s">
        <v>126</v>
      </c>
      <c r="G57" s="30" t="s">
        <v>136</v>
      </c>
      <c r="H57" s="35" t="s">
        <v>134</v>
      </c>
      <c r="J57" s="34">
        <f t="shared" si="3"/>
        <v>1</v>
      </c>
      <c r="K57" s="30" t="str">
        <f t="shared" si="3"/>
        <v/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0100100000000</v>
      </c>
      <c r="AC57" s="15" t="str">
        <f t="shared" si="11"/>
        <v/>
      </c>
      <c r="AD57" s="15" t="str">
        <f t="shared" si="11"/>
        <v>0001000000010</v>
      </c>
      <c r="AE57" s="15" t="str">
        <f t="shared" si="11"/>
        <v>1211111111110</v>
      </c>
      <c r="AF57" s="15" t="str">
        <f t="shared" si="11"/>
        <v>1111211111110</v>
      </c>
      <c r="AG57" s="41" t="str">
        <f t="shared" si="11"/>
        <v>0001000100000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73</v>
      </c>
      <c r="AL57" s="39" cm="1">
        <f t="array" ref="AL57">SUMPRODUCT(--(MID(AC$10:AC$135, SUMIF($Z$9:$Z$21, LEFT($AJ57,2), $Y$9:$Y$21), 1) = RIGHT($AJ57, 1)), K$10:K$135)</f>
        <v>29</v>
      </c>
      <c r="AM57" s="39" cm="1">
        <f t="array" ref="AM57">SUMPRODUCT(--(MID(AD$10:AD$135, SUMIF($Z$9:$Z$21, LEFT($AJ57,2), $Y$9:$Y$21), 1) = RIGHT($AJ57, 1)), L$10:L$135)</f>
        <v>66</v>
      </c>
      <c r="AN57" s="39" cm="1">
        <f t="array" ref="AN57">SUMPRODUCT(--(MID(AE$10:AE$135, SUMIF($Z$9:$Z$21, LEFT($AJ57,2), $Y$9:$Y$21), 1) = RIGHT($AJ57, 1)), M$10:M$135)</f>
        <v>54</v>
      </c>
      <c r="AO57" s="39" cm="1">
        <f t="array" ref="AO57">SUMPRODUCT(--(MID(AF$10:AF$135, SUMIF($Z$9:$Z$21, LEFT($AJ57,2), $Y$9:$Y$21), 1) = RIGHT($AJ57, 1)), N$10:N$135)</f>
        <v>87</v>
      </c>
      <c r="AP57" s="19" cm="1">
        <f t="array" ref="AP57">SUMPRODUCT(--(MID(AG$10:AG$135, SUMIF($Z$9:$Z$21, LEFT($AJ57,2), $Y$9:$Y$21), 1) = RIGHT($AJ57, 1)), O$10:O$135)</f>
        <v>84</v>
      </c>
    </row>
    <row r="58" spans="2:42">
      <c r="B58" s="34">
        <f t="shared" si="9"/>
        <v>48</v>
      </c>
      <c r="C58" s="30" t="s">
        <v>138</v>
      </c>
      <c r="D58" s="30"/>
      <c r="E58" s="30" t="s">
        <v>127</v>
      </c>
      <c r="F58" s="30" t="s">
        <v>131</v>
      </c>
      <c r="G58" s="30" t="s">
        <v>132</v>
      </c>
      <c r="H58" s="35" t="s">
        <v>129</v>
      </c>
      <c r="J58" s="34">
        <f t="shared" si="3"/>
        <v>1</v>
      </c>
      <c r="K58" s="30" t="str">
        <f t="shared" si="3"/>
        <v/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0000100000010</v>
      </c>
      <c r="AC58" s="15" t="str">
        <f t="shared" si="11"/>
        <v/>
      </c>
      <c r="AD58" s="15" t="str">
        <f t="shared" si="11"/>
        <v>0011000000000</v>
      </c>
      <c r="AE58" s="15" t="str">
        <f t="shared" si="11"/>
        <v>1211111111110</v>
      </c>
      <c r="AF58" s="15" t="str">
        <f t="shared" si="11"/>
        <v>0000100000100</v>
      </c>
      <c r="AG58" s="41" t="str">
        <f t="shared" si="11"/>
        <v>0001000001000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131</v>
      </c>
      <c r="D59" s="30"/>
      <c r="E59" s="30" t="s">
        <v>126</v>
      </c>
      <c r="F59" s="30" t="s">
        <v>132</v>
      </c>
      <c r="G59" s="30" t="s">
        <v>138</v>
      </c>
      <c r="H59" s="35" t="s">
        <v>136</v>
      </c>
      <c r="J59" s="34">
        <f t="shared" si="3"/>
        <v>1</v>
      </c>
      <c r="K59" s="30" t="str">
        <f t="shared" si="3"/>
        <v/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0100000000010</v>
      </c>
      <c r="AC59" s="15" t="str">
        <f t="shared" si="11"/>
        <v/>
      </c>
      <c r="AD59" s="15" t="str">
        <f t="shared" si="11"/>
        <v>1121111111110</v>
      </c>
      <c r="AE59" s="15" t="str">
        <f t="shared" si="11"/>
        <v>0100000000100</v>
      </c>
      <c r="AF59" s="15" t="str">
        <f t="shared" si="11"/>
        <v>0000000000110</v>
      </c>
      <c r="AG59" s="41" t="str">
        <f t="shared" si="11"/>
        <v>0000100001000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133</v>
      </c>
      <c r="D60" s="30"/>
      <c r="E60" s="30" t="s">
        <v>132</v>
      </c>
      <c r="F60" s="30" t="s">
        <v>134</v>
      </c>
      <c r="G60" s="30" t="s">
        <v>132</v>
      </c>
      <c r="H60" s="35" t="s">
        <v>127</v>
      </c>
      <c r="J60" s="34">
        <f t="shared" ref="J60:O102" si="21">IF(C60="","",1)</f>
        <v>1</v>
      </c>
      <c r="K60" s="30" t="str">
        <f t="shared" si="21"/>
        <v/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0100000100000</v>
      </c>
      <c r="AC60" s="15" t="str">
        <f t="shared" si="11"/>
        <v/>
      </c>
      <c r="AD60" s="15" t="str">
        <f t="shared" si="11"/>
        <v>1111111111210</v>
      </c>
      <c r="AE60" s="15" t="str">
        <f t="shared" si="11"/>
        <v>0001000000100</v>
      </c>
      <c r="AF60" s="15" t="str">
        <f t="shared" si="11"/>
        <v>0000000000110</v>
      </c>
      <c r="AG60" s="41" t="str">
        <f t="shared" si="11"/>
        <v>0010100000000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131</v>
      </c>
      <c r="D61" s="30"/>
      <c r="E61" s="30" t="s">
        <v>138</v>
      </c>
      <c r="F61" s="30" t="s">
        <v>128</v>
      </c>
      <c r="G61" s="30" t="s">
        <v>138</v>
      </c>
      <c r="H61" s="35" t="s">
        <v>136</v>
      </c>
      <c r="J61" s="34">
        <f t="shared" si="21"/>
        <v>1</v>
      </c>
      <c r="K61" s="30" t="str">
        <f t="shared" si="21"/>
        <v/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0100000100000</v>
      </c>
      <c r="AC61" s="15" t="str">
        <f t="shared" si="11"/>
        <v/>
      </c>
      <c r="AD61" s="15" t="str">
        <f t="shared" si="11"/>
        <v>0000000000110</v>
      </c>
      <c r="AE61" s="15" t="str">
        <f t="shared" si="11"/>
        <v>0001001000000</v>
      </c>
      <c r="AF61" s="15" t="str">
        <f t="shared" si="11"/>
        <v>0000000000110</v>
      </c>
      <c r="AG61" s="41" t="str">
        <f t="shared" si="11"/>
        <v>0010100000000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136</v>
      </c>
      <c r="D62" s="30"/>
      <c r="E62" s="30" t="s">
        <v>131</v>
      </c>
      <c r="F62" s="30" t="s">
        <v>134</v>
      </c>
      <c r="G62" s="30" t="s">
        <v>131</v>
      </c>
      <c r="H62" s="35" t="s">
        <v>134</v>
      </c>
      <c r="J62" s="34">
        <f t="shared" si="21"/>
        <v>1</v>
      </c>
      <c r="K62" s="30" t="str">
        <f t="shared" si="21"/>
        <v/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0100100000000</v>
      </c>
      <c r="AC62" s="15" t="str">
        <f t="shared" si="11"/>
        <v/>
      </c>
      <c r="AD62" s="15" t="str">
        <f t="shared" si="11"/>
        <v>0100000000010</v>
      </c>
      <c r="AE62" s="15" t="str">
        <f t="shared" si="11"/>
        <v>0001001000000</v>
      </c>
      <c r="AF62" s="15" t="str">
        <f t="shared" si="11"/>
        <v>0100000000010</v>
      </c>
      <c r="AG62" s="41" t="str">
        <f t="shared" si="11"/>
        <v>0001100000000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128</v>
      </c>
      <c r="D63" s="30"/>
      <c r="E63" s="30" t="s">
        <v>129</v>
      </c>
      <c r="F63" s="30" t="s">
        <v>133</v>
      </c>
      <c r="G63" s="30" t="s">
        <v>134</v>
      </c>
      <c r="H63" s="35" t="s">
        <v>129</v>
      </c>
      <c r="J63" s="34">
        <f t="shared" si="21"/>
        <v>1</v>
      </c>
      <c r="K63" s="30" t="str">
        <f t="shared" si="21"/>
        <v/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0000101000000</v>
      </c>
      <c r="AC63" s="15" t="str">
        <f t="shared" si="11"/>
        <v/>
      </c>
      <c r="AD63" s="15" t="str">
        <f t="shared" si="11"/>
        <v>0100000001000</v>
      </c>
      <c r="AE63" s="15" t="str">
        <f t="shared" si="11"/>
        <v>0001000100000</v>
      </c>
      <c r="AF63" s="15" t="str">
        <f t="shared" si="11"/>
        <v>0101000000000</v>
      </c>
      <c r="AG63" s="41" t="str">
        <f t="shared" si="11"/>
        <v>0001000001000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3</v>
      </c>
      <c r="AL63" s="39" cm="1">
        <f t="array" ref="AL63">SUMPRODUCT(--(MID(AC$10:AC$135, SUMIF($Z$9:$Z$21, LEFT($AJ63,2), $Y$9:$Y$21), 1) = RIGHT($AJ63, 1)), K$10:K$135)</f>
        <v>3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5</v>
      </c>
      <c r="AO63" s="39" cm="1">
        <f t="array" ref="AO63">SUMPRODUCT(--(MID(AF$10:AF$135, SUMIF($Z$9:$Z$21, LEFT($AJ63,2), $Y$9:$Y$21), 1) = RIGHT($AJ63, 1)), N$10:N$135)</f>
        <v>4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133</v>
      </c>
      <c r="D64" s="30"/>
      <c r="E64" s="30" t="s">
        <v>134</v>
      </c>
      <c r="F64" s="30" t="s">
        <v>134</v>
      </c>
      <c r="G64" s="30" t="s">
        <v>138</v>
      </c>
      <c r="H64" s="35" t="s">
        <v>132</v>
      </c>
      <c r="J64" s="34">
        <f t="shared" si="21"/>
        <v>1</v>
      </c>
      <c r="K64" s="30" t="str">
        <f t="shared" si="21"/>
        <v/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>
        <f t="shared" si="21"/>
        <v>1</v>
      </c>
      <c r="AB64" s="40" t="str">
        <f t="shared" si="11"/>
        <v>0000001100000</v>
      </c>
      <c r="AC64" s="15" t="str">
        <f t="shared" si="11"/>
        <v/>
      </c>
      <c r="AD64" s="15" t="str">
        <f t="shared" si="11"/>
        <v>0001000001000</v>
      </c>
      <c r="AE64" s="15" t="str">
        <f t="shared" si="11"/>
        <v>0001000100000</v>
      </c>
      <c r="AF64" s="15" t="str">
        <f t="shared" si="11"/>
        <v>0001000000010</v>
      </c>
      <c r="AG64" s="41" t="str">
        <f t="shared" si="11"/>
        <v>0000000001100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14</v>
      </c>
      <c r="AL64" s="39" cm="1">
        <f t="array" ref="AL64">SUMPRODUCT(--(MID(AC$10:AC$135, SUMIF($Z$9:$Z$21, LEFT($AJ64,2), $Y$9:$Y$21), 1) = RIGHT($AJ64, 1)), K$10:K$135)</f>
        <v>4</v>
      </c>
      <c r="AM64" s="39" cm="1">
        <f t="array" ref="AM64">SUMPRODUCT(--(MID(AD$10:AD$135, SUMIF($Z$9:$Z$21, LEFT($AJ64,2), $Y$9:$Y$21), 1) = RIGHT($AJ64, 1)), L$10:L$135)</f>
        <v>16</v>
      </c>
      <c r="AN64" s="39" cm="1">
        <f t="array" ref="AN64">SUMPRODUCT(--(MID(AE$10:AE$135, SUMIF($Z$9:$Z$21, LEFT($AJ64,2), $Y$9:$Y$21), 1) = RIGHT($AJ64, 1)), M$10:M$135)</f>
        <v>18</v>
      </c>
      <c r="AO64" s="39" cm="1">
        <f t="array" ref="AO64">SUMPRODUCT(--(MID(AF$10:AF$135, SUMIF($Z$9:$Z$21, LEFT($AJ64,2), $Y$9:$Y$21), 1) = RIGHT($AJ64, 1)), N$10:N$135)</f>
        <v>30</v>
      </c>
      <c r="AP64" s="19" cm="1">
        <f t="array" ref="AP64">SUMPRODUCT(--(MID(AG$10:AG$135, SUMIF($Z$9:$Z$21, LEFT($AJ64,2), $Y$9:$Y$21), 1) = RIGHT($AJ64, 1)), O$10:O$135)</f>
        <v>18</v>
      </c>
    </row>
    <row r="65" spans="2:42">
      <c r="B65" s="34">
        <f t="shared" si="9"/>
        <v>55</v>
      </c>
      <c r="C65" s="30" t="s">
        <v>130</v>
      </c>
      <c r="D65" s="30"/>
      <c r="E65" s="30" t="s">
        <v>131</v>
      </c>
      <c r="F65" s="30" t="s">
        <v>132</v>
      </c>
      <c r="G65" s="30" t="s">
        <v>131</v>
      </c>
      <c r="H65" s="35" t="s">
        <v>128</v>
      </c>
      <c r="J65" s="34">
        <f t="shared" si="21"/>
        <v>1</v>
      </c>
      <c r="K65" s="30" t="str">
        <f t="shared" si="21"/>
        <v/>
      </c>
      <c r="L65" s="30">
        <f t="shared" si="21"/>
        <v>1</v>
      </c>
      <c r="M65" s="30">
        <f t="shared" si="21"/>
        <v>1</v>
      </c>
      <c r="N65" s="30">
        <f t="shared" si="21"/>
        <v>1</v>
      </c>
      <c r="O65" s="35">
        <f t="shared" si="21"/>
        <v>1</v>
      </c>
      <c r="AB65" s="40" t="str">
        <f t="shared" si="11"/>
        <v>0000000110000</v>
      </c>
      <c r="AC65" s="15" t="str">
        <f t="shared" si="11"/>
        <v/>
      </c>
      <c r="AD65" s="15" t="str">
        <f t="shared" si="11"/>
        <v>0101000000000</v>
      </c>
      <c r="AE65" s="15" t="str">
        <f t="shared" si="11"/>
        <v>0001000000100</v>
      </c>
      <c r="AF65" s="15" t="str">
        <f t="shared" si="11"/>
        <v>0100000000010</v>
      </c>
      <c r="AG65" s="41" t="str">
        <f t="shared" si="11"/>
        <v>0000001000100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70</v>
      </c>
      <c r="AL65" s="39" cm="1">
        <f t="array" ref="AL65">SUMPRODUCT(--(MID(AC$10:AC$135, SUMIF($Z$9:$Z$21, LEFT($AJ65,2), $Y$9:$Y$21), 1) = RIGHT($AJ65, 1)), K$10:K$135)</f>
        <v>30</v>
      </c>
      <c r="AM65" s="39" cm="1">
        <f t="array" ref="AM65">SUMPRODUCT(--(MID(AD$10:AD$135, SUMIF($Z$9:$Z$21, LEFT($AJ65,2), $Y$9:$Y$21), 1) = RIGHT($AJ65, 1)), L$10:L$135)</f>
        <v>61</v>
      </c>
      <c r="AN65" s="39" cm="1">
        <f t="array" ref="AN65">SUMPRODUCT(--(MID(AE$10:AE$135, SUMIF($Z$9:$Z$21, LEFT($AJ65,2), $Y$9:$Y$21), 1) = RIGHT($AJ65, 1)), M$10:M$135)</f>
        <v>52</v>
      </c>
      <c r="AO65" s="39" cm="1">
        <f t="array" ref="AO65">SUMPRODUCT(--(MID(AF$10:AF$135, SUMIF($Z$9:$Z$21, LEFT($AJ65,2), $Y$9:$Y$21), 1) = RIGHT($AJ65, 1)), N$10:N$135)</f>
        <v>65</v>
      </c>
      <c r="AP65" s="19" cm="1">
        <f t="array" ref="AP65">SUMPRODUCT(--(MID(AG$10:AG$135, SUMIF($Z$9:$Z$21, LEFT($AJ65,2), $Y$9:$Y$21), 1) = RIGHT($AJ65, 1)), O$10:O$135)</f>
        <v>80</v>
      </c>
    </row>
    <row r="66" spans="2:42">
      <c r="B66" s="34">
        <f t="shared" si="9"/>
        <v>56</v>
      </c>
      <c r="C66" s="30" t="s">
        <v>132</v>
      </c>
      <c r="D66" s="30"/>
      <c r="E66" s="30" t="s">
        <v>129</v>
      </c>
      <c r="F66" s="30" t="s">
        <v>128</v>
      </c>
      <c r="G66" s="30" t="s">
        <v>138</v>
      </c>
      <c r="H66" s="35" t="s">
        <v>129</v>
      </c>
      <c r="J66" s="34">
        <f t="shared" si="21"/>
        <v>1</v>
      </c>
      <c r="K66" s="30" t="str">
        <f t="shared" si="21"/>
        <v/>
      </c>
      <c r="L66" s="30">
        <f t="shared" si="21"/>
        <v>1</v>
      </c>
      <c r="M66" s="30">
        <f t="shared" si="21"/>
        <v>1</v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0000000010100</v>
      </c>
      <c r="AC66" s="15" t="str">
        <f t="shared" si="23"/>
        <v/>
      </c>
      <c r="AD66" s="15" t="str">
        <f t="shared" si="23"/>
        <v>0100000001000</v>
      </c>
      <c r="AE66" s="15" t="str">
        <f t="shared" si="23"/>
        <v>0000001000100</v>
      </c>
      <c r="AF66" s="15" t="str">
        <f t="shared" si="23"/>
        <v>0100000000010</v>
      </c>
      <c r="AG66" s="41" t="str">
        <f t="shared" si="23"/>
        <v>0000001001000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131</v>
      </c>
      <c r="D67" s="30"/>
      <c r="E67" s="30" t="s">
        <v>127</v>
      </c>
      <c r="F67" s="30" t="s">
        <v>131</v>
      </c>
      <c r="G67" s="30" t="s">
        <v>131</v>
      </c>
      <c r="H67" s="35" t="s">
        <v>136</v>
      </c>
      <c r="J67" s="34">
        <f t="shared" si="21"/>
        <v>1</v>
      </c>
      <c r="K67" s="30" t="str">
        <f t="shared" si="21"/>
        <v/>
      </c>
      <c r="L67" s="30">
        <f t="shared" si="21"/>
        <v>1</v>
      </c>
      <c r="M67" s="30">
        <f t="shared" si="21"/>
        <v>1</v>
      </c>
      <c r="N67" s="30">
        <f t="shared" si="21"/>
        <v>1</v>
      </c>
      <c r="O67" s="35">
        <f t="shared" si="21"/>
        <v>1</v>
      </c>
      <c r="AB67" s="40" t="str">
        <f t="shared" si="23"/>
        <v>0100000000100</v>
      </c>
      <c r="AC67" s="15" t="str">
        <f t="shared" si="23"/>
        <v/>
      </c>
      <c r="AD67" s="15" t="str">
        <f t="shared" si="23"/>
        <v>0010000001000</v>
      </c>
      <c r="AE67" s="15" t="str">
        <f t="shared" si="23"/>
        <v>0100001000000</v>
      </c>
      <c r="AF67" s="15" t="str">
        <f t="shared" si="23"/>
        <v>0100000000010</v>
      </c>
      <c r="AG67" s="41" t="str">
        <f t="shared" si="23"/>
        <v>0000100001000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132</v>
      </c>
      <c r="D68" s="30"/>
      <c r="E68" s="30" t="s">
        <v>138</v>
      </c>
      <c r="F68" s="30" t="s">
        <v>137</v>
      </c>
      <c r="G68" s="30" t="s">
        <v>138</v>
      </c>
      <c r="H68" s="35" t="s">
        <v>132</v>
      </c>
      <c r="J68" s="34">
        <f t="shared" si="21"/>
        <v>1</v>
      </c>
      <c r="K68" s="30" t="str">
        <f t="shared" si="21"/>
        <v/>
      </c>
      <c r="L68" s="30">
        <f t="shared" si="21"/>
        <v>1</v>
      </c>
      <c r="M68" s="30">
        <f t="shared" si="21"/>
        <v>1</v>
      </c>
      <c r="N68" s="30">
        <f t="shared" si="21"/>
        <v>1</v>
      </c>
      <c r="O68" s="35">
        <f t="shared" si="21"/>
        <v>1</v>
      </c>
      <c r="AB68" s="40" t="str">
        <f t="shared" si="23"/>
        <v>0100000000100</v>
      </c>
      <c r="AC68" s="15" t="str">
        <f t="shared" si="23"/>
        <v/>
      </c>
      <c r="AD68" s="15" t="str">
        <f t="shared" si="23"/>
        <v>0010000000010</v>
      </c>
      <c r="AE68" s="15" t="str">
        <f t="shared" si="23"/>
        <v>0100010000000</v>
      </c>
      <c r="AF68" s="15" t="str">
        <f t="shared" si="23"/>
        <v>0100000000010</v>
      </c>
      <c r="AG68" s="41" t="str">
        <f t="shared" si="23"/>
        <v>0000100000100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130</v>
      </c>
      <c r="D69" s="30"/>
      <c r="E69" s="30" t="s">
        <v>133</v>
      </c>
      <c r="F69" s="30" t="s">
        <v>133</v>
      </c>
      <c r="G69" s="30" t="s">
        <v>137</v>
      </c>
      <c r="H69" s="35" t="s">
        <v>129</v>
      </c>
      <c r="J69" s="34">
        <f t="shared" si="21"/>
        <v>1</v>
      </c>
      <c r="K69" s="30" t="str">
        <f t="shared" si="21"/>
        <v/>
      </c>
      <c r="L69" s="30">
        <f t="shared" si="21"/>
        <v>1</v>
      </c>
      <c r="M69" s="30">
        <f t="shared" si="21"/>
        <v>1</v>
      </c>
      <c r="N69" s="30">
        <f t="shared" si="21"/>
        <v>1</v>
      </c>
      <c r="O69" s="35">
        <f t="shared" si="21"/>
        <v>1</v>
      </c>
      <c r="AB69" s="40" t="str">
        <f t="shared" si="23"/>
        <v>0000000010100</v>
      </c>
      <c r="AC69" s="15" t="str">
        <f t="shared" si="23"/>
        <v/>
      </c>
      <c r="AD69" s="15" t="str">
        <f t="shared" si="23"/>
        <v>0000000100010</v>
      </c>
      <c r="AE69" s="15" t="str">
        <f t="shared" si="23"/>
        <v>0000010100000</v>
      </c>
      <c r="AF69" s="15" t="str">
        <f t="shared" si="23"/>
        <v>0000010000010</v>
      </c>
      <c r="AG69" s="41" t="str">
        <f t="shared" si="23"/>
        <v>0000000001100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136</v>
      </c>
      <c r="D70" s="30"/>
      <c r="E70" s="30" t="s">
        <v>131</v>
      </c>
      <c r="F70" s="30" t="s">
        <v>134</v>
      </c>
      <c r="G70" s="30" t="s">
        <v>138</v>
      </c>
      <c r="H70" s="35" t="s">
        <v>127</v>
      </c>
      <c r="J70" s="34">
        <f t="shared" si="21"/>
        <v>1</v>
      </c>
      <c r="K70" s="30" t="str">
        <f t="shared" si="21"/>
        <v/>
      </c>
      <c r="L70" s="30">
        <f t="shared" si="21"/>
        <v>1</v>
      </c>
      <c r="M70" s="30">
        <f t="shared" si="21"/>
        <v>1</v>
      </c>
      <c r="N70" s="30">
        <f t="shared" si="21"/>
        <v>1</v>
      </c>
      <c r="O70" s="35">
        <f t="shared" si="21"/>
        <v>1</v>
      </c>
      <c r="AB70" s="40" t="str">
        <f t="shared" si="23"/>
        <v>0000100010000</v>
      </c>
      <c r="AC70" s="15" t="str">
        <f t="shared" si="23"/>
        <v/>
      </c>
      <c r="AD70" s="15" t="str">
        <f t="shared" si="23"/>
        <v>0100000100000</v>
      </c>
      <c r="AE70" s="15" t="str">
        <f t="shared" si="23"/>
        <v>0001000100000</v>
      </c>
      <c r="AF70" s="15" t="str">
        <f t="shared" si="23"/>
        <v>0000010000010</v>
      </c>
      <c r="AG70" s="41" t="str">
        <f t="shared" si="23"/>
        <v>0010000001000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131</v>
      </c>
      <c r="D71" s="30"/>
      <c r="E71" s="30" t="s">
        <v>138</v>
      </c>
      <c r="F71" s="30" t="s">
        <v>132</v>
      </c>
      <c r="G71" s="30" t="s">
        <v>131</v>
      </c>
      <c r="H71" s="35" t="s">
        <v>131</v>
      </c>
      <c r="J71" s="34">
        <f t="shared" si="21"/>
        <v>1</v>
      </c>
      <c r="K71" s="30" t="str">
        <f t="shared" si="21"/>
        <v/>
      </c>
      <c r="L71" s="30">
        <f t="shared" si="21"/>
        <v>1</v>
      </c>
      <c r="M71" s="30">
        <f t="shared" si="21"/>
        <v>1</v>
      </c>
      <c r="N71" s="30">
        <f t="shared" si="21"/>
        <v>1</v>
      </c>
      <c r="O71" s="35">
        <f t="shared" si="21"/>
        <v>1</v>
      </c>
      <c r="AB71" s="40" t="str">
        <f t="shared" si="23"/>
        <v>0100100000000</v>
      </c>
      <c r="AC71" s="15" t="str">
        <f t="shared" si="23"/>
        <v/>
      </c>
      <c r="AD71" s="15" t="str">
        <f t="shared" si="23"/>
        <v>0100000000010</v>
      </c>
      <c r="AE71" s="15" t="str">
        <f t="shared" si="23"/>
        <v>0001000000100</v>
      </c>
      <c r="AF71" s="15" t="str">
        <f t="shared" si="23"/>
        <v>0100000000010</v>
      </c>
      <c r="AG71" s="41" t="str">
        <f t="shared" si="23"/>
        <v>0110000000000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128</v>
      </c>
      <c r="D72" s="30"/>
      <c r="E72" s="30" t="s">
        <v>127</v>
      </c>
      <c r="F72" s="30" t="s">
        <v>137</v>
      </c>
      <c r="G72" s="30" t="s">
        <v>138</v>
      </c>
      <c r="H72" s="35" t="s">
        <v>132</v>
      </c>
      <c r="J72" s="34">
        <f t="shared" si="21"/>
        <v>1</v>
      </c>
      <c r="K72" s="30" t="str">
        <f t="shared" si="21"/>
        <v/>
      </c>
      <c r="L72" s="30">
        <f t="shared" si="21"/>
        <v>1</v>
      </c>
      <c r="M72" s="30">
        <f t="shared" si="21"/>
        <v>1</v>
      </c>
      <c r="N72" s="30">
        <f t="shared" si="21"/>
        <v>1</v>
      </c>
      <c r="O72" s="35">
        <f t="shared" si="21"/>
        <v>1</v>
      </c>
      <c r="AB72" s="40" t="str">
        <f t="shared" si="23"/>
        <v>0100001000000</v>
      </c>
      <c r="AC72" s="15" t="str">
        <f t="shared" si="23"/>
        <v/>
      </c>
      <c r="AD72" s="15" t="str">
        <f t="shared" si="23"/>
        <v>0010000000010</v>
      </c>
      <c r="AE72" s="15" t="str">
        <f t="shared" si="23"/>
        <v>0000010000100</v>
      </c>
      <c r="AF72" s="15" t="str">
        <f t="shared" si="23"/>
        <v>0100000000010</v>
      </c>
      <c r="AG72" s="41" t="str">
        <f t="shared" si="23"/>
        <v>0100000000100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12</v>
      </c>
      <c r="AL72" s="39" cm="1">
        <f t="array" ref="AL72">SUMPRODUCT(--(MID(AC$10:AC$135, SUMIF($Z$9:$Z$21, LEFT($AJ72,2), $Y$9:$Y$21), 1) = RIGHT($AJ72, 1)), K$10:K$135)</f>
        <v>4</v>
      </c>
      <c r="AM72" s="39" cm="1">
        <f t="array" ref="AM72">SUMPRODUCT(--(MID(AD$10:AD$135, SUMIF($Z$9:$Z$21, LEFT($AJ72,2), $Y$9:$Y$21), 1) = RIGHT($AJ72, 1)), L$10:L$135)</f>
        <v>10</v>
      </c>
      <c r="AN72" s="39" cm="1">
        <f t="array" ref="AN72">SUMPRODUCT(--(MID(AE$10:AE$135, SUMIF($Z$9:$Z$21, LEFT($AJ72,2), $Y$9:$Y$21), 1) = RIGHT($AJ72, 1)), M$10:M$135)</f>
        <v>12</v>
      </c>
      <c r="AO72" s="39" cm="1">
        <f t="array" ref="AO72">SUMPRODUCT(--(MID(AF$10:AF$135, SUMIF($Z$9:$Z$21, LEFT($AJ72,2), $Y$9:$Y$21), 1) = RIGHT($AJ72, 1)), N$10:N$135)</f>
        <v>12</v>
      </c>
      <c r="AP72" s="19" cm="1">
        <f t="array" ref="AP72">SUMPRODUCT(--(MID(AG$10:AG$135, SUMIF($Z$9:$Z$21, LEFT($AJ72,2), $Y$9:$Y$21), 1) = RIGHT($AJ72, 1)), O$10:O$135)</f>
        <v>2</v>
      </c>
    </row>
    <row r="73" spans="2:42">
      <c r="B73" s="34">
        <f t="shared" si="9"/>
        <v>63</v>
      </c>
      <c r="C73" s="30" t="s">
        <v>138</v>
      </c>
      <c r="D73" s="30"/>
      <c r="E73" s="30" t="s">
        <v>138</v>
      </c>
      <c r="F73" s="30" t="s">
        <v>131</v>
      </c>
      <c r="G73" s="30" t="s">
        <v>133</v>
      </c>
      <c r="H73" s="35" t="s">
        <v>136</v>
      </c>
      <c r="J73" s="34">
        <f t="shared" si="21"/>
        <v>1</v>
      </c>
      <c r="K73" s="30" t="str">
        <f t="shared" si="21"/>
        <v/>
      </c>
      <c r="L73" s="30">
        <f t="shared" si="21"/>
        <v>1</v>
      </c>
      <c r="M73" s="30">
        <f t="shared" si="21"/>
        <v>1</v>
      </c>
      <c r="N73" s="30">
        <f t="shared" si="21"/>
        <v>1</v>
      </c>
      <c r="O73" s="35">
        <f t="shared" si="21"/>
        <v>1</v>
      </c>
      <c r="AB73" s="40" t="str">
        <f t="shared" si="23"/>
        <v>0000001000010</v>
      </c>
      <c r="AC73" s="15" t="str">
        <f t="shared" si="23"/>
        <v/>
      </c>
      <c r="AD73" s="15" t="str">
        <f t="shared" si="23"/>
        <v>0010000000010</v>
      </c>
      <c r="AE73" s="15" t="str">
        <f t="shared" si="23"/>
        <v>0100010000000</v>
      </c>
      <c r="AF73" s="15" t="str">
        <f t="shared" si="23"/>
        <v>0000000100010</v>
      </c>
      <c r="AG73" s="41" t="str">
        <f t="shared" si="23"/>
        <v>0000100000100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75</v>
      </c>
      <c r="AL73" s="39" cm="1">
        <f t="array" ref="AL73">SUMPRODUCT(--(MID(AC$10:AC$135, SUMIF($Z$9:$Z$21, LEFT($AJ73,2), $Y$9:$Y$21), 1) = RIGHT($AJ73, 1)), K$10:K$135)</f>
        <v>33</v>
      </c>
      <c r="AM73" s="39" cm="1">
        <f t="array" ref="AM73">SUMPRODUCT(--(MID(AD$10:AD$135, SUMIF($Z$9:$Z$21, LEFT($AJ73,2), $Y$9:$Y$21), 1) = RIGHT($AJ73, 1)), L$10:L$135)</f>
        <v>69</v>
      </c>
      <c r="AN73" s="39" cm="1">
        <f t="array" ref="AN73">SUMPRODUCT(--(MID(AE$10:AE$135, SUMIF($Z$9:$Z$21, LEFT($AJ73,2), $Y$9:$Y$21), 1) = RIGHT($AJ73, 1)), M$10:M$135)</f>
        <v>63</v>
      </c>
      <c r="AO73" s="39" cm="1">
        <f t="array" ref="AO73">SUMPRODUCT(--(MID(AF$10:AF$135, SUMIF($Z$9:$Z$21, LEFT($AJ73,2), $Y$9:$Y$21), 1) = RIGHT($AJ73, 1)), N$10:N$135)</f>
        <v>87</v>
      </c>
      <c r="AP73" s="19" cm="1">
        <f t="array" ref="AP73">SUMPRODUCT(--(MID(AG$10:AG$135, SUMIF($Z$9:$Z$21, LEFT($AJ73,2), $Y$9:$Y$21), 1) = RIGHT($AJ73, 1)), O$10:O$135)</f>
        <v>98</v>
      </c>
    </row>
    <row r="74" spans="2:42">
      <c r="B74" s="34">
        <f t="shared" si="9"/>
        <v>64</v>
      </c>
      <c r="C74" s="30" t="s">
        <v>133</v>
      </c>
      <c r="D74" s="30"/>
      <c r="E74" s="30" t="s">
        <v>134</v>
      </c>
      <c r="F74" s="30" t="s">
        <v>132</v>
      </c>
      <c r="G74" s="30" t="s">
        <v>134</v>
      </c>
      <c r="H74" s="35" t="s">
        <v>133</v>
      </c>
      <c r="J74" s="34">
        <f t="shared" si="21"/>
        <v>1</v>
      </c>
      <c r="K74" s="30" t="str">
        <f t="shared" si="21"/>
        <v/>
      </c>
      <c r="L74" s="30">
        <f t="shared" si="21"/>
        <v>1</v>
      </c>
      <c r="M74" s="30">
        <f t="shared" si="21"/>
        <v>1</v>
      </c>
      <c r="N74" s="30">
        <f t="shared" si="21"/>
        <v>1</v>
      </c>
      <c r="O74" s="35">
        <f t="shared" si="21"/>
        <v>1</v>
      </c>
      <c r="AB74" s="40" t="str">
        <f t="shared" si="23"/>
        <v>0000000100010</v>
      </c>
      <c r="AC74" s="15" t="str">
        <f t="shared" si="23"/>
        <v/>
      </c>
      <c r="AD74" s="15" t="str">
        <f t="shared" si="23"/>
        <v>0001000000010</v>
      </c>
      <c r="AE74" s="15" t="str">
        <f t="shared" si="23"/>
        <v>0100000000100</v>
      </c>
      <c r="AF74" s="15" t="str">
        <f t="shared" si="23"/>
        <v>0001000100000</v>
      </c>
      <c r="AG74" s="41" t="str">
        <f t="shared" si="23"/>
        <v>0000100100000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128</v>
      </c>
      <c r="D75" s="30"/>
      <c r="E75" s="30" t="s">
        <v>138</v>
      </c>
      <c r="F75" s="30" t="s">
        <v>133</v>
      </c>
      <c r="G75" s="30" t="s">
        <v>131</v>
      </c>
      <c r="H75" s="35" t="s">
        <v>128</v>
      </c>
      <c r="J75" s="34">
        <f t="shared" si="21"/>
        <v>1</v>
      </c>
      <c r="K75" s="30" t="str">
        <f t="shared" si="21"/>
        <v/>
      </c>
      <c r="L75" s="30">
        <f t="shared" si="21"/>
        <v>1</v>
      </c>
      <c r="M75" s="30">
        <f t="shared" si="21"/>
        <v>1</v>
      </c>
      <c r="N75" s="30">
        <f t="shared" si="21"/>
        <v>1</v>
      </c>
      <c r="O75" s="35">
        <f t="shared" si="21"/>
        <v>1</v>
      </c>
      <c r="AB75" s="40" t="str">
        <f t="shared" si="23"/>
        <v>0000001100000</v>
      </c>
      <c r="AC75" s="15" t="str">
        <f t="shared" si="23"/>
        <v/>
      </c>
      <c r="AD75" s="15" t="str">
        <f t="shared" si="23"/>
        <v>0001000000010</v>
      </c>
      <c r="AE75" s="15" t="str">
        <f t="shared" si="23"/>
        <v>0000000100100</v>
      </c>
      <c r="AF75" s="15" t="str">
        <f t="shared" si="23"/>
        <v>0101000000000</v>
      </c>
      <c r="AG75" s="41" t="str">
        <f t="shared" si="23"/>
        <v>0000001100000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131</v>
      </c>
      <c r="D76" s="30"/>
      <c r="E76" s="30" t="s">
        <v>127</v>
      </c>
      <c r="F76" s="30" t="s">
        <v>131</v>
      </c>
      <c r="G76" s="30" t="s">
        <v>133</v>
      </c>
      <c r="H76" s="35" t="s">
        <v>127</v>
      </c>
      <c r="J76" s="34">
        <f t="shared" si="21"/>
        <v>1</v>
      </c>
      <c r="K76" s="30" t="str">
        <f t="shared" si="21"/>
        <v/>
      </c>
      <c r="L76" s="30">
        <f t="shared" si="21"/>
        <v>1</v>
      </c>
      <c r="M76" s="30">
        <f t="shared" si="21"/>
        <v>1</v>
      </c>
      <c r="N76" s="30">
        <f t="shared" si="21"/>
        <v>1</v>
      </c>
      <c r="O76" s="35">
        <f t="shared" si="21"/>
        <v>1</v>
      </c>
      <c r="AB76" s="40" t="str">
        <f t="shared" si="23"/>
        <v>0100001000000</v>
      </c>
      <c r="AC76" s="15" t="str">
        <f t="shared" si="23"/>
        <v/>
      </c>
      <c r="AD76" s="15" t="str">
        <f t="shared" si="23"/>
        <v>0010000000010</v>
      </c>
      <c r="AE76" s="15" t="str">
        <f t="shared" si="23"/>
        <v>0100000100000</v>
      </c>
      <c r="AF76" s="15" t="str">
        <f t="shared" si="23"/>
        <v>0100000100000</v>
      </c>
      <c r="AG76" s="41" t="str">
        <f t="shared" si="23"/>
        <v>0010001000000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138</v>
      </c>
      <c r="D77" s="30"/>
      <c r="E77" s="30" t="s">
        <v>129</v>
      </c>
      <c r="F77" s="30" t="s">
        <v>129</v>
      </c>
      <c r="G77" s="30" t="s">
        <v>131</v>
      </c>
      <c r="H77" s="35" t="s">
        <v>129</v>
      </c>
      <c r="J77" s="34">
        <f t="shared" si="21"/>
        <v>1</v>
      </c>
      <c r="K77" s="30" t="str">
        <f t="shared" si="21"/>
        <v/>
      </c>
      <c r="L77" s="30">
        <f t="shared" si="21"/>
        <v>1</v>
      </c>
      <c r="M77" s="30">
        <f t="shared" si="21"/>
        <v>1</v>
      </c>
      <c r="N77" s="30">
        <f t="shared" si="21"/>
        <v>1</v>
      </c>
      <c r="O77" s="35">
        <f t="shared" si="21"/>
        <v>1</v>
      </c>
      <c r="AB77" s="40" t="str">
        <f t="shared" si="23"/>
        <v>0100000000010</v>
      </c>
      <c r="AC77" s="15" t="str">
        <f t="shared" si="23"/>
        <v/>
      </c>
      <c r="AD77" s="15" t="str">
        <f t="shared" si="23"/>
        <v>0010000001000</v>
      </c>
      <c r="AE77" s="15" t="str">
        <f t="shared" si="23"/>
        <v>0100000001000</v>
      </c>
      <c r="AF77" s="15" t="str">
        <f t="shared" si="23"/>
        <v>0100000100000</v>
      </c>
      <c r="AG77" s="41" t="str">
        <f t="shared" si="23"/>
        <v>0010000001000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 t="s">
        <v>131</v>
      </c>
      <c r="D78" s="30"/>
      <c r="E78" s="30" t="s">
        <v>131</v>
      </c>
      <c r="F78" s="30" t="s">
        <v>131</v>
      </c>
      <c r="G78" s="30" t="s">
        <v>134</v>
      </c>
      <c r="H78" s="35" t="s">
        <v>127</v>
      </c>
      <c r="J78" s="34">
        <f t="shared" si="21"/>
        <v>1</v>
      </c>
      <c r="K78" s="30" t="str">
        <f t="shared" si="21"/>
        <v/>
      </c>
      <c r="L78" s="30">
        <f t="shared" si="21"/>
        <v>1</v>
      </c>
      <c r="M78" s="30">
        <f t="shared" si="21"/>
        <v>1</v>
      </c>
      <c r="N78" s="30">
        <f t="shared" si="21"/>
        <v>1</v>
      </c>
      <c r="O78" s="35">
        <f t="shared" si="21"/>
        <v>1</v>
      </c>
      <c r="AB78" s="40" t="str">
        <f t="shared" si="23"/>
        <v>0100000000010</v>
      </c>
      <c r="AC78" s="15" t="str">
        <f t="shared" si="23"/>
        <v/>
      </c>
      <c r="AD78" s="15" t="str">
        <f t="shared" si="23"/>
        <v>0100000001000</v>
      </c>
      <c r="AE78" s="15" t="str">
        <f t="shared" si="23"/>
        <v>0100000001000</v>
      </c>
      <c r="AF78" s="15" t="str">
        <f t="shared" si="23"/>
        <v>0101000000000</v>
      </c>
      <c r="AG78" s="41" t="str">
        <f t="shared" si="23"/>
        <v>0010000001000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 t="s">
        <v>138</v>
      </c>
      <c r="D79" s="30"/>
      <c r="E79" s="30" t="s">
        <v>138</v>
      </c>
      <c r="F79" s="30" t="s">
        <v>133</v>
      </c>
      <c r="G79" s="30" t="s">
        <v>132</v>
      </c>
      <c r="H79" s="35" t="s">
        <v>131</v>
      </c>
      <c r="J79" s="34">
        <f t="shared" si="21"/>
        <v>1</v>
      </c>
      <c r="K79" s="30" t="str">
        <f t="shared" si="21"/>
        <v/>
      </c>
      <c r="L79" s="30">
        <f t="shared" si="21"/>
        <v>1</v>
      </c>
      <c r="M79" s="30">
        <f t="shared" si="21"/>
        <v>1</v>
      </c>
      <c r="N79" s="30">
        <f t="shared" si="21"/>
        <v>1</v>
      </c>
      <c r="O79" s="35">
        <f t="shared" si="21"/>
        <v>1</v>
      </c>
      <c r="AB79" s="40" t="str">
        <f t="shared" si="23"/>
        <v>0100000000010</v>
      </c>
      <c r="AC79" s="15" t="str">
        <f t="shared" si="23"/>
        <v/>
      </c>
      <c r="AD79" s="15" t="str">
        <f t="shared" si="23"/>
        <v>0100000000010</v>
      </c>
      <c r="AE79" s="15" t="str">
        <f t="shared" si="23"/>
        <v>0100000100000</v>
      </c>
      <c r="AF79" s="15" t="str">
        <f t="shared" si="23"/>
        <v>0001000000100</v>
      </c>
      <c r="AG79" s="41" t="str">
        <f t="shared" si="23"/>
        <v>0110000000000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4</v>
      </c>
      <c r="AO79" s="39" cm="1">
        <f t="array" ref="AO79">SUMPRODUCT(--(MID(AF$10:AF$135, SUMIF($Z$9:$Z$21, LEFT($AJ79,2), $Y$9:$Y$21), 1) = RIGHT($AJ79, 1)), N$10:N$135)</f>
        <v>4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 t="s">
        <v>136</v>
      </c>
      <c r="D80" s="30"/>
      <c r="E80" s="30" t="s">
        <v>132</v>
      </c>
      <c r="F80" s="30" t="s">
        <v>126</v>
      </c>
      <c r="G80" s="30" t="s">
        <v>138</v>
      </c>
      <c r="H80" s="35" t="s">
        <v>136</v>
      </c>
      <c r="J80" s="34">
        <f t="shared" si="21"/>
        <v>1</v>
      </c>
      <c r="K80" s="30" t="str">
        <f t="shared" si="21"/>
        <v/>
      </c>
      <c r="L80" s="30">
        <f t="shared" si="21"/>
        <v>1</v>
      </c>
      <c r="M80" s="30">
        <f t="shared" si="21"/>
        <v>1</v>
      </c>
      <c r="N80" s="30">
        <f t="shared" si="21"/>
        <v>1</v>
      </c>
      <c r="O80" s="35">
        <f t="shared" si="21"/>
        <v>1</v>
      </c>
      <c r="AB80" s="40" t="str">
        <f t="shared" si="23"/>
        <v>0000100000010</v>
      </c>
      <c r="AC80" s="15" t="str">
        <f t="shared" si="23"/>
        <v/>
      </c>
      <c r="AD80" s="15" t="str">
        <f t="shared" si="23"/>
        <v>0000000000110</v>
      </c>
      <c r="AE80" s="15" t="str">
        <f t="shared" si="23"/>
        <v>1111111211110</v>
      </c>
      <c r="AF80" s="15" t="str">
        <f t="shared" si="23"/>
        <v>0000000000110</v>
      </c>
      <c r="AG80" s="41" t="str">
        <f t="shared" si="23"/>
        <v>0100100000000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8</v>
      </c>
      <c r="AL80" s="39" cm="1">
        <f t="array" ref="AL80">SUMPRODUCT(--(MID(AC$10:AC$135, SUMIF($Z$9:$Z$21, LEFT($AJ80,2), $Y$9:$Y$21), 1) = RIGHT($AJ80, 1)), K$10:K$135)</f>
        <v>6</v>
      </c>
      <c r="AM80" s="39" cm="1">
        <f t="array" ref="AM80">SUMPRODUCT(--(MID(AD$10:AD$135, SUMIF($Z$9:$Z$21, LEFT($AJ80,2), $Y$9:$Y$21), 1) = RIGHT($AJ80, 1)), L$10:L$135)</f>
        <v>20</v>
      </c>
      <c r="AN80" s="39" cm="1">
        <f t="array" ref="AN80">SUMPRODUCT(--(MID(AE$10:AE$135, SUMIF($Z$9:$Z$21, LEFT($AJ80,2), $Y$9:$Y$21), 1) = RIGHT($AJ80, 1)), M$10:M$135)</f>
        <v>18</v>
      </c>
      <c r="AO80" s="39" cm="1">
        <f t="array" ref="AO80">SUMPRODUCT(--(MID(AF$10:AF$135, SUMIF($Z$9:$Z$21, LEFT($AJ80,2), $Y$9:$Y$21), 1) = RIGHT($AJ80, 1)), N$10:N$135)</f>
        <v>16</v>
      </c>
      <c r="AP80" s="19" cm="1">
        <f t="array" ref="AP80">SUMPRODUCT(--(MID(AG$10:AG$135, SUMIF($Z$9:$Z$21, LEFT($AJ80,2), $Y$9:$Y$21), 1) = RIGHT($AJ80, 1)), O$10:O$135)</f>
        <v>24</v>
      </c>
    </row>
    <row r="81" spans="2:42">
      <c r="B81" s="34">
        <f t="shared" si="25"/>
        <v>71</v>
      </c>
      <c r="C81" s="30" t="s">
        <v>138</v>
      </c>
      <c r="D81" s="30"/>
      <c r="E81" s="30" t="s">
        <v>137</v>
      </c>
      <c r="F81" s="30" t="s">
        <v>128</v>
      </c>
      <c r="G81" s="30" t="s">
        <v>134</v>
      </c>
      <c r="H81" s="35" t="s">
        <v>134</v>
      </c>
      <c r="J81" s="34">
        <f t="shared" si="21"/>
        <v>1</v>
      </c>
      <c r="K81" s="30" t="str">
        <f t="shared" si="21"/>
        <v/>
      </c>
      <c r="L81" s="30">
        <f t="shared" si="21"/>
        <v>1</v>
      </c>
      <c r="M81" s="30">
        <f t="shared" si="21"/>
        <v>1</v>
      </c>
      <c r="N81" s="30">
        <f t="shared" si="21"/>
        <v>1</v>
      </c>
      <c r="O81" s="35">
        <f t="shared" si="21"/>
        <v>1</v>
      </c>
      <c r="AB81" s="40" t="str">
        <f t="shared" si="23"/>
        <v>0000100000010</v>
      </c>
      <c r="AC81" s="15" t="str">
        <f t="shared" si="23"/>
        <v/>
      </c>
      <c r="AD81" s="15" t="str">
        <f t="shared" si="23"/>
        <v>0000010000100</v>
      </c>
      <c r="AE81" s="15" t="str">
        <f t="shared" si="23"/>
        <v>1111112111110</v>
      </c>
      <c r="AF81" s="15" t="str">
        <f t="shared" si="23"/>
        <v>0001000000010</v>
      </c>
      <c r="AG81" s="41" t="str">
        <f t="shared" si="23"/>
        <v>0001100000000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77</v>
      </c>
      <c r="AL81" s="39" cm="1">
        <f t="array" ref="AL81">SUMPRODUCT(--(MID(AC$10:AC$135, SUMIF($Z$9:$Z$21, LEFT($AJ81,2), $Y$9:$Y$21), 1) = RIGHT($AJ81, 1)), K$10:K$135)</f>
        <v>29</v>
      </c>
      <c r="AM81" s="39" cm="1">
        <f t="array" ref="AM81">SUMPRODUCT(--(MID(AD$10:AD$135, SUMIF($Z$9:$Z$21, LEFT($AJ81,2), $Y$9:$Y$21), 1) = RIGHT($AJ81, 1)), L$10:L$135)</f>
        <v>57</v>
      </c>
      <c r="AN81" s="39" cm="1">
        <f t="array" ref="AN81">SUMPRODUCT(--(MID(AE$10:AE$135, SUMIF($Z$9:$Z$21, LEFT($AJ81,2), $Y$9:$Y$21), 1) = RIGHT($AJ81, 1)), M$10:M$135)</f>
        <v>53</v>
      </c>
      <c r="AO81" s="39" cm="1">
        <f t="array" ref="AO81">SUMPRODUCT(--(MID(AF$10:AF$135, SUMIF($Z$9:$Z$21, LEFT($AJ81,2), $Y$9:$Y$21), 1) = RIGHT($AJ81, 1)), N$10:N$135)</f>
        <v>79</v>
      </c>
      <c r="AP81" s="19" cm="1">
        <f t="array" ref="AP81">SUMPRODUCT(--(MID(AG$10:AG$135, SUMIF($Z$9:$Z$21, LEFT($AJ81,2), $Y$9:$Y$21), 1) = RIGHT($AJ81, 1)), O$10:O$135)</f>
        <v>74</v>
      </c>
    </row>
    <row r="82" spans="2:42">
      <c r="B82" s="34">
        <f t="shared" si="25"/>
        <v>72</v>
      </c>
      <c r="C82" s="30" t="s">
        <v>131</v>
      </c>
      <c r="D82" s="30"/>
      <c r="E82" s="30" t="s">
        <v>138</v>
      </c>
      <c r="F82" s="30" t="s">
        <v>129</v>
      </c>
      <c r="G82" s="30" t="s">
        <v>138</v>
      </c>
      <c r="H82" s="35" t="s">
        <v>131</v>
      </c>
      <c r="J82" s="34">
        <f t="shared" si="21"/>
        <v>1</v>
      </c>
      <c r="K82" s="30" t="str">
        <f t="shared" si="21"/>
        <v/>
      </c>
      <c r="L82" s="30">
        <f t="shared" si="21"/>
        <v>1</v>
      </c>
      <c r="M82" s="30">
        <f t="shared" si="21"/>
        <v>1</v>
      </c>
      <c r="N82" s="30">
        <f t="shared" si="21"/>
        <v>1</v>
      </c>
      <c r="O82" s="35">
        <f t="shared" si="21"/>
        <v>1</v>
      </c>
      <c r="AB82" s="40" t="str">
        <f t="shared" si="23"/>
        <v>0100000000010</v>
      </c>
      <c r="AC82" s="15" t="str">
        <f t="shared" si="23"/>
        <v/>
      </c>
      <c r="AD82" s="15" t="str">
        <f t="shared" si="23"/>
        <v>0000010000010</v>
      </c>
      <c r="AE82" s="15" t="str">
        <f t="shared" si="23"/>
        <v>0000001001000</v>
      </c>
      <c r="AF82" s="15" t="str">
        <f t="shared" si="23"/>
        <v>0001000000010</v>
      </c>
      <c r="AG82" s="41" t="str">
        <f t="shared" si="23"/>
        <v>0101000000000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 t="s">
        <v>128</v>
      </c>
      <c r="D83" s="30"/>
      <c r="E83" s="30" t="s">
        <v>127</v>
      </c>
      <c r="F83" s="30" t="s">
        <v>132</v>
      </c>
      <c r="G83" s="30" t="s">
        <v>133</v>
      </c>
      <c r="H83" s="35" t="s">
        <v>128</v>
      </c>
      <c r="J83" s="34">
        <f t="shared" si="21"/>
        <v>1</v>
      </c>
      <c r="K83" s="30" t="str">
        <f t="shared" si="21"/>
        <v/>
      </c>
      <c r="L83" s="30">
        <f t="shared" si="21"/>
        <v>1</v>
      </c>
      <c r="M83" s="30">
        <f t="shared" si="21"/>
        <v>1</v>
      </c>
      <c r="N83" s="30">
        <f t="shared" si="21"/>
        <v>1</v>
      </c>
      <c r="O83" s="35">
        <f t="shared" si="21"/>
        <v>1</v>
      </c>
      <c r="AB83" s="40" t="str">
        <f t="shared" si="23"/>
        <v>0100001000000</v>
      </c>
      <c r="AC83" s="15" t="str">
        <f t="shared" si="23"/>
        <v/>
      </c>
      <c r="AD83" s="15" t="str">
        <f t="shared" si="23"/>
        <v>0010000000010</v>
      </c>
      <c r="AE83" s="15" t="str">
        <f t="shared" si="23"/>
        <v>0000000001100</v>
      </c>
      <c r="AF83" s="15" t="str">
        <f t="shared" si="23"/>
        <v>0000000100010</v>
      </c>
      <c r="AG83" s="41" t="str">
        <f t="shared" si="23"/>
        <v>0100001000000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 t="s">
        <v>132</v>
      </c>
      <c r="D84" s="30"/>
      <c r="E84" s="30" t="s">
        <v>138</v>
      </c>
      <c r="F84" s="30" t="s">
        <v>134</v>
      </c>
      <c r="G84" s="30" t="s">
        <v>132</v>
      </c>
      <c r="H84" s="35" t="s">
        <v>136</v>
      </c>
      <c r="J84" s="34">
        <f t="shared" si="21"/>
        <v>1</v>
      </c>
      <c r="K84" s="30" t="str">
        <f t="shared" si="21"/>
        <v/>
      </c>
      <c r="L84" s="30">
        <f t="shared" si="21"/>
        <v>1</v>
      </c>
      <c r="M84" s="30">
        <f t="shared" si="21"/>
        <v>1</v>
      </c>
      <c r="N84" s="30">
        <f t="shared" si="21"/>
        <v>1</v>
      </c>
      <c r="O84" s="35">
        <f t="shared" si="21"/>
        <v>1</v>
      </c>
      <c r="AB84" s="40" t="str">
        <f t="shared" si="23"/>
        <v>0000001000100</v>
      </c>
      <c r="AC84" s="15" t="str">
        <f t="shared" si="23"/>
        <v/>
      </c>
      <c r="AD84" s="15" t="str">
        <f t="shared" si="23"/>
        <v>0010000000010</v>
      </c>
      <c r="AE84" s="15" t="str">
        <f t="shared" si="23"/>
        <v>0001000000100</v>
      </c>
      <c r="AF84" s="15" t="str">
        <f t="shared" si="23"/>
        <v>0000000100100</v>
      </c>
      <c r="AG84" s="41" t="str">
        <f t="shared" si="23"/>
        <v>0000101000000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 t="s">
        <v>136</v>
      </c>
      <c r="D85" s="30"/>
      <c r="E85" s="30" t="s">
        <v>126</v>
      </c>
      <c r="F85" s="30"/>
      <c r="G85" s="30" t="s">
        <v>133</v>
      </c>
      <c r="H85" s="35" t="s">
        <v>133</v>
      </c>
      <c r="J85" s="34">
        <f t="shared" si="21"/>
        <v>1</v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>
        <f t="shared" si="21"/>
        <v>1</v>
      </c>
      <c r="O85" s="35">
        <f t="shared" si="21"/>
        <v>1</v>
      </c>
      <c r="AB85" s="40" t="str">
        <f t="shared" si="23"/>
        <v>0000100000100</v>
      </c>
      <c r="AC85" s="15" t="str">
        <f t="shared" si="23"/>
        <v/>
      </c>
      <c r="AD85" s="15" t="str">
        <f t="shared" si="23"/>
        <v>1111111111120</v>
      </c>
      <c r="AE85" s="15" t="str">
        <f t="shared" si="23"/>
        <v/>
      </c>
      <c r="AF85" s="15" t="str">
        <f t="shared" si="23"/>
        <v>0000000100100</v>
      </c>
      <c r="AG85" s="41" t="str">
        <f t="shared" si="23"/>
        <v>0000100100000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 t="s">
        <v>133</v>
      </c>
      <c r="D86" s="30"/>
      <c r="E86" s="30" t="s">
        <v>134</v>
      </c>
      <c r="F86" s="30"/>
      <c r="G86" s="30" t="s">
        <v>126</v>
      </c>
      <c r="H86" s="35" t="s">
        <v>131</v>
      </c>
      <c r="J86" s="34">
        <f t="shared" si="21"/>
        <v>1</v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>
        <f t="shared" si="21"/>
        <v>1</v>
      </c>
      <c r="O86" s="35">
        <f t="shared" si="21"/>
        <v>1</v>
      </c>
      <c r="AB86" s="40" t="str">
        <f t="shared" si="23"/>
        <v>0000100100000</v>
      </c>
      <c r="AC86" s="15" t="str">
        <f t="shared" si="23"/>
        <v/>
      </c>
      <c r="AD86" s="15" t="str">
        <f t="shared" si="23"/>
        <v>1112111111110</v>
      </c>
      <c r="AE86" s="15" t="str">
        <f t="shared" si="23"/>
        <v/>
      </c>
      <c r="AF86" s="15" t="str">
        <f t="shared" si="23"/>
        <v>1111111211110</v>
      </c>
      <c r="AG86" s="41" t="str">
        <f t="shared" si="23"/>
        <v>0100000100000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 t="s">
        <v>132</v>
      </c>
      <c r="D87" s="30"/>
      <c r="E87" s="30" t="s">
        <v>131</v>
      </c>
      <c r="F87" s="30"/>
      <c r="G87" s="30" t="s">
        <v>129</v>
      </c>
      <c r="H87" s="35" t="s">
        <v>136</v>
      </c>
      <c r="J87" s="34">
        <f t="shared" si="21"/>
        <v>1</v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>
        <f t="shared" si="21"/>
        <v>1</v>
      </c>
      <c r="O87" s="35">
        <f t="shared" si="21"/>
        <v>1</v>
      </c>
      <c r="AB87" s="40" t="str">
        <f t="shared" si="23"/>
        <v>0000000100100</v>
      </c>
      <c r="AC87" s="15" t="str">
        <f t="shared" si="23"/>
        <v/>
      </c>
      <c r="AD87" s="15" t="str">
        <f t="shared" si="23"/>
        <v>0101000000000</v>
      </c>
      <c r="AE87" s="15" t="str">
        <f t="shared" si="23"/>
        <v/>
      </c>
      <c r="AF87" s="15" t="str">
        <f t="shared" si="23"/>
        <v>1111111112110</v>
      </c>
      <c r="AG87" s="41" t="str">
        <f t="shared" si="23"/>
        <v>0100100000000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3</v>
      </c>
      <c r="AM87" s="39" cm="1">
        <f t="array" ref="AM87">SUMPRODUCT(--(MID(AD$10:AD$135, SUMIF($Z$9:$Z$21, LEFT($AJ87,2), $Y$9:$Y$21), 1) = RIGHT($AJ87, 1)), L$10:L$135)</f>
        <v>3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3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 t="s">
        <v>136</v>
      </c>
      <c r="D88" s="30"/>
      <c r="E88" s="30" t="s">
        <v>127</v>
      </c>
      <c r="F88" s="30"/>
      <c r="G88" s="30" t="s">
        <v>132</v>
      </c>
      <c r="H88" s="35" t="s">
        <v>132</v>
      </c>
      <c r="J88" s="34">
        <f t="shared" si="21"/>
        <v>1</v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>
        <f t="shared" si="21"/>
        <v>1</v>
      </c>
      <c r="O88" s="35">
        <f t="shared" si="21"/>
        <v>1</v>
      </c>
      <c r="AB88" s="40" t="str">
        <f t="shared" si="23"/>
        <v>0000100000100</v>
      </c>
      <c r="AC88" s="15" t="str">
        <f t="shared" si="23"/>
        <v/>
      </c>
      <c r="AD88" s="15" t="str">
        <f t="shared" si="23"/>
        <v>0110000000000</v>
      </c>
      <c r="AE88" s="15" t="str">
        <f t="shared" si="23"/>
        <v/>
      </c>
      <c r="AF88" s="15" t="str">
        <f t="shared" si="23"/>
        <v>0000000001100</v>
      </c>
      <c r="AG88" s="41" t="str">
        <f t="shared" si="23"/>
        <v>0000100000100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16</v>
      </c>
      <c r="AL88" s="39" cm="1">
        <f t="array" ref="AL88">SUMPRODUCT(--(MID(AC$10:AC$135, SUMIF($Z$9:$Z$21, LEFT($AJ88,2), $Y$9:$Y$21), 1) = RIGHT($AJ88, 1)), K$10:K$135)</f>
        <v>4</v>
      </c>
      <c r="AM88" s="39" cm="1">
        <f t="array" ref="AM88">SUMPRODUCT(--(MID(AD$10:AD$135, SUMIF($Z$9:$Z$21, LEFT($AJ88,2), $Y$9:$Y$21), 1) = RIGHT($AJ88, 1)), L$10:L$135)</f>
        <v>14</v>
      </c>
      <c r="AN88" s="39" cm="1">
        <f t="array" ref="AN88">SUMPRODUCT(--(MID(AE$10:AE$135, SUMIF($Z$9:$Z$21, LEFT($AJ88,2), $Y$9:$Y$21), 1) = RIGHT($AJ88, 1)), M$10:M$135)</f>
        <v>28</v>
      </c>
      <c r="AO88" s="39" cm="1">
        <f t="array" ref="AO88">SUMPRODUCT(--(MID(AF$10:AF$135, SUMIF($Z$9:$Z$21, LEFT($AJ88,2), $Y$9:$Y$21), 1) = RIGHT($AJ88, 1)), N$10:N$135)</f>
        <v>32</v>
      </c>
      <c r="AP88" s="19" cm="1">
        <f t="array" ref="AP88">SUMPRODUCT(--(MID(AG$10:AG$135, SUMIF($Z$9:$Z$21, LEFT($AJ88,2), $Y$9:$Y$21), 1) = RIGHT($AJ88, 1)), O$10:O$135)</f>
        <v>14</v>
      </c>
    </row>
    <row r="89" spans="2:42">
      <c r="B89" s="34">
        <f t="shared" si="25"/>
        <v>79</v>
      </c>
      <c r="C89" s="30" t="s">
        <v>132</v>
      </c>
      <c r="D89" s="30"/>
      <c r="E89" s="30"/>
      <c r="F89" s="30"/>
      <c r="G89" s="30" t="s">
        <v>134</v>
      </c>
      <c r="H89" s="35" t="s">
        <v>134</v>
      </c>
      <c r="J89" s="34">
        <f t="shared" si="21"/>
        <v>1</v>
      </c>
      <c r="K89" s="30" t="str">
        <f t="shared" si="21"/>
        <v/>
      </c>
      <c r="L89" s="30" t="str">
        <f t="shared" si="21"/>
        <v/>
      </c>
      <c r="M89" s="30" t="str">
        <f t="shared" si="21"/>
        <v/>
      </c>
      <c r="N89" s="30">
        <f t="shared" si="21"/>
        <v>1</v>
      </c>
      <c r="O89" s="35">
        <f t="shared" si="21"/>
        <v>1</v>
      </c>
      <c r="AB89" s="40" t="str">
        <f t="shared" si="23"/>
        <v>0000100000100</v>
      </c>
      <c r="AC89" s="15" t="str">
        <f t="shared" si="23"/>
        <v/>
      </c>
      <c r="AD89" s="15" t="str">
        <f t="shared" si="23"/>
        <v/>
      </c>
      <c r="AE89" s="15" t="str">
        <f t="shared" si="23"/>
        <v/>
      </c>
      <c r="AF89" s="15" t="str">
        <f t="shared" si="23"/>
        <v>0001000000100</v>
      </c>
      <c r="AG89" s="41" t="str">
        <f t="shared" si="23"/>
        <v>0001000000100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69</v>
      </c>
      <c r="AL89" s="39" cm="1">
        <f t="array" ref="AL89">SUMPRODUCT(--(MID(AC$10:AC$135, SUMIF($Z$9:$Z$21, LEFT($AJ89,2), $Y$9:$Y$21), 1) = RIGHT($AJ89, 1)), K$10:K$135)</f>
        <v>30</v>
      </c>
      <c r="AM89" s="39" cm="1">
        <f t="array" ref="AM89">SUMPRODUCT(--(MID(AD$10:AD$135, SUMIF($Z$9:$Z$21, LEFT($AJ89,2), $Y$9:$Y$21), 1) = RIGHT($AJ89, 1)), L$10:L$135)</f>
        <v>62</v>
      </c>
      <c r="AN89" s="39" cm="1">
        <f t="array" ref="AN89">SUMPRODUCT(--(MID(AE$10:AE$135, SUMIF($Z$9:$Z$21, LEFT($AJ89,2), $Y$9:$Y$21), 1) = RIGHT($AJ89, 1)), M$10:M$135)</f>
        <v>45</v>
      </c>
      <c r="AO89" s="39" cm="1">
        <f t="array" ref="AO89">SUMPRODUCT(--(MID(AF$10:AF$135, SUMIF($Z$9:$Z$21, LEFT($AJ89,2), $Y$9:$Y$21), 1) = RIGHT($AJ89, 1)), N$10:N$135)</f>
        <v>64</v>
      </c>
      <c r="AP89" s="19" cm="1">
        <f t="array" ref="AP89">SUMPRODUCT(--(MID(AG$10:AG$135, SUMIF($Z$9:$Z$21, LEFT($AJ89,2), $Y$9:$Y$21), 1) = RIGHT($AJ89, 1)), O$10:O$135)</f>
        <v>84</v>
      </c>
    </row>
    <row r="90" spans="2:42">
      <c r="B90" s="34">
        <f t="shared" si="25"/>
        <v>80</v>
      </c>
      <c r="C90" s="30" t="s">
        <v>129</v>
      </c>
      <c r="D90" s="30"/>
      <c r="E90" s="30"/>
      <c r="F90" s="30"/>
      <c r="G90" s="30" t="s">
        <v>133</v>
      </c>
      <c r="H90" s="35" t="s">
        <v>129</v>
      </c>
      <c r="J90" s="34">
        <f t="shared" si="21"/>
        <v>1</v>
      </c>
      <c r="K90" s="30" t="str">
        <f t="shared" si="21"/>
        <v/>
      </c>
      <c r="L90" s="30" t="str">
        <f t="shared" si="21"/>
        <v/>
      </c>
      <c r="M90" s="30" t="str">
        <f t="shared" si="21"/>
        <v/>
      </c>
      <c r="N90" s="30">
        <f t="shared" si="21"/>
        <v>1</v>
      </c>
      <c r="O90" s="35">
        <f t="shared" si="21"/>
        <v>1</v>
      </c>
      <c r="AB90" s="40" t="str">
        <f t="shared" si="23"/>
        <v>0000000001100</v>
      </c>
      <c r="AC90" s="15" t="str">
        <f t="shared" si="23"/>
        <v/>
      </c>
      <c r="AD90" s="15" t="str">
        <f t="shared" si="23"/>
        <v/>
      </c>
      <c r="AE90" s="15" t="str">
        <f t="shared" si="23"/>
        <v/>
      </c>
      <c r="AF90" s="15" t="str">
        <f t="shared" si="23"/>
        <v>0001000100000</v>
      </c>
      <c r="AG90" s="41" t="str">
        <f t="shared" si="23"/>
        <v>0001000001000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 t="s">
        <v>130</v>
      </c>
      <c r="D91" s="30"/>
      <c r="E91" s="30"/>
      <c r="F91" s="30"/>
      <c r="G91" s="30" t="s">
        <v>132</v>
      </c>
      <c r="H91" s="35" t="s">
        <v>131</v>
      </c>
      <c r="J91" s="34">
        <f t="shared" si="21"/>
        <v>1</v>
      </c>
      <c r="K91" s="30" t="str">
        <f t="shared" si="21"/>
        <v/>
      </c>
      <c r="L91" s="30" t="str">
        <f t="shared" si="21"/>
        <v/>
      </c>
      <c r="M91" s="30" t="str">
        <f t="shared" si="21"/>
        <v/>
      </c>
      <c r="N91" s="30">
        <f t="shared" si="21"/>
        <v>1</v>
      </c>
      <c r="O91" s="35">
        <f t="shared" si="21"/>
        <v>1</v>
      </c>
      <c r="AB91" s="40" t="str">
        <f t="shared" si="23"/>
        <v>0000000011000</v>
      </c>
      <c r="AC91" s="15" t="str">
        <f t="shared" si="23"/>
        <v/>
      </c>
      <c r="AD91" s="15" t="str">
        <f t="shared" si="23"/>
        <v/>
      </c>
      <c r="AE91" s="15" t="str">
        <f t="shared" si="23"/>
        <v/>
      </c>
      <c r="AF91" s="15" t="str">
        <f t="shared" si="23"/>
        <v>0000000100100</v>
      </c>
      <c r="AG91" s="41" t="str">
        <f t="shared" si="23"/>
        <v>0100000001000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 t="s">
        <v>132</v>
      </c>
      <c r="D92" s="30"/>
      <c r="E92" s="30"/>
      <c r="F92" s="30"/>
      <c r="G92" s="30" t="s">
        <v>131</v>
      </c>
      <c r="H92" s="35" t="s">
        <v>127</v>
      </c>
      <c r="J92" s="34">
        <f t="shared" si="21"/>
        <v>1</v>
      </c>
      <c r="K92" s="30" t="str">
        <f t="shared" si="21"/>
        <v/>
      </c>
      <c r="L92" s="30" t="str">
        <f t="shared" si="21"/>
        <v/>
      </c>
      <c r="M92" s="30" t="str">
        <f t="shared" si="21"/>
        <v/>
      </c>
      <c r="N92" s="30">
        <f t="shared" si="21"/>
        <v>1</v>
      </c>
      <c r="O92" s="35">
        <f t="shared" si="21"/>
        <v>1</v>
      </c>
      <c r="AB92" s="40" t="str">
        <f t="shared" si="23"/>
        <v>0000000010100</v>
      </c>
      <c r="AC92" s="15" t="str">
        <f t="shared" si="23"/>
        <v/>
      </c>
      <c r="AD92" s="15" t="str">
        <f t="shared" si="23"/>
        <v/>
      </c>
      <c r="AE92" s="15" t="str">
        <f t="shared" si="23"/>
        <v/>
      </c>
      <c r="AF92" s="15" t="str">
        <f t="shared" si="23"/>
        <v>0100000000100</v>
      </c>
      <c r="AG92" s="41" t="str">
        <f t="shared" si="23"/>
        <v>0110000000000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 t="s">
        <v>133</v>
      </c>
      <c r="D93" s="30"/>
      <c r="E93" s="30"/>
      <c r="F93" s="30"/>
      <c r="G93" s="30" t="s">
        <v>138</v>
      </c>
      <c r="H93" s="35" t="s">
        <v>132</v>
      </c>
      <c r="J93" s="34">
        <f t="shared" si="21"/>
        <v>1</v>
      </c>
      <c r="K93" s="30" t="str">
        <f t="shared" si="21"/>
        <v/>
      </c>
      <c r="L93" s="30" t="str">
        <f t="shared" si="21"/>
        <v/>
      </c>
      <c r="M93" s="30" t="str">
        <f t="shared" si="21"/>
        <v/>
      </c>
      <c r="N93" s="30">
        <f t="shared" si="21"/>
        <v>1</v>
      </c>
      <c r="O93" s="35">
        <f t="shared" si="21"/>
        <v>1</v>
      </c>
      <c r="AB93" s="40" t="str">
        <f t="shared" si="23"/>
        <v>0000000100100</v>
      </c>
      <c r="AC93" s="15" t="str">
        <f t="shared" si="23"/>
        <v/>
      </c>
      <c r="AD93" s="15" t="str">
        <f t="shared" si="23"/>
        <v/>
      </c>
      <c r="AE93" s="15" t="str">
        <f t="shared" si="23"/>
        <v/>
      </c>
      <c r="AF93" s="15" t="str">
        <f t="shared" si="23"/>
        <v>0100000000010</v>
      </c>
      <c r="AG93" s="41" t="str">
        <f t="shared" si="23"/>
        <v>0010000000100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 t="s">
        <v>131</v>
      </c>
      <c r="D94" s="30"/>
      <c r="E94" s="30"/>
      <c r="F94" s="30"/>
      <c r="G94" s="30" t="s">
        <v>133</v>
      </c>
      <c r="H94" s="35" t="s">
        <v>134</v>
      </c>
      <c r="J94" s="34">
        <f t="shared" si="21"/>
        <v>1</v>
      </c>
      <c r="K94" s="30" t="str">
        <f t="shared" si="21"/>
        <v/>
      </c>
      <c r="L94" s="30" t="str">
        <f t="shared" si="21"/>
        <v/>
      </c>
      <c r="M94" s="30" t="str">
        <f t="shared" si="21"/>
        <v/>
      </c>
      <c r="N94" s="30">
        <f t="shared" si="21"/>
        <v>1</v>
      </c>
      <c r="O94" s="35">
        <f t="shared" si="21"/>
        <v>1</v>
      </c>
      <c r="AB94" s="40" t="str">
        <f t="shared" si="23"/>
        <v>0100000100000</v>
      </c>
      <c r="AC94" s="15" t="str">
        <f t="shared" si="23"/>
        <v/>
      </c>
      <c r="AD94" s="15" t="str">
        <f t="shared" si="23"/>
        <v/>
      </c>
      <c r="AE94" s="15" t="str">
        <f t="shared" si="23"/>
        <v/>
      </c>
      <c r="AF94" s="15" t="str">
        <f t="shared" si="23"/>
        <v>0000000100010</v>
      </c>
      <c r="AG94" s="41" t="str">
        <f t="shared" si="23"/>
        <v>0001000000100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 t="s">
        <v>130</v>
      </c>
      <c r="D95" s="30"/>
      <c r="E95" s="30"/>
      <c r="F95" s="30"/>
      <c r="G95" s="30" t="s">
        <v>132</v>
      </c>
      <c r="H95" s="35" t="s">
        <v>133</v>
      </c>
      <c r="J95" s="34">
        <f t="shared" si="21"/>
        <v>1</v>
      </c>
      <c r="K95" s="30" t="str">
        <f t="shared" si="21"/>
        <v/>
      </c>
      <c r="L95" s="30" t="str">
        <f t="shared" si="21"/>
        <v/>
      </c>
      <c r="M95" s="30" t="str">
        <f t="shared" si="21"/>
        <v/>
      </c>
      <c r="N95" s="30">
        <f t="shared" si="21"/>
        <v>1</v>
      </c>
      <c r="O95" s="35">
        <f t="shared" si="21"/>
        <v>1</v>
      </c>
      <c r="AB95" s="40" t="str">
        <f t="shared" si="23"/>
        <v>0100000010000</v>
      </c>
      <c r="AC95" s="15" t="str">
        <f t="shared" si="23"/>
        <v/>
      </c>
      <c r="AD95" s="15" t="str">
        <f t="shared" si="23"/>
        <v/>
      </c>
      <c r="AE95" s="15" t="str">
        <f t="shared" si="23"/>
        <v/>
      </c>
      <c r="AF95" s="15" t="str">
        <f t="shared" si="23"/>
        <v>0000000100100</v>
      </c>
      <c r="AG95" s="41" t="str">
        <f t="shared" si="23"/>
        <v>0001000100000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6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4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 t="s">
        <v>138</v>
      </c>
      <c r="D96" s="30"/>
      <c r="E96" s="30"/>
      <c r="F96" s="30"/>
      <c r="G96" s="30" t="s">
        <v>129</v>
      </c>
      <c r="H96" s="35" t="s">
        <v>127</v>
      </c>
      <c r="J96" s="34">
        <f t="shared" si="21"/>
        <v>1</v>
      </c>
      <c r="K96" s="30" t="str">
        <f t="shared" si="21"/>
        <v/>
      </c>
      <c r="L96" s="30" t="str">
        <f t="shared" si="21"/>
        <v/>
      </c>
      <c r="M96" s="30" t="str">
        <f t="shared" si="21"/>
        <v/>
      </c>
      <c r="N96" s="30">
        <f t="shared" si="21"/>
        <v>1</v>
      </c>
      <c r="O96" s="35">
        <f t="shared" si="21"/>
        <v>1</v>
      </c>
      <c r="AB96" s="40" t="str">
        <f t="shared" si="23"/>
        <v>0000000010010</v>
      </c>
      <c r="AC96" s="15" t="str">
        <f t="shared" si="23"/>
        <v/>
      </c>
      <c r="AD96" s="15" t="str">
        <f t="shared" si="23"/>
        <v/>
      </c>
      <c r="AE96" s="15" t="str">
        <f t="shared" si="23"/>
        <v/>
      </c>
      <c r="AF96" s="15" t="str">
        <f t="shared" si="23"/>
        <v>0000000001100</v>
      </c>
      <c r="AG96" s="41" t="str">
        <f t="shared" si="23"/>
        <v>0010000100000</v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18</v>
      </c>
      <c r="AL96" s="39" cm="1">
        <f t="array" ref="AL96">SUMPRODUCT(--(MID(AC$10:AC$135, SUMIF($Z$9:$Z$21, LEFT($AJ96,2), $Y$9:$Y$21), 1) = RIGHT($AJ96, 1)), K$10:K$135)</f>
        <v>6</v>
      </c>
      <c r="AM96" s="39" cm="1">
        <f t="array" ref="AM96">SUMPRODUCT(--(MID(AD$10:AD$135, SUMIF($Z$9:$Z$21, LEFT($AJ96,2), $Y$9:$Y$21), 1) = RIGHT($AJ96, 1)), L$10:L$135)</f>
        <v>30</v>
      </c>
      <c r="AN96" s="39" cm="1">
        <f t="array" ref="AN96">SUMPRODUCT(--(MID(AE$10:AE$135, SUMIF($Z$9:$Z$21, LEFT($AJ96,2), $Y$9:$Y$21), 1) = RIGHT($AJ96, 1)), M$10:M$135)</f>
        <v>16</v>
      </c>
      <c r="AO96" s="39" cm="1">
        <f t="array" ref="AO96">SUMPRODUCT(--(MID(AF$10:AF$135, SUMIF($Z$9:$Z$21, LEFT($AJ96,2), $Y$9:$Y$21), 1) = RIGHT($AJ96, 1)), N$10:N$135)</f>
        <v>44</v>
      </c>
      <c r="AP96" s="19" cm="1">
        <f t="array" ref="AP96">SUMPRODUCT(--(MID(AG$10:AG$135, SUMIF($Z$9:$Z$21, LEFT($AJ96,2), $Y$9:$Y$21), 1) = RIGHT($AJ96, 1)), O$10:O$135)</f>
        <v>4</v>
      </c>
    </row>
    <row r="97" spans="2:44">
      <c r="B97" s="34">
        <f t="shared" si="25"/>
        <v>87</v>
      </c>
      <c r="C97" s="30"/>
      <c r="D97" s="30"/>
      <c r="E97" s="30"/>
      <c r="F97" s="30"/>
      <c r="G97" s="30" t="s">
        <v>138</v>
      </c>
      <c r="H97" s="35" t="s">
        <v>136</v>
      </c>
      <c r="J97" s="34" t="str">
        <f t="shared" si="21"/>
        <v/>
      </c>
      <c r="K97" s="30" t="str">
        <f t="shared" si="21"/>
        <v/>
      </c>
      <c r="L97" s="30" t="str">
        <f t="shared" si="21"/>
        <v/>
      </c>
      <c r="M97" s="30" t="str">
        <f t="shared" si="21"/>
        <v/>
      </c>
      <c r="N97" s="30">
        <f t="shared" si="21"/>
        <v>1</v>
      </c>
      <c r="O97" s="35">
        <f t="shared" si="21"/>
        <v>1</v>
      </c>
      <c r="AB97" s="40" t="str">
        <f t="shared" si="23"/>
        <v/>
      </c>
      <c r="AC97" s="15" t="str">
        <f t="shared" si="23"/>
        <v/>
      </c>
      <c r="AD97" s="15" t="str">
        <f t="shared" si="23"/>
        <v/>
      </c>
      <c r="AE97" s="15" t="str">
        <f t="shared" si="23"/>
        <v/>
      </c>
      <c r="AF97" s="15" t="str">
        <f t="shared" si="23"/>
        <v>0000000001010</v>
      </c>
      <c r="AG97" s="41" t="str">
        <f t="shared" si="23"/>
        <v>0010100000000</v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67</v>
      </c>
      <c r="AL97" s="39" cm="1">
        <f t="array" ref="AL97">SUMPRODUCT(--(MID(AC$10:AC$135, SUMIF($Z$9:$Z$21, LEFT($AJ97,2), $Y$9:$Y$21), 1) = RIGHT($AJ97, 1)), K$10:K$135)</f>
        <v>29</v>
      </c>
      <c r="AM97" s="39" cm="1">
        <f t="array" ref="AM97">SUMPRODUCT(--(MID(AD$10:AD$135, SUMIF($Z$9:$Z$21, LEFT($AJ97,2), $Y$9:$Y$21), 1) = RIGHT($AJ97, 1)), L$10:L$135)</f>
        <v>43</v>
      </c>
      <c r="AN97" s="39" cm="1">
        <f t="array" ref="AN97">SUMPRODUCT(--(MID(AE$10:AE$135, SUMIF($Z$9:$Z$21, LEFT($AJ97,2), $Y$9:$Y$21), 1) = RIGHT($AJ97, 1)), M$10:M$135)</f>
        <v>57</v>
      </c>
      <c r="AO97" s="39" cm="1">
        <f t="array" ref="AO97">SUMPRODUCT(--(MID(AF$10:AF$135, SUMIF($Z$9:$Z$21, LEFT($AJ97,2), $Y$9:$Y$21), 1) = RIGHT($AJ97, 1)), N$10:N$135)</f>
        <v>51</v>
      </c>
      <c r="AP97" s="19" cm="1">
        <f t="array" ref="AP97">SUMPRODUCT(--(MID(AG$10:AG$135, SUMIF($Z$9:$Z$21, LEFT($AJ97,2), $Y$9:$Y$21), 1) = RIGHT($AJ97, 1)), O$10:O$135)</f>
        <v>94</v>
      </c>
    </row>
    <row r="98" spans="2:44">
      <c r="B98" s="34">
        <f t="shared" si="25"/>
        <v>88</v>
      </c>
      <c r="C98" s="30"/>
      <c r="D98" s="30"/>
      <c r="E98" s="30"/>
      <c r="F98" s="30"/>
      <c r="G98" s="30" t="s">
        <v>134</v>
      </c>
      <c r="H98" s="35" t="s">
        <v>127</v>
      </c>
      <c r="J98" s="34" t="str">
        <f t="shared" si="21"/>
        <v/>
      </c>
      <c r="K98" s="30" t="str">
        <f t="shared" si="21"/>
        <v/>
      </c>
      <c r="L98" s="30" t="str">
        <f t="shared" si="21"/>
        <v/>
      </c>
      <c r="M98" s="30" t="str">
        <f t="shared" si="21"/>
        <v/>
      </c>
      <c r="N98" s="30">
        <f t="shared" si="21"/>
        <v>1</v>
      </c>
      <c r="O98" s="35">
        <f t="shared" si="21"/>
        <v>1</v>
      </c>
      <c r="AB98" s="40" t="str">
        <f t="shared" si="23"/>
        <v/>
      </c>
      <c r="AC98" s="15" t="str">
        <f t="shared" si="23"/>
        <v/>
      </c>
      <c r="AD98" s="15" t="str">
        <f t="shared" si="23"/>
        <v/>
      </c>
      <c r="AE98" s="15" t="str">
        <f t="shared" si="23"/>
        <v/>
      </c>
      <c r="AF98" s="15" t="str">
        <f t="shared" si="23"/>
        <v>0001000000010</v>
      </c>
      <c r="AG98" s="41" t="str">
        <f t="shared" si="23"/>
        <v>0010100000000</v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/>
      <c r="F99" s="30"/>
      <c r="G99" s="30" t="s">
        <v>133</v>
      </c>
      <c r="H99" s="35" t="s">
        <v>136</v>
      </c>
      <c r="J99" s="34" t="str">
        <f t="shared" si="21"/>
        <v/>
      </c>
      <c r="K99" s="30" t="str">
        <f t="shared" si="21"/>
        <v/>
      </c>
      <c r="L99" s="30" t="str">
        <f t="shared" si="21"/>
        <v/>
      </c>
      <c r="M99" s="30" t="str">
        <f t="shared" si="21"/>
        <v/>
      </c>
      <c r="N99" s="30">
        <f t="shared" si="21"/>
        <v>1</v>
      </c>
      <c r="O99" s="35">
        <f t="shared" si="21"/>
        <v>1</v>
      </c>
      <c r="AB99" s="40" t="str">
        <f t="shared" si="23"/>
        <v/>
      </c>
      <c r="AC99" s="15" t="str">
        <f t="shared" si="23"/>
        <v/>
      </c>
      <c r="AD99" s="15" t="str">
        <f t="shared" si="23"/>
        <v/>
      </c>
      <c r="AE99" s="15" t="str">
        <f t="shared" si="23"/>
        <v/>
      </c>
      <c r="AF99" s="15" t="str">
        <f t="shared" si="23"/>
        <v>0001000100000</v>
      </c>
      <c r="AG99" s="41" t="str">
        <f t="shared" si="23"/>
        <v>0010100000000</v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 t="s">
        <v>138</v>
      </c>
      <c r="H100" s="35" t="s">
        <v>127</v>
      </c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>
        <f t="shared" si="21"/>
        <v>1</v>
      </c>
      <c r="O100" s="35">
        <f t="shared" si="21"/>
        <v>1</v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>0000000100010</v>
      </c>
      <c r="AG100" s="41" t="str">
        <f t="shared" si="23"/>
        <v>0010100000000</v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 t="s">
        <v>133</v>
      </c>
      <c r="H101" s="35" t="s">
        <v>133</v>
      </c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>
        <f t="shared" si="21"/>
        <v>1</v>
      </c>
      <c r="O101" s="35">
        <f t="shared" si="21"/>
        <v>1</v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>0000000100010</v>
      </c>
      <c r="AG101" s="41" t="str">
        <f t="shared" si="23"/>
        <v>0010000100000</v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 t="s">
        <v>131</v>
      </c>
      <c r="H102" s="35" t="s">
        <v>128</v>
      </c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>
        <f t="shared" si="30"/>
        <v>1</v>
      </c>
      <c r="O102" s="35">
        <f t="shared" si="30"/>
        <v>1</v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>0100000100000</v>
      </c>
      <c r="AG102" s="41" t="str">
        <f t="shared" si="23"/>
        <v>0000001100000</v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 t="s">
        <v>132</v>
      </c>
      <c r="H103" s="35" t="s">
        <v>129</v>
      </c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>
        <f t="shared" si="30"/>
        <v>1</v>
      </c>
      <c r="O103" s="35">
        <f t="shared" si="30"/>
        <v>1</v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>0100000000100</v>
      </c>
      <c r="AG103" s="41" t="str">
        <f t="shared" si="23"/>
        <v>0000001001000</v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 t="s">
        <v>131</v>
      </c>
      <c r="H104" s="35" t="s">
        <v>136</v>
      </c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>
        <f t="shared" si="30"/>
        <v>1</v>
      </c>
      <c r="O104" s="35">
        <f t="shared" si="30"/>
        <v>1</v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>0100000000100</v>
      </c>
      <c r="AG104" s="41" t="str">
        <f t="shared" si="23"/>
        <v>0000100001000</v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 t="s">
        <v>138</v>
      </c>
      <c r="H105" s="35" t="s">
        <v>127</v>
      </c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>
        <f t="shared" si="30"/>
        <v>1</v>
      </c>
      <c r="O105" s="35">
        <f t="shared" si="30"/>
        <v>1</v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>0100000000010</v>
      </c>
      <c r="AG105" s="41" t="str">
        <f t="shared" si="23"/>
        <v>0010100000000</v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87</v>
      </c>
      <c r="AL105" s="39" cm="1">
        <f t="array" ref="AL105">SUMPRODUCT(--(MID(AC$10:AC$135, SUMIF($Z$9:$Z$21, LEFT($AJ105,2), $Y$9:$Y$21), 1) = RIGHT($AJ105, 1)), K$10:K$135)</f>
        <v>37</v>
      </c>
      <c r="AM105" s="39" cm="1">
        <f t="array" ref="AM105">SUMPRODUCT(--(MID(AD$10:AD$135, SUMIF($Z$9:$Z$21, LEFT($AJ105,2), $Y$9:$Y$21), 1) = RIGHT($AJ105, 1)), L$10:L$135)</f>
        <v>79</v>
      </c>
      <c r="AN105" s="39" cm="1">
        <f t="array" ref="AN105">SUMPRODUCT(--(MID(AE$10:AE$135, SUMIF($Z$9:$Z$21, LEFT($AJ105,2), $Y$9:$Y$21), 1) = RIGHT($AJ105, 1)), M$10:M$135)</f>
        <v>75</v>
      </c>
      <c r="AO105" s="39" cm="1">
        <f t="array" ref="AO105">SUMPRODUCT(--(MID(AF$10:AF$135, SUMIF($Z$9:$Z$21, LEFT($AJ105,2), $Y$9:$Y$21), 1) = RIGHT($AJ105, 1)), N$10:N$135)</f>
        <v>99</v>
      </c>
      <c r="AP105" s="19" cm="1">
        <f t="array" ref="AP105">SUMPRODUCT(--(MID(AG$10:AG$135, SUMIF($Z$9:$Z$21, LEFT($AJ105,2), $Y$9:$Y$21), 1) = RIGHT($AJ105, 1)), O$10:O$135)</f>
        <v>100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 t="s">
        <v>132</v>
      </c>
      <c r="H106" s="35" t="s">
        <v>134</v>
      </c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>
        <f t="shared" si="30"/>
        <v>1</v>
      </c>
      <c r="O106" s="35">
        <f t="shared" si="30"/>
        <v>1</v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>0000000000110</v>
      </c>
      <c r="AG106" s="41" t="str">
        <f t="shared" si="23"/>
        <v>0011000000000</v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 t="s">
        <v>134</v>
      </c>
      <c r="H107" s="35" t="s">
        <v>129</v>
      </c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>
        <f t="shared" si="30"/>
        <v>1</v>
      </c>
      <c r="O107" s="35">
        <f t="shared" si="30"/>
        <v>1</v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>0001000000100</v>
      </c>
      <c r="AG107" s="41" t="str">
        <f t="shared" si="23"/>
        <v>0001000001000</v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 t="s">
        <v>133</v>
      </c>
      <c r="H108" s="35" t="s">
        <v>133</v>
      </c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>
        <f t="shared" si="30"/>
        <v>1</v>
      </c>
      <c r="O108" s="35">
        <f t="shared" si="30"/>
        <v>1</v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>0001000100000</v>
      </c>
      <c r="AG108" s="41" t="str">
        <f t="shared" si="32"/>
        <v>0000000101000</v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 t="s">
        <v>136</v>
      </c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>
        <f t="shared" si="30"/>
        <v>1</v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>0000100100000</v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2</v>
      </c>
      <c r="AM112" s="39" cm="1">
        <f t="array" ref="AM112">SUMPRODUCT(--(MID(AD$10:AD$135, SUMIF($Z$9:$Z$21, LEFT($AJ112,2), $Y$9:$Y$21), 1) = RIGHT($AJ112, 1)), L$10:L$135)</f>
        <v>8</v>
      </c>
      <c r="AN112" s="39" cm="1">
        <f t="array" ref="AN112">SUMPRODUCT(--(MID(AE$10:AE$135, SUMIF($Z$9:$Z$21, LEFT($AJ112,2), $Y$9:$Y$21), 1) = RIGHT($AJ112, 1)), M$10:M$135)</f>
        <v>10</v>
      </c>
      <c r="AO112" s="39" cm="1">
        <f t="array" ref="AO112">SUMPRODUCT(--(MID(AF$10:AF$135, SUMIF($Z$9:$Z$21, LEFT($AJ112,2), $Y$9:$Y$21), 1) = RIGHT($AJ112, 1)), N$10:N$135)</f>
        <v>10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87</v>
      </c>
      <c r="AL113" s="17" cm="1">
        <f t="array" ref="AL113">SUMPRODUCT(--(MID(AC$10:AC$135, SUMIF($Z$9:$Z$21, LEFT($AJ113,2), $Y$9:$Y$21), 1) = RIGHT($AJ113, 1)), K$10:K$135)</f>
        <v>35</v>
      </c>
      <c r="AM113" s="17" cm="1">
        <f t="array" ref="AM113">SUMPRODUCT(--(MID(AD$10:AD$135, SUMIF($Z$9:$Z$21, LEFT($AJ113,2), $Y$9:$Y$21), 1) = RIGHT($AJ113, 1)), L$10:L$135)</f>
        <v>71</v>
      </c>
      <c r="AN113" s="17" cm="1">
        <f t="array" ref="AN113">SUMPRODUCT(--(MID(AE$10:AE$135, SUMIF($Z$9:$Z$21, LEFT($AJ113,2), $Y$9:$Y$21), 1) = RIGHT($AJ113, 1)), M$10:M$135)</f>
        <v>65</v>
      </c>
      <c r="AO113" s="17" cm="1">
        <f t="array" ref="AO113">SUMPRODUCT(--(MID(AF$10:AF$135, SUMIF($Z$9:$Z$21, LEFT($AJ113,2), $Y$9:$Y$21), 1) = RIGHT($AJ113, 1)), N$10:N$135)</f>
        <v>89</v>
      </c>
      <c r="AP113" s="16" cm="1">
        <f t="array" ref="AP113">SUMPRODUCT(--(MID(AG$10:AG$135, SUMIF($Z$9:$Z$21, LEFT($AJ113,2), $Y$9:$Y$21), 1) = RIGHT($AJ113, 1)), O$10:O$135)</f>
        <v>100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49" priority="1" operator="equal">
      <formula>"WC"</formula>
    </cfRule>
    <cfRule type="cellIs" dxfId="48" priority="2" operator="equal">
      <formula>"FG"</formula>
    </cfRule>
  </conditionalFormatting>
  <conditionalFormatting sqref="J3:O3">
    <cfRule type="cellIs" dxfId="47" priority="3" operator="equal">
      <formula>$E$24</formula>
    </cfRule>
    <cfRule type="cellIs" dxfId="46" priority="4" operator="equal">
      <formula>$C$20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7048-5F60-452B-8BA1-005509E49920}">
  <dimension ref="B2:BL135"/>
  <sheetViews>
    <sheetView zoomScale="66" zoomScaleNormal="84" workbookViewId="0">
      <selection activeCell="AY24" sqref="AY24:BD34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CC</v>
      </c>
      <c r="D4" s="32" t="str">
        <f t="shared" si="1"/>
        <v>AA</v>
      </c>
      <c r="E4" s="32" t="str">
        <f t="shared" si="1"/>
        <v>BB</v>
      </c>
      <c r="F4" s="32" t="str">
        <f t="shared" si="1"/>
        <v>CC</v>
      </c>
      <c r="G4" s="32" t="str">
        <f t="shared" si="1"/>
        <v>DD</v>
      </c>
      <c r="H4" s="33" t="str">
        <f t="shared" si="1"/>
        <v>CC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KK</v>
      </c>
      <c r="D5" s="30" t="str">
        <f t="shared" si="1"/>
        <v>LL</v>
      </c>
      <c r="E5" s="30" t="str">
        <f t="shared" si="1"/>
        <v>AA</v>
      </c>
      <c r="F5" s="30" t="str">
        <f t="shared" si="1"/>
        <v>AA</v>
      </c>
      <c r="G5" s="30" t="str">
        <f t="shared" si="1"/>
        <v>GG</v>
      </c>
      <c r="H5" s="35" t="str">
        <f t="shared" si="1"/>
        <v>CC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AA</v>
      </c>
      <c r="D6" s="30" t="str">
        <f t="shared" si="1"/>
        <v>CC</v>
      </c>
      <c r="E6" s="30" t="str">
        <f t="shared" si="1"/>
        <v>GG</v>
      </c>
      <c r="F6" s="30" t="str">
        <f t="shared" si="1"/>
        <v>EE</v>
      </c>
      <c r="G6" s="30" t="str">
        <f t="shared" si="1"/>
        <v>LL</v>
      </c>
      <c r="H6" s="35" t="str">
        <f t="shared" si="1"/>
        <v>FF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BB</v>
      </c>
      <c r="D7" s="30" t="str">
        <f t="shared" si="1"/>
        <v>BB</v>
      </c>
      <c r="E7" s="30" t="str">
        <f t="shared" si="1"/>
        <v>JJ</v>
      </c>
      <c r="F7" s="30" t="str">
        <f t="shared" si="1"/>
        <v>AA</v>
      </c>
      <c r="G7" s="30" t="str">
        <f t="shared" si="1"/>
        <v>AA</v>
      </c>
      <c r="H7" s="35" t="str">
        <f t="shared" si="1"/>
        <v>FF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AA</v>
      </c>
      <c r="D8" s="30" t="str">
        <f t="shared" si="1"/>
        <v>LL</v>
      </c>
      <c r="E8" s="30" t="str">
        <f t="shared" si="1"/>
        <v>GG</v>
      </c>
      <c r="F8" s="30" t="str">
        <f t="shared" si="1"/>
        <v>DD</v>
      </c>
      <c r="G8" s="30" t="str">
        <f t="shared" si="1"/>
        <v>CC</v>
      </c>
      <c r="H8" s="35" t="str">
        <f t="shared" si="1"/>
        <v>FF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DD</v>
      </c>
      <c r="D9" s="37" t="str">
        <f t="shared" si="1"/>
        <v>AA</v>
      </c>
      <c r="E9" s="37" t="str">
        <f t="shared" si="1"/>
        <v>KK</v>
      </c>
      <c r="F9" s="37" t="str">
        <f t="shared" si="1"/>
        <v>LL</v>
      </c>
      <c r="G9" s="37" t="str">
        <f t="shared" si="1"/>
        <v>KK</v>
      </c>
      <c r="H9" s="38" t="str">
        <f t="shared" si="1"/>
        <v>DD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128</v>
      </c>
      <c r="D10" s="30" t="s">
        <v>133</v>
      </c>
      <c r="E10" s="30" t="s">
        <v>134</v>
      </c>
      <c r="F10" s="30" t="s">
        <v>133</v>
      </c>
      <c r="G10" s="30" t="s">
        <v>127</v>
      </c>
      <c r="H10" s="35" t="s">
        <v>132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0000101000000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0100000100000</v>
      </c>
      <c r="AD10" s="15" t="str">
        <f t="shared" si="7"/>
        <v>0001000000100</v>
      </c>
      <c r="AE10" s="15" t="str">
        <f t="shared" si="7"/>
        <v>0000000100010</v>
      </c>
      <c r="AF10" s="15" t="str">
        <f t="shared" si="7"/>
        <v>0010000000100</v>
      </c>
      <c r="AG10" s="41" t="str">
        <f t="shared" si="7"/>
        <v>0000100000100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128</v>
      </c>
      <c r="D11" s="30" t="s">
        <v>133</v>
      </c>
      <c r="E11" s="30" t="s">
        <v>130</v>
      </c>
      <c r="F11" s="30" t="s">
        <v>137</v>
      </c>
      <c r="G11" s="30" t="s">
        <v>127</v>
      </c>
      <c r="H11" s="35" t="s">
        <v>138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17</v>
      </c>
      <c r="S11" s="30">
        <f t="shared" si="5"/>
        <v>10</v>
      </c>
      <c r="T11" s="30">
        <f t="shared" si="5"/>
        <v>11</v>
      </c>
      <c r="U11" s="30">
        <f t="shared" si="5"/>
        <v>14</v>
      </c>
      <c r="V11" s="30">
        <f t="shared" si="5"/>
        <v>7</v>
      </c>
      <c r="W11" s="35">
        <f t="shared" si="5"/>
        <v>4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0000002000000</v>
      </c>
      <c r="AC11" s="15" t="str">
        <f t="shared" si="7"/>
        <v>0000000200000</v>
      </c>
      <c r="AD11" s="15" t="str">
        <f t="shared" si="7"/>
        <v>0001000010000</v>
      </c>
      <c r="AE11" s="15" t="str">
        <f t="shared" si="7"/>
        <v>0000010100000</v>
      </c>
      <c r="AF11" s="15" t="str">
        <f t="shared" si="7"/>
        <v>0020000000000</v>
      </c>
      <c r="AG11" s="41" t="str">
        <f t="shared" si="7"/>
        <v>0000000000110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34</v>
      </c>
      <c r="AT11" s="30" cm="1">
        <f t="array" ref="AT11">SUMPRODUCT($AI$10:$AI$113,AL$10:AL$113,IF(LEFT($AJ$10:$AJ$113,2)=$AR11,1,0))</f>
        <v>20</v>
      </c>
      <c r="AU11" s="30" cm="1">
        <f t="array" ref="AU11">SUMPRODUCT($AI$10:$AI$113,AM$10:AM$113,IF(LEFT($AJ$10:$AJ$113,2)=$AR11,1,0))</f>
        <v>22</v>
      </c>
      <c r="AV11" s="30" cm="1">
        <f t="array" ref="AV11">SUMPRODUCT($AI$10:$AI$113,AN$10:AN$113,IF(LEFT($AJ$10:$AJ$113,2)=$AR11,1,0))</f>
        <v>28</v>
      </c>
      <c r="AW11" s="30" cm="1">
        <f t="array" ref="AW11">SUMPRODUCT($AI$10:$AI$113,AO$10:AO$113,IF(LEFT($AJ$10:$AJ$113,2)=$AR11,1,0))</f>
        <v>14</v>
      </c>
      <c r="AX11" s="35" cm="1">
        <f t="array" ref="AX11">SUMPRODUCT($AI$10:$AI$113,AP$10:AP$113,IF(LEFT($AJ$10:$AJ$113,2)=$AR11,1,0))</f>
        <v>8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128</v>
      </c>
      <c r="D12" s="30" t="s">
        <v>133</v>
      </c>
      <c r="E12" s="30" t="s">
        <v>127</v>
      </c>
      <c r="F12" s="30" t="s">
        <v>136</v>
      </c>
      <c r="G12" s="30" t="s">
        <v>127</v>
      </c>
      <c r="H12" s="35" t="s">
        <v>138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11</v>
      </c>
      <c r="S12" s="30">
        <f t="shared" si="5"/>
        <v>10</v>
      </c>
      <c r="T12" s="30">
        <f t="shared" si="5"/>
        <v>12</v>
      </c>
      <c r="U12" s="30">
        <f t="shared" si="5"/>
        <v>8</v>
      </c>
      <c r="V12" s="30">
        <f t="shared" si="5"/>
        <v>4</v>
      </c>
      <c r="W12" s="35">
        <f t="shared" si="5"/>
        <v>4</v>
      </c>
      <c r="Y12" s="20">
        <f t="shared" si="6"/>
        <v>4</v>
      </c>
      <c r="Z12" s="23" t="s">
        <v>134</v>
      </c>
      <c r="AB12" s="40" t="str">
        <f t="shared" si="11"/>
        <v>0000002000000</v>
      </c>
      <c r="AC12" s="15" t="str">
        <f t="shared" si="7"/>
        <v>0000000200000</v>
      </c>
      <c r="AD12" s="15" t="str">
        <f t="shared" si="7"/>
        <v>0010000010000</v>
      </c>
      <c r="AE12" s="15" t="str">
        <f t="shared" si="7"/>
        <v>0000110000000</v>
      </c>
      <c r="AF12" s="15" t="str">
        <f t="shared" si="7"/>
        <v>0020000000000</v>
      </c>
      <c r="AG12" s="41" t="str">
        <f t="shared" si="7"/>
        <v>0000000000020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22</v>
      </c>
      <c r="AT12" s="30" cm="1">
        <f t="array" ref="AT12">SUMPRODUCT($AI$10:$AI$113,AL$10:AL$113,IF(LEFT($AJ$10:$AJ$113,2)=$AR12,1,0))</f>
        <v>20</v>
      </c>
      <c r="AU12" s="30" cm="1">
        <f t="array" ref="AU12">SUMPRODUCT($AI$10:$AI$113,AM$10:AM$113,IF(LEFT($AJ$10:$AJ$113,2)=$AR12,1,0))</f>
        <v>24</v>
      </c>
      <c r="AV12" s="30" cm="1">
        <f t="array" ref="AV12">SUMPRODUCT($AI$10:$AI$113,AN$10:AN$113,IF(LEFT($AJ$10:$AJ$113,2)=$AR12,1,0))</f>
        <v>16</v>
      </c>
      <c r="AW12" s="30" cm="1">
        <f t="array" ref="AW12">SUMPRODUCT($AI$10:$AI$113,AO$10:AO$113,IF(LEFT($AJ$10:$AJ$113,2)=$AR12,1,0))</f>
        <v>8</v>
      </c>
      <c r="AX12" s="35" cm="1">
        <f t="array" ref="AX12">SUMPRODUCT($AI$10:$AI$113,AP$10:AP$113,IF(LEFT($AJ$10:$AJ$113,2)=$AR12,1,0))</f>
        <v>8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132</v>
      </c>
      <c r="D13" s="30" t="s">
        <v>134</v>
      </c>
      <c r="E13" s="30" t="s">
        <v>127</v>
      </c>
      <c r="F13" s="30" t="s">
        <v>131</v>
      </c>
      <c r="G13" s="30" t="s">
        <v>133</v>
      </c>
      <c r="H13" s="35" t="s">
        <v>138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11</v>
      </c>
      <c r="S13" s="30">
        <f t="shared" si="5"/>
        <v>9</v>
      </c>
      <c r="T13" s="30">
        <f t="shared" si="5"/>
        <v>4</v>
      </c>
      <c r="U13" s="30">
        <f t="shared" si="5"/>
        <v>12</v>
      </c>
      <c r="V13" s="30">
        <f t="shared" si="5"/>
        <v>6</v>
      </c>
      <c r="W13" s="35">
        <f t="shared" si="5"/>
        <v>4</v>
      </c>
      <c r="Y13" s="20">
        <f t="shared" si="6"/>
        <v>5</v>
      </c>
      <c r="Z13" s="23" t="s">
        <v>136</v>
      </c>
      <c r="AB13" s="40" t="str">
        <f t="shared" si="11"/>
        <v>0000001000100</v>
      </c>
      <c r="AC13" s="15" t="str">
        <f t="shared" si="7"/>
        <v>0001000100000</v>
      </c>
      <c r="AD13" s="15" t="str">
        <f t="shared" si="7"/>
        <v>0020000000000</v>
      </c>
      <c r="AE13" s="15" t="str">
        <f t="shared" si="7"/>
        <v>0100100000000</v>
      </c>
      <c r="AF13" s="15" t="str">
        <f t="shared" si="7"/>
        <v>0010000100000</v>
      </c>
      <c r="AG13" s="41" t="str">
        <f t="shared" si="7"/>
        <v>0000000000020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22</v>
      </c>
      <c r="AT13" s="30" cm="1">
        <f t="array" ref="AT13">SUMPRODUCT($AI$10:$AI$113,AL$10:AL$113,IF(LEFT($AJ$10:$AJ$113,2)=$AR13,1,0))</f>
        <v>18</v>
      </c>
      <c r="AU13" s="30" cm="1">
        <f t="array" ref="AU13">SUMPRODUCT($AI$10:$AI$113,AM$10:AM$113,IF(LEFT($AJ$10:$AJ$113,2)=$AR13,1,0))</f>
        <v>8</v>
      </c>
      <c r="AV13" s="30" cm="1">
        <f t="array" ref="AV13">SUMPRODUCT($AI$10:$AI$113,AN$10:AN$113,IF(LEFT($AJ$10:$AJ$113,2)=$AR13,1,0))</f>
        <v>24</v>
      </c>
      <c r="AW13" s="30" cm="1">
        <f t="array" ref="AW13">SUMPRODUCT($AI$10:$AI$113,AO$10:AO$113,IF(LEFT($AJ$10:$AJ$113,2)=$AR13,1,0))</f>
        <v>12</v>
      </c>
      <c r="AX13" s="35" cm="1">
        <f t="array" ref="AX13">SUMPRODUCT($AI$10:$AI$113,AP$10:AP$113,IF(LEFT($AJ$10:$AJ$113,2)=$AR13,1,0))</f>
        <v>8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130</v>
      </c>
      <c r="D14" s="30" t="s">
        <v>129</v>
      </c>
      <c r="E14" s="30" t="s">
        <v>127</v>
      </c>
      <c r="F14" s="30" t="s">
        <v>131</v>
      </c>
      <c r="G14" s="30" t="s">
        <v>131</v>
      </c>
      <c r="H14" s="35" t="s">
        <v>134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8</v>
      </c>
      <c r="S14" s="30">
        <f t="shared" si="5"/>
        <v>2</v>
      </c>
      <c r="T14" s="30">
        <f t="shared" si="5"/>
        <v>2</v>
      </c>
      <c r="U14" s="30">
        <f t="shared" si="5"/>
        <v>3</v>
      </c>
      <c r="V14" s="30">
        <f t="shared" si="5"/>
        <v>3</v>
      </c>
      <c r="W14" s="35">
        <f t="shared" si="5"/>
        <v>5</v>
      </c>
      <c r="Y14" s="20">
        <f t="shared" si="6"/>
        <v>6</v>
      </c>
      <c r="Z14" s="23" t="s">
        <v>137</v>
      </c>
      <c r="AB14" s="40" t="str">
        <f t="shared" si="11"/>
        <v>0000000010100</v>
      </c>
      <c r="AC14" s="15" t="str">
        <f t="shared" si="7"/>
        <v>0001000001000</v>
      </c>
      <c r="AD14" s="15" t="str">
        <f t="shared" si="7"/>
        <v>0020000000000</v>
      </c>
      <c r="AE14" s="15" t="str">
        <f t="shared" si="7"/>
        <v>0200000000000</v>
      </c>
      <c r="AF14" s="15" t="str">
        <f t="shared" si="7"/>
        <v>0100000100000</v>
      </c>
      <c r="AG14" s="41" t="str">
        <f t="shared" si="7"/>
        <v>0001000000010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16</v>
      </c>
      <c r="AT14" s="30" cm="1">
        <f t="array" ref="AT14">SUMPRODUCT($AI$10:$AI$113,AL$10:AL$113,IF(LEFT($AJ$10:$AJ$113,2)=$AR14,1,0))</f>
        <v>4</v>
      </c>
      <c r="AU14" s="30" cm="1">
        <f t="array" ref="AU14">SUMPRODUCT($AI$10:$AI$113,AM$10:AM$113,IF(LEFT($AJ$10:$AJ$113,2)=$AR14,1,0))</f>
        <v>4</v>
      </c>
      <c r="AV14" s="30" cm="1">
        <f t="array" ref="AV14">SUMPRODUCT($AI$10:$AI$113,AN$10:AN$113,IF(LEFT($AJ$10:$AJ$113,2)=$AR14,1,0))</f>
        <v>6</v>
      </c>
      <c r="AW14" s="30" cm="1">
        <f t="array" ref="AW14">SUMPRODUCT($AI$10:$AI$113,AO$10:AO$113,IF(LEFT($AJ$10:$AJ$113,2)=$AR14,1,0))</f>
        <v>6</v>
      </c>
      <c r="AX14" s="35" cm="1">
        <f t="array" ref="AX14">SUMPRODUCT($AI$10:$AI$113,AP$10:AP$113,IF(LEFT($AJ$10:$AJ$113,2)=$AR14,1,0))</f>
        <v>10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129</v>
      </c>
      <c r="D15" s="30" t="s">
        <v>129</v>
      </c>
      <c r="E15" s="30" t="s">
        <v>129</v>
      </c>
      <c r="F15" s="30" t="s">
        <v>131</v>
      </c>
      <c r="G15" s="30" t="s">
        <v>131</v>
      </c>
      <c r="H15" s="35" t="s">
        <v>127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1</v>
      </c>
      <c r="T15" s="30">
        <f t="shared" si="5"/>
        <v>6</v>
      </c>
      <c r="U15" s="30">
        <f t="shared" si="5"/>
        <v>6</v>
      </c>
      <c r="V15" s="30">
        <f t="shared" si="5"/>
        <v>1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0000000011000</v>
      </c>
      <c r="AC15" s="15" t="str">
        <f t="shared" si="7"/>
        <v>0000000002000</v>
      </c>
      <c r="AD15" s="15" t="str">
        <f t="shared" si="7"/>
        <v>0010000001000</v>
      </c>
      <c r="AE15" s="15" t="str">
        <f t="shared" si="7"/>
        <v>0200000000000</v>
      </c>
      <c r="AF15" s="15" t="str">
        <f t="shared" si="7"/>
        <v>0200000000000</v>
      </c>
      <c r="AG15" s="41" t="str">
        <f t="shared" si="7"/>
        <v>0011000000000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3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2</v>
      </c>
      <c r="AU15" s="30" cm="1">
        <f t="array" ref="AU15">SUMPRODUCT($AI$10:$AI$113,AM$10:AM$113,IF(LEFT($AJ$10:$AJ$113,2)=$AR15,1,0))</f>
        <v>12</v>
      </c>
      <c r="AV15" s="30" cm="1">
        <f t="array" ref="AV15">SUMPRODUCT($AI$10:$AI$113,AN$10:AN$113,IF(LEFT($AJ$10:$AJ$113,2)=$AR15,1,0))</f>
        <v>12</v>
      </c>
      <c r="AW15" s="30" cm="1">
        <f t="array" ref="AW15">SUMPRODUCT($AI$10:$AI$113,AO$10:AO$113,IF(LEFT($AJ$10:$AJ$113,2)=$AR15,1,0))</f>
        <v>2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129</v>
      </c>
      <c r="D16" s="30" t="s">
        <v>129</v>
      </c>
      <c r="E16" s="30" t="s">
        <v>128</v>
      </c>
      <c r="F16" s="30" t="s">
        <v>134</v>
      </c>
      <c r="G16" s="30" t="s">
        <v>131</v>
      </c>
      <c r="H16" s="35" t="s">
        <v>131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4</v>
      </c>
      <c r="S16" s="30">
        <f t="shared" si="5"/>
        <v>8</v>
      </c>
      <c r="T16" s="30">
        <f t="shared" si="5"/>
        <v>8</v>
      </c>
      <c r="U16" s="30">
        <f t="shared" si="5"/>
        <v>3</v>
      </c>
      <c r="V16" s="30">
        <f t="shared" si="5"/>
        <v>1</v>
      </c>
      <c r="W16" s="35">
        <f t="shared" si="5"/>
        <v>4</v>
      </c>
      <c r="Y16" s="20">
        <f t="shared" si="6"/>
        <v>8</v>
      </c>
      <c r="Z16" s="23" t="s">
        <v>133</v>
      </c>
      <c r="AB16" s="40" t="str">
        <f t="shared" si="11"/>
        <v>0000000002000</v>
      </c>
      <c r="AC16" s="15" t="str">
        <f t="shared" si="7"/>
        <v>0000000002000</v>
      </c>
      <c r="AD16" s="15" t="str">
        <f t="shared" si="7"/>
        <v>0000001001000</v>
      </c>
      <c r="AE16" s="15" t="str">
        <f t="shared" si="7"/>
        <v>0101000000000</v>
      </c>
      <c r="AF16" s="15" t="str">
        <f t="shared" si="7"/>
        <v>0200000000000</v>
      </c>
      <c r="AG16" s="41" t="str">
        <f t="shared" si="7"/>
        <v>0110000000000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30</v>
      </c>
      <c r="AL16" s="39" cm="1">
        <f t="array" ref="AL16">SUMPRODUCT(--(MID(AC$10:AC$135, SUMIF($Z$9:$Z$21, LEFT($AJ16,2), $Y$9:$Y$21), 1) = RIGHT($AJ16, 1)), K$10:K$135)</f>
        <v>16</v>
      </c>
      <c r="AM16" s="39" cm="1">
        <f t="array" ref="AM16">SUMPRODUCT(--(MID(AD$10:AD$135, SUMIF($Z$9:$Z$21, LEFT($AJ16,2), $Y$9:$Y$21), 1) = RIGHT($AJ16, 1)), L$10:L$135)</f>
        <v>16</v>
      </c>
      <c r="AN16" s="39" cm="1">
        <f t="array" ref="AN16">SUMPRODUCT(--(MID(AE$10:AE$135, SUMIF($Z$9:$Z$21, LEFT($AJ16,2), $Y$9:$Y$21), 1) = RIGHT($AJ16, 1)), M$10:M$135)</f>
        <v>24</v>
      </c>
      <c r="AO16" s="39" cm="1">
        <f t="array" ref="AO16">SUMPRODUCT(--(MID(AF$10:AF$135, SUMIF($Z$9:$Z$21, LEFT($AJ16,2), $Y$9:$Y$21), 1) = RIGHT($AJ16, 1)), N$10:N$135)</f>
        <v>10</v>
      </c>
      <c r="AP16" s="19" cm="1">
        <f t="array" ref="AP16">SUMPRODUCT(--(MID(AG$10:AG$135, SUMIF($Z$9:$Z$21, LEFT($AJ16,2), $Y$9:$Y$21), 1) = RIGHT($AJ16, 1)), O$10:O$135)</f>
        <v>4</v>
      </c>
      <c r="AR16" s="34" t="str">
        <f t="shared" si="8"/>
        <v>FF</v>
      </c>
      <c r="AS16" s="30" cm="1">
        <f t="array" ref="AS16">SUMPRODUCT($AI$10:$AI$113,AK$10:AK$113,IF(LEFT($AJ$10:$AJ$113,2)=$AR16,1,0))</f>
        <v>8</v>
      </c>
      <c r="AT16" s="30" cm="1">
        <f t="array" ref="AT16">SUMPRODUCT($AI$10:$AI$113,AL$10:AL$113,IF(LEFT($AJ$10:$AJ$113,2)=$AR16,1,0))</f>
        <v>16</v>
      </c>
      <c r="AU16" s="30" cm="1">
        <f t="array" ref="AU16">SUMPRODUCT($AI$10:$AI$113,AM$10:AM$113,IF(LEFT($AJ$10:$AJ$113,2)=$AR16,1,0))</f>
        <v>16</v>
      </c>
      <c r="AV16" s="30" cm="1">
        <f t="array" ref="AV16">SUMPRODUCT($AI$10:$AI$113,AN$10:AN$113,IF(LEFT($AJ$10:$AJ$113,2)=$AR16,1,0))</f>
        <v>6</v>
      </c>
      <c r="AW16" s="30" cm="1">
        <f t="array" ref="AW16">SUMPRODUCT($AI$10:$AI$113,AO$10:AO$113,IF(LEFT($AJ$10:$AJ$113,2)=$AR16,1,0))</f>
        <v>2</v>
      </c>
      <c r="AX16" s="35" cm="1">
        <f t="array" ref="AX16">SUMPRODUCT($AI$10:$AI$113,AP$10:AP$113,IF(LEFT($AJ$10:$AJ$113,2)=$AR16,1,0))</f>
        <v>8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129</v>
      </c>
      <c r="D17" s="30" t="s">
        <v>132</v>
      </c>
      <c r="E17" s="30" t="s">
        <v>129</v>
      </c>
      <c r="F17" s="30" t="s">
        <v>128</v>
      </c>
      <c r="G17" s="30" t="s">
        <v>130</v>
      </c>
      <c r="H17" s="35" t="s">
        <v>132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11</v>
      </c>
      <c r="S17" s="30">
        <f t="shared" si="5"/>
        <v>4</v>
      </c>
      <c r="T17" s="30">
        <f t="shared" si="5"/>
        <v>11</v>
      </c>
      <c r="U17" s="30">
        <f t="shared" si="5"/>
        <v>4</v>
      </c>
      <c r="V17" s="30">
        <f t="shared" si="5"/>
        <v>10</v>
      </c>
      <c r="W17" s="35">
        <f t="shared" si="5"/>
        <v>4</v>
      </c>
      <c r="Y17" s="20">
        <f t="shared" si="6"/>
        <v>9</v>
      </c>
      <c r="Z17" s="23" t="s">
        <v>130</v>
      </c>
      <c r="AB17" s="40" t="str">
        <f t="shared" si="11"/>
        <v>0000000002000</v>
      </c>
      <c r="AC17" s="15" t="str">
        <f t="shared" si="7"/>
        <v>0000000001100</v>
      </c>
      <c r="AD17" s="15" t="str">
        <f t="shared" si="7"/>
        <v>0000001001000</v>
      </c>
      <c r="AE17" s="15" t="str">
        <f t="shared" si="7"/>
        <v>0001001000000</v>
      </c>
      <c r="AF17" s="15" t="str">
        <f t="shared" si="7"/>
        <v>0100000010000</v>
      </c>
      <c r="AG17" s="41" t="str">
        <f t="shared" si="7"/>
        <v>0100000000100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67</v>
      </c>
      <c r="AL17" s="39" cm="1">
        <f t="array" ref="AL17">SUMPRODUCT(--(MID(AC$10:AC$135, SUMIF($Z$9:$Z$21, LEFT($AJ17,2), $Y$9:$Y$21), 1) = RIGHT($AJ17, 1)), K$10:K$135)</f>
        <v>53</v>
      </c>
      <c r="AM17" s="39" cm="1">
        <f t="array" ref="AM17">SUMPRODUCT(--(MID(AD$10:AD$135, SUMIF($Z$9:$Z$21, LEFT($AJ17,2), $Y$9:$Y$21), 1) = RIGHT($AJ17, 1)), L$10:L$135)</f>
        <v>60</v>
      </c>
      <c r="AN17" s="39" cm="1">
        <f t="array" ref="AN17">SUMPRODUCT(--(MID(AE$10:AE$135, SUMIF($Z$9:$Z$21, LEFT($AJ17,2), $Y$9:$Y$21), 1) = RIGHT($AJ17, 1)), M$10:M$135)</f>
        <v>51</v>
      </c>
      <c r="AO17" s="39" cm="1">
        <f t="array" ref="AO17">SUMPRODUCT(--(MID(AF$10:AF$135, SUMIF($Z$9:$Z$21, LEFT($AJ17,2), $Y$9:$Y$21), 1) = RIGHT($AJ17, 1)), N$10:N$135)</f>
        <v>43</v>
      </c>
      <c r="AP17" s="19" cm="1">
        <f t="array" ref="AP17">SUMPRODUCT(--(MID(AG$10:AG$135, SUMIF($Z$9:$Z$21, LEFT($AJ17,2), $Y$9:$Y$21), 1) = RIGHT($AJ17, 1)), O$10:O$135)</f>
        <v>33</v>
      </c>
      <c r="AR17" s="34" t="str">
        <f t="shared" si="8"/>
        <v>GG</v>
      </c>
      <c r="AS17" s="30" cm="1">
        <f t="array" ref="AS17">SUMPRODUCT($AI$10:$AI$113,AK$10:AK$113,IF(LEFT($AJ$10:$AJ$113,2)=$AR17,1,0))</f>
        <v>22</v>
      </c>
      <c r="AT17" s="30" cm="1">
        <f t="array" ref="AT17">SUMPRODUCT($AI$10:$AI$113,AL$10:AL$113,IF(LEFT($AJ$10:$AJ$113,2)=$AR17,1,0))</f>
        <v>8</v>
      </c>
      <c r="AU17" s="30" cm="1">
        <f t="array" ref="AU17">SUMPRODUCT($AI$10:$AI$113,AM$10:AM$113,IF(LEFT($AJ$10:$AJ$113,2)=$AR17,1,0))</f>
        <v>22</v>
      </c>
      <c r="AV17" s="30" cm="1">
        <f t="array" ref="AV17">SUMPRODUCT($AI$10:$AI$113,AN$10:AN$113,IF(LEFT($AJ$10:$AJ$113,2)=$AR17,1,0))</f>
        <v>8</v>
      </c>
      <c r="AW17" s="30" cm="1">
        <f t="array" ref="AW17">SUMPRODUCT($AI$10:$AI$113,AO$10:AO$113,IF(LEFT($AJ$10:$AJ$113,2)=$AR17,1,0))</f>
        <v>20</v>
      </c>
      <c r="AX17" s="35" cm="1">
        <f t="array" ref="AX17">SUMPRODUCT($AI$10:$AI$113,AP$10:AP$113,IF(LEFT($AJ$10:$AJ$113,2)=$AR17,1,0))</f>
        <v>8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138</v>
      </c>
      <c r="D18" s="30" t="s">
        <v>137</v>
      </c>
      <c r="E18" s="30" t="s">
        <v>129</v>
      </c>
      <c r="F18" s="30" t="s">
        <v>131</v>
      </c>
      <c r="G18" s="30" t="s">
        <v>132</v>
      </c>
      <c r="H18" s="35" t="s">
        <v>132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5</v>
      </c>
      <c r="S18" s="30">
        <f t="shared" si="5"/>
        <v>2</v>
      </c>
      <c r="T18" s="30">
        <f t="shared" si="5"/>
        <v>1</v>
      </c>
      <c r="U18" s="30">
        <f t="shared" si="5"/>
        <v>2</v>
      </c>
      <c r="V18" s="30">
        <f t="shared" si="5"/>
        <v>1</v>
      </c>
      <c r="W18" s="35">
        <f t="shared" si="5"/>
        <v>1</v>
      </c>
      <c r="Y18" s="20">
        <f t="shared" si="6"/>
        <v>10</v>
      </c>
      <c r="Z18" s="23" t="s">
        <v>129</v>
      </c>
      <c r="AB18" s="40" t="str">
        <f t="shared" si="11"/>
        <v>0000000001010</v>
      </c>
      <c r="AC18" s="15" t="str">
        <f t="shared" si="7"/>
        <v>0000010000100</v>
      </c>
      <c r="AD18" s="15" t="str">
        <f t="shared" si="7"/>
        <v>0000000002000</v>
      </c>
      <c r="AE18" s="15" t="str">
        <f t="shared" si="7"/>
        <v>0100001000000</v>
      </c>
      <c r="AF18" s="15" t="str">
        <f t="shared" si="7"/>
        <v>0000000010100</v>
      </c>
      <c r="AG18" s="41" t="str">
        <f t="shared" si="7"/>
        <v>0000000000200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10</v>
      </c>
      <c r="AT18" s="30" cm="1">
        <f t="array" ref="AT18">SUMPRODUCT($AI$10:$AI$113,AL$10:AL$113,IF(LEFT($AJ$10:$AJ$113,2)=$AR18,1,0))</f>
        <v>4</v>
      </c>
      <c r="AU18" s="30" cm="1">
        <f t="array" ref="AU18">SUMPRODUCT($AI$10:$AI$113,AM$10:AM$113,IF(LEFT($AJ$10:$AJ$113,2)=$AR18,1,0))</f>
        <v>2</v>
      </c>
      <c r="AV18" s="30" cm="1">
        <f t="array" ref="AV18">SUMPRODUCT($AI$10:$AI$113,AN$10:AN$113,IF(LEFT($AJ$10:$AJ$113,2)=$AR18,1,0))</f>
        <v>4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2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131</v>
      </c>
      <c r="D19" s="30" t="s">
        <v>129</v>
      </c>
      <c r="E19" s="30" t="s">
        <v>129</v>
      </c>
      <c r="F19" s="30" t="s">
        <v>127</v>
      </c>
      <c r="G19" s="30" t="s">
        <v>131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16</v>
      </c>
      <c r="S19" s="30">
        <f t="shared" si="5"/>
        <v>10</v>
      </c>
      <c r="T19" s="30">
        <f t="shared" si="5"/>
        <v>12</v>
      </c>
      <c r="U19" s="30">
        <f t="shared" si="5"/>
        <v>6</v>
      </c>
      <c r="V19" s="30">
        <f t="shared" si="5"/>
        <v>7</v>
      </c>
      <c r="W19" s="35">
        <f t="shared" si="5"/>
        <v>4</v>
      </c>
      <c r="Y19" s="20">
        <f t="shared" si="6"/>
        <v>11</v>
      </c>
      <c r="Z19" s="23" t="s">
        <v>132</v>
      </c>
      <c r="AA19" s="21"/>
      <c r="AB19" s="40" t="str">
        <f t="shared" si="11"/>
        <v>0100000000010</v>
      </c>
      <c r="AC19" s="15" t="str">
        <f t="shared" si="7"/>
        <v>0000010001000</v>
      </c>
      <c r="AD19" s="15" t="str">
        <f t="shared" si="7"/>
        <v>0000000002000</v>
      </c>
      <c r="AE19" s="15" t="str">
        <f t="shared" si="7"/>
        <v>0110000000000</v>
      </c>
      <c r="AF19" s="15" t="str">
        <f t="shared" si="7"/>
        <v>0100000000100</v>
      </c>
      <c r="AG19" s="41" t="str">
        <f t="shared" si="7"/>
        <v>0000000000200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32</v>
      </c>
      <c r="AT19" s="30" cm="1">
        <f t="array" ref="AT19">SUMPRODUCT($AI$10:$AI$113,AL$10:AL$113,IF(LEFT($AJ$10:$AJ$113,2)=$AR19,1,0))</f>
        <v>20</v>
      </c>
      <c r="AU19" s="30" cm="1">
        <f t="array" ref="AU19">SUMPRODUCT($AI$10:$AI$113,AM$10:AM$113,IF(LEFT($AJ$10:$AJ$113,2)=$AR19,1,0))</f>
        <v>24</v>
      </c>
      <c r="AV19" s="30" cm="1">
        <f t="array" ref="AV19">SUMPRODUCT($AI$10:$AI$113,AN$10:AN$113,IF(LEFT($AJ$10:$AJ$113,2)=$AR19,1,0))</f>
        <v>12</v>
      </c>
      <c r="AW19" s="30" cm="1">
        <f t="array" ref="AW19">SUMPRODUCT($AI$10:$AI$113,AO$10:AO$113,IF(LEFT($AJ$10:$AJ$113,2)=$AR19,1,0))</f>
        <v>14</v>
      </c>
      <c r="AX19" s="35" cm="1">
        <f t="array" ref="AX19">SUMPRODUCT($AI$10:$AI$113,AP$10:AP$113,IF(LEFT($AJ$10:$AJ$113,2)=$AR19,1,0))</f>
        <v>8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138</v>
      </c>
      <c r="D20" s="30" t="s">
        <v>127</v>
      </c>
      <c r="E20" s="30" t="s">
        <v>133</v>
      </c>
      <c r="F20" s="30" t="s">
        <v>127</v>
      </c>
      <c r="G20" s="30" t="s">
        <v>127</v>
      </c>
      <c r="H20" s="35" t="s">
        <v>130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5</v>
      </c>
      <c r="S20" s="30">
        <f t="shared" si="5"/>
        <v>5</v>
      </c>
      <c r="T20" s="30">
        <f t="shared" si="5"/>
        <v>8</v>
      </c>
      <c r="U20" s="30">
        <f t="shared" si="5"/>
        <v>8</v>
      </c>
      <c r="V20" s="30">
        <f t="shared" si="5"/>
        <v>5</v>
      </c>
      <c r="W20" s="35">
        <f t="shared" si="5"/>
        <v>4</v>
      </c>
      <c r="Y20" s="20">
        <v>12</v>
      </c>
      <c r="Z20" s="23" t="s">
        <v>138</v>
      </c>
      <c r="AA20" s="21"/>
      <c r="AB20" s="40" t="str">
        <f t="shared" si="11"/>
        <v>0100000000010</v>
      </c>
      <c r="AC20" s="15" t="str">
        <f t="shared" si="7"/>
        <v>0010000001000</v>
      </c>
      <c r="AD20" s="15" t="str">
        <f t="shared" si="7"/>
        <v>0000000101000</v>
      </c>
      <c r="AE20" s="15" t="str">
        <f t="shared" si="7"/>
        <v>0020000000000</v>
      </c>
      <c r="AF20" s="15" t="str">
        <f t="shared" si="7"/>
        <v>0110000000000</v>
      </c>
      <c r="AG20" s="41" t="str">
        <f t="shared" si="7"/>
        <v>0000000010100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10</v>
      </c>
      <c r="AT20" s="30" cm="1">
        <f t="array" ref="AT20">SUMPRODUCT($AI$10:$AI$113,AL$10:AL$113,IF(LEFT($AJ$10:$AJ$113,2)=$AR20,1,0))</f>
        <v>10</v>
      </c>
      <c r="AU20" s="30" cm="1">
        <f t="array" ref="AU20">SUMPRODUCT($AI$10:$AI$113,AM$10:AM$113,IF(LEFT($AJ$10:$AJ$113,2)=$AR20,1,0))</f>
        <v>16</v>
      </c>
      <c r="AV20" s="30" cm="1">
        <f t="array" ref="AV20">SUMPRODUCT($AI$10:$AI$113,AN$10:AN$113,IF(LEFT($AJ$10:$AJ$113,2)=$AR20,1,0))</f>
        <v>16</v>
      </c>
      <c r="AW20" s="30" cm="1">
        <f t="array" ref="AW20">SUMPRODUCT($AI$10:$AI$113,AO$10:AO$113,IF(LEFT($AJ$10:$AJ$113,2)=$AR20,1,0))</f>
        <v>10</v>
      </c>
      <c r="AX20" s="35" cm="1">
        <f t="array" ref="AX20">SUMPRODUCT($AI$10:$AI$113,AP$10:AP$113,IF(LEFT($AJ$10:$AJ$113,2)=$AR20,1,0))</f>
        <v>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138</v>
      </c>
      <c r="D21" s="30" t="s">
        <v>127</v>
      </c>
      <c r="E21" s="30" t="s">
        <v>138</v>
      </c>
      <c r="F21" s="30" t="s">
        <v>127</v>
      </c>
      <c r="G21" s="30" t="s">
        <v>129</v>
      </c>
      <c r="H21" s="35" t="s">
        <v>133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10</v>
      </c>
      <c r="S21" s="30">
        <f t="shared" si="5"/>
        <v>10</v>
      </c>
      <c r="T21" s="30">
        <f t="shared" si="5"/>
        <v>4</v>
      </c>
      <c r="U21" s="30">
        <f t="shared" si="5"/>
        <v>11</v>
      </c>
      <c r="V21" s="30">
        <f t="shared" si="5"/>
        <v>10</v>
      </c>
      <c r="W21" s="35">
        <f t="shared" si="5"/>
        <v>4</v>
      </c>
      <c r="Y21" s="18">
        <v>13</v>
      </c>
      <c r="Z21" s="22" t="s">
        <v>135</v>
      </c>
      <c r="AA21" s="21"/>
      <c r="AB21" s="40" t="str">
        <f t="shared" si="11"/>
        <v>0000000000020</v>
      </c>
      <c r="AC21" s="15" t="str">
        <f t="shared" si="7"/>
        <v>0020000000000</v>
      </c>
      <c r="AD21" s="15" t="str">
        <f t="shared" si="7"/>
        <v>0000000100010</v>
      </c>
      <c r="AE21" s="15" t="str">
        <f t="shared" si="7"/>
        <v>0020000000000</v>
      </c>
      <c r="AF21" s="15" t="str">
        <f t="shared" si="7"/>
        <v>0010000001000</v>
      </c>
      <c r="AG21" s="41" t="str">
        <f t="shared" si="7"/>
        <v>0000000110000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20</v>
      </c>
      <c r="AT21" s="30" cm="1">
        <f t="array" ref="AT21">SUMPRODUCT($AI$10:$AI$113,AL$10:AL$113,IF(LEFT($AJ$10:$AJ$113,2)=$AR21,1,0))</f>
        <v>20</v>
      </c>
      <c r="AU21" s="30" cm="1">
        <f t="array" ref="AU21">SUMPRODUCT($AI$10:$AI$113,AM$10:AM$113,IF(LEFT($AJ$10:$AJ$113,2)=$AR21,1,0))</f>
        <v>8</v>
      </c>
      <c r="AV21" s="30" cm="1">
        <f t="array" ref="AV21">SUMPRODUCT($AI$10:$AI$113,AN$10:AN$113,IF(LEFT($AJ$10:$AJ$113,2)=$AR21,1,0))</f>
        <v>22</v>
      </c>
      <c r="AW21" s="30" cm="1">
        <f t="array" ref="AW21">SUMPRODUCT($AI$10:$AI$113,AO$10:AO$113,IF(LEFT($AJ$10:$AJ$113,2)=$AR21,1,0))</f>
        <v>20</v>
      </c>
      <c r="AX21" s="35" cm="1">
        <f t="array" ref="AX21">SUMPRODUCT($AI$10:$AI$113,AP$10:AP$113,IF(LEFT($AJ$10:$AJ$113,2)=$AR21,1,0))</f>
        <v>8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138</v>
      </c>
      <c r="D22" s="30" t="s">
        <v>127</v>
      </c>
      <c r="E22" s="30" t="s">
        <v>136</v>
      </c>
      <c r="F22" s="30" t="s">
        <v>138</v>
      </c>
      <c r="G22" s="30" t="s">
        <v>129</v>
      </c>
      <c r="H22" s="35" t="s">
        <v>133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0000000000020</v>
      </c>
      <c r="AC22" s="15" t="str">
        <f t="shared" si="7"/>
        <v>0020000000000</v>
      </c>
      <c r="AD22" s="15" t="str">
        <f t="shared" si="7"/>
        <v>0000100000010</v>
      </c>
      <c r="AE22" s="15" t="str">
        <f t="shared" si="7"/>
        <v>0010000000010</v>
      </c>
      <c r="AF22" s="15" t="str">
        <f t="shared" si="7"/>
        <v>0000000002000</v>
      </c>
      <c r="AG22" s="41" t="str">
        <f t="shared" si="7"/>
        <v>0000000200000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133</v>
      </c>
      <c r="D23" s="30" t="s">
        <v>138</v>
      </c>
      <c r="E23" s="30" t="s">
        <v>127</v>
      </c>
      <c r="F23" s="30" t="s">
        <v>127</v>
      </c>
      <c r="G23" s="30" t="s">
        <v>129</v>
      </c>
      <c r="H23" s="35" t="s">
        <v>133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99</v>
      </c>
      <c r="S23" s="37">
        <f t="shared" ref="S23:W23" si="14">SUM(S10:S22)</f>
        <v>71</v>
      </c>
      <c r="T23" s="37">
        <f t="shared" si="14"/>
        <v>79</v>
      </c>
      <c r="U23" s="37">
        <f t="shared" si="14"/>
        <v>77</v>
      </c>
      <c r="V23" s="37">
        <f t="shared" si="14"/>
        <v>55</v>
      </c>
      <c r="W23" s="38">
        <f t="shared" si="14"/>
        <v>39</v>
      </c>
      <c r="Y23" s="21"/>
      <c r="Z23" s="21"/>
      <c r="AA23" s="21"/>
      <c r="AB23" s="40" t="str">
        <f t="shared" si="11"/>
        <v>0000000100010</v>
      </c>
      <c r="AC23" s="15" t="str">
        <f t="shared" si="7"/>
        <v>0010000000010</v>
      </c>
      <c r="AD23" s="15" t="str">
        <f t="shared" si="7"/>
        <v>0010100000000</v>
      </c>
      <c r="AE23" s="15" t="str">
        <f t="shared" si="7"/>
        <v>0010000000010</v>
      </c>
      <c r="AF23" s="15" t="str">
        <f t="shared" si="7"/>
        <v>0000000002000</v>
      </c>
      <c r="AG23" s="41" t="str">
        <f t="shared" si="7"/>
        <v>0000000200000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2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99</v>
      </c>
      <c r="AT23" s="30">
        <f t="shared" si="16"/>
        <v>71</v>
      </c>
      <c r="AU23" s="30">
        <f t="shared" si="16"/>
        <v>79</v>
      </c>
      <c r="AV23" s="30">
        <f t="shared" si="16"/>
        <v>77</v>
      </c>
      <c r="AW23" s="30">
        <f t="shared" si="16"/>
        <v>55</v>
      </c>
      <c r="AX23" s="35">
        <f t="shared" si="16"/>
        <v>39</v>
      </c>
    </row>
    <row r="24" spans="2:64">
      <c r="B24" s="34">
        <f t="shared" si="9"/>
        <v>14</v>
      </c>
      <c r="C24" s="30" t="s">
        <v>131</v>
      </c>
      <c r="D24" s="30" t="s">
        <v>138</v>
      </c>
      <c r="E24" s="30" t="s">
        <v>131</v>
      </c>
      <c r="F24" s="30" t="s">
        <v>129</v>
      </c>
      <c r="G24" s="30" t="s">
        <v>128</v>
      </c>
      <c r="H24" s="35" t="s">
        <v>137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0100000100000</v>
      </c>
      <c r="AC24" s="15" t="str">
        <f t="shared" si="7"/>
        <v>0000000000020</v>
      </c>
      <c r="AD24" s="15" t="str">
        <f t="shared" si="7"/>
        <v>0110000000000</v>
      </c>
      <c r="AE24" s="15" t="str">
        <f t="shared" si="7"/>
        <v>0010000001000</v>
      </c>
      <c r="AF24" s="15" t="str">
        <f t="shared" si="7"/>
        <v>0000001001000</v>
      </c>
      <c r="AG24" s="41" t="str">
        <f t="shared" si="7"/>
        <v>0000010100000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18</v>
      </c>
      <c r="AL24" s="39" cm="1">
        <f t="array" ref="AL24">SUMPRODUCT(--(MID(AC$10:AC$135, SUMIF($Z$9:$Z$21, LEFT($AJ24,2), $Y$9:$Y$21), 1) = RIGHT($AJ24, 1)), K$10:K$135)</f>
        <v>16</v>
      </c>
      <c r="AM24" s="39" cm="1">
        <f t="array" ref="AM24">SUMPRODUCT(--(MID(AD$10:AD$135, SUMIF($Z$9:$Z$21, LEFT($AJ24,2), $Y$9:$Y$21), 1) = RIGHT($AJ24, 1)), L$10:L$135)</f>
        <v>20</v>
      </c>
      <c r="AN24" s="39" cm="1">
        <f t="array" ref="AN24">SUMPRODUCT(--(MID(AE$10:AE$135, SUMIF($Z$9:$Z$21, LEFT($AJ24,2), $Y$9:$Y$21), 1) = RIGHT($AJ24, 1)), M$10:M$135)</f>
        <v>12</v>
      </c>
      <c r="AO24" s="39" cm="1">
        <f t="array" ref="AO24">SUMPRODUCT(--(MID(AF$10:AF$135, SUMIF($Z$9:$Z$21, LEFT($AJ24,2), $Y$9:$Y$21), 1) = RIGHT($AJ24, 1)), N$10:N$135)</f>
        <v>4</v>
      </c>
      <c r="AP24" s="19" cm="1">
        <f t="array" ref="AP24">SUMPRODUCT(--(MID(AG$10:AG$135, SUMIF($Z$9:$Z$21, LEFT($AJ24,2), $Y$9:$Y$21), 1) = RIGHT($AJ24, 1)), O$10:O$135)</f>
        <v>4</v>
      </c>
      <c r="AR24" s="34" t="str">
        <f t="shared" si="15"/>
        <v>AA-0</v>
      </c>
      <c r="AS24" s="30">
        <f t="shared" si="16"/>
        <v>67</v>
      </c>
      <c r="AT24" s="30">
        <f t="shared" si="16"/>
        <v>53</v>
      </c>
      <c r="AU24" s="30">
        <f t="shared" si="16"/>
        <v>60</v>
      </c>
      <c r="AV24" s="30">
        <f t="shared" si="16"/>
        <v>51</v>
      </c>
      <c r="AW24" s="30">
        <f t="shared" si="16"/>
        <v>43</v>
      </c>
      <c r="AX24" s="35">
        <f t="shared" si="16"/>
        <v>33</v>
      </c>
      <c r="AY24" s="30"/>
      <c r="AZ24" s="30"/>
      <c r="BA24" s="30"/>
      <c r="BB24" s="30"/>
      <c r="BC24" s="30"/>
      <c r="BD24" s="30"/>
    </row>
    <row r="25" spans="2:64">
      <c r="B25" s="34">
        <f t="shared" si="9"/>
        <v>15</v>
      </c>
      <c r="C25" s="30" t="s">
        <v>131</v>
      </c>
      <c r="D25" s="30" t="s">
        <v>138</v>
      </c>
      <c r="E25" s="30" t="s">
        <v>131</v>
      </c>
      <c r="F25" s="30" t="s">
        <v>132</v>
      </c>
      <c r="G25" s="30" t="s">
        <v>136</v>
      </c>
      <c r="H25" s="35" t="s">
        <v>129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0200000000000</v>
      </c>
      <c r="AC25" s="15" t="str">
        <f t="shared" si="7"/>
        <v>0000000000020</v>
      </c>
      <c r="AD25" s="15" t="str">
        <f t="shared" si="7"/>
        <v>0200000000000</v>
      </c>
      <c r="AE25" s="15" t="str">
        <f t="shared" si="7"/>
        <v>0000000001100</v>
      </c>
      <c r="AF25" s="15" t="str">
        <f t="shared" si="7"/>
        <v>0000101000000</v>
      </c>
      <c r="AG25" s="41" t="str">
        <f t="shared" si="7"/>
        <v>0000010001000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79</v>
      </c>
      <c r="AL25" s="39" cm="1">
        <f t="array" ref="AL25">SUMPRODUCT(--(MID(AC$10:AC$135, SUMIF($Z$9:$Z$21, LEFT($AJ25,2), $Y$9:$Y$21), 1) = RIGHT($AJ25, 1)), K$10:K$135)</f>
        <v>53</v>
      </c>
      <c r="AM25" s="39" cm="1">
        <f t="array" ref="AM25">SUMPRODUCT(--(MID(AD$10:AD$135, SUMIF($Z$9:$Z$21, LEFT($AJ25,2), $Y$9:$Y$21), 1) = RIGHT($AJ25, 1)), L$10:L$135)</f>
        <v>57</v>
      </c>
      <c r="AN25" s="39" cm="1">
        <f t="array" ref="AN25">SUMPRODUCT(--(MID(AE$10:AE$135, SUMIF($Z$9:$Z$21, LEFT($AJ25,2), $Y$9:$Y$21), 1) = RIGHT($AJ25, 1)), M$10:M$135)</f>
        <v>63</v>
      </c>
      <c r="AO25" s="39" cm="1">
        <f t="array" ref="AO25">SUMPRODUCT(--(MID(AF$10:AF$135, SUMIF($Z$9:$Z$21, LEFT($AJ25,2), $Y$9:$Y$21), 1) = RIGHT($AJ25, 1)), N$10:N$135)</f>
        <v>49</v>
      </c>
      <c r="AP25" s="19" cm="1">
        <f t="array" ref="AP25">SUMPRODUCT(--(MID(AG$10:AG$135, SUMIF($Z$9:$Z$21, LEFT($AJ25,2), $Y$9:$Y$21), 1) = RIGHT($AJ25, 1)), O$10:O$135)</f>
        <v>33</v>
      </c>
      <c r="AR25" s="34" t="str">
        <f t="shared" si="15"/>
        <v>BB-0</v>
      </c>
      <c r="AS25" s="30">
        <f t="shared" si="16"/>
        <v>79</v>
      </c>
      <c r="AT25" s="30">
        <f t="shared" si="16"/>
        <v>53</v>
      </c>
      <c r="AU25" s="30">
        <f t="shared" si="16"/>
        <v>57</v>
      </c>
      <c r="AV25" s="30">
        <f t="shared" si="16"/>
        <v>63</v>
      </c>
      <c r="AW25" s="30">
        <f t="shared" si="16"/>
        <v>49</v>
      </c>
      <c r="AX25" s="35">
        <f t="shared" si="16"/>
        <v>33</v>
      </c>
      <c r="AY25" s="30"/>
      <c r="AZ25" s="30"/>
      <c r="BA25" s="30"/>
      <c r="BB25" s="30"/>
      <c r="BC25" s="30"/>
      <c r="BD25" s="30"/>
    </row>
    <row r="26" spans="2:64">
      <c r="B26" s="34">
        <f t="shared" si="9"/>
        <v>16</v>
      </c>
      <c r="C26" s="30" t="s">
        <v>131</v>
      </c>
      <c r="D26" s="30" t="s">
        <v>138</v>
      </c>
      <c r="E26" s="30" t="s">
        <v>131</v>
      </c>
      <c r="F26" s="30" t="s">
        <v>132</v>
      </c>
      <c r="G26" s="30" t="s">
        <v>134</v>
      </c>
      <c r="H26" s="35" t="s">
        <v>133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0200000000000</v>
      </c>
      <c r="AC26" s="15" t="str">
        <f t="shared" si="11"/>
        <v>0000000000020</v>
      </c>
      <c r="AD26" s="15" t="str">
        <f t="shared" si="11"/>
        <v>0200000000000</v>
      </c>
      <c r="AE26" s="15" t="str">
        <f t="shared" si="11"/>
        <v>0000000000200</v>
      </c>
      <c r="AF26" s="15" t="str">
        <f t="shared" si="11"/>
        <v>0001100000000</v>
      </c>
      <c r="AG26" s="41" t="str">
        <f t="shared" si="11"/>
        <v>0000000101000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79</v>
      </c>
      <c r="AT26" s="30">
        <f t="shared" si="16"/>
        <v>55</v>
      </c>
      <c r="AU26" s="30">
        <f t="shared" si="16"/>
        <v>73</v>
      </c>
      <c r="AV26" s="30">
        <f t="shared" si="16"/>
        <v>55</v>
      </c>
      <c r="AW26" s="30">
        <f t="shared" si="16"/>
        <v>45</v>
      </c>
      <c r="AX26" s="35">
        <f t="shared" si="16"/>
        <v>33</v>
      </c>
      <c r="AY26" s="30"/>
      <c r="AZ26" s="30"/>
      <c r="BA26" s="30"/>
      <c r="BB26" s="30"/>
      <c r="BC26" s="30"/>
      <c r="BD26" s="30"/>
    </row>
    <row r="27" spans="2:64">
      <c r="B27" s="34">
        <f t="shared" si="9"/>
        <v>17</v>
      </c>
      <c r="C27" s="30" t="s">
        <v>127</v>
      </c>
      <c r="D27" s="30" t="s">
        <v>127</v>
      </c>
      <c r="E27" s="30" t="s">
        <v>131</v>
      </c>
      <c r="F27" s="30" t="s">
        <v>132</v>
      </c>
      <c r="G27" s="30" t="s">
        <v>137</v>
      </c>
      <c r="H27" s="35" t="s">
        <v>136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0110000000000</v>
      </c>
      <c r="AC27" s="15" t="str">
        <f t="shared" si="11"/>
        <v>0010000000010</v>
      </c>
      <c r="AD27" s="15" t="str">
        <f t="shared" si="11"/>
        <v>0200000000000</v>
      </c>
      <c r="AE27" s="15" t="str">
        <f t="shared" si="11"/>
        <v>0000000000200</v>
      </c>
      <c r="AF27" s="15" t="str">
        <f t="shared" si="11"/>
        <v>0001010000000</v>
      </c>
      <c r="AG27" s="41" t="str">
        <f t="shared" si="11"/>
        <v>0000100100000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85</v>
      </c>
      <c r="AT27" s="30">
        <f t="shared" si="16"/>
        <v>67</v>
      </c>
      <c r="AU27" s="30">
        <f t="shared" si="16"/>
        <v>75</v>
      </c>
      <c r="AV27" s="30">
        <f t="shared" si="16"/>
        <v>71</v>
      </c>
      <c r="AW27" s="30">
        <f t="shared" si="16"/>
        <v>49</v>
      </c>
      <c r="AX27" s="35">
        <f t="shared" si="16"/>
        <v>31</v>
      </c>
      <c r="AY27" s="30"/>
      <c r="AZ27" s="30"/>
      <c r="BA27" s="30"/>
      <c r="BB27" s="30"/>
      <c r="BC27" s="30"/>
      <c r="BD27" s="30"/>
    </row>
    <row r="28" spans="2:64">
      <c r="B28" s="34">
        <f t="shared" si="9"/>
        <v>18</v>
      </c>
      <c r="C28" s="30" t="s">
        <v>136</v>
      </c>
      <c r="D28" s="30" t="s">
        <v>134</v>
      </c>
      <c r="E28" s="30" t="s">
        <v>128</v>
      </c>
      <c r="F28" s="30" t="s">
        <v>132</v>
      </c>
      <c r="G28" s="30" t="s">
        <v>129</v>
      </c>
      <c r="H28" s="35" t="s">
        <v>136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0010100000000</v>
      </c>
      <c r="AC28" s="15" t="str">
        <f t="shared" si="11"/>
        <v>0011000000000</v>
      </c>
      <c r="AD28" s="15" t="str">
        <f t="shared" si="11"/>
        <v>0100001000000</v>
      </c>
      <c r="AE28" s="15" t="str">
        <f t="shared" si="11"/>
        <v>0000000000200</v>
      </c>
      <c r="AF28" s="15" t="str">
        <f t="shared" si="11"/>
        <v>0000010001000</v>
      </c>
      <c r="AG28" s="41" t="str">
        <f t="shared" si="11"/>
        <v>0000200000000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97</v>
      </c>
      <c r="AT28" s="30">
        <f t="shared" si="16"/>
        <v>69</v>
      </c>
      <c r="AU28" s="30">
        <f t="shared" si="16"/>
        <v>67</v>
      </c>
      <c r="AV28" s="30">
        <f t="shared" si="16"/>
        <v>65</v>
      </c>
      <c r="AW28" s="30">
        <f t="shared" si="16"/>
        <v>53</v>
      </c>
      <c r="AX28" s="35">
        <f t="shared" si="16"/>
        <v>37</v>
      </c>
      <c r="AY28" s="30"/>
      <c r="AZ28" s="30"/>
      <c r="BA28" s="30"/>
      <c r="BB28" s="30"/>
      <c r="BC28" s="30"/>
      <c r="BD28" s="30"/>
    </row>
    <row r="29" spans="2:64">
      <c r="B29" s="34">
        <f t="shared" si="9"/>
        <v>19</v>
      </c>
      <c r="C29" s="30" t="s">
        <v>132</v>
      </c>
      <c r="D29" s="30" t="s">
        <v>134</v>
      </c>
      <c r="E29" s="30" t="s">
        <v>128</v>
      </c>
      <c r="F29" s="30" t="s">
        <v>130</v>
      </c>
      <c r="G29" s="30" t="s">
        <v>138</v>
      </c>
      <c r="H29" s="35" t="s">
        <v>136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0000100000100</v>
      </c>
      <c r="AC29" s="15" t="str">
        <f t="shared" si="11"/>
        <v>0002000000000</v>
      </c>
      <c r="AD29" s="15" t="str">
        <f t="shared" si="11"/>
        <v>0000002000000</v>
      </c>
      <c r="AE29" s="15" t="str">
        <f t="shared" si="11"/>
        <v>0000000010100</v>
      </c>
      <c r="AF29" s="15" t="str">
        <f t="shared" si="11"/>
        <v>0000000001010</v>
      </c>
      <c r="AG29" s="41" t="str">
        <f t="shared" si="11"/>
        <v>0000200000000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93</v>
      </c>
      <c r="AT29" s="30">
        <f t="shared" si="16"/>
        <v>58</v>
      </c>
      <c r="AU29" s="30">
        <f t="shared" si="16"/>
        <v>65</v>
      </c>
      <c r="AV29" s="30">
        <f t="shared" si="16"/>
        <v>71</v>
      </c>
      <c r="AW29" s="30">
        <f t="shared" si="16"/>
        <v>53</v>
      </c>
      <c r="AX29" s="35">
        <f t="shared" si="16"/>
        <v>33</v>
      </c>
      <c r="AY29" s="30"/>
      <c r="AZ29" s="30"/>
      <c r="BA29" s="30"/>
      <c r="BB29" s="30"/>
      <c r="BC29" s="30"/>
      <c r="BD29" s="30"/>
    </row>
    <row r="30" spans="2:64">
      <c r="B30" s="34">
        <f t="shared" si="9"/>
        <v>20</v>
      </c>
      <c r="C30" s="30" t="s">
        <v>132</v>
      </c>
      <c r="D30" s="30" t="s">
        <v>134</v>
      </c>
      <c r="E30" s="30" t="s">
        <v>128</v>
      </c>
      <c r="F30" s="30" t="s">
        <v>133</v>
      </c>
      <c r="G30" s="30" t="s">
        <v>133</v>
      </c>
      <c r="H30" s="35" t="s">
        <v>128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0000000000200</v>
      </c>
      <c r="AC30" s="15" t="str">
        <f t="shared" si="11"/>
        <v>0002000000000</v>
      </c>
      <c r="AD30" s="15" t="str">
        <f t="shared" si="11"/>
        <v>0000002000000</v>
      </c>
      <c r="AE30" s="15" t="str">
        <f t="shared" si="11"/>
        <v>0000000110000</v>
      </c>
      <c r="AF30" s="15" t="str">
        <f t="shared" si="11"/>
        <v>0000000100010</v>
      </c>
      <c r="AG30" s="41" t="str">
        <f t="shared" si="11"/>
        <v>0000101000000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79</v>
      </c>
      <c r="AT30" s="30">
        <f t="shared" si="16"/>
        <v>65</v>
      </c>
      <c r="AU30" s="30">
        <f t="shared" si="16"/>
        <v>59</v>
      </c>
      <c r="AV30" s="30">
        <f t="shared" si="16"/>
        <v>71</v>
      </c>
      <c r="AW30" s="30">
        <f t="shared" si="16"/>
        <v>37</v>
      </c>
      <c r="AX30" s="35">
        <f t="shared" si="16"/>
        <v>33</v>
      </c>
      <c r="AY30" s="30"/>
      <c r="AZ30" s="30"/>
      <c r="BA30" s="30"/>
      <c r="BB30" s="30"/>
      <c r="BC30" s="30"/>
      <c r="BD30" s="30"/>
    </row>
    <row r="31" spans="2:64">
      <c r="B31" s="34">
        <f t="shared" si="9"/>
        <v>21</v>
      </c>
      <c r="C31" s="30" t="s">
        <v>132</v>
      </c>
      <c r="D31" s="30" t="s">
        <v>130</v>
      </c>
      <c r="E31" s="30" t="s">
        <v>132</v>
      </c>
      <c r="F31" s="30" t="s">
        <v>133</v>
      </c>
      <c r="G31" s="30" t="s">
        <v>133</v>
      </c>
      <c r="H31" s="35" t="s">
        <v>138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0000000000200</v>
      </c>
      <c r="AC31" s="15" t="str">
        <f t="shared" si="11"/>
        <v>0001000010000</v>
      </c>
      <c r="AD31" s="15" t="str">
        <f t="shared" si="11"/>
        <v>0000001000100</v>
      </c>
      <c r="AE31" s="15" t="str">
        <f t="shared" si="11"/>
        <v>0000000200000</v>
      </c>
      <c r="AF31" s="15" t="str">
        <f t="shared" si="11"/>
        <v>0000000200000</v>
      </c>
      <c r="AG31" s="41" t="str">
        <f t="shared" si="11"/>
        <v>0000001000010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89</v>
      </c>
      <c r="AT31" s="30">
        <f t="shared" si="16"/>
        <v>67</v>
      </c>
      <c r="AU31" s="30">
        <f t="shared" si="16"/>
        <v>77</v>
      </c>
      <c r="AV31" s="30">
        <f t="shared" si="16"/>
        <v>73</v>
      </c>
      <c r="AW31" s="30">
        <f t="shared" si="16"/>
        <v>53</v>
      </c>
      <c r="AX31" s="35">
        <f t="shared" si="16"/>
        <v>37</v>
      </c>
      <c r="AY31" s="30"/>
      <c r="AZ31" s="30"/>
      <c r="BA31" s="30"/>
      <c r="BB31" s="30"/>
      <c r="BC31" s="30"/>
      <c r="BD31" s="30"/>
    </row>
    <row r="32" spans="2:64">
      <c r="B32" s="34">
        <f t="shared" si="9"/>
        <v>22</v>
      </c>
      <c r="C32" s="30" t="s">
        <v>129</v>
      </c>
      <c r="D32" s="30" t="s">
        <v>136</v>
      </c>
      <c r="E32" s="30" t="s">
        <v>137</v>
      </c>
      <c r="F32" s="30" t="s">
        <v>133</v>
      </c>
      <c r="G32" s="30" t="s">
        <v>133</v>
      </c>
      <c r="H32" s="35" t="s">
        <v>136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0000000001100</v>
      </c>
      <c r="AC32" s="15" t="str">
        <f t="shared" si="11"/>
        <v>0000100010000</v>
      </c>
      <c r="AD32" s="15" t="str">
        <f t="shared" si="11"/>
        <v>0000010000100</v>
      </c>
      <c r="AE32" s="15" t="str">
        <f t="shared" si="11"/>
        <v>0000000200000</v>
      </c>
      <c r="AF32" s="15" t="str">
        <f t="shared" si="11"/>
        <v>0000000200000</v>
      </c>
      <c r="AG32" s="41" t="str">
        <f t="shared" si="11"/>
        <v>0000100000010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18</v>
      </c>
      <c r="AL32" s="39" cm="1">
        <f t="array" ref="AL32">SUMPRODUCT(--(MID(AC$10:AC$135, SUMIF($Z$9:$Z$21, LEFT($AJ32,2), $Y$9:$Y$21), 1) = RIGHT($AJ32, 1)), K$10:K$135)</f>
        <v>14</v>
      </c>
      <c r="AM32" s="39" cm="1">
        <f t="array" ref="AM32">SUMPRODUCT(--(MID(AD$10:AD$135, SUMIF($Z$9:$Z$21, LEFT($AJ32,2), $Y$9:$Y$21), 1) = RIGHT($AJ32, 1)), L$10:L$135)</f>
        <v>4</v>
      </c>
      <c r="AN32" s="39" cm="1">
        <f t="array" ref="AN32">SUMPRODUCT(--(MID(AE$10:AE$135, SUMIF($Z$9:$Z$21, LEFT($AJ32,2), $Y$9:$Y$21), 1) = RIGHT($AJ32, 1)), M$10:M$135)</f>
        <v>20</v>
      </c>
      <c r="AO32" s="39" cm="1">
        <f t="array" ref="AO32">SUMPRODUCT(--(MID(AF$10:AF$135, SUMIF($Z$9:$Z$21, LEFT($AJ32,2), $Y$9:$Y$21), 1) = RIGHT($AJ32, 1)), N$10:N$135)</f>
        <v>8</v>
      </c>
      <c r="AP32" s="19" cm="1">
        <f t="array" ref="AP32">SUMPRODUCT(--(MID(AG$10:AG$135, SUMIF($Z$9:$Z$21, LEFT($AJ32,2), $Y$9:$Y$21), 1) = RIGHT($AJ32, 1)), O$10:O$135)</f>
        <v>4</v>
      </c>
      <c r="AR32" s="34" t="str">
        <f t="shared" si="15"/>
        <v>JJ-0</v>
      </c>
      <c r="AS32" s="30">
        <f t="shared" si="16"/>
        <v>69</v>
      </c>
      <c r="AT32" s="30">
        <f t="shared" si="16"/>
        <v>53</v>
      </c>
      <c r="AU32" s="30">
        <f t="shared" si="16"/>
        <v>57</v>
      </c>
      <c r="AV32" s="30">
        <f t="shared" si="16"/>
        <v>67</v>
      </c>
      <c r="AW32" s="30">
        <f t="shared" si="16"/>
        <v>43</v>
      </c>
      <c r="AX32" s="35">
        <f t="shared" si="16"/>
        <v>33</v>
      </c>
      <c r="AY32" s="30"/>
      <c r="AZ32" s="30"/>
      <c r="BA32" s="30"/>
      <c r="BB32" s="30"/>
      <c r="BC32" s="30"/>
      <c r="BD32" s="30"/>
    </row>
    <row r="33" spans="2:56">
      <c r="B33" s="34">
        <f t="shared" si="9"/>
        <v>23</v>
      </c>
      <c r="C33" s="30" t="s">
        <v>136</v>
      </c>
      <c r="D33" s="30" t="s">
        <v>131</v>
      </c>
      <c r="E33" s="30" t="s">
        <v>133</v>
      </c>
      <c r="F33" s="30" t="s">
        <v>138</v>
      </c>
      <c r="G33" s="30" t="s">
        <v>132</v>
      </c>
      <c r="H33" s="35" t="s">
        <v>127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0000100001000</v>
      </c>
      <c r="AC33" s="15" t="str">
        <f t="shared" si="11"/>
        <v>0100100000000</v>
      </c>
      <c r="AD33" s="15" t="str">
        <f t="shared" si="11"/>
        <v>0000010100000</v>
      </c>
      <c r="AE33" s="15" t="str">
        <f t="shared" si="11"/>
        <v>0000000100010</v>
      </c>
      <c r="AF33" s="15" t="str">
        <f t="shared" si="11"/>
        <v>0000000100100</v>
      </c>
      <c r="AG33" s="41" t="str">
        <f t="shared" si="11"/>
        <v>0010100000000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79</v>
      </c>
      <c r="AL33" s="39" cm="1">
        <f t="array" ref="AL33">SUMPRODUCT(--(MID(AC$10:AC$135, SUMIF($Z$9:$Z$21, LEFT($AJ33,2), $Y$9:$Y$21), 1) = RIGHT($AJ33, 1)), K$10:K$135)</f>
        <v>55</v>
      </c>
      <c r="AM33" s="39" cm="1">
        <f t="array" ref="AM33">SUMPRODUCT(--(MID(AD$10:AD$135, SUMIF($Z$9:$Z$21, LEFT($AJ33,2), $Y$9:$Y$21), 1) = RIGHT($AJ33, 1)), L$10:L$135)</f>
        <v>73</v>
      </c>
      <c r="AN33" s="39" cm="1">
        <f t="array" ref="AN33">SUMPRODUCT(--(MID(AE$10:AE$135, SUMIF($Z$9:$Z$21, LEFT($AJ33,2), $Y$9:$Y$21), 1) = RIGHT($AJ33, 1)), M$10:M$135)</f>
        <v>55</v>
      </c>
      <c r="AO33" s="39" cm="1">
        <f t="array" ref="AO33">SUMPRODUCT(--(MID(AF$10:AF$135, SUMIF($Z$9:$Z$21, LEFT($AJ33,2), $Y$9:$Y$21), 1) = RIGHT($AJ33, 1)), N$10:N$135)</f>
        <v>45</v>
      </c>
      <c r="AP33" s="19" cm="1">
        <f t="array" ref="AP33">SUMPRODUCT(--(MID(AG$10:AG$135, SUMIF($Z$9:$Z$21, LEFT($AJ33,2), $Y$9:$Y$21), 1) = RIGHT($AJ33, 1)), O$10:O$135)</f>
        <v>33</v>
      </c>
      <c r="AR33" s="34" t="str">
        <f t="shared" si="15"/>
        <v>KK-0</v>
      </c>
      <c r="AS33" s="30">
        <f t="shared" si="16"/>
        <v>91</v>
      </c>
      <c r="AT33" s="30">
        <f t="shared" si="16"/>
        <v>63</v>
      </c>
      <c r="AU33" s="30">
        <f t="shared" si="16"/>
        <v>65</v>
      </c>
      <c r="AV33" s="30">
        <f t="shared" si="16"/>
        <v>64</v>
      </c>
      <c r="AW33" s="30">
        <f t="shared" si="16"/>
        <v>47</v>
      </c>
      <c r="AX33" s="35">
        <f t="shared" si="16"/>
        <v>33</v>
      </c>
      <c r="AY33" s="30"/>
      <c r="AZ33" s="30"/>
      <c r="BA33" s="30"/>
      <c r="BB33" s="30"/>
      <c r="BC33" s="30"/>
      <c r="BD33" s="30"/>
    </row>
    <row r="34" spans="2:56">
      <c r="B34" s="34">
        <f t="shared" si="9"/>
        <v>24</v>
      </c>
      <c r="C34" s="30" t="s">
        <v>136</v>
      </c>
      <c r="D34" s="30" t="s">
        <v>131</v>
      </c>
      <c r="E34" s="30" t="s">
        <v>133</v>
      </c>
      <c r="F34" s="30" t="s">
        <v>138</v>
      </c>
      <c r="G34" s="30" t="s">
        <v>132</v>
      </c>
      <c r="H34" s="35" t="s">
        <v>127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0000200000000</v>
      </c>
      <c r="AC34" s="15" t="str">
        <f t="shared" si="11"/>
        <v>0200000000000</v>
      </c>
      <c r="AD34" s="15" t="str">
        <f t="shared" si="11"/>
        <v>0000000200000</v>
      </c>
      <c r="AE34" s="15" t="str">
        <f t="shared" si="11"/>
        <v>0000000000020</v>
      </c>
      <c r="AF34" s="15" t="str">
        <f t="shared" si="11"/>
        <v>0000000000200</v>
      </c>
      <c r="AG34" s="41" t="str">
        <f t="shared" si="11"/>
        <v>0020000000000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81</v>
      </c>
      <c r="AT34" s="30">
        <f t="shared" si="16"/>
        <v>54</v>
      </c>
      <c r="AU34" s="30">
        <f t="shared" si="16"/>
        <v>73</v>
      </c>
      <c r="AV34" s="30">
        <f t="shared" si="16"/>
        <v>57</v>
      </c>
      <c r="AW34" s="30">
        <f t="shared" si="16"/>
        <v>37</v>
      </c>
      <c r="AX34" s="35">
        <f t="shared" si="16"/>
        <v>33</v>
      </c>
      <c r="AY34" s="30"/>
      <c r="AZ34" s="30"/>
      <c r="BA34" s="30"/>
      <c r="BB34" s="30"/>
      <c r="BC34" s="30"/>
      <c r="BD34" s="30"/>
    </row>
    <row r="35" spans="2:56">
      <c r="B35" s="34">
        <f t="shared" si="9"/>
        <v>25</v>
      </c>
      <c r="C35" s="30" t="s">
        <v>136</v>
      </c>
      <c r="D35" s="30" t="s">
        <v>131</v>
      </c>
      <c r="E35" s="30" t="s">
        <v>133</v>
      </c>
      <c r="F35" s="30" t="s">
        <v>138</v>
      </c>
      <c r="G35" s="30" t="s">
        <v>132</v>
      </c>
      <c r="H35" s="35" t="s">
        <v>127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0000200000000</v>
      </c>
      <c r="AC35" s="15" t="str">
        <f t="shared" si="11"/>
        <v>0200000000000</v>
      </c>
      <c r="AD35" s="15" t="str">
        <f t="shared" si="11"/>
        <v>0000000200000</v>
      </c>
      <c r="AE35" s="15" t="str">
        <f t="shared" si="11"/>
        <v>0000000000020</v>
      </c>
      <c r="AF35" s="15" t="str">
        <f t="shared" si="11"/>
        <v>0000000000200</v>
      </c>
      <c r="AG35" s="41" t="str">
        <f t="shared" si="11"/>
        <v>0020000000000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99</v>
      </c>
      <c r="AT35" s="37">
        <f t="shared" si="16"/>
        <v>71</v>
      </c>
      <c r="AU35" s="37">
        <f t="shared" si="16"/>
        <v>79</v>
      </c>
      <c r="AV35" s="37">
        <f t="shared" si="16"/>
        <v>77</v>
      </c>
      <c r="AW35" s="37">
        <f t="shared" si="16"/>
        <v>55</v>
      </c>
      <c r="AX35" s="38">
        <f t="shared" si="16"/>
        <v>39</v>
      </c>
    </row>
    <row r="36" spans="2:56">
      <c r="B36" s="34">
        <f t="shared" si="9"/>
        <v>26</v>
      </c>
      <c r="C36" s="30" t="s">
        <v>128</v>
      </c>
      <c r="D36" s="30" t="s">
        <v>128</v>
      </c>
      <c r="E36" s="30" t="s">
        <v>132</v>
      </c>
      <c r="F36" s="30" t="s">
        <v>134</v>
      </c>
      <c r="G36" s="30" t="s">
        <v>134</v>
      </c>
      <c r="H36" s="35" t="s">
        <v>131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0000101000000</v>
      </c>
      <c r="AC36" s="15" t="str">
        <f t="shared" si="11"/>
        <v>0100001000000</v>
      </c>
      <c r="AD36" s="15" t="str">
        <f t="shared" si="11"/>
        <v>0000000100100</v>
      </c>
      <c r="AE36" s="15" t="str">
        <f t="shared" si="11"/>
        <v>0001000000010</v>
      </c>
      <c r="AF36" s="15" t="str">
        <f t="shared" si="11"/>
        <v>0001000000100</v>
      </c>
      <c r="AG36" s="41" t="str">
        <f t="shared" si="11"/>
        <v>0110000000000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6">
      <c r="B37" s="34">
        <f t="shared" si="9"/>
        <v>27</v>
      </c>
      <c r="C37" s="30" t="s">
        <v>134</v>
      </c>
      <c r="D37" s="30" t="s">
        <v>128</v>
      </c>
      <c r="E37" s="30" t="s">
        <v>132</v>
      </c>
      <c r="F37" s="30" t="s">
        <v>134</v>
      </c>
      <c r="G37" s="30" t="s">
        <v>134</v>
      </c>
      <c r="H37" s="35" t="s">
        <v>131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0001001000000</v>
      </c>
      <c r="AC37" s="15" t="str">
        <f t="shared" si="11"/>
        <v>0000002000000</v>
      </c>
      <c r="AD37" s="15" t="str">
        <f t="shared" si="11"/>
        <v>0000000000200</v>
      </c>
      <c r="AE37" s="15" t="str">
        <f t="shared" si="11"/>
        <v>0002000000000</v>
      </c>
      <c r="AF37" s="15" t="str">
        <f t="shared" si="11"/>
        <v>0002000000000</v>
      </c>
      <c r="AG37" s="41" t="str">
        <f t="shared" si="11"/>
        <v>0200000000000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6">
      <c r="B38" s="34">
        <f t="shared" si="9"/>
        <v>28</v>
      </c>
      <c r="C38" s="30" t="s">
        <v>134</v>
      </c>
      <c r="D38" s="30" t="s">
        <v>128</v>
      </c>
      <c r="E38" s="30" t="s">
        <v>132</v>
      </c>
      <c r="F38" s="30" t="s">
        <v>134</v>
      </c>
      <c r="G38" s="30" t="s">
        <v>134</v>
      </c>
      <c r="H38" s="35" t="s">
        <v>131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0002000000000</v>
      </c>
      <c r="AC38" s="15" t="str">
        <f t="shared" si="11"/>
        <v>0000002000000</v>
      </c>
      <c r="AD38" s="15" t="str">
        <f t="shared" si="11"/>
        <v>0000000000200</v>
      </c>
      <c r="AE38" s="15" t="str">
        <f t="shared" si="11"/>
        <v>0002000000000</v>
      </c>
      <c r="AF38" s="15" t="str">
        <f t="shared" si="11"/>
        <v>0002000000000</v>
      </c>
      <c r="AG38" s="41" t="str">
        <f t="shared" si="11"/>
        <v>0200000000000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6">
      <c r="B39" s="34">
        <f t="shared" si="9"/>
        <v>29</v>
      </c>
      <c r="C39" s="30" t="s">
        <v>134</v>
      </c>
      <c r="D39" s="30" t="s">
        <v>128</v>
      </c>
      <c r="E39" s="30" t="s">
        <v>138</v>
      </c>
      <c r="F39" s="30" t="s">
        <v>129</v>
      </c>
      <c r="G39" s="30" t="s">
        <v>138</v>
      </c>
      <c r="H39" s="35" t="s">
        <v>129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0002000000000</v>
      </c>
      <c r="AC39" s="15" t="str">
        <f t="shared" si="11"/>
        <v>0000002000000</v>
      </c>
      <c r="AD39" s="15" t="str">
        <f t="shared" si="11"/>
        <v>0000000000110</v>
      </c>
      <c r="AE39" s="15" t="str">
        <f t="shared" si="11"/>
        <v>0001000001000</v>
      </c>
      <c r="AF39" s="15" t="str">
        <f t="shared" si="11"/>
        <v>0001000000010</v>
      </c>
      <c r="AG39" s="41" t="str">
        <f t="shared" si="11"/>
        <v>0100000001000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6">
      <c r="B40" s="34">
        <f t="shared" si="9"/>
        <v>30</v>
      </c>
      <c r="C40" s="30" t="s">
        <v>137</v>
      </c>
      <c r="D40" s="30" t="s">
        <v>131</v>
      </c>
      <c r="E40" s="30" t="s">
        <v>138</v>
      </c>
      <c r="F40" s="30" t="s">
        <v>129</v>
      </c>
      <c r="G40" s="30" t="s">
        <v>138</v>
      </c>
      <c r="H40" s="35" t="s">
        <v>129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0001010000000</v>
      </c>
      <c r="AC40" s="15" t="str">
        <f t="shared" si="11"/>
        <v>0100001000000</v>
      </c>
      <c r="AD40" s="15" t="str">
        <f t="shared" si="11"/>
        <v>0000000000020</v>
      </c>
      <c r="AE40" s="15" t="str">
        <f t="shared" si="11"/>
        <v>0000000002000</v>
      </c>
      <c r="AF40" s="15" t="str">
        <f t="shared" si="11"/>
        <v>0000000000020</v>
      </c>
      <c r="AG40" s="41" t="str">
        <f t="shared" si="11"/>
        <v>0000000002000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12</v>
      </c>
      <c r="AL40" s="39" cm="1">
        <f t="array" ref="AL40">SUMPRODUCT(--(MID(AC$10:AC$135, SUMIF($Z$9:$Z$21, LEFT($AJ40,2), $Y$9:$Y$21), 1) = RIGHT($AJ40, 1)), K$10:K$135)</f>
        <v>4</v>
      </c>
      <c r="AM40" s="39" cm="1">
        <f t="array" ref="AM40">SUMPRODUCT(--(MID(AD$10:AD$135, SUMIF($Z$9:$Z$21, LEFT($AJ40,2), $Y$9:$Y$21), 1) = RIGHT($AJ40, 1)), L$10:L$135)</f>
        <v>4</v>
      </c>
      <c r="AN40" s="39" cm="1">
        <f t="array" ref="AN40">SUMPRODUCT(--(MID(AE$10:AE$135, SUMIF($Z$9:$Z$21, LEFT($AJ40,2), $Y$9:$Y$21), 1) = RIGHT($AJ40, 1)), M$10:M$135)</f>
        <v>6</v>
      </c>
      <c r="AO40" s="39" cm="1">
        <f t="array" ref="AO40">SUMPRODUCT(--(MID(AF$10:AF$135, SUMIF($Z$9:$Z$21, LEFT($AJ40,2), $Y$9:$Y$21), 1) = RIGHT($AJ40, 1)), N$10:N$135)</f>
        <v>6</v>
      </c>
      <c r="AP40" s="19" cm="1">
        <f t="array" ref="AP40">SUMPRODUCT(--(MID(AG$10:AG$135, SUMIF($Z$9:$Z$21, LEFT($AJ40,2), $Y$9:$Y$21), 1) = RIGHT($AJ40, 1)), O$10:O$135)</f>
        <v>6</v>
      </c>
    </row>
    <row r="41" spans="2:56">
      <c r="B41" s="34">
        <f t="shared" si="9"/>
        <v>31</v>
      </c>
      <c r="C41" s="30" t="s">
        <v>127</v>
      </c>
      <c r="D41" s="30" t="s">
        <v>132</v>
      </c>
      <c r="E41" s="30" t="s">
        <v>138</v>
      </c>
      <c r="F41" s="30" t="s">
        <v>129</v>
      </c>
      <c r="G41" s="30" t="s">
        <v>138</v>
      </c>
      <c r="H41" s="35" t="s">
        <v>129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0010010000000</v>
      </c>
      <c r="AC41" s="15" t="str">
        <f t="shared" si="11"/>
        <v>0100000000100</v>
      </c>
      <c r="AD41" s="15" t="str">
        <f t="shared" si="11"/>
        <v>0000000000020</v>
      </c>
      <c r="AE41" s="15" t="str">
        <f t="shared" si="11"/>
        <v>0000000002000</v>
      </c>
      <c r="AF41" s="15" t="str">
        <f t="shared" si="11"/>
        <v>0000000000020</v>
      </c>
      <c r="AG41" s="41" t="str">
        <f t="shared" si="11"/>
        <v>0000000002000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85</v>
      </c>
      <c r="AL41" s="39" cm="1">
        <f t="array" ref="AL41">SUMPRODUCT(--(MID(AC$10:AC$135, SUMIF($Z$9:$Z$21, LEFT($AJ41,2), $Y$9:$Y$21), 1) = RIGHT($AJ41, 1)), K$10:K$135)</f>
        <v>67</v>
      </c>
      <c r="AM41" s="39" cm="1">
        <f t="array" ref="AM41">SUMPRODUCT(--(MID(AD$10:AD$135, SUMIF($Z$9:$Z$21, LEFT($AJ41,2), $Y$9:$Y$21), 1) = RIGHT($AJ41, 1)), L$10:L$135)</f>
        <v>75</v>
      </c>
      <c r="AN41" s="39" cm="1">
        <f t="array" ref="AN41">SUMPRODUCT(--(MID(AE$10:AE$135, SUMIF($Z$9:$Z$21, LEFT($AJ41,2), $Y$9:$Y$21), 1) = RIGHT($AJ41, 1)), M$10:M$135)</f>
        <v>71</v>
      </c>
      <c r="AO41" s="39" cm="1">
        <f t="array" ref="AO41">SUMPRODUCT(--(MID(AF$10:AF$135, SUMIF($Z$9:$Z$21, LEFT($AJ41,2), $Y$9:$Y$21), 1) = RIGHT($AJ41, 1)), N$10:N$135)</f>
        <v>49</v>
      </c>
      <c r="AP41" s="19" cm="1">
        <f t="array" ref="AP41">SUMPRODUCT(--(MID(AG$10:AG$135, SUMIF($Z$9:$Z$21, LEFT($AJ41,2), $Y$9:$Y$21), 1) = RIGHT($AJ41, 1)), O$10:O$135)</f>
        <v>31</v>
      </c>
    </row>
    <row r="42" spans="2:56">
      <c r="B42" s="34">
        <f t="shared" si="9"/>
        <v>32</v>
      </c>
      <c r="C42" s="30" t="s">
        <v>127</v>
      </c>
      <c r="D42" s="30" t="s">
        <v>132</v>
      </c>
      <c r="E42" s="30" t="s">
        <v>134</v>
      </c>
      <c r="F42" s="30" t="s">
        <v>127</v>
      </c>
      <c r="G42" s="30" t="s">
        <v>129</v>
      </c>
      <c r="H42" s="35" t="s">
        <v>134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0020000000000</v>
      </c>
      <c r="AC42" s="15" t="str">
        <f t="shared" si="11"/>
        <v>0000000000200</v>
      </c>
      <c r="AD42" s="15" t="str">
        <f t="shared" si="11"/>
        <v>0001000000010</v>
      </c>
      <c r="AE42" s="15" t="str">
        <f t="shared" si="11"/>
        <v>0010000001000</v>
      </c>
      <c r="AF42" s="15" t="str">
        <f t="shared" si="11"/>
        <v>0000000001010</v>
      </c>
      <c r="AG42" s="41" t="str">
        <f t="shared" si="11"/>
        <v>0001000001000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6">
      <c r="B43" s="34">
        <f t="shared" si="9"/>
        <v>33</v>
      </c>
      <c r="C43" s="30" t="s">
        <v>127</v>
      </c>
      <c r="D43" s="30" t="s">
        <v>132</v>
      </c>
      <c r="E43" s="30" t="s">
        <v>134</v>
      </c>
      <c r="F43" s="30" t="s">
        <v>134</v>
      </c>
      <c r="G43" s="30" t="s">
        <v>138</v>
      </c>
      <c r="H43" s="35" t="s">
        <v>134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0020000000000</v>
      </c>
      <c r="AC43" s="15" t="str">
        <f t="shared" si="11"/>
        <v>0000000000200</v>
      </c>
      <c r="AD43" s="15" t="str">
        <f t="shared" si="11"/>
        <v>0002000000000</v>
      </c>
      <c r="AE43" s="15" t="str">
        <f t="shared" si="11"/>
        <v>0011000000000</v>
      </c>
      <c r="AF43" s="15" t="str">
        <f t="shared" si="11"/>
        <v>0000000001010</v>
      </c>
      <c r="AG43" s="41" t="str">
        <f t="shared" si="11"/>
        <v>0002000000000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6">
      <c r="B44" s="34">
        <f t="shared" si="9"/>
        <v>34</v>
      </c>
      <c r="C44" s="30" t="s">
        <v>134</v>
      </c>
      <c r="D44" s="30" t="s">
        <v>133</v>
      </c>
      <c r="E44" s="30" t="s">
        <v>134</v>
      </c>
      <c r="F44" s="30" t="s">
        <v>130</v>
      </c>
      <c r="G44" s="30" t="s">
        <v>133</v>
      </c>
      <c r="H44" s="35" t="s">
        <v>134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0011000000000</v>
      </c>
      <c r="AC44" s="15" t="str">
        <f t="shared" si="11"/>
        <v>0000000100100</v>
      </c>
      <c r="AD44" s="15" t="str">
        <f t="shared" si="11"/>
        <v>0002000000000</v>
      </c>
      <c r="AE44" s="15" t="str">
        <f t="shared" si="11"/>
        <v>0001000010000</v>
      </c>
      <c r="AF44" s="15" t="str">
        <f t="shared" si="11"/>
        <v>0000000100010</v>
      </c>
      <c r="AG44" s="41" t="str">
        <f t="shared" si="11"/>
        <v>0002000000000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6">
      <c r="B45" s="34">
        <f t="shared" si="9"/>
        <v>35</v>
      </c>
      <c r="C45" s="30" t="s">
        <v>133</v>
      </c>
      <c r="D45" s="30" t="s">
        <v>134</v>
      </c>
      <c r="E45" s="30" t="s">
        <v>133</v>
      </c>
      <c r="F45" s="30" t="s">
        <v>138</v>
      </c>
      <c r="G45" s="30" t="s">
        <v>134</v>
      </c>
      <c r="H45" s="35" t="s">
        <v>128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0001000100000</v>
      </c>
      <c r="AC45" s="15" t="str">
        <f t="shared" si="11"/>
        <v>0001000100000</v>
      </c>
      <c r="AD45" s="15" t="str">
        <f t="shared" si="11"/>
        <v>0001000100000</v>
      </c>
      <c r="AE45" s="15" t="str">
        <f t="shared" si="11"/>
        <v>0000000010010</v>
      </c>
      <c r="AF45" s="15" t="str">
        <f t="shared" si="11"/>
        <v>0001000100000</v>
      </c>
      <c r="AG45" s="41" t="str">
        <f t="shared" si="11"/>
        <v>0001001000000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6">
      <c r="B46" s="34">
        <f t="shared" si="9"/>
        <v>36</v>
      </c>
      <c r="C46" s="30" t="s">
        <v>133</v>
      </c>
      <c r="D46" s="30" t="s">
        <v>127</v>
      </c>
      <c r="E46" s="30" t="s">
        <v>128</v>
      </c>
      <c r="F46" s="30" t="s">
        <v>127</v>
      </c>
      <c r="G46" s="30" t="s">
        <v>133</v>
      </c>
      <c r="H46" s="35" t="s">
        <v>128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0000000200000</v>
      </c>
      <c r="AC46" s="15" t="str">
        <f t="shared" si="11"/>
        <v>0011000000000</v>
      </c>
      <c r="AD46" s="15" t="str">
        <f t="shared" si="11"/>
        <v>0000001100000</v>
      </c>
      <c r="AE46" s="15" t="str">
        <f t="shared" si="11"/>
        <v>0010000000010</v>
      </c>
      <c r="AF46" s="15" t="str">
        <f t="shared" si="11"/>
        <v>0001000100000</v>
      </c>
      <c r="AG46" s="41" t="str">
        <f t="shared" si="11"/>
        <v>0000002000000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6">
      <c r="B47" s="34">
        <f t="shared" si="9"/>
        <v>37</v>
      </c>
      <c r="C47" s="30" t="s">
        <v>133</v>
      </c>
      <c r="D47" s="30" t="s">
        <v>131</v>
      </c>
      <c r="E47" s="30" t="s">
        <v>132</v>
      </c>
      <c r="F47" s="30" t="s">
        <v>131</v>
      </c>
      <c r="G47" s="30" t="s">
        <v>131</v>
      </c>
      <c r="H47" s="35" t="s">
        <v>128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0000000200000</v>
      </c>
      <c r="AC47" s="15" t="str">
        <f t="shared" si="11"/>
        <v>0110000000000</v>
      </c>
      <c r="AD47" s="15" t="str">
        <f t="shared" si="11"/>
        <v>0000001000100</v>
      </c>
      <c r="AE47" s="15" t="str">
        <f t="shared" si="11"/>
        <v>0110000000000</v>
      </c>
      <c r="AF47" s="15" t="str">
        <f t="shared" si="11"/>
        <v>0100000100000</v>
      </c>
      <c r="AG47" s="41" t="str">
        <f t="shared" si="11"/>
        <v>0000002000000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6">
      <c r="B48" s="34">
        <f t="shared" si="9"/>
        <v>38</v>
      </c>
      <c r="C48" s="30" t="s">
        <v>130</v>
      </c>
      <c r="D48" s="30" t="s">
        <v>127</v>
      </c>
      <c r="E48" s="30" t="s">
        <v>127</v>
      </c>
      <c r="F48" s="30" t="s">
        <v>138</v>
      </c>
      <c r="G48" s="30" t="s">
        <v>133</v>
      </c>
      <c r="H48" s="35" t="s">
        <v>136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0000000110000</v>
      </c>
      <c r="AC48" s="15" t="str">
        <f t="shared" si="11"/>
        <v>0110000000000</v>
      </c>
      <c r="AD48" s="15" t="str">
        <f t="shared" si="11"/>
        <v>0010000000100</v>
      </c>
      <c r="AE48" s="15" t="str">
        <f t="shared" si="11"/>
        <v>0100000000010</v>
      </c>
      <c r="AF48" s="15" t="str">
        <f t="shared" si="11"/>
        <v>0100000100000</v>
      </c>
      <c r="AG48" s="41" t="str">
        <f t="shared" si="11"/>
        <v>0000101000000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2</v>
      </c>
      <c r="AM48" s="39" cm="1">
        <f t="array" ref="AM48">SUMPRODUCT(--(MID(AD$10:AD$135, SUMIF($Z$9:$Z$21, LEFT($AJ48,2), $Y$9:$Y$21), 1) = RIGHT($AJ48, 1)), L$10:L$135)</f>
        <v>12</v>
      </c>
      <c r="AN48" s="39" cm="1">
        <f t="array" ref="AN48">SUMPRODUCT(--(MID(AE$10:AE$135, SUMIF($Z$9:$Z$21, LEFT($AJ48,2), $Y$9:$Y$21), 1) = RIGHT($AJ48, 1)), M$10:M$135)</f>
        <v>12</v>
      </c>
      <c r="AO48" s="39" cm="1">
        <f t="array" ref="AO48">SUMPRODUCT(--(MID(AF$10:AF$135, SUMIF($Z$9:$Z$21, LEFT($AJ48,2), $Y$9:$Y$21), 1) = RIGHT($AJ48, 1)), N$10:N$135)</f>
        <v>2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131</v>
      </c>
      <c r="D49" s="30" t="s">
        <v>134</v>
      </c>
      <c r="E49" s="30" t="s">
        <v>132</v>
      </c>
      <c r="F49" s="30" t="s">
        <v>132</v>
      </c>
      <c r="G49" s="30" t="s">
        <v>136</v>
      </c>
      <c r="H49" s="35"/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 t="str">
        <f t="shared" si="3"/>
        <v/>
      </c>
      <c r="Y49" s="21"/>
      <c r="Z49" s="21"/>
      <c r="AA49" s="15"/>
      <c r="AB49" s="40" t="str">
        <f t="shared" si="11"/>
        <v>0100000010000</v>
      </c>
      <c r="AC49" s="15" t="str">
        <f t="shared" si="11"/>
        <v>0011000000000</v>
      </c>
      <c r="AD49" s="15" t="str">
        <f t="shared" si="11"/>
        <v>0010000000100</v>
      </c>
      <c r="AE49" s="15" t="str">
        <f t="shared" si="11"/>
        <v>0000000000110</v>
      </c>
      <c r="AF49" s="15" t="str">
        <f t="shared" si="11"/>
        <v>0000100100000</v>
      </c>
      <c r="AG49" s="41" t="str">
        <f t="shared" si="11"/>
        <v/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97</v>
      </c>
      <c r="AL49" s="39" cm="1">
        <f t="array" ref="AL49">SUMPRODUCT(--(MID(AC$10:AC$135, SUMIF($Z$9:$Z$21, LEFT($AJ49,2), $Y$9:$Y$21), 1) = RIGHT($AJ49, 1)), K$10:K$135)</f>
        <v>69</v>
      </c>
      <c r="AM49" s="39" cm="1">
        <f t="array" ref="AM49">SUMPRODUCT(--(MID(AD$10:AD$135, SUMIF($Z$9:$Z$21, LEFT($AJ49,2), $Y$9:$Y$21), 1) = RIGHT($AJ49, 1)), L$10:L$135)</f>
        <v>67</v>
      </c>
      <c r="AN49" s="39" cm="1">
        <f t="array" ref="AN49">SUMPRODUCT(--(MID(AE$10:AE$135, SUMIF($Z$9:$Z$21, LEFT($AJ49,2), $Y$9:$Y$21), 1) = RIGHT($AJ49, 1)), M$10:M$135)</f>
        <v>65</v>
      </c>
      <c r="AO49" s="39" cm="1">
        <f t="array" ref="AO49">SUMPRODUCT(--(MID(AF$10:AF$135, SUMIF($Z$9:$Z$21, LEFT($AJ49,2), $Y$9:$Y$21), 1) = RIGHT($AJ49, 1)), N$10:N$135)</f>
        <v>53</v>
      </c>
      <c r="AP49" s="19" cm="1">
        <f t="array" ref="AP49">SUMPRODUCT(--(MID(AG$10:AG$135, SUMIF($Z$9:$Z$21, LEFT($AJ49,2), $Y$9:$Y$21), 1) = RIGHT($AJ49, 1)), O$10:O$135)</f>
        <v>37</v>
      </c>
    </row>
    <row r="50" spans="2:42">
      <c r="B50" s="34">
        <f t="shared" si="9"/>
        <v>40</v>
      </c>
      <c r="C50" s="30" t="s">
        <v>138</v>
      </c>
      <c r="D50" s="30" t="s">
        <v>136</v>
      </c>
      <c r="E50" s="30" t="s">
        <v>127</v>
      </c>
      <c r="F50" s="30" t="s">
        <v>131</v>
      </c>
      <c r="G50" s="30" t="s">
        <v>138</v>
      </c>
      <c r="H50" s="35"/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 t="str">
        <f t="shared" si="3"/>
        <v/>
      </c>
      <c r="Y50" s="21"/>
      <c r="Z50" s="21"/>
      <c r="AA50" s="15"/>
      <c r="AB50" s="40" t="str">
        <f t="shared" si="11"/>
        <v>0100000000010</v>
      </c>
      <c r="AC50" s="15" t="str">
        <f t="shared" si="11"/>
        <v>0001100000000</v>
      </c>
      <c r="AD50" s="15" t="str">
        <f t="shared" si="11"/>
        <v>0010000000100</v>
      </c>
      <c r="AE50" s="15" t="str">
        <f t="shared" si="11"/>
        <v>0100000000100</v>
      </c>
      <c r="AF50" s="15" t="str">
        <f t="shared" si="11"/>
        <v>0000100000010</v>
      </c>
      <c r="AG50" s="41" t="str">
        <f t="shared" si="11"/>
        <v/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131</v>
      </c>
      <c r="D51" s="30" t="s">
        <v>129</v>
      </c>
      <c r="E51" s="30" t="s">
        <v>136</v>
      </c>
      <c r="F51" s="30" t="s">
        <v>132</v>
      </c>
      <c r="G51" s="30" t="s">
        <v>131</v>
      </c>
      <c r="H51" s="35"/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 t="str">
        <f t="shared" si="3"/>
        <v/>
      </c>
      <c r="Y51" s="21"/>
      <c r="Z51" s="21"/>
      <c r="AA51" s="15"/>
      <c r="AB51" s="40" t="str">
        <f t="shared" si="11"/>
        <v>0100000000010</v>
      </c>
      <c r="AC51" s="15" t="str">
        <f t="shared" si="11"/>
        <v>0000100001000</v>
      </c>
      <c r="AD51" s="15" t="str">
        <f t="shared" si="11"/>
        <v>0010100000000</v>
      </c>
      <c r="AE51" s="15" t="str">
        <f t="shared" si="11"/>
        <v>0100000000100</v>
      </c>
      <c r="AF51" s="15" t="str">
        <f t="shared" si="11"/>
        <v>0100000000010</v>
      </c>
      <c r="AG51" s="41" t="str">
        <f t="shared" si="11"/>
        <v/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127</v>
      </c>
      <c r="D52" s="30" t="s">
        <v>131</v>
      </c>
      <c r="E52" s="30" t="s">
        <v>129</v>
      </c>
      <c r="F52" s="30" t="s">
        <v>134</v>
      </c>
      <c r="G52" s="30" t="s">
        <v>138</v>
      </c>
      <c r="H52" s="35"/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 t="str">
        <f t="shared" si="3"/>
        <v/>
      </c>
      <c r="Y52" s="21"/>
      <c r="Z52" s="21"/>
      <c r="AA52" s="15"/>
      <c r="AB52" s="40" t="str">
        <f t="shared" si="11"/>
        <v>0110000000000</v>
      </c>
      <c r="AC52" s="15" t="str">
        <f t="shared" si="11"/>
        <v>0100000001000</v>
      </c>
      <c r="AD52" s="15" t="str">
        <f t="shared" si="11"/>
        <v>0000100001000</v>
      </c>
      <c r="AE52" s="15" t="str">
        <f t="shared" si="11"/>
        <v>0001000000100</v>
      </c>
      <c r="AF52" s="15" t="str">
        <f t="shared" si="11"/>
        <v>0100000000010</v>
      </c>
      <c r="AG52" s="41" t="str">
        <f t="shared" si="11"/>
        <v/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129</v>
      </c>
      <c r="D53" s="30" t="s">
        <v>138</v>
      </c>
      <c r="E53" s="30" t="s">
        <v>137</v>
      </c>
      <c r="F53" s="30" t="s">
        <v>138</v>
      </c>
      <c r="G53" s="30" t="s">
        <v>133</v>
      </c>
      <c r="H53" s="35"/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 t="str">
        <f t="shared" si="3"/>
        <v/>
      </c>
      <c r="Y53" s="21"/>
      <c r="Z53" s="21"/>
      <c r="AA53" s="15"/>
      <c r="AB53" s="40" t="str">
        <f t="shared" si="11"/>
        <v>0010000001000</v>
      </c>
      <c r="AC53" s="15" t="str">
        <f t="shared" si="11"/>
        <v>0100000000010</v>
      </c>
      <c r="AD53" s="15" t="str">
        <f t="shared" si="11"/>
        <v>0000010001000</v>
      </c>
      <c r="AE53" s="15" t="str">
        <f t="shared" si="11"/>
        <v>0001000000010</v>
      </c>
      <c r="AF53" s="15" t="str">
        <f t="shared" si="11"/>
        <v>0000000100010</v>
      </c>
      <c r="AG53" s="41" t="str">
        <f t="shared" si="11"/>
        <v/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133</v>
      </c>
      <c r="D54" s="30" t="s">
        <v>129</v>
      </c>
      <c r="E54" s="30" t="s">
        <v>129</v>
      </c>
      <c r="F54" s="30" t="s">
        <v>137</v>
      </c>
      <c r="G54" s="30" t="s">
        <v>138</v>
      </c>
      <c r="H54" s="35"/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 t="str">
        <f t="shared" si="3"/>
        <v/>
      </c>
      <c r="Y54" s="21"/>
      <c r="Z54" s="21"/>
      <c r="AA54" s="15"/>
      <c r="AB54" s="40" t="str">
        <f t="shared" si="11"/>
        <v>0000000101000</v>
      </c>
      <c r="AC54" s="15" t="str">
        <f t="shared" si="11"/>
        <v>0000000001010</v>
      </c>
      <c r="AD54" s="15" t="str">
        <f t="shared" si="11"/>
        <v>0000010001000</v>
      </c>
      <c r="AE54" s="15" t="str">
        <f t="shared" si="11"/>
        <v>0000010000010</v>
      </c>
      <c r="AF54" s="15" t="str">
        <f t="shared" si="11"/>
        <v>0000000100010</v>
      </c>
      <c r="AG54" s="41" t="str">
        <f t="shared" si="11"/>
        <v/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134</v>
      </c>
      <c r="D55" s="30" t="s">
        <v>131</v>
      </c>
      <c r="E55" s="30" t="s">
        <v>127</v>
      </c>
      <c r="F55" s="30" t="s">
        <v>131</v>
      </c>
      <c r="G55" s="30" t="s">
        <v>129</v>
      </c>
      <c r="H55" s="35"/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 t="str">
        <f t="shared" si="3"/>
        <v/>
      </c>
      <c r="Y55" s="21"/>
      <c r="Z55" s="21"/>
      <c r="AA55" s="15"/>
      <c r="AB55" s="40" t="str">
        <f t="shared" si="11"/>
        <v>0001000100000</v>
      </c>
      <c r="AC55" s="15" t="str">
        <f t="shared" si="11"/>
        <v>0100000001000</v>
      </c>
      <c r="AD55" s="15" t="str">
        <f t="shared" si="11"/>
        <v>0010000001000</v>
      </c>
      <c r="AE55" s="15" t="str">
        <f t="shared" si="11"/>
        <v>0100010000000</v>
      </c>
      <c r="AF55" s="15" t="str">
        <f t="shared" si="11"/>
        <v>0000000001010</v>
      </c>
      <c r="AG55" s="41" t="str">
        <f t="shared" si="11"/>
        <v/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3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0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131</v>
      </c>
      <c r="D56" s="30" t="s">
        <v>134</v>
      </c>
      <c r="E56" s="30" t="s">
        <v>131</v>
      </c>
      <c r="F56" s="30" t="s">
        <v>129</v>
      </c>
      <c r="G56" s="30" t="s">
        <v>133</v>
      </c>
      <c r="H56" s="35"/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 t="str">
        <f t="shared" si="3"/>
        <v/>
      </c>
      <c r="Y56" s="21"/>
      <c r="Z56" s="21"/>
      <c r="AA56" s="15"/>
      <c r="AB56" s="40" t="str">
        <f t="shared" si="11"/>
        <v>0101000000000</v>
      </c>
      <c r="AC56" s="15" t="str">
        <f t="shared" si="11"/>
        <v>0101000000000</v>
      </c>
      <c r="AD56" s="15" t="str">
        <f t="shared" si="11"/>
        <v>0110000000000</v>
      </c>
      <c r="AE56" s="15" t="str">
        <f t="shared" si="11"/>
        <v>0100000001000</v>
      </c>
      <c r="AF56" s="15" t="str">
        <f t="shared" si="11"/>
        <v>0000000101000</v>
      </c>
      <c r="AG56" s="41" t="str">
        <f t="shared" si="11"/>
        <v/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4</v>
      </c>
      <c r="AL56" s="39" cm="1">
        <f t="array" ref="AL56">SUMPRODUCT(--(MID(AC$10:AC$135, SUMIF($Z$9:$Z$21, LEFT($AJ56,2), $Y$9:$Y$21), 1) = RIGHT($AJ56, 1)), K$10:K$135)</f>
        <v>10</v>
      </c>
      <c r="AM56" s="39" cm="1">
        <f t="array" ref="AM56">SUMPRODUCT(--(MID(AD$10:AD$135, SUMIF($Z$9:$Z$21, LEFT($AJ56,2), $Y$9:$Y$21), 1) = RIGHT($AJ56, 1)), L$10:L$135)</f>
        <v>12</v>
      </c>
      <c r="AN56" s="39" cm="1">
        <f t="array" ref="AN56">SUMPRODUCT(--(MID(AE$10:AE$135, SUMIF($Z$9:$Z$21, LEFT($AJ56,2), $Y$9:$Y$21), 1) = RIGHT($AJ56, 1)), M$10:M$135)</f>
        <v>6</v>
      </c>
      <c r="AO56" s="39" cm="1">
        <f t="array" ref="AO56">SUMPRODUCT(--(MID(AF$10:AF$135, SUMIF($Z$9:$Z$21, LEFT($AJ56,2), $Y$9:$Y$21), 1) = RIGHT($AJ56, 1)), N$10:N$135)</f>
        <v>2</v>
      </c>
      <c r="AP56" s="19" cm="1">
        <f t="array" ref="AP56">SUMPRODUCT(--(MID(AG$10:AG$135, SUMIF($Z$9:$Z$21, LEFT($AJ56,2), $Y$9:$Y$21), 1) = RIGHT($AJ56, 1)), O$10:O$135)</f>
        <v>4</v>
      </c>
    </row>
    <row r="57" spans="2:42">
      <c r="B57" s="34">
        <f t="shared" si="9"/>
        <v>47</v>
      </c>
      <c r="C57" s="30" t="s">
        <v>129</v>
      </c>
      <c r="D57" s="30" t="s">
        <v>129</v>
      </c>
      <c r="E57" s="30" t="s">
        <v>137</v>
      </c>
      <c r="F57" s="30" t="s">
        <v>134</v>
      </c>
      <c r="G57" s="30" t="s">
        <v>138</v>
      </c>
      <c r="H57" s="35"/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 t="str">
        <f t="shared" si="3"/>
        <v/>
      </c>
      <c r="Y57" s="21"/>
      <c r="Z57" s="21"/>
      <c r="AA57" s="15"/>
      <c r="AB57" s="40" t="str">
        <f t="shared" si="11"/>
        <v>0100000001000</v>
      </c>
      <c r="AC57" s="15" t="str">
        <f t="shared" si="11"/>
        <v>0001000001000</v>
      </c>
      <c r="AD57" s="15" t="str">
        <f t="shared" si="11"/>
        <v>0100010000000</v>
      </c>
      <c r="AE57" s="15" t="str">
        <f t="shared" si="11"/>
        <v>0001000001000</v>
      </c>
      <c r="AF57" s="15" t="str">
        <f t="shared" si="11"/>
        <v>0000000100010</v>
      </c>
      <c r="AG57" s="41" t="str">
        <f t="shared" si="11"/>
        <v/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93</v>
      </c>
      <c r="AL57" s="39" cm="1">
        <f t="array" ref="AL57">SUMPRODUCT(--(MID(AC$10:AC$135, SUMIF($Z$9:$Z$21, LEFT($AJ57,2), $Y$9:$Y$21), 1) = RIGHT($AJ57, 1)), K$10:K$135)</f>
        <v>58</v>
      </c>
      <c r="AM57" s="39" cm="1">
        <f t="array" ref="AM57">SUMPRODUCT(--(MID(AD$10:AD$135, SUMIF($Z$9:$Z$21, LEFT($AJ57,2), $Y$9:$Y$21), 1) = RIGHT($AJ57, 1)), L$10:L$135)</f>
        <v>65</v>
      </c>
      <c r="AN57" s="39" cm="1">
        <f t="array" ref="AN57">SUMPRODUCT(--(MID(AE$10:AE$135, SUMIF($Z$9:$Z$21, LEFT($AJ57,2), $Y$9:$Y$21), 1) = RIGHT($AJ57, 1)), M$10:M$135)</f>
        <v>71</v>
      </c>
      <c r="AO57" s="39" cm="1">
        <f t="array" ref="AO57">SUMPRODUCT(--(MID(AF$10:AF$135, SUMIF($Z$9:$Z$21, LEFT($AJ57,2), $Y$9:$Y$21), 1) = RIGHT($AJ57, 1)), N$10:N$135)</f>
        <v>53</v>
      </c>
      <c r="AP57" s="19" cm="1">
        <f t="array" ref="AP57">SUMPRODUCT(--(MID(AG$10:AG$135, SUMIF($Z$9:$Z$21, LEFT($AJ57,2), $Y$9:$Y$21), 1) = RIGHT($AJ57, 1)), O$10:O$135)</f>
        <v>33</v>
      </c>
    </row>
    <row r="58" spans="2:42">
      <c r="B58" s="34">
        <f t="shared" si="9"/>
        <v>48</v>
      </c>
      <c r="C58" s="30" t="s">
        <v>130</v>
      </c>
      <c r="D58" s="30" t="s">
        <v>128</v>
      </c>
      <c r="E58" s="30" t="s">
        <v>129</v>
      </c>
      <c r="F58" s="30" t="s">
        <v>138</v>
      </c>
      <c r="G58" s="30" t="s">
        <v>129</v>
      </c>
      <c r="H58" s="35"/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 t="str">
        <f t="shared" si="3"/>
        <v/>
      </c>
      <c r="Y58" s="21"/>
      <c r="Z58" s="21"/>
      <c r="AA58" s="15"/>
      <c r="AB58" s="40" t="str">
        <f t="shared" si="11"/>
        <v>0000000011000</v>
      </c>
      <c r="AC58" s="15" t="str">
        <f t="shared" si="11"/>
        <v>0000001001000</v>
      </c>
      <c r="AD58" s="15" t="str">
        <f t="shared" si="11"/>
        <v>0000010001000</v>
      </c>
      <c r="AE58" s="15" t="str">
        <f t="shared" si="11"/>
        <v>0001000000010</v>
      </c>
      <c r="AF58" s="15" t="str">
        <f t="shared" si="11"/>
        <v>0000000001010</v>
      </c>
      <c r="AG58" s="41" t="str">
        <f t="shared" si="11"/>
        <v/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129</v>
      </c>
      <c r="D59" s="30" t="s">
        <v>129</v>
      </c>
      <c r="E59" s="30" t="s">
        <v>131</v>
      </c>
      <c r="F59" s="30" t="s">
        <v>131</v>
      </c>
      <c r="G59" s="30" t="s">
        <v>136</v>
      </c>
      <c r="H59" s="35"/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 t="str">
        <f t="shared" si="3"/>
        <v/>
      </c>
      <c r="Y59" s="21"/>
      <c r="Z59" s="21"/>
      <c r="AA59" s="15"/>
      <c r="AB59" s="40" t="str">
        <f t="shared" si="11"/>
        <v>0000000011000</v>
      </c>
      <c r="AC59" s="15" t="str">
        <f t="shared" si="11"/>
        <v>0000001001000</v>
      </c>
      <c r="AD59" s="15" t="str">
        <f t="shared" si="11"/>
        <v>0100000001000</v>
      </c>
      <c r="AE59" s="15" t="str">
        <f t="shared" si="11"/>
        <v>0100000000010</v>
      </c>
      <c r="AF59" s="15" t="str">
        <f t="shared" si="11"/>
        <v>0000100001000</v>
      </c>
      <c r="AG59" s="41" t="str">
        <f t="shared" si="11"/>
        <v/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138</v>
      </c>
      <c r="D60" s="30" t="s">
        <v>128</v>
      </c>
      <c r="E60" s="30" t="s">
        <v>128</v>
      </c>
      <c r="F60" s="30" t="s">
        <v>134</v>
      </c>
      <c r="G60" s="30" t="s">
        <v>133</v>
      </c>
      <c r="H60" s="35"/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 t="str">
        <f t="shared" si="21"/>
        <v/>
      </c>
      <c r="AA60" s="15"/>
      <c r="AB60" s="40" t="str">
        <f t="shared" si="11"/>
        <v>0000000001010</v>
      </c>
      <c r="AC60" s="15" t="str">
        <f t="shared" si="11"/>
        <v>0000001001000</v>
      </c>
      <c r="AD60" s="15" t="str">
        <f t="shared" si="11"/>
        <v>0100001000000</v>
      </c>
      <c r="AE60" s="15" t="str">
        <f t="shared" si="11"/>
        <v>0101000000000</v>
      </c>
      <c r="AF60" s="15" t="str">
        <f t="shared" si="11"/>
        <v>0000100100000</v>
      </c>
      <c r="AG60" s="41" t="str">
        <f t="shared" si="11"/>
        <v/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129</v>
      </c>
      <c r="D61" s="30" t="s">
        <v>132</v>
      </c>
      <c r="E61" s="30" t="s">
        <v>127</v>
      </c>
      <c r="F61" s="30" t="s">
        <v>127</v>
      </c>
      <c r="G61" s="30" t="s">
        <v>138</v>
      </c>
      <c r="H61" s="35"/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 t="str">
        <f t="shared" si="21"/>
        <v/>
      </c>
      <c r="AA61" s="15"/>
      <c r="AB61" s="40" t="str">
        <f t="shared" si="11"/>
        <v>0000000001010</v>
      </c>
      <c r="AC61" s="15" t="str">
        <f t="shared" si="11"/>
        <v>0000001000100</v>
      </c>
      <c r="AD61" s="15" t="str">
        <f t="shared" si="11"/>
        <v>0010001000000</v>
      </c>
      <c r="AE61" s="15" t="str">
        <f t="shared" si="11"/>
        <v>0011000000000</v>
      </c>
      <c r="AF61" s="15" t="str">
        <f t="shared" si="11"/>
        <v>0000000100010</v>
      </c>
      <c r="AG61" s="41" t="str">
        <f t="shared" si="11"/>
        <v/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133</v>
      </c>
      <c r="D62" s="30" t="s">
        <v>129</v>
      </c>
      <c r="E62" s="30" t="s">
        <v>128</v>
      </c>
      <c r="F62" s="30" t="s">
        <v>131</v>
      </c>
      <c r="G62" s="30" t="s">
        <v>131</v>
      </c>
      <c r="H62" s="35"/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 t="str">
        <f t="shared" si="21"/>
        <v/>
      </c>
      <c r="AA62" s="15"/>
      <c r="AB62" s="40" t="str">
        <f t="shared" si="11"/>
        <v>0000000101000</v>
      </c>
      <c r="AC62" s="15" t="str">
        <f t="shared" si="11"/>
        <v>0000000001100</v>
      </c>
      <c r="AD62" s="15" t="str">
        <f t="shared" si="11"/>
        <v>0010001000000</v>
      </c>
      <c r="AE62" s="15" t="str">
        <f t="shared" si="11"/>
        <v>0110000000000</v>
      </c>
      <c r="AF62" s="15" t="str">
        <f t="shared" si="11"/>
        <v>0100000000010</v>
      </c>
      <c r="AG62" s="41" t="str">
        <f t="shared" si="11"/>
        <v/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131</v>
      </c>
      <c r="D63" s="30" t="s">
        <v>138</v>
      </c>
      <c r="E63" s="30" t="s">
        <v>131</v>
      </c>
      <c r="F63" s="30" t="s">
        <v>138</v>
      </c>
      <c r="G63" s="30" t="s">
        <v>134</v>
      </c>
      <c r="H63" s="35"/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 t="str">
        <f t="shared" si="21"/>
        <v/>
      </c>
      <c r="AA63" s="15"/>
      <c r="AB63" s="40" t="str">
        <f t="shared" si="11"/>
        <v>0100000100000</v>
      </c>
      <c r="AC63" s="15" t="str">
        <f t="shared" si="11"/>
        <v>0000000001010</v>
      </c>
      <c r="AD63" s="15" t="str">
        <f t="shared" si="11"/>
        <v>0100001000000</v>
      </c>
      <c r="AE63" s="15" t="str">
        <f t="shared" si="11"/>
        <v>0100000000010</v>
      </c>
      <c r="AF63" s="15" t="str">
        <f t="shared" si="11"/>
        <v>0101000000000</v>
      </c>
      <c r="AG63" s="41" t="str">
        <f t="shared" si="11"/>
        <v/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2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133</v>
      </c>
      <c r="D64" s="30" t="s">
        <v>127</v>
      </c>
      <c r="E64" s="30" t="s">
        <v>127</v>
      </c>
      <c r="F64" s="30" t="s">
        <v>129</v>
      </c>
      <c r="G64" s="30" t="s">
        <v>132</v>
      </c>
      <c r="H64" s="35"/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 t="str">
        <f t="shared" si="21"/>
        <v/>
      </c>
      <c r="AB64" s="40" t="str">
        <f t="shared" si="11"/>
        <v>0100000100000</v>
      </c>
      <c r="AC64" s="15" t="str">
        <f t="shared" si="11"/>
        <v>0010000000010</v>
      </c>
      <c r="AD64" s="15" t="str">
        <f t="shared" si="11"/>
        <v>0110000000000</v>
      </c>
      <c r="AE64" s="15" t="str">
        <f t="shared" si="11"/>
        <v>0000000001010</v>
      </c>
      <c r="AF64" s="15" t="str">
        <f t="shared" si="11"/>
        <v>0001000000100</v>
      </c>
      <c r="AG64" s="41" t="str">
        <f t="shared" si="11"/>
        <v/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18</v>
      </c>
      <c r="AL64" s="39" cm="1">
        <f t="array" ref="AL64">SUMPRODUCT(--(MID(AC$10:AC$135, SUMIF($Z$9:$Z$21, LEFT($AJ64,2), $Y$9:$Y$21), 1) = RIGHT($AJ64, 1)), K$10:K$135)</f>
        <v>4</v>
      </c>
      <c r="AM64" s="39" cm="1">
        <f t="array" ref="AM64">SUMPRODUCT(--(MID(AD$10:AD$135, SUMIF($Z$9:$Z$21, LEFT($AJ64,2), $Y$9:$Y$21), 1) = RIGHT($AJ64, 1)), L$10:L$135)</f>
        <v>18</v>
      </c>
      <c r="AN64" s="39" cm="1">
        <f t="array" ref="AN64">SUMPRODUCT(--(MID(AE$10:AE$135, SUMIF($Z$9:$Z$21, LEFT($AJ64,2), $Y$9:$Y$21), 1) = RIGHT($AJ64, 1)), M$10:M$135)</f>
        <v>4</v>
      </c>
      <c r="AO64" s="39" cm="1">
        <f t="array" ref="AO64">SUMPRODUCT(--(MID(AF$10:AF$135, SUMIF($Z$9:$Z$21, LEFT($AJ64,2), $Y$9:$Y$21), 1) = RIGHT($AJ64, 1)), N$10:N$135)</f>
        <v>16</v>
      </c>
      <c r="AP64" s="19" cm="1">
        <f t="array" ref="AP64">SUMPRODUCT(--(MID(AG$10:AG$135, SUMIF($Z$9:$Z$21, LEFT($AJ64,2), $Y$9:$Y$21), 1) = RIGHT($AJ64, 1)), O$10:O$135)</f>
        <v>4</v>
      </c>
    </row>
    <row r="65" spans="2:42">
      <c r="B65" s="34">
        <f t="shared" si="9"/>
        <v>55</v>
      </c>
      <c r="C65" s="30" t="s">
        <v>127</v>
      </c>
      <c r="D65" s="30" t="s">
        <v>138</v>
      </c>
      <c r="E65" s="30" t="s">
        <v>133</v>
      </c>
      <c r="F65" s="30" t="s">
        <v>137</v>
      </c>
      <c r="G65" s="30"/>
      <c r="H65" s="35"/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>
        <f t="shared" si="21"/>
        <v>1</v>
      </c>
      <c r="N65" s="30" t="str">
        <f t="shared" si="21"/>
        <v/>
      </c>
      <c r="O65" s="35" t="str">
        <f t="shared" si="21"/>
        <v/>
      </c>
      <c r="AB65" s="40" t="str">
        <f t="shared" si="11"/>
        <v>0010000100000</v>
      </c>
      <c r="AC65" s="15" t="str">
        <f t="shared" si="11"/>
        <v>0010000000010</v>
      </c>
      <c r="AD65" s="15" t="str">
        <f t="shared" si="11"/>
        <v>0010000100000</v>
      </c>
      <c r="AE65" s="15" t="str">
        <f t="shared" si="11"/>
        <v>0000010001000</v>
      </c>
      <c r="AF65" s="15" t="str">
        <f t="shared" si="11"/>
        <v/>
      </c>
      <c r="AG65" s="41" t="str">
        <f t="shared" si="11"/>
        <v/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79</v>
      </c>
      <c r="AL65" s="39" cm="1">
        <f t="array" ref="AL65">SUMPRODUCT(--(MID(AC$10:AC$135, SUMIF($Z$9:$Z$21, LEFT($AJ65,2), $Y$9:$Y$21), 1) = RIGHT($AJ65, 1)), K$10:K$135)</f>
        <v>65</v>
      </c>
      <c r="AM65" s="39" cm="1">
        <f t="array" ref="AM65">SUMPRODUCT(--(MID(AD$10:AD$135, SUMIF($Z$9:$Z$21, LEFT($AJ65,2), $Y$9:$Y$21), 1) = RIGHT($AJ65, 1)), L$10:L$135)</f>
        <v>59</v>
      </c>
      <c r="AN65" s="39" cm="1">
        <f t="array" ref="AN65">SUMPRODUCT(--(MID(AE$10:AE$135, SUMIF($Z$9:$Z$21, LEFT($AJ65,2), $Y$9:$Y$21), 1) = RIGHT($AJ65, 1)), M$10:M$135)</f>
        <v>71</v>
      </c>
      <c r="AO65" s="39" cm="1">
        <f t="array" ref="AO65">SUMPRODUCT(--(MID(AF$10:AF$135, SUMIF($Z$9:$Z$21, LEFT($AJ65,2), $Y$9:$Y$21), 1) = RIGHT($AJ65, 1)), N$10:N$135)</f>
        <v>37</v>
      </c>
      <c r="AP65" s="19" cm="1">
        <f t="array" ref="AP65">SUMPRODUCT(--(MID(AG$10:AG$135, SUMIF($Z$9:$Z$21, LEFT($AJ65,2), $Y$9:$Y$21), 1) = RIGHT($AJ65, 1)), O$10:O$135)</f>
        <v>33</v>
      </c>
    </row>
    <row r="66" spans="2:42">
      <c r="B66" s="34">
        <f t="shared" si="9"/>
        <v>56</v>
      </c>
      <c r="C66" s="30" t="s">
        <v>134</v>
      </c>
      <c r="D66" s="30" t="s">
        <v>130</v>
      </c>
      <c r="E66" s="30" t="s">
        <v>129</v>
      </c>
      <c r="F66" s="30" t="s">
        <v>127</v>
      </c>
      <c r="G66" s="30"/>
      <c r="H66" s="35"/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>
        <f t="shared" si="21"/>
        <v>1</v>
      </c>
      <c r="N66" s="30" t="str">
        <f t="shared" si="21"/>
        <v/>
      </c>
      <c r="O66" s="35" t="str">
        <f t="shared" si="21"/>
        <v/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0011000000000</v>
      </c>
      <c r="AC66" s="15" t="str">
        <f t="shared" si="23"/>
        <v>0000000010010</v>
      </c>
      <c r="AD66" s="15" t="str">
        <f t="shared" si="23"/>
        <v>0000000101000</v>
      </c>
      <c r="AE66" s="15" t="str">
        <f t="shared" si="23"/>
        <v>0010010000000</v>
      </c>
      <c r="AF66" s="15" t="str">
        <f t="shared" si="23"/>
        <v/>
      </c>
      <c r="AG66" s="41" t="str">
        <f t="shared" si="23"/>
        <v/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129</v>
      </c>
      <c r="D67" s="30" t="s">
        <v>127</v>
      </c>
      <c r="E67" s="30" t="s">
        <v>133</v>
      </c>
      <c r="F67" s="30" t="s">
        <v>132</v>
      </c>
      <c r="G67" s="30"/>
      <c r="H67" s="35"/>
      <c r="J67" s="34">
        <f t="shared" si="21"/>
        <v>1</v>
      </c>
      <c r="K67" s="30">
        <f t="shared" si="21"/>
        <v>1</v>
      </c>
      <c r="L67" s="30">
        <f t="shared" si="21"/>
        <v>1</v>
      </c>
      <c r="M67" s="30">
        <f t="shared" si="21"/>
        <v>1</v>
      </c>
      <c r="N67" s="30" t="str">
        <f t="shared" si="21"/>
        <v/>
      </c>
      <c r="O67" s="35" t="str">
        <f t="shared" si="21"/>
        <v/>
      </c>
      <c r="AB67" s="40" t="str">
        <f t="shared" si="23"/>
        <v>0001000001000</v>
      </c>
      <c r="AC67" s="15" t="str">
        <f t="shared" si="23"/>
        <v>0010000010000</v>
      </c>
      <c r="AD67" s="15" t="str">
        <f t="shared" si="23"/>
        <v>0000000101000</v>
      </c>
      <c r="AE67" s="15" t="str">
        <f t="shared" si="23"/>
        <v>0010000000100</v>
      </c>
      <c r="AF67" s="15" t="str">
        <f t="shared" si="23"/>
        <v/>
      </c>
      <c r="AG67" s="41" t="str">
        <f t="shared" si="23"/>
        <v/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130</v>
      </c>
      <c r="D68" s="30" t="s">
        <v>138</v>
      </c>
      <c r="E68" s="30" t="s">
        <v>129</v>
      </c>
      <c r="F68" s="30" t="s">
        <v>131</v>
      </c>
      <c r="G68" s="30"/>
      <c r="H68" s="35"/>
      <c r="J68" s="34">
        <f t="shared" si="21"/>
        <v>1</v>
      </c>
      <c r="K68" s="30">
        <f t="shared" si="21"/>
        <v>1</v>
      </c>
      <c r="L68" s="30">
        <f t="shared" si="21"/>
        <v>1</v>
      </c>
      <c r="M68" s="30">
        <f t="shared" si="21"/>
        <v>1</v>
      </c>
      <c r="N68" s="30" t="str">
        <f t="shared" si="21"/>
        <v/>
      </c>
      <c r="O68" s="35" t="str">
        <f t="shared" si="21"/>
        <v/>
      </c>
      <c r="AB68" s="40" t="str">
        <f t="shared" si="23"/>
        <v>0000000011000</v>
      </c>
      <c r="AC68" s="15" t="str">
        <f t="shared" si="23"/>
        <v>0010000000010</v>
      </c>
      <c r="AD68" s="15" t="str">
        <f t="shared" si="23"/>
        <v>0000000101000</v>
      </c>
      <c r="AE68" s="15" t="str">
        <f t="shared" si="23"/>
        <v>0100000000100</v>
      </c>
      <c r="AF68" s="15" t="str">
        <f t="shared" si="23"/>
        <v/>
      </c>
      <c r="AG68" s="41" t="str">
        <f t="shared" si="23"/>
        <v/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131</v>
      </c>
      <c r="D69" s="30" t="s">
        <v>127</v>
      </c>
      <c r="E69" s="30" t="s">
        <v>132</v>
      </c>
      <c r="F69" s="30" t="s">
        <v>134</v>
      </c>
      <c r="G69" s="30"/>
      <c r="H69" s="35"/>
      <c r="J69" s="34">
        <f t="shared" si="21"/>
        <v>1</v>
      </c>
      <c r="K69" s="30">
        <f t="shared" si="21"/>
        <v>1</v>
      </c>
      <c r="L69" s="30">
        <f t="shared" si="21"/>
        <v>1</v>
      </c>
      <c r="M69" s="30">
        <f t="shared" si="21"/>
        <v>1</v>
      </c>
      <c r="N69" s="30" t="str">
        <f t="shared" si="21"/>
        <v/>
      </c>
      <c r="O69" s="35" t="str">
        <f t="shared" si="21"/>
        <v/>
      </c>
      <c r="AB69" s="40" t="str">
        <f t="shared" si="23"/>
        <v>0100000010000</v>
      </c>
      <c r="AC69" s="15" t="str">
        <f t="shared" si="23"/>
        <v>0010000000010</v>
      </c>
      <c r="AD69" s="15" t="str">
        <f t="shared" si="23"/>
        <v>0000000001100</v>
      </c>
      <c r="AE69" s="15" t="str">
        <f t="shared" si="23"/>
        <v>0101000000000</v>
      </c>
      <c r="AF69" s="15" t="str">
        <f t="shared" si="23"/>
        <v/>
      </c>
      <c r="AG69" s="41" t="str">
        <f t="shared" si="23"/>
        <v/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129</v>
      </c>
      <c r="D70" s="30" t="s">
        <v>129</v>
      </c>
      <c r="E70" s="30" t="s">
        <v>129</v>
      </c>
      <c r="F70" s="30" t="s">
        <v>128</v>
      </c>
      <c r="G70" s="30"/>
      <c r="H70" s="35"/>
      <c r="J70" s="34">
        <f t="shared" si="21"/>
        <v>1</v>
      </c>
      <c r="K70" s="30">
        <f t="shared" si="21"/>
        <v>1</v>
      </c>
      <c r="L70" s="30">
        <f t="shared" si="21"/>
        <v>1</v>
      </c>
      <c r="M70" s="30">
        <f t="shared" si="21"/>
        <v>1</v>
      </c>
      <c r="N70" s="30" t="str">
        <f t="shared" si="21"/>
        <v/>
      </c>
      <c r="O70" s="35" t="str">
        <f t="shared" si="21"/>
        <v/>
      </c>
      <c r="AB70" s="40" t="str">
        <f t="shared" si="23"/>
        <v>0100000001000</v>
      </c>
      <c r="AC70" s="15" t="str">
        <f t="shared" si="23"/>
        <v>0010000001000</v>
      </c>
      <c r="AD70" s="15" t="str">
        <f t="shared" si="23"/>
        <v>0000000001100</v>
      </c>
      <c r="AE70" s="15" t="str">
        <f t="shared" si="23"/>
        <v>0001001000000</v>
      </c>
      <c r="AF70" s="15" t="str">
        <f t="shared" si="23"/>
        <v/>
      </c>
      <c r="AG70" s="41" t="str">
        <f t="shared" si="23"/>
        <v/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136</v>
      </c>
      <c r="D71" s="30" t="s">
        <v>128</v>
      </c>
      <c r="E71" s="30" t="s">
        <v>133</v>
      </c>
      <c r="F71" s="30" t="s">
        <v>134</v>
      </c>
      <c r="G71" s="30"/>
      <c r="H71" s="35"/>
      <c r="J71" s="34">
        <f t="shared" si="21"/>
        <v>1</v>
      </c>
      <c r="K71" s="30">
        <f t="shared" si="21"/>
        <v>1</v>
      </c>
      <c r="L71" s="30">
        <f t="shared" si="21"/>
        <v>1</v>
      </c>
      <c r="M71" s="30">
        <f t="shared" si="21"/>
        <v>1</v>
      </c>
      <c r="N71" s="30" t="str">
        <f t="shared" si="21"/>
        <v/>
      </c>
      <c r="O71" s="35" t="str">
        <f t="shared" si="21"/>
        <v/>
      </c>
      <c r="AB71" s="40" t="str">
        <f t="shared" si="23"/>
        <v>0000100001000</v>
      </c>
      <c r="AC71" s="15" t="str">
        <f t="shared" si="23"/>
        <v>0000001001000</v>
      </c>
      <c r="AD71" s="15" t="str">
        <f t="shared" si="23"/>
        <v>0000000101000</v>
      </c>
      <c r="AE71" s="15" t="str">
        <f t="shared" si="23"/>
        <v>0001001000000</v>
      </c>
      <c r="AF71" s="15" t="str">
        <f t="shared" si="23"/>
        <v/>
      </c>
      <c r="AG71" s="41" t="str">
        <f t="shared" si="23"/>
        <v/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134</v>
      </c>
      <c r="D72" s="30" t="s">
        <v>134</v>
      </c>
      <c r="E72" s="30" t="s">
        <v>137</v>
      </c>
      <c r="F72" s="30" t="s">
        <v>137</v>
      </c>
      <c r="G72" s="30"/>
      <c r="H72" s="35"/>
      <c r="J72" s="34">
        <f t="shared" si="21"/>
        <v>1</v>
      </c>
      <c r="K72" s="30">
        <f t="shared" si="21"/>
        <v>1</v>
      </c>
      <c r="L72" s="30">
        <f t="shared" si="21"/>
        <v>1</v>
      </c>
      <c r="M72" s="30">
        <f t="shared" si="21"/>
        <v>1</v>
      </c>
      <c r="N72" s="30" t="str">
        <f t="shared" si="21"/>
        <v/>
      </c>
      <c r="O72" s="35" t="str">
        <f t="shared" si="21"/>
        <v/>
      </c>
      <c r="AB72" s="40" t="str">
        <f t="shared" si="23"/>
        <v>0001100000000</v>
      </c>
      <c r="AC72" s="15" t="str">
        <f t="shared" si="23"/>
        <v>0001001000000</v>
      </c>
      <c r="AD72" s="15" t="str">
        <f t="shared" si="23"/>
        <v>0000010100000</v>
      </c>
      <c r="AE72" s="15" t="str">
        <f t="shared" si="23"/>
        <v>0001010000000</v>
      </c>
      <c r="AF72" s="15" t="str">
        <f t="shared" si="23"/>
        <v/>
      </c>
      <c r="AG72" s="41" t="str">
        <f t="shared" si="23"/>
        <v/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10</v>
      </c>
      <c r="AL72" s="39" cm="1">
        <f t="array" ref="AL72">SUMPRODUCT(--(MID(AC$10:AC$135, SUMIF($Z$9:$Z$21, LEFT($AJ72,2), $Y$9:$Y$21), 1) = RIGHT($AJ72, 1)), K$10:K$135)</f>
        <v>4</v>
      </c>
      <c r="AM72" s="39" cm="1">
        <f t="array" ref="AM72">SUMPRODUCT(--(MID(AD$10:AD$135, SUMIF($Z$9:$Z$21, LEFT($AJ72,2), $Y$9:$Y$21), 1) = RIGHT($AJ72, 1)), L$10:L$135)</f>
        <v>2</v>
      </c>
      <c r="AN72" s="39" cm="1">
        <f t="array" ref="AN72">SUMPRODUCT(--(MID(AE$10:AE$135, SUMIF($Z$9:$Z$21, LEFT($AJ72,2), $Y$9:$Y$21), 1) = RIGHT($AJ72, 1)), M$10:M$135)</f>
        <v>4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2</v>
      </c>
    </row>
    <row r="73" spans="2:42">
      <c r="B73" s="34">
        <f t="shared" si="9"/>
        <v>63</v>
      </c>
      <c r="C73" s="30" t="s">
        <v>138</v>
      </c>
      <c r="D73" s="30" t="s">
        <v>131</v>
      </c>
      <c r="E73" s="30" t="s">
        <v>131</v>
      </c>
      <c r="F73" s="30" t="s">
        <v>138</v>
      </c>
      <c r="G73" s="30"/>
      <c r="H73" s="35"/>
      <c r="J73" s="34">
        <f t="shared" si="21"/>
        <v>1</v>
      </c>
      <c r="K73" s="30">
        <f t="shared" si="21"/>
        <v>1</v>
      </c>
      <c r="L73" s="30">
        <f t="shared" si="21"/>
        <v>1</v>
      </c>
      <c r="M73" s="30">
        <f t="shared" si="21"/>
        <v>1</v>
      </c>
      <c r="N73" s="30" t="str">
        <f t="shared" si="21"/>
        <v/>
      </c>
      <c r="O73" s="35" t="str">
        <f t="shared" si="21"/>
        <v/>
      </c>
      <c r="AB73" s="40" t="str">
        <f t="shared" si="23"/>
        <v>0001000000010</v>
      </c>
      <c r="AC73" s="15" t="str">
        <f t="shared" si="23"/>
        <v>0101000000000</v>
      </c>
      <c r="AD73" s="15" t="str">
        <f t="shared" si="23"/>
        <v>0100010000000</v>
      </c>
      <c r="AE73" s="15" t="str">
        <f t="shared" si="23"/>
        <v>0000010000010</v>
      </c>
      <c r="AF73" s="15" t="str">
        <f t="shared" si="23"/>
        <v/>
      </c>
      <c r="AG73" s="41" t="str">
        <f t="shared" si="23"/>
        <v/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89</v>
      </c>
      <c r="AL73" s="39" cm="1">
        <f t="array" ref="AL73">SUMPRODUCT(--(MID(AC$10:AC$135, SUMIF($Z$9:$Z$21, LEFT($AJ73,2), $Y$9:$Y$21), 1) = RIGHT($AJ73, 1)), K$10:K$135)</f>
        <v>67</v>
      </c>
      <c r="AM73" s="39" cm="1">
        <f t="array" ref="AM73">SUMPRODUCT(--(MID(AD$10:AD$135, SUMIF($Z$9:$Z$21, LEFT($AJ73,2), $Y$9:$Y$21), 1) = RIGHT($AJ73, 1)), L$10:L$135)</f>
        <v>77</v>
      </c>
      <c r="AN73" s="39" cm="1">
        <f t="array" ref="AN73">SUMPRODUCT(--(MID(AE$10:AE$135, SUMIF($Z$9:$Z$21, LEFT($AJ73,2), $Y$9:$Y$21), 1) = RIGHT($AJ73, 1)), M$10:M$135)</f>
        <v>73</v>
      </c>
      <c r="AO73" s="39" cm="1">
        <f t="array" ref="AO73">SUMPRODUCT(--(MID(AF$10:AF$135, SUMIF($Z$9:$Z$21, LEFT($AJ73,2), $Y$9:$Y$21), 1) = RIGHT($AJ73, 1)), N$10:N$135)</f>
        <v>53</v>
      </c>
      <c r="AP73" s="19" cm="1">
        <f t="array" ref="AP73">SUMPRODUCT(--(MID(AG$10:AG$135, SUMIF($Z$9:$Z$21, LEFT($AJ73,2), $Y$9:$Y$21), 1) = RIGHT($AJ73, 1)), O$10:O$135)</f>
        <v>37</v>
      </c>
    </row>
    <row r="74" spans="2:42">
      <c r="B74" s="34">
        <f t="shared" si="9"/>
        <v>64</v>
      </c>
      <c r="C74" s="30" t="s">
        <v>131</v>
      </c>
      <c r="D74" s="30" t="s">
        <v>128</v>
      </c>
      <c r="E74" s="30" t="s">
        <v>129</v>
      </c>
      <c r="F74" s="30" t="s">
        <v>128</v>
      </c>
      <c r="G74" s="30"/>
      <c r="H74" s="35"/>
      <c r="J74" s="34">
        <f t="shared" si="21"/>
        <v>1</v>
      </c>
      <c r="K74" s="30">
        <f t="shared" si="21"/>
        <v>1</v>
      </c>
      <c r="L74" s="30">
        <f t="shared" si="21"/>
        <v>1</v>
      </c>
      <c r="M74" s="30">
        <f t="shared" si="21"/>
        <v>1</v>
      </c>
      <c r="N74" s="30" t="str">
        <f t="shared" si="21"/>
        <v/>
      </c>
      <c r="O74" s="35" t="str">
        <f t="shared" si="21"/>
        <v/>
      </c>
      <c r="AB74" s="40" t="str">
        <f t="shared" si="23"/>
        <v>0100000000010</v>
      </c>
      <c r="AC74" s="15" t="str">
        <f t="shared" si="23"/>
        <v>0100001000000</v>
      </c>
      <c r="AD74" s="15" t="str">
        <f t="shared" si="23"/>
        <v>0100000001000</v>
      </c>
      <c r="AE74" s="15" t="str">
        <f t="shared" si="23"/>
        <v>0000001000010</v>
      </c>
      <c r="AF74" s="15" t="str">
        <f t="shared" si="23"/>
        <v/>
      </c>
      <c r="AG74" s="41" t="str">
        <f t="shared" si="23"/>
        <v/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133</v>
      </c>
      <c r="D75" s="30" t="s">
        <v>131</v>
      </c>
      <c r="E75" s="30" t="s">
        <v>127</v>
      </c>
      <c r="F75" s="30" t="s">
        <v>131</v>
      </c>
      <c r="G75" s="30"/>
      <c r="H75" s="35"/>
      <c r="J75" s="34">
        <f t="shared" si="21"/>
        <v>1</v>
      </c>
      <c r="K75" s="30">
        <f t="shared" si="21"/>
        <v>1</v>
      </c>
      <c r="L75" s="30">
        <f t="shared" si="21"/>
        <v>1</v>
      </c>
      <c r="M75" s="30">
        <f t="shared" si="21"/>
        <v>1</v>
      </c>
      <c r="N75" s="30" t="str">
        <f t="shared" si="21"/>
        <v/>
      </c>
      <c r="O75" s="35" t="str">
        <f t="shared" si="21"/>
        <v/>
      </c>
      <c r="AB75" s="40" t="str">
        <f t="shared" si="23"/>
        <v>0100000100000</v>
      </c>
      <c r="AC75" s="15" t="str">
        <f t="shared" si="23"/>
        <v>0100001000000</v>
      </c>
      <c r="AD75" s="15" t="str">
        <f t="shared" si="23"/>
        <v>0010000001000</v>
      </c>
      <c r="AE75" s="15" t="str">
        <f t="shared" si="23"/>
        <v>0100001000000</v>
      </c>
      <c r="AF75" s="15" t="str">
        <f t="shared" si="23"/>
        <v/>
      </c>
      <c r="AG75" s="41" t="str">
        <f t="shared" si="23"/>
        <v/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134</v>
      </c>
      <c r="D76" s="30" t="s">
        <v>138</v>
      </c>
      <c r="E76" s="30" t="s">
        <v>137</v>
      </c>
      <c r="F76" s="30" t="s">
        <v>134</v>
      </c>
      <c r="G76" s="30"/>
      <c r="H76" s="35"/>
      <c r="J76" s="34">
        <f t="shared" si="21"/>
        <v>1</v>
      </c>
      <c r="K76" s="30">
        <f t="shared" si="21"/>
        <v>1</v>
      </c>
      <c r="L76" s="30">
        <f t="shared" si="21"/>
        <v>1</v>
      </c>
      <c r="M76" s="30">
        <f t="shared" si="21"/>
        <v>1</v>
      </c>
      <c r="N76" s="30" t="str">
        <f t="shared" si="21"/>
        <v/>
      </c>
      <c r="O76" s="35" t="str">
        <f t="shared" si="21"/>
        <v/>
      </c>
      <c r="AB76" s="40" t="str">
        <f t="shared" si="23"/>
        <v>0001000100000</v>
      </c>
      <c r="AC76" s="15" t="str">
        <f t="shared" si="23"/>
        <v>0100000000010</v>
      </c>
      <c r="AD76" s="15" t="str">
        <f t="shared" si="23"/>
        <v>0010010000000</v>
      </c>
      <c r="AE76" s="15" t="str">
        <f t="shared" si="23"/>
        <v>0101000000000</v>
      </c>
      <c r="AF76" s="15" t="str">
        <f t="shared" si="23"/>
        <v/>
      </c>
      <c r="AG76" s="41" t="str">
        <f t="shared" si="23"/>
        <v/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138</v>
      </c>
      <c r="D77" s="30" t="s">
        <v>134</v>
      </c>
      <c r="E77" s="30" t="s">
        <v>128</v>
      </c>
      <c r="F77" s="30" t="s">
        <v>132</v>
      </c>
      <c r="G77" s="30"/>
      <c r="H77" s="35"/>
      <c r="J77" s="34">
        <f t="shared" si="21"/>
        <v>1</v>
      </c>
      <c r="K77" s="30">
        <f t="shared" si="21"/>
        <v>1</v>
      </c>
      <c r="L77" s="30">
        <f t="shared" si="21"/>
        <v>1</v>
      </c>
      <c r="M77" s="30">
        <f t="shared" si="21"/>
        <v>1</v>
      </c>
      <c r="N77" s="30" t="str">
        <f t="shared" si="21"/>
        <v/>
      </c>
      <c r="O77" s="35" t="str">
        <f t="shared" si="21"/>
        <v/>
      </c>
      <c r="AB77" s="40" t="str">
        <f t="shared" si="23"/>
        <v>0001000000010</v>
      </c>
      <c r="AC77" s="15" t="str">
        <f t="shared" si="23"/>
        <v>0001000000010</v>
      </c>
      <c r="AD77" s="15" t="str">
        <f t="shared" si="23"/>
        <v>0000011000000</v>
      </c>
      <c r="AE77" s="15" t="str">
        <f t="shared" si="23"/>
        <v>0001000000100</v>
      </c>
      <c r="AF77" s="15" t="str">
        <f t="shared" si="23"/>
        <v/>
      </c>
      <c r="AG77" s="41" t="str">
        <f t="shared" si="23"/>
        <v/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 t="s">
        <v>134</v>
      </c>
      <c r="D78" s="30" t="s">
        <v>127</v>
      </c>
      <c r="E78" s="30" t="s">
        <v>131</v>
      </c>
      <c r="F78" s="30" t="s">
        <v>137</v>
      </c>
      <c r="G78" s="30"/>
      <c r="H78" s="35"/>
      <c r="J78" s="34">
        <f t="shared" si="21"/>
        <v>1</v>
      </c>
      <c r="K78" s="30">
        <f t="shared" si="21"/>
        <v>1</v>
      </c>
      <c r="L78" s="30">
        <f t="shared" si="21"/>
        <v>1</v>
      </c>
      <c r="M78" s="30">
        <f t="shared" si="21"/>
        <v>1</v>
      </c>
      <c r="N78" s="30" t="str">
        <f t="shared" si="21"/>
        <v/>
      </c>
      <c r="O78" s="35" t="str">
        <f t="shared" si="21"/>
        <v/>
      </c>
      <c r="AB78" s="40" t="str">
        <f t="shared" si="23"/>
        <v>0001000000010</v>
      </c>
      <c r="AC78" s="15" t="str">
        <f t="shared" si="23"/>
        <v>0011000000000</v>
      </c>
      <c r="AD78" s="15" t="str">
        <f t="shared" si="23"/>
        <v>0100001000000</v>
      </c>
      <c r="AE78" s="15" t="str">
        <f t="shared" si="23"/>
        <v>0000010000100</v>
      </c>
      <c r="AF78" s="15" t="str">
        <f t="shared" si="23"/>
        <v/>
      </c>
      <c r="AG78" s="41" t="str">
        <f t="shared" si="23"/>
        <v/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 t="s">
        <v>130</v>
      </c>
      <c r="D79" s="30" t="s">
        <v>138</v>
      </c>
      <c r="E79" s="30" t="s">
        <v>137</v>
      </c>
      <c r="F79" s="30" t="s">
        <v>131</v>
      </c>
      <c r="G79" s="30"/>
      <c r="H79" s="35"/>
      <c r="J79" s="34">
        <f t="shared" si="21"/>
        <v>1</v>
      </c>
      <c r="K79" s="30">
        <f t="shared" si="21"/>
        <v>1</v>
      </c>
      <c r="L79" s="30">
        <f t="shared" si="21"/>
        <v>1</v>
      </c>
      <c r="M79" s="30">
        <f t="shared" si="21"/>
        <v>1</v>
      </c>
      <c r="N79" s="30" t="str">
        <f t="shared" si="21"/>
        <v/>
      </c>
      <c r="O79" s="35" t="str">
        <f t="shared" si="21"/>
        <v/>
      </c>
      <c r="AB79" s="40" t="str">
        <f t="shared" si="23"/>
        <v>0001000010000</v>
      </c>
      <c r="AC79" s="15" t="str">
        <f t="shared" si="23"/>
        <v>0010000000010</v>
      </c>
      <c r="AD79" s="15" t="str">
        <f t="shared" si="23"/>
        <v>0100010000000</v>
      </c>
      <c r="AE79" s="15" t="str">
        <f t="shared" si="23"/>
        <v>0100010000000</v>
      </c>
      <c r="AF79" s="15" t="str">
        <f t="shared" si="23"/>
        <v/>
      </c>
      <c r="AG79" s="41" t="str">
        <f t="shared" si="23"/>
        <v/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 t="s">
        <v>131</v>
      </c>
      <c r="D80" s="30" t="s">
        <v>131</v>
      </c>
      <c r="E80" s="30" t="s">
        <v>133</v>
      </c>
      <c r="F80" s="30" t="s">
        <v>136</v>
      </c>
      <c r="G80" s="30"/>
      <c r="H80" s="35"/>
      <c r="J80" s="34">
        <f t="shared" si="21"/>
        <v>1</v>
      </c>
      <c r="K80" s="30">
        <f t="shared" si="21"/>
        <v>1</v>
      </c>
      <c r="L80" s="30">
        <f t="shared" si="21"/>
        <v>1</v>
      </c>
      <c r="M80" s="30">
        <f t="shared" si="21"/>
        <v>1</v>
      </c>
      <c r="N80" s="30" t="str">
        <f t="shared" si="21"/>
        <v/>
      </c>
      <c r="O80" s="35" t="str">
        <f t="shared" si="21"/>
        <v/>
      </c>
      <c r="AB80" s="40" t="str">
        <f t="shared" si="23"/>
        <v>0100000010000</v>
      </c>
      <c r="AC80" s="15" t="str">
        <f t="shared" si="23"/>
        <v>0100000000010</v>
      </c>
      <c r="AD80" s="15" t="str">
        <f t="shared" si="23"/>
        <v>0000010100000</v>
      </c>
      <c r="AE80" s="15" t="str">
        <f t="shared" si="23"/>
        <v>0100100000000</v>
      </c>
      <c r="AF80" s="15" t="str">
        <f t="shared" si="23"/>
        <v/>
      </c>
      <c r="AG80" s="41" t="str">
        <f t="shared" si="23"/>
        <v/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28</v>
      </c>
      <c r="AL80" s="39" cm="1">
        <f t="array" ref="AL80">SUMPRODUCT(--(MID(AC$10:AC$135, SUMIF($Z$9:$Z$21, LEFT($AJ80,2), $Y$9:$Y$21), 1) = RIGHT($AJ80, 1)), K$10:K$135)</f>
        <v>16</v>
      </c>
      <c r="AM80" s="39" cm="1">
        <f t="array" ref="AM80">SUMPRODUCT(--(MID(AD$10:AD$135, SUMIF($Z$9:$Z$21, LEFT($AJ80,2), $Y$9:$Y$21), 1) = RIGHT($AJ80, 1)), L$10:L$135)</f>
        <v>20</v>
      </c>
      <c r="AN80" s="39" cm="1">
        <f t="array" ref="AN80">SUMPRODUCT(--(MID(AE$10:AE$135, SUMIF($Z$9:$Z$21, LEFT($AJ80,2), $Y$9:$Y$21), 1) = RIGHT($AJ80, 1)), M$10:M$135)</f>
        <v>8</v>
      </c>
      <c r="AO80" s="39" cm="1">
        <f t="array" ref="AO80">SUMPRODUCT(--(MID(AF$10:AF$135, SUMIF($Z$9:$Z$21, LEFT($AJ80,2), $Y$9:$Y$21), 1) = RIGHT($AJ80, 1)), N$10:N$135)</f>
        <v>10</v>
      </c>
      <c r="AP80" s="19" cm="1">
        <f t="array" ref="AP80">SUMPRODUCT(--(MID(AG$10:AG$135, SUMIF($Z$9:$Z$21, LEFT($AJ80,2), $Y$9:$Y$21), 1) = RIGHT($AJ80, 1)), O$10:O$135)</f>
        <v>4</v>
      </c>
    </row>
    <row r="81" spans="2:42">
      <c r="B81" s="34">
        <f t="shared" si="25"/>
        <v>71</v>
      </c>
      <c r="C81" s="30" t="s">
        <v>133</v>
      </c>
      <c r="D81" s="30"/>
      <c r="E81" s="30" t="s">
        <v>127</v>
      </c>
      <c r="F81" s="30" t="s">
        <v>134</v>
      </c>
      <c r="G81" s="30"/>
      <c r="H81" s="35"/>
      <c r="J81" s="34">
        <f t="shared" si="21"/>
        <v>1</v>
      </c>
      <c r="K81" s="30" t="str">
        <f t="shared" si="21"/>
        <v/>
      </c>
      <c r="L81" s="30">
        <f t="shared" si="21"/>
        <v>1</v>
      </c>
      <c r="M81" s="30">
        <f t="shared" si="21"/>
        <v>1</v>
      </c>
      <c r="N81" s="30" t="str">
        <f t="shared" si="21"/>
        <v/>
      </c>
      <c r="O81" s="35" t="str">
        <f t="shared" si="21"/>
        <v/>
      </c>
      <c r="AB81" s="40" t="str">
        <f t="shared" si="23"/>
        <v>0100000100000</v>
      </c>
      <c r="AC81" s="15" t="str">
        <f t="shared" si="23"/>
        <v/>
      </c>
      <c r="AD81" s="15" t="str">
        <f t="shared" si="23"/>
        <v>0010000100000</v>
      </c>
      <c r="AE81" s="15" t="str">
        <f t="shared" si="23"/>
        <v>0001100000000</v>
      </c>
      <c r="AF81" s="15" t="str">
        <f t="shared" si="23"/>
        <v/>
      </c>
      <c r="AG81" s="41" t="str">
        <f t="shared" si="23"/>
        <v/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69</v>
      </c>
      <c r="AL81" s="39" cm="1">
        <f t="array" ref="AL81">SUMPRODUCT(--(MID(AC$10:AC$135, SUMIF($Z$9:$Z$21, LEFT($AJ81,2), $Y$9:$Y$21), 1) = RIGHT($AJ81, 1)), K$10:K$135)</f>
        <v>53</v>
      </c>
      <c r="AM81" s="39" cm="1">
        <f t="array" ref="AM81">SUMPRODUCT(--(MID(AD$10:AD$135, SUMIF($Z$9:$Z$21, LEFT($AJ81,2), $Y$9:$Y$21), 1) = RIGHT($AJ81, 1)), L$10:L$135)</f>
        <v>57</v>
      </c>
      <c r="AN81" s="39" cm="1">
        <f t="array" ref="AN81">SUMPRODUCT(--(MID(AE$10:AE$135, SUMIF($Z$9:$Z$21, LEFT($AJ81,2), $Y$9:$Y$21), 1) = RIGHT($AJ81, 1)), M$10:M$135)</f>
        <v>67</v>
      </c>
      <c r="AO81" s="39" cm="1">
        <f t="array" ref="AO81">SUMPRODUCT(--(MID(AF$10:AF$135, SUMIF($Z$9:$Z$21, LEFT($AJ81,2), $Y$9:$Y$21), 1) = RIGHT($AJ81, 1)), N$10:N$135)</f>
        <v>43</v>
      </c>
      <c r="AP81" s="19" cm="1">
        <f t="array" ref="AP81">SUMPRODUCT(--(MID(AG$10:AG$135, SUMIF($Z$9:$Z$21, LEFT($AJ81,2), $Y$9:$Y$21), 1) = RIGHT($AJ81, 1)), O$10:O$135)</f>
        <v>33</v>
      </c>
    </row>
    <row r="82" spans="2:42">
      <c r="B82" s="34">
        <f t="shared" si="25"/>
        <v>72</v>
      </c>
      <c r="C82" s="30" t="s">
        <v>136</v>
      </c>
      <c r="D82" s="30"/>
      <c r="E82" s="30" t="s">
        <v>131</v>
      </c>
      <c r="F82" s="30" t="s">
        <v>131</v>
      </c>
      <c r="G82" s="30"/>
      <c r="H82" s="35"/>
      <c r="J82" s="34">
        <f t="shared" si="21"/>
        <v>1</v>
      </c>
      <c r="K82" s="30" t="str">
        <f t="shared" si="21"/>
        <v/>
      </c>
      <c r="L82" s="30">
        <f t="shared" si="21"/>
        <v>1</v>
      </c>
      <c r="M82" s="30">
        <f t="shared" si="21"/>
        <v>1</v>
      </c>
      <c r="N82" s="30" t="str">
        <f t="shared" si="21"/>
        <v/>
      </c>
      <c r="O82" s="35" t="str">
        <f t="shared" si="21"/>
        <v/>
      </c>
      <c r="AB82" s="40" t="str">
        <f t="shared" si="23"/>
        <v>0000100100000</v>
      </c>
      <c r="AC82" s="15" t="str">
        <f t="shared" si="23"/>
        <v/>
      </c>
      <c r="AD82" s="15" t="str">
        <f t="shared" si="23"/>
        <v>0110000000000</v>
      </c>
      <c r="AE82" s="15" t="str">
        <f t="shared" si="23"/>
        <v>0101000000000</v>
      </c>
      <c r="AF82" s="15" t="str">
        <f t="shared" si="23"/>
        <v/>
      </c>
      <c r="AG82" s="41" t="str">
        <f t="shared" si="23"/>
        <v/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 t="s">
        <v>129</v>
      </c>
      <c r="D83" s="30"/>
      <c r="E83" s="30" t="s">
        <v>127</v>
      </c>
      <c r="F83" s="30" t="s">
        <v>137</v>
      </c>
      <c r="G83" s="30"/>
      <c r="H83" s="35"/>
      <c r="J83" s="34">
        <f t="shared" si="21"/>
        <v>1</v>
      </c>
      <c r="K83" s="30" t="str">
        <f t="shared" si="21"/>
        <v/>
      </c>
      <c r="L83" s="30">
        <f t="shared" si="21"/>
        <v>1</v>
      </c>
      <c r="M83" s="30">
        <f t="shared" si="21"/>
        <v>1</v>
      </c>
      <c r="N83" s="30" t="str">
        <f t="shared" si="21"/>
        <v/>
      </c>
      <c r="O83" s="35" t="str">
        <f t="shared" si="21"/>
        <v/>
      </c>
      <c r="AB83" s="40" t="str">
        <f t="shared" si="23"/>
        <v>0000100001000</v>
      </c>
      <c r="AC83" s="15" t="str">
        <f t="shared" si="23"/>
        <v/>
      </c>
      <c r="AD83" s="15" t="str">
        <f t="shared" si="23"/>
        <v>0110000000000</v>
      </c>
      <c r="AE83" s="15" t="str">
        <f t="shared" si="23"/>
        <v>0100010000000</v>
      </c>
      <c r="AF83" s="15" t="str">
        <f t="shared" si="23"/>
        <v/>
      </c>
      <c r="AG83" s="41" t="str">
        <f t="shared" si="23"/>
        <v/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 t="s">
        <v>131</v>
      </c>
      <c r="D84" s="30"/>
      <c r="E84" s="30" t="s">
        <v>131</v>
      </c>
      <c r="F84" s="30" t="s">
        <v>131</v>
      </c>
      <c r="G84" s="30"/>
      <c r="H84" s="35"/>
      <c r="J84" s="34">
        <f t="shared" si="21"/>
        <v>1</v>
      </c>
      <c r="K84" s="30" t="str">
        <f t="shared" si="21"/>
        <v/>
      </c>
      <c r="L84" s="30">
        <f t="shared" si="21"/>
        <v>1</v>
      </c>
      <c r="M84" s="30">
        <f t="shared" si="21"/>
        <v>1</v>
      </c>
      <c r="N84" s="30" t="str">
        <f t="shared" si="21"/>
        <v/>
      </c>
      <c r="O84" s="35" t="str">
        <f t="shared" si="21"/>
        <v/>
      </c>
      <c r="AB84" s="40" t="str">
        <f t="shared" si="23"/>
        <v>0100000001000</v>
      </c>
      <c r="AC84" s="15" t="str">
        <f t="shared" si="23"/>
        <v/>
      </c>
      <c r="AD84" s="15" t="str">
        <f t="shared" si="23"/>
        <v>0110000000000</v>
      </c>
      <c r="AE84" s="15" t="str">
        <f t="shared" si="23"/>
        <v>0100010000000</v>
      </c>
      <c r="AF84" s="15" t="str">
        <f t="shared" si="23"/>
        <v/>
      </c>
      <c r="AG84" s="41" t="str">
        <f t="shared" si="23"/>
        <v/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 t="s">
        <v>138</v>
      </c>
      <c r="D85" s="30"/>
      <c r="E85" s="30" t="s">
        <v>133</v>
      </c>
      <c r="F85" s="30" t="s">
        <v>136</v>
      </c>
      <c r="G85" s="30"/>
      <c r="H85" s="35"/>
      <c r="J85" s="34">
        <f t="shared" si="21"/>
        <v>1</v>
      </c>
      <c r="K85" s="30" t="str">
        <f t="shared" si="21"/>
        <v/>
      </c>
      <c r="L85" s="30">
        <f t="shared" si="21"/>
        <v>1</v>
      </c>
      <c r="M85" s="30">
        <f t="shared" si="21"/>
        <v>1</v>
      </c>
      <c r="N85" s="30" t="str">
        <f t="shared" si="21"/>
        <v/>
      </c>
      <c r="O85" s="35" t="str">
        <f t="shared" si="21"/>
        <v/>
      </c>
      <c r="AB85" s="40" t="str">
        <f t="shared" si="23"/>
        <v>0100000000010</v>
      </c>
      <c r="AC85" s="15" t="str">
        <f t="shared" si="23"/>
        <v/>
      </c>
      <c r="AD85" s="15" t="str">
        <f t="shared" si="23"/>
        <v>0100000100000</v>
      </c>
      <c r="AE85" s="15" t="str">
        <f t="shared" si="23"/>
        <v>0100100000000</v>
      </c>
      <c r="AF85" s="15" t="str">
        <f t="shared" si="23"/>
        <v/>
      </c>
      <c r="AG85" s="41" t="str">
        <f t="shared" si="23"/>
        <v/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 t="s">
        <v>129</v>
      </c>
      <c r="D86" s="30"/>
      <c r="E86" s="30" t="s">
        <v>129</v>
      </c>
      <c r="F86" s="30" t="s">
        <v>138</v>
      </c>
      <c r="G86" s="30"/>
      <c r="H86" s="35"/>
      <c r="J86" s="34">
        <f t="shared" si="21"/>
        <v>1</v>
      </c>
      <c r="K86" s="30" t="str">
        <f t="shared" si="21"/>
        <v/>
      </c>
      <c r="L86" s="30">
        <f t="shared" si="21"/>
        <v>1</v>
      </c>
      <c r="M86" s="30">
        <f t="shared" si="21"/>
        <v>1</v>
      </c>
      <c r="N86" s="30" t="str">
        <f t="shared" si="21"/>
        <v/>
      </c>
      <c r="O86" s="35" t="str">
        <f t="shared" si="21"/>
        <v/>
      </c>
      <c r="AB86" s="40" t="str">
        <f t="shared" si="23"/>
        <v>0000000001010</v>
      </c>
      <c r="AC86" s="15" t="str">
        <f t="shared" si="23"/>
        <v/>
      </c>
      <c r="AD86" s="15" t="str">
        <f t="shared" si="23"/>
        <v>0000000101000</v>
      </c>
      <c r="AE86" s="15" t="str">
        <f t="shared" si="23"/>
        <v>0000100000010</v>
      </c>
      <c r="AF86" s="15" t="str">
        <f t="shared" si="23"/>
        <v/>
      </c>
      <c r="AG86" s="41" t="str">
        <f t="shared" si="23"/>
        <v/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 t="s">
        <v>136</v>
      </c>
      <c r="D87" s="30"/>
      <c r="E87" s="30" t="s">
        <v>133</v>
      </c>
      <c r="F87" s="30"/>
      <c r="G87" s="30"/>
      <c r="H87" s="35"/>
      <c r="J87" s="34">
        <f t="shared" si="21"/>
        <v>1</v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 t="str">
        <f t="shared" si="21"/>
        <v/>
      </c>
      <c r="O87" s="35" t="str">
        <f t="shared" si="21"/>
        <v/>
      </c>
      <c r="AB87" s="40" t="str">
        <f t="shared" si="23"/>
        <v>0000100001000</v>
      </c>
      <c r="AC87" s="15" t="str">
        <f t="shared" si="23"/>
        <v/>
      </c>
      <c r="AD87" s="15" t="str">
        <f t="shared" si="23"/>
        <v>0000000101000</v>
      </c>
      <c r="AE87" s="15" t="str">
        <f t="shared" si="23"/>
        <v/>
      </c>
      <c r="AF87" s="15" t="str">
        <f t="shared" si="23"/>
        <v/>
      </c>
      <c r="AG87" s="41" t="str">
        <f t="shared" si="23"/>
        <v/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3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 t="s">
        <v>127</v>
      </c>
      <c r="D88" s="30"/>
      <c r="E88" s="30" t="s">
        <v>132</v>
      </c>
      <c r="F88" s="30"/>
      <c r="G88" s="30"/>
      <c r="H88" s="35"/>
      <c r="J88" s="34">
        <f t="shared" si="21"/>
        <v>1</v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 t="str">
        <f t="shared" si="21"/>
        <v/>
      </c>
      <c r="O88" s="35" t="str">
        <f t="shared" si="21"/>
        <v/>
      </c>
      <c r="AB88" s="40" t="str">
        <f t="shared" si="23"/>
        <v>0010100000000</v>
      </c>
      <c r="AC88" s="15" t="str">
        <f t="shared" si="23"/>
        <v/>
      </c>
      <c r="AD88" s="15" t="str">
        <f t="shared" si="23"/>
        <v>0000000100100</v>
      </c>
      <c r="AE88" s="15" t="str">
        <f t="shared" si="23"/>
        <v/>
      </c>
      <c r="AF88" s="15" t="str">
        <f t="shared" si="23"/>
        <v/>
      </c>
      <c r="AG88" s="41" t="str">
        <f t="shared" si="23"/>
        <v/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6</v>
      </c>
      <c r="AL88" s="39" cm="1">
        <f t="array" ref="AL88">SUMPRODUCT(--(MID(AC$10:AC$135, SUMIF($Z$9:$Z$21, LEFT($AJ88,2), $Y$9:$Y$21), 1) = RIGHT($AJ88, 1)), K$10:K$135)</f>
        <v>6</v>
      </c>
      <c r="AM88" s="39" cm="1">
        <f t="array" ref="AM88">SUMPRODUCT(--(MID(AD$10:AD$135, SUMIF($Z$9:$Z$21, LEFT($AJ88,2), $Y$9:$Y$21), 1) = RIGHT($AJ88, 1)), L$10:L$135)</f>
        <v>12</v>
      </c>
      <c r="AN88" s="39" cm="1">
        <f t="array" ref="AN88">SUMPRODUCT(--(MID(AE$10:AE$135, SUMIF($Z$9:$Z$21, LEFT($AJ88,2), $Y$9:$Y$21), 1) = RIGHT($AJ88, 1)), M$10:M$135)</f>
        <v>10</v>
      </c>
      <c r="AO88" s="39" cm="1">
        <f t="array" ref="AO88">SUMPRODUCT(--(MID(AF$10:AF$135, SUMIF($Z$9:$Z$21, LEFT($AJ88,2), $Y$9:$Y$21), 1) = RIGHT($AJ88, 1)), N$10:N$135)</f>
        <v>6</v>
      </c>
      <c r="AP88" s="19" cm="1">
        <f t="array" ref="AP88">SUMPRODUCT(--(MID(AG$10:AG$135, SUMIF($Z$9:$Z$21, LEFT($AJ88,2), $Y$9:$Y$21), 1) = RIGHT($AJ88, 1)), O$10:O$135)</f>
        <v>4</v>
      </c>
    </row>
    <row r="89" spans="2:42">
      <c r="B89" s="34">
        <f t="shared" si="25"/>
        <v>79</v>
      </c>
      <c r="C89" s="30" t="s">
        <v>133</v>
      </c>
      <c r="D89" s="30"/>
      <c r="E89" s="30"/>
      <c r="F89" s="30"/>
      <c r="G89" s="30"/>
      <c r="H89" s="35"/>
      <c r="J89" s="34">
        <f t="shared" si="21"/>
        <v>1</v>
      </c>
      <c r="K89" s="30" t="str">
        <f t="shared" si="21"/>
        <v/>
      </c>
      <c r="L89" s="30" t="str">
        <f t="shared" si="21"/>
        <v/>
      </c>
      <c r="M89" s="30" t="str">
        <f t="shared" si="21"/>
        <v/>
      </c>
      <c r="N89" s="30" t="str">
        <f t="shared" si="21"/>
        <v/>
      </c>
      <c r="O89" s="35" t="str">
        <f t="shared" si="21"/>
        <v/>
      </c>
      <c r="AB89" s="40" t="str">
        <f t="shared" si="23"/>
        <v>0010000100000</v>
      </c>
      <c r="AC89" s="15" t="str">
        <f t="shared" si="23"/>
        <v/>
      </c>
      <c r="AD89" s="15" t="str">
        <f t="shared" si="23"/>
        <v/>
      </c>
      <c r="AE89" s="15" t="str">
        <f t="shared" si="23"/>
        <v/>
      </c>
      <c r="AF89" s="15" t="str">
        <f t="shared" si="23"/>
        <v/>
      </c>
      <c r="AG89" s="41" t="str">
        <f t="shared" si="23"/>
        <v/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91</v>
      </c>
      <c r="AL89" s="39" cm="1">
        <f t="array" ref="AL89">SUMPRODUCT(--(MID(AC$10:AC$135, SUMIF($Z$9:$Z$21, LEFT($AJ89,2), $Y$9:$Y$21), 1) = RIGHT($AJ89, 1)), K$10:K$135)</f>
        <v>63</v>
      </c>
      <c r="AM89" s="39" cm="1">
        <f t="array" ref="AM89">SUMPRODUCT(--(MID(AD$10:AD$135, SUMIF($Z$9:$Z$21, LEFT($AJ89,2), $Y$9:$Y$21), 1) = RIGHT($AJ89, 1)), L$10:L$135)</f>
        <v>65</v>
      </c>
      <c r="AN89" s="39" cm="1">
        <f t="array" ref="AN89">SUMPRODUCT(--(MID(AE$10:AE$135, SUMIF($Z$9:$Z$21, LEFT($AJ89,2), $Y$9:$Y$21), 1) = RIGHT($AJ89, 1)), M$10:M$135)</f>
        <v>64</v>
      </c>
      <c r="AO89" s="39" cm="1">
        <f t="array" ref="AO89">SUMPRODUCT(--(MID(AF$10:AF$135, SUMIF($Z$9:$Z$21, LEFT($AJ89,2), $Y$9:$Y$21), 1) = RIGHT($AJ89, 1)), N$10:N$135)</f>
        <v>47</v>
      </c>
      <c r="AP89" s="19" cm="1">
        <f t="array" ref="AP89">SUMPRODUCT(--(MID(AG$10:AG$135, SUMIF($Z$9:$Z$21, LEFT($AJ89,2), $Y$9:$Y$21), 1) = RIGHT($AJ89, 1)), O$10:O$135)</f>
        <v>33</v>
      </c>
    </row>
    <row r="90" spans="2:42">
      <c r="B90" s="34">
        <f t="shared" si="25"/>
        <v>80</v>
      </c>
      <c r="C90" s="30" t="s">
        <v>127</v>
      </c>
      <c r="D90" s="30"/>
      <c r="E90" s="30"/>
      <c r="F90" s="30"/>
      <c r="G90" s="30"/>
      <c r="H90" s="35"/>
      <c r="J90" s="34">
        <f t="shared" si="21"/>
        <v>1</v>
      </c>
      <c r="K90" s="30" t="str">
        <f t="shared" si="21"/>
        <v/>
      </c>
      <c r="L90" s="30" t="str">
        <f t="shared" si="21"/>
        <v/>
      </c>
      <c r="M90" s="30" t="str">
        <f t="shared" si="21"/>
        <v/>
      </c>
      <c r="N90" s="30" t="str">
        <f t="shared" si="21"/>
        <v/>
      </c>
      <c r="O90" s="35" t="str">
        <f t="shared" si="21"/>
        <v/>
      </c>
      <c r="AB90" s="40" t="str">
        <f t="shared" si="23"/>
        <v>0010000100000</v>
      </c>
      <c r="AC90" s="15" t="str">
        <f t="shared" si="23"/>
        <v/>
      </c>
      <c r="AD90" s="15" t="str">
        <f t="shared" si="23"/>
        <v/>
      </c>
      <c r="AE90" s="15" t="str">
        <f t="shared" si="23"/>
        <v/>
      </c>
      <c r="AF90" s="15" t="str">
        <f t="shared" si="23"/>
        <v/>
      </c>
      <c r="AG90" s="41" t="str">
        <f t="shared" si="23"/>
        <v/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 t="s">
        <v>131</v>
      </c>
      <c r="D91" s="30"/>
      <c r="E91" s="30"/>
      <c r="F91" s="30"/>
      <c r="G91" s="30"/>
      <c r="H91" s="35"/>
      <c r="J91" s="34">
        <f t="shared" si="21"/>
        <v>1</v>
      </c>
      <c r="K91" s="30" t="str">
        <f t="shared" si="21"/>
        <v/>
      </c>
      <c r="L91" s="30" t="str">
        <f t="shared" si="21"/>
        <v/>
      </c>
      <c r="M91" s="30" t="str">
        <f t="shared" si="21"/>
        <v/>
      </c>
      <c r="N91" s="30" t="str">
        <f t="shared" si="21"/>
        <v/>
      </c>
      <c r="O91" s="35" t="str">
        <f t="shared" si="21"/>
        <v/>
      </c>
      <c r="AB91" s="40" t="str">
        <f t="shared" si="23"/>
        <v>0110000000000</v>
      </c>
      <c r="AC91" s="15" t="str">
        <f t="shared" si="23"/>
        <v/>
      </c>
      <c r="AD91" s="15" t="str">
        <f t="shared" si="23"/>
        <v/>
      </c>
      <c r="AE91" s="15" t="str">
        <f t="shared" si="23"/>
        <v/>
      </c>
      <c r="AF91" s="15" t="str">
        <f t="shared" si="23"/>
        <v/>
      </c>
      <c r="AG91" s="41" t="str">
        <f t="shared" si="23"/>
        <v/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 t="s">
        <v>129</v>
      </c>
      <c r="D92" s="30"/>
      <c r="E92" s="30"/>
      <c r="F92" s="30"/>
      <c r="G92" s="30"/>
      <c r="H92" s="35"/>
      <c r="J92" s="34">
        <f t="shared" si="21"/>
        <v>1</v>
      </c>
      <c r="K92" s="30" t="str">
        <f t="shared" si="21"/>
        <v/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5" t="str">
        <f t="shared" si="21"/>
        <v/>
      </c>
      <c r="AB92" s="40" t="str">
        <f t="shared" si="23"/>
        <v>0100000001000</v>
      </c>
      <c r="AC92" s="15" t="str">
        <f t="shared" si="23"/>
        <v/>
      </c>
      <c r="AD92" s="15" t="str">
        <f t="shared" si="23"/>
        <v/>
      </c>
      <c r="AE92" s="15" t="str">
        <f t="shared" si="23"/>
        <v/>
      </c>
      <c r="AF92" s="15" t="str">
        <f t="shared" si="23"/>
        <v/>
      </c>
      <c r="AG92" s="41" t="str">
        <f t="shared" si="23"/>
        <v/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 t="s">
        <v>127</v>
      </c>
      <c r="D93" s="30"/>
      <c r="E93" s="30"/>
      <c r="F93" s="30"/>
      <c r="G93" s="30"/>
      <c r="H93" s="35"/>
      <c r="J93" s="34">
        <f t="shared" si="21"/>
        <v>1</v>
      </c>
      <c r="K93" s="30" t="str">
        <f t="shared" si="21"/>
        <v/>
      </c>
      <c r="L93" s="30" t="str">
        <f t="shared" si="21"/>
        <v/>
      </c>
      <c r="M93" s="30" t="str">
        <f t="shared" si="21"/>
        <v/>
      </c>
      <c r="N93" s="30" t="str">
        <f t="shared" si="21"/>
        <v/>
      </c>
      <c r="O93" s="35" t="str">
        <f t="shared" si="21"/>
        <v/>
      </c>
      <c r="AB93" s="40" t="str">
        <f t="shared" si="23"/>
        <v>0010000001000</v>
      </c>
      <c r="AC93" s="15" t="str">
        <f t="shared" si="23"/>
        <v/>
      </c>
      <c r="AD93" s="15" t="str">
        <f t="shared" si="23"/>
        <v/>
      </c>
      <c r="AE93" s="15" t="str">
        <f t="shared" si="23"/>
        <v/>
      </c>
      <c r="AF93" s="15" t="str">
        <f t="shared" si="23"/>
        <v/>
      </c>
      <c r="AG93" s="41" t="str">
        <f t="shared" si="23"/>
        <v/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 t="s">
        <v>129</v>
      </c>
      <c r="D94" s="30"/>
      <c r="E94" s="30"/>
      <c r="F94" s="30"/>
      <c r="G94" s="30"/>
      <c r="H94" s="35"/>
      <c r="J94" s="34">
        <f t="shared" si="21"/>
        <v>1</v>
      </c>
      <c r="K94" s="30" t="str">
        <f t="shared" si="21"/>
        <v/>
      </c>
      <c r="L94" s="30" t="str">
        <f t="shared" si="21"/>
        <v/>
      </c>
      <c r="M94" s="30" t="str">
        <f t="shared" si="21"/>
        <v/>
      </c>
      <c r="N94" s="30" t="str">
        <f t="shared" si="21"/>
        <v/>
      </c>
      <c r="O94" s="35" t="str">
        <f t="shared" si="21"/>
        <v/>
      </c>
      <c r="AB94" s="40" t="str">
        <f t="shared" si="23"/>
        <v>0010000001000</v>
      </c>
      <c r="AC94" s="15" t="str">
        <f t="shared" si="23"/>
        <v/>
      </c>
      <c r="AD94" s="15" t="str">
        <f t="shared" si="23"/>
        <v/>
      </c>
      <c r="AE94" s="15" t="str">
        <f t="shared" si="23"/>
        <v/>
      </c>
      <c r="AF94" s="15" t="str">
        <f t="shared" si="23"/>
        <v/>
      </c>
      <c r="AG94" s="41" t="str">
        <f t="shared" si="23"/>
        <v/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 t="s">
        <v>127</v>
      </c>
      <c r="D95" s="30"/>
      <c r="E95" s="30"/>
      <c r="F95" s="30"/>
      <c r="G95" s="30"/>
      <c r="H95" s="35"/>
      <c r="J95" s="34">
        <f t="shared" si="21"/>
        <v>1</v>
      </c>
      <c r="K95" s="30" t="str">
        <f t="shared" si="21"/>
        <v/>
      </c>
      <c r="L95" s="30" t="str">
        <f t="shared" si="21"/>
        <v/>
      </c>
      <c r="M95" s="30" t="str">
        <f t="shared" si="21"/>
        <v/>
      </c>
      <c r="N95" s="30" t="str">
        <f t="shared" si="21"/>
        <v/>
      </c>
      <c r="O95" s="35" t="str">
        <f t="shared" si="21"/>
        <v/>
      </c>
      <c r="AB95" s="40" t="str">
        <f t="shared" si="23"/>
        <v>0010000001000</v>
      </c>
      <c r="AC95" s="15" t="str">
        <f t="shared" si="23"/>
        <v/>
      </c>
      <c r="AD95" s="15" t="str">
        <f t="shared" si="23"/>
        <v/>
      </c>
      <c r="AE95" s="15" t="str">
        <f t="shared" si="23"/>
        <v/>
      </c>
      <c r="AF95" s="15" t="str">
        <f t="shared" si="23"/>
        <v/>
      </c>
      <c r="AG95" s="41" t="str">
        <f t="shared" si="23"/>
        <v/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3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 t="s">
        <v>134</v>
      </c>
      <c r="D96" s="30"/>
      <c r="E96" s="30"/>
      <c r="F96" s="30"/>
      <c r="G96" s="30"/>
      <c r="H96" s="35"/>
      <c r="J96" s="34">
        <f t="shared" si="21"/>
        <v>1</v>
      </c>
      <c r="K96" s="30" t="str">
        <f t="shared" si="21"/>
        <v/>
      </c>
      <c r="L96" s="30" t="str">
        <f t="shared" si="21"/>
        <v/>
      </c>
      <c r="M96" s="30" t="str">
        <f t="shared" si="21"/>
        <v/>
      </c>
      <c r="N96" s="30" t="str">
        <f t="shared" si="21"/>
        <v/>
      </c>
      <c r="O96" s="35" t="str">
        <f t="shared" si="21"/>
        <v/>
      </c>
      <c r="AB96" s="40" t="str">
        <f t="shared" si="23"/>
        <v>0011000000000</v>
      </c>
      <c r="AC96" s="15" t="str">
        <f t="shared" si="23"/>
        <v/>
      </c>
      <c r="AD96" s="15" t="str">
        <f t="shared" si="23"/>
        <v/>
      </c>
      <c r="AE96" s="15" t="str">
        <f t="shared" si="23"/>
        <v/>
      </c>
      <c r="AF96" s="15" t="str">
        <f t="shared" si="23"/>
        <v/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16</v>
      </c>
      <c r="AL96" s="39" cm="1">
        <f t="array" ref="AL96">SUMPRODUCT(--(MID(AC$10:AC$135, SUMIF($Z$9:$Z$21, LEFT($AJ96,2), $Y$9:$Y$21), 1) = RIGHT($AJ96, 1)), K$10:K$135)</f>
        <v>14</v>
      </c>
      <c r="AM96" s="39" cm="1">
        <f t="array" ref="AM96">SUMPRODUCT(--(MID(AD$10:AD$135, SUMIF($Z$9:$Z$21, LEFT($AJ96,2), $Y$9:$Y$21), 1) = RIGHT($AJ96, 1)), L$10:L$135)</f>
        <v>4</v>
      </c>
      <c r="AN96" s="39" cm="1">
        <f t="array" ref="AN96">SUMPRODUCT(--(MID(AE$10:AE$135, SUMIF($Z$9:$Z$21, LEFT($AJ96,2), $Y$9:$Y$21), 1) = RIGHT($AJ96, 1)), M$10:M$135)</f>
        <v>18</v>
      </c>
      <c r="AO96" s="39" cm="1">
        <f t="array" ref="AO96">SUMPRODUCT(--(MID(AF$10:AF$135, SUMIF($Z$9:$Z$21, LEFT($AJ96,2), $Y$9:$Y$21), 1) = RIGHT($AJ96, 1)), N$10:N$135)</f>
        <v>16</v>
      </c>
      <c r="AP96" s="19" cm="1">
        <f t="array" ref="AP96">SUMPRODUCT(--(MID(AG$10:AG$135, SUMIF($Z$9:$Z$21, LEFT($AJ96,2), $Y$9:$Y$21), 1) = RIGHT($AJ96, 1)), O$10:O$135)</f>
        <v>4</v>
      </c>
    </row>
    <row r="97" spans="2:44">
      <c r="B97" s="34">
        <f t="shared" si="25"/>
        <v>87</v>
      </c>
      <c r="C97" s="30" t="s">
        <v>133</v>
      </c>
      <c r="D97" s="30"/>
      <c r="E97" s="30"/>
      <c r="F97" s="30"/>
      <c r="G97" s="30"/>
      <c r="H97" s="35"/>
      <c r="J97" s="34">
        <f t="shared" si="21"/>
        <v>1</v>
      </c>
      <c r="K97" s="30" t="str">
        <f t="shared" si="21"/>
        <v/>
      </c>
      <c r="L97" s="30" t="str">
        <f t="shared" si="21"/>
        <v/>
      </c>
      <c r="M97" s="30" t="str">
        <f t="shared" si="21"/>
        <v/>
      </c>
      <c r="N97" s="30" t="str">
        <f t="shared" si="21"/>
        <v/>
      </c>
      <c r="O97" s="35" t="str">
        <f t="shared" si="21"/>
        <v/>
      </c>
      <c r="AB97" s="40" t="str">
        <f t="shared" si="23"/>
        <v>0001000100000</v>
      </c>
      <c r="AC97" s="15" t="str">
        <f t="shared" si="23"/>
        <v/>
      </c>
      <c r="AD97" s="15" t="str">
        <f t="shared" si="23"/>
        <v/>
      </c>
      <c r="AE97" s="15" t="str">
        <f t="shared" si="23"/>
        <v/>
      </c>
      <c r="AF97" s="15" t="str">
        <f t="shared" si="23"/>
        <v/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81</v>
      </c>
      <c r="AL97" s="39" cm="1">
        <f t="array" ref="AL97">SUMPRODUCT(--(MID(AC$10:AC$135, SUMIF($Z$9:$Z$21, LEFT($AJ97,2), $Y$9:$Y$21), 1) = RIGHT($AJ97, 1)), K$10:K$135)</f>
        <v>54</v>
      </c>
      <c r="AM97" s="39" cm="1">
        <f t="array" ref="AM97">SUMPRODUCT(--(MID(AD$10:AD$135, SUMIF($Z$9:$Z$21, LEFT($AJ97,2), $Y$9:$Y$21), 1) = RIGHT($AJ97, 1)), L$10:L$135)</f>
        <v>73</v>
      </c>
      <c r="AN97" s="39" cm="1">
        <f t="array" ref="AN97">SUMPRODUCT(--(MID(AE$10:AE$135, SUMIF($Z$9:$Z$21, LEFT($AJ97,2), $Y$9:$Y$21), 1) = RIGHT($AJ97, 1)), M$10:M$135)</f>
        <v>57</v>
      </c>
      <c r="AO97" s="39" cm="1">
        <f t="array" ref="AO97">SUMPRODUCT(--(MID(AF$10:AF$135, SUMIF($Z$9:$Z$21, LEFT($AJ97,2), $Y$9:$Y$21), 1) = RIGHT($AJ97, 1)), N$10:N$135)</f>
        <v>37</v>
      </c>
      <c r="AP97" s="19" cm="1">
        <f t="array" ref="AP97">SUMPRODUCT(--(MID(AG$10:AG$135, SUMIF($Z$9:$Z$21, LEFT($AJ97,2), $Y$9:$Y$21), 1) = RIGHT($AJ97, 1)), O$10:O$135)</f>
        <v>33</v>
      </c>
    </row>
    <row r="98" spans="2:44">
      <c r="B98" s="34">
        <f t="shared" si="25"/>
        <v>88</v>
      </c>
      <c r="C98" s="30" t="s">
        <v>131</v>
      </c>
      <c r="D98" s="30"/>
      <c r="E98" s="30"/>
      <c r="F98" s="30"/>
      <c r="G98" s="30"/>
      <c r="H98" s="35"/>
      <c r="J98" s="34">
        <f t="shared" si="21"/>
        <v>1</v>
      </c>
      <c r="K98" s="30" t="str">
        <f t="shared" si="21"/>
        <v/>
      </c>
      <c r="L98" s="30" t="str">
        <f t="shared" si="21"/>
        <v/>
      </c>
      <c r="M98" s="30" t="str">
        <f t="shared" si="21"/>
        <v/>
      </c>
      <c r="N98" s="30" t="str">
        <f t="shared" si="21"/>
        <v/>
      </c>
      <c r="O98" s="35" t="str">
        <f t="shared" si="21"/>
        <v/>
      </c>
      <c r="AB98" s="40" t="str">
        <f t="shared" si="23"/>
        <v>0100000100000</v>
      </c>
      <c r="AC98" s="15" t="str">
        <f t="shared" si="23"/>
        <v/>
      </c>
      <c r="AD98" s="15" t="str">
        <f t="shared" si="23"/>
        <v/>
      </c>
      <c r="AE98" s="15" t="str">
        <f t="shared" si="23"/>
        <v/>
      </c>
      <c r="AF98" s="15" t="str">
        <f t="shared" si="23"/>
        <v/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 t="s">
        <v>129</v>
      </c>
      <c r="D99" s="30"/>
      <c r="E99" s="30"/>
      <c r="F99" s="30"/>
      <c r="G99" s="30"/>
      <c r="H99" s="35"/>
      <c r="J99" s="34">
        <f t="shared" si="21"/>
        <v>1</v>
      </c>
      <c r="K99" s="30" t="str">
        <f t="shared" si="21"/>
        <v/>
      </c>
      <c r="L99" s="30" t="str">
        <f t="shared" si="21"/>
        <v/>
      </c>
      <c r="M99" s="30" t="str">
        <f t="shared" si="21"/>
        <v/>
      </c>
      <c r="N99" s="30" t="str">
        <f t="shared" si="21"/>
        <v/>
      </c>
      <c r="O99" s="35" t="str">
        <f t="shared" si="21"/>
        <v/>
      </c>
      <c r="AB99" s="40" t="str">
        <f t="shared" si="23"/>
        <v>0100000001000</v>
      </c>
      <c r="AC99" s="15" t="str">
        <f t="shared" si="23"/>
        <v/>
      </c>
      <c r="AD99" s="15" t="str">
        <f t="shared" si="23"/>
        <v/>
      </c>
      <c r="AE99" s="15" t="str">
        <f t="shared" si="23"/>
        <v/>
      </c>
      <c r="AF99" s="15" t="str">
        <f t="shared" si="23"/>
        <v/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 t="s">
        <v>138</v>
      </c>
      <c r="D100" s="30"/>
      <c r="E100" s="30"/>
      <c r="F100" s="30"/>
      <c r="G100" s="30"/>
      <c r="H100" s="35"/>
      <c r="J100" s="34">
        <f t="shared" si="21"/>
        <v>1</v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 t="str">
        <f t="shared" si="21"/>
        <v/>
      </c>
      <c r="AB100" s="40" t="str">
        <f t="shared" si="23"/>
        <v>0000000001010</v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 t="s">
        <v>129</v>
      </c>
      <c r="D101" s="30"/>
      <c r="E101" s="30"/>
      <c r="F101" s="30"/>
      <c r="G101" s="30"/>
      <c r="H101" s="35"/>
      <c r="J101" s="34">
        <f t="shared" si="21"/>
        <v>1</v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>0000000001010</v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 t="s">
        <v>131</v>
      </c>
      <c r="D102" s="30"/>
      <c r="E102" s="30"/>
      <c r="F102" s="30"/>
      <c r="G102" s="30"/>
      <c r="H102" s="35"/>
      <c r="J102" s="34">
        <f t="shared" si="21"/>
        <v>1</v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>0100000001000</v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 t="s">
        <v>134</v>
      </c>
      <c r="D103" s="30"/>
      <c r="E103" s="30"/>
      <c r="F103" s="30"/>
      <c r="G103" s="30"/>
      <c r="H103" s="35"/>
      <c r="J103" s="34">
        <f t="shared" ref="J103:L135" si="31">IF(C103="","",1)</f>
        <v>1</v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>0101000000000</v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 t="s">
        <v>132</v>
      </c>
      <c r="D104" s="30"/>
      <c r="E104" s="30"/>
      <c r="F104" s="30"/>
      <c r="G104" s="30"/>
      <c r="H104" s="35"/>
      <c r="J104" s="34">
        <f t="shared" si="31"/>
        <v>1</v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>0001000000100</v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 t="s">
        <v>131</v>
      </c>
      <c r="D105" s="30"/>
      <c r="E105" s="30"/>
      <c r="F105" s="30"/>
      <c r="G105" s="30"/>
      <c r="H105" s="35"/>
      <c r="J105" s="34">
        <f t="shared" si="31"/>
        <v>1</v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>0100000000100</v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99</v>
      </c>
      <c r="AL105" s="39" cm="1">
        <f t="array" ref="AL105">SUMPRODUCT(--(MID(AC$10:AC$135, SUMIF($Z$9:$Z$21, LEFT($AJ105,2), $Y$9:$Y$21), 1) = RIGHT($AJ105, 1)), K$10:K$135)</f>
        <v>71</v>
      </c>
      <c r="AM105" s="39" cm="1">
        <f t="array" ref="AM105">SUMPRODUCT(--(MID(AD$10:AD$135, SUMIF($Z$9:$Z$21, LEFT($AJ105,2), $Y$9:$Y$21), 1) = RIGHT($AJ105, 1)), L$10:L$135)</f>
        <v>79</v>
      </c>
      <c r="AN105" s="39" cm="1">
        <f t="array" ref="AN105">SUMPRODUCT(--(MID(AE$10:AE$135, SUMIF($Z$9:$Z$21, LEFT($AJ105,2), $Y$9:$Y$21), 1) = RIGHT($AJ105, 1)), M$10:M$135)</f>
        <v>77</v>
      </c>
      <c r="AO105" s="39" cm="1">
        <f t="array" ref="AO105">SUMPRODUCT(--(MID(AF$10:AF$135, SUMIF($Z$9:$Z$21, LEFT($AJ105,2), $Y$9:$Y$21), 1) = RIGHT($AJ105, 1)), N$10:N$135)</f>
        <v>55</v>
      </c>
      <c r="AP105" s="19" cm="1">
        <f t="array" ref="AP105">SUMPRODUCT(--(MID(AG$10:AG$135, SUMIF($Z$9:$Z$21, LEFT($AJ105,2), $Y$9:$Y$21), 1) = RIGHT($AJ105, 1)), O$10:O$135)</f>
        <v>39</v>
      </c>
      <c r="AR105" s="39"/>
    </row>
    <row r="106" spans="2:44">
      <c r="B106" s="34">
        <f t="shared" si="25"/>
        <v>96</v>
      </c>
      <c r="C106" s="30" t="s">
        <v>127</v>
      </c>
      <c r="D106" s="30"/>
      <c r="E106" s="30"/>
      <c r="F106" s="30"/>
      <c r="G106" s="30"/>
      <c r="H106" s="35"/>
      <c r="J106" s="34">
        <f t="shared" si="31"/>
        <v>1</v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>0110000000000</v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 t="s">
        <v>131</v>
      </c>
      <c r="D107" s="30"/>
      <c r="E107" s="30"/>
      <c r="F107" s="30"/>
      <c r="G107" s="30"/>
      <c r="H107" s="35"/>
      <c r="J107" s="34">
        <f t="shared" si="31"/>
        <v>1</v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>0110000000000</v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 t="s">
        <v>136</v>
      </c>
      <c r="D108" s="30"/>
      <c r="E108" s="30"/>
      <c r="F108" s="30"/>
      <c r="G108" s="30"/>
      <c r="H108" s="35"/>
      <c r="J108" s="34">
        <f t="shared" si="31"/>
        <v>1</v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>0100100000000</v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99</v>
      </c>
      <c r="AL113" s="17" cm="1">
        <f t="array" ref="AL113">SUMPRODUCT(--(MID(AC$10:AC$135, SUMIF($Z$9:$Z$21, LEFT($AJ113,2), $Y$9:$Y$21), 1) = RIGHT($AJ113, 1)), K$10:K$135)</f>
        <v>71</v>
      </c>
      <c r="AM113" s="17" cm="1">
        <f t="array" ref="AM113">SUMPRODUCT(--(MID(AD$10:AD$135, SUMIF($Z$9:$Z$21, LEFT($AJ113,2), $Y$9:$Y$21), 1) = RIGHT($AJ113, 1)), L$10:L$135)</f>
        <v>79</v>
      </c>
      <c r="AN113" s="17" cm="1">
        <f t="array" ref="AN113">SUMPRODUCT(--(MID(AE$10:AE$135, SUMIF($Z$9:$Z$21, LEFT($AJ113,2), $Y$9:$Y$21), 1) = RIGHT($AJ113, 1)), M$10:M$135)</f>
        <v>77</v>
      </c>
      <c r="AO113" s="17" cm="1">
        <f t="array" ref="AO113">SUMPRODUCT(--(MID(AF$10:AF$135, SUMIF($Z$9:$Z$21, LEFT($AJ113,2), $Y$9:$Y$21), 1) = RIGHT($AJ113, 1)), N$10:N$135)</f>
        <v>55</v>
      </c>
      <c r="AP113" s="16" cm="1">
        <f t="array" ref="AP113">SUMPRODUCT(--(MID(AG$10:AG$135, SUMIF($Z$9:$Z$21, LEFT($AJ113,2), $Y$9:$Y$21), 1) = RIGHT($AJ113, 1)), O$10:O$135)</f>
        <v>39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45" priority="1" operator="equal">
      <formula>"WC"</formula>
    </cfRule>
    <cfRule type="cellIs" dxfId="44" priority="2" operator="equal">
      <formula>"FG"</formula>
    </cfRule>
  </conditionalFormatting>
  <conditionalFormatting sqref="J3:O3">
    <cfRule type="cellIs" dxfId="43" priority="3" operator="equal">
      <formula>$E$24</formula>
    </cfRule>
    <cfRule type="cellIs" dxfId="42" priority="4" operator="equal">
      <formula>$C$20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F230-0261-4B63-B083-EFA9C0189694}">
  <dimension ref="B2:BL135"/>
  <sheetViews>
    <sheetView topLeftCell="E1" zoomScale="91" zoomScaleNormal="84" workbookViewId="0">
      <selection activeCell="H10" sqref="H10:H78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BB</v>
      </c>
      <c r="D4" s="32" t="str">
        <f t="shared" si="1"/>
        <v>LL</v>
      </c>
      <c r="E4" s="32" t="str">
        <f t="shared" si="1"/>
        <v>JJ</v>
      </c>
      <c r="F4" s="32" t="str">
        <f t="shared" si="1"/>
        <v>LL</v>
      </c>
      <c r="G4" s="32" t="str">
        <f t="shared" si="1"/>
        <v>KK</v>
      </c>
      <c r="H4" s="33" t="str">
        <f t="shared" si="1"/>
        <v>GG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KK</v>
      </c>
      <c r="D5" s="30" t="str">
        <f t="shared" si="1"/>
        <v>KK</v>
      </c>
      <c r="E5" s="30" t="str">
        <f t="shared" si="1"/>
        <v>CC</v>
      </c>
      <c r="F5" s="30" t="str">
        <f t="shared" si="1"/>
        <v>KK</v>
      </c>
      <c r="G5" s="30" t="str">
        <f t="shared" si="1"/>
        <v>AA</v>
      </c>
      <c r="H5" s="35" t="str">
        <f t="shared" si="1"/>
        <v>CC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BB</v>
      </c>
      <c r="D6" s="30" t="str">
        <f t="shared" si="1"/>
        <v>LL</v>
      </c>
      <c r="E6" s="30" t="str">
        <f t="shared" si="1"/>
        <v>FF</v>
      </c>
      <c r="F6" s="30" t="str">
        <f t="shared" si="1"/>
        <v>LL</v>
      </c>
      <c r="G6" s="30" t="str">
        <f t="shared" si="1"/>
        <v>KK</v>
      </c>
      <c r="H6" s="35" t="str">
        <f t="shared" si="1"/>
        <v>JJ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JJ</v>
      </c>
      <c r="D7" s="30" t="str">
        <f t="shared" si="1"/>
        <v>KK</v>
      </c>
      <c r="E7" s="30" t="str">
        <f t="shared" si="1"/>
        <v>BB</v>
      </c>
      <c r="F7" s="30" t="str">
        <f t="shared" si="1"/>
        <v>CC</v>
      </c>
      <c r="G7" s="30" t="str">
        <f t="shared" si="1"/>
        <v>EE</v>
      </c>
      <c r="H7" s="35" t="str">
        <f t="shared" si="1"/>
        <v>LL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GG</v>
      </c>
      <c r="D8" s="30" t="str">
        <f t="shared" si="1"/>
        <v>FF</v>
      </c>
      <c r="E8" s="30" t="str">
        <f t="shared" si="1"/>
        <v>GG</v>
      </c>
      <c r="F8" s="30" t="str">
        <f t="shared" si="1"/>
        <v>LL</v>
      </c>
      <c r="G8" s="30" t="str">
        <f t="shared" si="1"/>
        <v>AA</v>
      </c>
      <c r="H8" s="35" t="str">
        <f t="shared" si="1"/>
        <v>GG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BB</v>
      </c>
      <c r="D9" s="37" t="str">
        <f t="shared" si="1"/>
        <v>JJ</v>
      </c>
      <c r="E9" s="37" t="str">
        <f t="shared" si="1"/>
        <v>FF</v>
      </c>
      <c r="F9" s="37" t="str">
        <f t="shared" si="1"/>
        <v>CC</v>
      </c>
      <c r="G9" s="37" t="str">
        <f t="shared" si="1"/>
        <v>JJ</v>
      </c>
      <c r="H9" s="38" t="str">
        <f t="shared" si="1"/>
        <v>FF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131</v>
      </c>
      <c r="D10" s="30" t="s">
        <v>131</v>
      </c>
      <c r="E10" s="30" t="s">
        <v>131</v>
      </c>
      <c r="F10" s="30" t="s">
        <v>133</v>
      </c>
      <c r="G10" s="30" t="s">
        <v>127</v>
      </c>
      <c r="H10" s="35" t="s">
        <v>127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1</v>
      </c>
      <c r="T10" s="30">
        <f t="shared" si="5"/>
        <v>1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0110000000000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0100000001000</v>
      </c>
      <c r="AD10" s="15" t="str">
        <f t="shared" si="7"/>
        <v>0100001000000</v>
      </c>
      <c r="AE10" s="15" t="str">
        <f t="shared" si="7"/>
        <v>0001000100000</v>
      </c>
      <c r="AF10" s="15" t="str">
        <f t="shared" si="7"/>
        <v>0010000001000</v>
      </c>
      <c r="AG10" s="41" t="str">
        <f t="shared" si="7"/>
        <v>0010001000000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2</v>
      </c>
      <c r="AU10" s="30" cm="1">
        <f t="array" ref="AU10">SUMPRODUCT($AI$10:$AI$113,AM$10:AM$113,IF(LEFT($AJ$10:$AJ$113,2)=$AR10,1,0))</f>
        <v>2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131</v>
      </c>
      <c r="D11" s="30" t="s">
        <v>131</v>
      </c>
      <c r="E11" s="30" t="s">
        <v>133</v>
      </c>
      <c r="F11" s="30" t="s">
        <v>133</v>
      </c>
      <c r="G11" s="30" t="s">
        <v>127</v>
      </c>
      <c r="H11" s="35" t="s">
        <v>131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4</v>
      </c>
      <c r="S11" s="30">
        <f t="shared" si="5"/>
        <v>4</v>
      </c>
      <c r="T11" s="30">
        <f t="shared" si="5"/>
        <v>4</v>
      </c>
      <c r="U11" s="30">
        <f t="shared" si="5"/>
        <v>9</v>
      </c>
      <c r="V11" s="30">
        <f t="shared" si="5"/>
        <v>7</v>
      </c>
      <c r="W11" s="35">
        <f t="shared" si="5"/>
        <v>6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0200000000000</v>
      </c>
      <c r="AC11" s="15" t="str">
        <f t="shared" si="7"/>
        <v>0200000000000</v>
      </c>
      <c r="AD11" s="15" t="str">
        <f t="shared" si="7"/>
        <v>0100000100000</v>
      </c>
      <c r="AE11" s="15" t="str">
        <f t="shared" si="7"/>
        <v>0000000200000</v>
      </c>
      <c r="AF11" s="15" t="str">
        <f t="shared" si="7"/>
        <v>0020000000000</v>
      </c>
      <c r="AG11" s="41" t="str">
        <f t="shared" si="7"/>
        <v>0110000000000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8</v>
      </c>
      <c r="AT11" s="30" cm="1">
        <f t="array" ref="AT11">SUMPRODUCT($AI$10:$AI$113,AL$10:AL$113,IF(LEFT($AJ$10:$AJ$113,2)=$AR11,1,0))</f>
        <v>10</v>
      </c>
      <c r="AU11" s="30" cm="1">
        <f t="array" ref="AU11">SUMPRODUCT($AI$10:$AI$113,AM$10:AM$113,IF(LEFT($AJ$10:$AJ$113,2)=$AR11,1,0))</f>
        <v>10</v>
      </c>
      <c r="AV11" s="30" cm="1">
        <f t="array" ref="AV11">SUMPRODUCT($AI$10:$AI$113,AN$10:AN$113,IF(LEFT($AJ$10:$AJ$113,2)=$AR11,1,0))</f>
        <v>18</v>
      </c>
      <c r="AW11" s="30" cm="1">
        <f t="array" ref="AW11">SUMPRODUCT($AI$10:$AI$113,AO$10:AO$113,IF(LEFT($AJ$10:$AJ$113,2)=$AR11,1,0))</f>
        <v>14</v>
      </c>
      <c r="AX11" s="35" cm="1">
        <f t="array" ref="AX11">SUMPRODUCT($AI$10:$AI$113,AP$10:AP$113,IF(LEFT($AJ$10:$AJ$113,2)=$AR11,1,0))</f>
        <v>12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131</v>
      </c>
      <c r="D12" s="30" t="s">
        <v>131</v>
      </c>
      <c r="E12" s="30" t="s">
        <v>138</v>
      </c>
      <c r="F12" s="30" t="s">
        <v>133</v>
      </c>
      <c r="G12" s="30" t="s">
        <v>127</v>
      </c>
      <c r="H12" s="35" t="s">
        <v>131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13</v>
      </c>
      <c r="S12" s="30">
        <f t="shared" si="5"/>
        <v>4</v>
      </c>
      <c r="T12" s="30">
        <f t="shared" si="5"/>
        <v>17</v>
      </c>
      <c r="U12" s="30">
        <f t="shared" si="5"/>
        <v>5</v>
      </c>
      <c r="V12" s="30">
        <f t="shared" si="5"/>
        <v>4</v>
      </c>
      <c r="W12" s="35">
        <f t="shared" si="5"/>
        <v>4</v>
      </c>
      <c r="Y12" s="20">
        <f t="shared" si="6"/>
        <v>4</v>
      </c>
      <c r="Z12" s="23" t="s">
        <v>134</v>
      </c>
      <c r="AB12" s="40" t="str">
        <f t="shared" si="11"/>
        <v>0200000000000</v>
      </c>
      <c r="AC12" s="15" t="str">
        <f t="shared" si="7"/>
        <v>0200000000000</v>
      </c>
      <c r="AD12" s="15" t="str">
        <f t="shared" si="7"/>
        <v>0000000100010</v>
      </c>
      <c r="AE12" s="15" t="str">
        <f t="shared" si="7"/>
        <v>0000000200000</v>
      </c>
      <c r="AF12" s="15" t="str">
        <f t="shared" si="7"/>
        <v>0020000000000</v>
      </c>
      <c r="AG12" s="41" t="str">
        <f t="shared" si="7"/>
        <v>0200000000000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26</v>
      </c>
      <c r="AT12" s="30" cm="1">
        <f t="array" ref="AT12">SUMPRODUCT($AI$10:$AI$113,AL$10:AL$113,IF(LEFT($AJ$10:$AJ$113,2)=$AR12,1,0))</f>
        <v>10</v>
      </c>
      <c r="AU12" s="30" cm="1">
        <f t="array" ref="AU12">SUMPRODUCT($AI$10:$AI$113,AM$10:AM$113,IF(LEFT($AJ$10:$AJ$113,2)=$AR12,1,0))</f>
        <v>36</v>
      </c>
      <c r="AV12" s="30" cm="1">
        <f t="array" ref="AV12">SUMPRODUCT($AI$10:$AI$113,AN$10:AN$113,IF(LEFT($AJ$10:$AJ$113,2)=$AR12,1,0))</f>
        <v>10</v>
      </c>
      <c r="AW12" s="30" cm="1">
        <f t="array" ref="AW12">SUMPRODUCT($AI$10:$AI$113,AO$10:AO$113,IF(LEFT($AJ$10:$AJ$113,2)=$AR12,1,0))</f>
        <v>8</v>
      </c>
      <c r="AX12" s="35" cm="1">
        <f t="array" ref="AX12">SUMPRODUCT($AI$10:$AI$113,AP$10:AP$113,IF(LEFT($AJ$10:$AJ$113,2)=$AR12,1,0))</f>
        <v>8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137</v>
      </c>
      <c r="D13" s="30" t="s">
        <v>131</v>
      </c>
      <c r="E13" s="30" t="s">
        <v>138</v>
      </c>
      <c r="F13" s="30" t="s">
        <v>128</v>
      </c>
      <c r="G13" s="30" t="s">
        <v>128</v>
      </c>
      <c r="H13" s="35" t="s">
        <v>131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8</v>
      </c>
      <c r="S13" s="30">
        <f t="shared" si="5"/>
        <v>5</v>
      </c>
      <c r="T13" s="30">
        <f t="shared" si="5"/>
        <v>12</v>
      </c>
      <c r="U13" s="30">
        <f t="shared" si="5"/>
        <v>12</v>
      </c>
      <c r="V13" s="30">
        <f t="shared" si="5"/>
        <v>5</v>
      </c>
      <c r="W13" s="35">
        <f t="shared" si="5"/>
        <v>9</v>
      </c>
      <c r="Y13" s="20">
        <f t="shared" si="6"/>
        <v>5</v>
      </c>
      <c r="Z13" s="23" t="s">
        <v>136</v>
      </c>
      <c r="AB13" s="40" t="str">
        <f t="shared" si="11"/>
        <v>0100010000000</v>
      </c>
      <c r="AC13" s="15" t="str">
        <f t="shared" si="7"/>
        <v>0200000000000</v>
      </c>
      <c r="AD13" s="15" t="str">
        <f t="shared" si="7"/>
        <v>0000000000020</v>
      </c>
      <c r="AE13" s="15" t="str">
        <f t="shared" si="7"/>
        <v>0000001100000</v>
      </c>
      <c r="AF13" s="15" t="str">
        <f t="shared" si="7"/>
        <v>0010001000000</v>
      </c>
      <c r="AG13" s="41" t="str">
        <f t="shared" si="7"/>
        <v>0200000000000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16</v>
      </c>
      <c r="AT13" s="30" cm="1">
        <f t="array" ref="AT13">SUMPRODUCT($AI$10:$AI$113,AL$10:AL$113,IF(LEFT($AJ$10:$AJ$113,2)=$AR13,1,0))</f>
        <v>12</v>
      </c>
      <c r="AU13" s="30" cm="1">
        <f t="array" ref="AU13">SUMPRODUCT($AI$10:$AI$113,AM$10:AM$113,IF(LEFT($AJ$10:$AJ$113,2)=$AR13,1,0))</f>
        <v>26</v>
      </c>
      <c r="AV13" s="30" cm="1">
        <f t="array" ref="AV13">SUMPRODUCT($AI$10:$AI$113,AN$10:AN$113,IF(LEFT($AJ$10:$AJ$113,2)=$AR13,1,0))</f>
        <v>24</v>
      </c>
      <c r="AW13" s="30" cm="1">
        <f t="array" ref="AW13">SUMPRODUCT($AI$10:$AI$113,AO$10:AO$113,IF(LEFT($AJ$10:$AJ$113,2)=$AR13,1,0))</f>
        <v>10</v>
      </c>
      <c r="AX13" s="35" cm="1">
        <f t="array" ref="AX13">SUMPRODUCT($AI$10:$AI$113,AP$10:AP$113,IF(LEFT($AJ$10:$AJ$113,2)=$AR13,1,0))</f>
        <v>18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134</v>
      </c>
      <c r="D14" s="30" t="s">
        <v>127</v>
      </c>
      <c r="E14" s="30" t="s">
        <v>138</v>
      </c>
      <c r="F14" s="30" t="s">
        <v>129</v>
      </c>
      <c r="G14" s="30" t="s">
        <v>132</v>
      </c>
      <c r="H14" s="35" t="s">
        <v>131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11</v>
      </c>
      <c r="S14" s="30">
        <f t="shared" si="5"/>
        <v>1</v>
      </c>
      <c r="T14" s="30">
        <f t="shared" si="5"/>
        <v>4</v>
      </c>
      <c r="U14" s="30">
        <f t="shared" si="5"/>
        <v>1</v>
      </c>
      <c r="V14" s="30">
        <f t="shared" si="5"/>
        <v>1</v>
      </c>
      <c r="W14" s="35">
        <f t="shared" si="5"/>
        <v>6</v>
      </c>
      <c r="Y14" s="20">
        <f t="shared" si="6"/>
        <v>6</v>
      </c>
      <c r="Z14" s="23" t="s">
        <v>137</v>
      </c>
      <c r="AB14" s="40" t="str">
        <f t="shared" si="11"/>
        <v>0001010000000</v>
      </c>
      <c r="AC14" s="15" t="str">
        <f t="shared" si="7"/>
        <v>0110000000000</v>
      </c>
      <c r="AD14" s="15" t="str">
        <f t="shared" si="7"/>
        <v>0000000000020</v>
      </c>
      <c r="AE14" s="15" t="str">
        <f t="shared" si="7"/>
        <v>0000001001000</v>
      </c>
      <c r="AF14" s="15" t="str">
        <f t="shared" si="7"/>
        <v>0000001000100</v>
      </c>
      <c r="AG14" s="41" t="str">
        <f t="shared" si="7"/>
        <v>0200000000000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22</v>
      </c>
      <c r="AT14" s="30" cm="1">
        <f t="array" ref="AT14">SUMPRODUCT($AI$10:$AI$113,AL$10:AL$113,IF(LEFT($AJ$10:$AJ$113,2)=$AR14,1,0))</f>
        <v>4</v>
      </c>
      <c r="AU14" s="30" cm="1">
        <f t="array" ref="AU14">SUMPRODUCT($AI$10:$AI$113,AM$10:AM$113,IF(LEFT($AJ$10:$AJ$113,2)=$AR14,1,0))</f>
        <v>10</v>
      </c>
      <c r="AV14" s="30" cm="1">
        <f t="array" ref="AV14">SUMPRODUCT($AI$10:$AI$113,AN$10:AN$113,IF(LEFT($AJ$10:$AJ$113,2)=$AR14,1,0))</f>
        <v>2</v>
      </c>
      <c r="AW14" s="30" cm="1">
        <f t="array" ref="AW14">SUMPRODUCT($AI$10:$AI$113,AO$10:AO$113,IF(LEFT($AJ$10:$AJ$113,2)=$AR14,1,0))</f>
        <v>2</v>
      </c>
      <c r="AX14" s="35" cm="1">
        <f t="array" ref="AX14">SUMPRODUCT($AI$10:$AI$113,AP$10:AP$113,IF(LEFT($AJ$10:$AJ$113,2)=$AR14,1,0))</f>
        <v>12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129</v>
      </c>
      <c r="D15" s="30" t="s">
        <v>132</v>
      </c>
      <c r="E15" s="30" t="s">
        <v>129</v>
      </c>
      <c r="F15" s="30" t="s">
        <v>137</v>
      </c>
      <c r="G15" s="30" t="s">
        <v>134</v>
      </c>
      <c r="H15" s="35" t="s">
        <v>137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5</v>
      </c>
      <c r="S15" s="30">
        <f t="shared" si="5"/>
        <v>2</v>
      </c>
      <c r="T15" s="30">
        <f t="shared" si="5"/>
        <v>1</v>
      </c>
      <c r="U15" s="30">
        <f t="shared" si="5"/>
        <v>1</v>
      </c>
      <c r="V15" s="30">
        <f t="shared" si="5"/>
        <v>3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0001000001000</v>
      </c>
      <c r="AC15" s="15" t="str">
        <f t="shared" si="7"/>
        <v>0010000000100</v>
      </c>
      <c r="AD15" s="15" t="str">
        <f t="shared" si="7"/>
        <v>0000000001010</v>
      </c>
      <c r="AE15" s="15" t="str">
        <f t="shared" si="7"/>
        <v>0000010001000</v>
      </c>
      <c r="AF15" s="15" t="str">
        <f t="shared" si="7"/>
        <v>0001000000100</v>
      </c>
      <c r="AG15" s="41" t="str">
        <f t="shared" si="7"/>
        <v>0100010000000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3</v>
      </c>
      <c r="AM15" s="39" cm="1">
        <f t="array" ref="AM15">SUMPRODUCT(--(MID(AD$10:AD$135, SUMIF($Z$9:$Z$21, LEFT($AJ15,2), $Y$9:$Y$21), 1) = RIGHT($AJ15, 1)), L$10:L$135)</f>
        <v>2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3</v>
      </c>
      <c r="AR15" s="34" t="str">
        <f t="shared" si="8"/>
        <v>EE</v>
      </c>
      <c r="AS15" s="30" cm="1">
        <f t="array" ref="AS15">SUMPRODUCT($AI$10:$AI$113,AK$10:AK$113,IF(LEFT($AJ$10:$AJ$113,2)=$AR15,1,0))</f>
        <v>10</v>
      </c>
      <c r="AT15" s="30" cm="1">
        <f t="array" ref="AT15">SUMPRODUCT($AI$10:$AI$113,AL$10:AL$113,IF(LEFT($AJ$10:$AJ$113,2)=$AR15,1,0))</f>
        <v>6</v>
      </c>
      <c r="AU15" s="30" cm="1">
        <f t="array" ref="AU15">SUMPRODUCT($AI$10:$AI$113,AM$10:AM$113,IF(LEFT($AJ$10:$AJ$113,2)=$AR15,1,0))</f>
        <v>4</v>
      </c>
      <c r="AV15" s="30" cm="1">
        <f t="array" ref="AV15">SUMPRODUCT($AI$10:$AI$113,AN$10:AN$113,IF(LEFT($AJ$10:$AJ$113,2)=$AR15,1,0))</f>
        <v>2</v>
      </c>
      <c r="AW15" s="30" cm="1">
        <f t="array" ref="AW15">SUMPRODUCT($AI$10:$AI$113,AO$10:AO$113,IF(LEFT($AJ$10:$AJ$113,2)=$AR15,1,0))</f>
        <v>6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133</v>
      </c>
      <c r="D16" s="30" t="s">
        <v>132</v>
      </c>
      <c r="E16" s="30" t="s">
        <v>132</v>
      </c>
      <c r="F16" s="30" t="s">
        <v>132</v>
      </c>
      <c r="G16" s="30" t="s">
        <v>134</v>
      </c>
      <c r="H16" s="35" t="s">
        <v>136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7</v>
      </c>
      <c r="S16" s="30">
        <f t="shared" si="5"/>
        <v>5</v>
      </c>
      <c r="T16" s="30">
        <f t="shared" si="5"/>
        <v>10</v>
      </c>
      <c r="U16" s="30">
        <f t="shared" si="5"/>
        <v>3</v>
      </c>
      <c r="V16" s="30">
        <f t="shared" si="5"/>
        <v>1</v>
      </c>
      <c r="W16" s="35">
        <f t="shared" si="5"/>
        <v>6</v>
      </c>
      <c r="Y16" s="20">
        <f t="shared" si="6"/>
        <v>8</v>
      </c>
      <c r="Z16" s="23" t="s">
        <v>133</v>
      </c>
      <c r="AB16" s="40" t="str">
        <f t="shared" si="11"/>
        <v>0000000101000</v>
      </c>
      <c r="AC16" s="15" t="str">
        <f t="shared" si="7"/>
        <v>0000000000200</v>
      </c>
      <c r="AD16" s="15" t="str">
        <f t="shared" si="7"/>
        <v>0000000001100</v>
      </c>
      <c r="AE16" s="15" t="str">
        <f t="shared" si="7"/>
        <v>0000010000100</v>
      </c>
      <c r="AF16" s="15" t="str">
        <f t="shared" si="7"/>
        <v>0002000000000</v>
      </c>
      <c r="AG16" s="41" t="str">
        <f t="shared" si="7"/>
        <v>0000110000000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4</v>
      </c>
      <c r="AL16" s="39" cm="1">
        <f t="array" ref="AL16">SUMPRODUCT(--(MID(AC$10:AC$135, SUMIF($Z$9:$Z$21, LEFT($AJ16,2), $Y$9:$Y$21), 1) = RIGHT($AJ16, 1)), K$10:K$135)</f>
        <v>4</v>
      </c>
      <c r="AM16" s="39" cm="1">
        <f t="array" ref="AM16">SUMPRODUCT(--(MID(AD$10:AD$135, SUMIF($Z$9:$Z$21, LEFT($AJ16,2), $Y$9:$Y$21), 1) = RIGHT($AJ16, 1)), L$10:L$135)</f>
        <v>6</v>
      </c>
      <c r="AN16" s="39" cm="1">
        <f t="array" ref="AN16">SUMPRODUCT(--(MID(AE$10:AE$135, SUMIF($Z$9:$Z$21, LEFT($AJ16,2), $Y$9:$Y$21), 1) = RIGHT($AJ16, 1)), M$10:M$135)</f>
        <v>14</v>
      </c>
      <c r="AO16" s="39" cm="1">
        <f t="array" ref="AO16">SUMPRODUCT(--(MID(AF$10:AF$135, SUMIF($Z$9:$Z$21, LEFT($AJ16,2), $Y$9:$Y$21), 1) = RIGHT($AJ16, 1)), N$10:N$135)</f>
        <v>10</v>
      </c>
      <c r="AP16" s="19" cm="1">
        <f t="array" ref="AP16">SUMPRODUCT(--(MID(AG$10:AG$135, SUMIF($Z$9:$Z$21, LEFT($AJ16,2), $Y$9:$Y$21), 1) = RIGHT($AJ16, 1)), O$10:O$135)</f>
        <v>6</v>
      </c>
      <c r="AR16" s="34" t="str">
        <f t="shared" si="8"/>
        <v>FF</v>
      </c>
      <c r="AS16" s="30" cm="1">
        <f t="array" ref="AS16">SUMPRODUCT($AI$10:$AI$113,AK$10:AK$113,IF(LEFT($AJ$10:$AJ$113,2)=$AR16,1,0))</f>
        <v>14</v>
      </c>
      <c r="AT16" s="30" cm="1">
        <f t="array" ref="AT16">SUMPRODUCT($AI$10:$AI$113,AL$10:AL$113,IF(LEFT($AJ$10:$AJ$113,2)=$AR16,1,0))</f>
        <v>12</v>
      </c>
      <c r="AU16" s="30" cm="1">
        <f t="array" ref="AU16">SUMPRODUCT($AI$10:$AI$113,AM$10:AM$113,IF(LEFT($AJ$10:$AJ$113,2)=$AR16,1,0))</f>
        <v>22</v>
      </c>
      <c r="AV16" s="30" cm="1">
        <f t="array" ref="AV16">SUMPRODUCT($AI$10:$AI$113,AN$10:AN$113,IF(LEFT($AJ$10:$AJ$113,2)=$AR16,1,0))</f>
        <v>6</v>
      </c>
      <c r="AW16" s="30" cm="1">
        <f t="array" ref="AW16">SUMPRODUCT($AI$10:$AI$113,AO$10:AO$113,IF(LEFT($AJ$10:$AJ$113,2)=$AR16,1,0))</f>
        <v>2</v>
      </c>
      <c r="AX16" s="35" cm="1">
        <f t="array" ref="AX16">SUMPRODUCT($AI$10:$AI$113,AP$10:AP$113,IF(LEFT($AJ$10:$AJ$113,2)=$AR16,1,0))</f>
        <v>12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133</v>
      </c>
      <c r="D17" s="30" t="s">
        <v>132</v>
      </c>
      <c r="E17" s="30" t="s">
        <v>134</v>
      </c>
      <c r="F17" s="30" t="s">
        <v>132</v>
      </c>
      <c r="G17" s="30" t="s">
        <v>134</v>
      </c>
      <c r="H17" s="35" t="s">
        <v>138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12</v>
      </c>
      <c r="S17" s="30">
        <f t="shared" si="5"/>
        <v>6</v>
      </c>
      <c r="T17" s="30">
        <f t="shared" si="5"/>
        <v>13</v>
      </c>
      <c r="U17" s="30">
        <f t="shared" si="5"/>
        <v>4</v>
      </c>
      <c r="V17" s="30">
        <f t="shared" si="5"/>
        <v>4</v>
      </c>
      <c r="W17" s="35">
        <f t="shared" si="5"/>
        <v>12</v>
      </c>
      <c r="Y17" s="20">
        <f t="shared" si="6"/>
        <v>9</v>
      </c>
      <c r="Z17" s="23" t="s">
        <v>130</v>
      </c>
      <c r="AB17" s="40" t="str">
        <f t="shared" si="11"/>
        <v>0000000200000</v>
      </c>
      <c r="AC17" s="15" t="str">
        <f t="shared" si="7"/>
        <v>0000000000200</v>
      </c>
      <c r="AD17" s="15" t="str">
        <f t="shared" si="7"/>
        <v>0001000000100</v>
      </c>
      <c r="AE17" s="15" t="str">
        <f t="shared" si="7"/>
        <v>0000000000200</v>
      </c>
      <c r="AF17" s="15" t="str">
        <f t="shared" si="7"/>
        <v>0002000000000</v>
      </c>
      <c r="AG17" s="41" t="str">
        <f t="shared" si="7"/>
        <v>0000100000010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81</v>
      </c>
      <c r="AL17" s="39" cm="1">
        <f t="array" ref="AL17">SUMPRODUCT(--(MID(AC$10:AC$135, SUMIF($Z$9:$Z$21, LEFT($AJ17,2), $Y$9:$Y$21), 1) = RIGHT($AJ17, 1)), K$10:K$135)</f>
        <v>45</v>
      </c>
      <c r="AM17" s="39" cm="1">
        <f t="array" ref="AM17">SUMPRODUCT(--(MID(AD$10:AD$135, SUMIF($Z$9:$Z$21, LEFT($AJ17,2), $Y$9:$Y$21), 1) = RIGHT($AJ17, 1)), L$10:L$135)</f>
        <v>91</v>
      </c>
      <c r="AN17" s="39" cm="1">
        <f t="array" ref="AN17">SUMPRODUCT(--(MID(AE$10:AE$135, SUMIF($Z$9:$Z$21, LEFT($AJ17,2), $Y$9:$Y$21), 1) = RIGHT($AJ17, 1)), M$10:M$135)</f>
        <v>49</v>
      </c>
      <c r="AO17" s="39" cm="1">
        <f t="array" ref="AO17">SUMPRODUCT(--(MID(AF$10:AF$135, SUMIF($Z$9:$Z$21, LEFT($AJ17,2), $Y$9:$Y$21), 1) = RIGHT($AJ17, 1)), N$10:N$135)</f>
        <v>29</v>
      </c>
      <c r="AP17" s="19" cm="1">
        <f t="array" ref="AP17">SUMPRODUCT(--(MID(AG$10:AG$135, SUMIF($Z$9:$Z$21, LEFT($AJ17,2), $Y$9:$Y$21), 1) = RIGHT($AJ17, 1)), O$10:O$135)</f>
        <v>60</v>
      </c>
      <c r="AR17" s="34" t="str">
        <f t="shared" si="8"/>
        <v>GG</v>
      </c>
      <c r="AS17" s="30" cm="1">
        <f t="array" ref="AS17">SUMPRODUCT($AI$10:$AI$113,AK$10:AK$113,IF(LEFT($AJ$10:$AJ$113,2)=$AR17,1,0))</f>
        <v>24</v>
      </c>
      <c r="AT17" s="30" cm="1">
        <f t="array" ref="AT17">SUMPRODUCT($AI$10:$AI$113,AL$10:AL$113,IF(LEFT($AJ$10:$AJ$113,2)=$AR17,1,0))</f>
        <v>14</v>
      </c>
      <c r="AU17" s="30" cm="1">
        <f t="array" ref="AU17">SUMPRODUCT($AI$10:$AI$113,AM$10:AM$113,IF(LEFT($AJ$10:$AJ$113,2)=$AR17,1,0))</f>
        <v>28</v>
      </c>
      <c r="AV17" s="30" cm="1">
        <f t="array" ref="AV17">SUMPRODUCT($AI$10:$AI$113,AN$10:AN$113,IF(LEFT($AJ$10:$AJ$113,2)=$AR17,1,0))</f>
        <v>8</v>
      </c>
      <c r="AW17" s="30" cm="1">
        <f t="array" ref="AW17">SUMPRODUCT($AI$10:$AI$113,AO$10:AO$113,IF(LEFT($AJ$10:$AJ$113,2)=$AR17,1,0))</f>
        <v>8</v>
      </c>
      <c r="AX17" s="35" cm="1">
        <f t="array" ref="AX17">SUMPRODUCT($AI$10:$AI$113,AP$10:AP$113,IF(LEFT($AJ$10:$AJ$113,2)=$AR17,1,0))</f>
        <v>24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133</v>
      </c>
      <c r="D18" s="30" t="s">
        <v>134</v>
      </c>
      <c r="E18" s="30" t="s">
        <v>134</v>
      </c>
      <c r="F18" s="30" t="s">
        <v>132</v>
      </c>
      <c r="G18" s="30" t="s">
        <v>134</v>
      </c>
      <c r="H18" s="35" t="s">
        <v>138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2</v>
      </c>
      <c r="S18" s="30">
        <f t="shared" si="5"/>
        <v>1</v>
      </c>
      <c r="T18" s="30">
        <f t="shared" si="5"/>
        <v>1</v>
      </c>
      <c r="U18" s="30">
        <f t="shared" si="5"/>
        <v>3</v>
      </c>
      <c r="V18" s="30">
        <f t="shared" si="5"/>
        <v>1</v>
      </c>
      <c r="W18" s="35">
        <f t="shared" si="5"/>
        <v>2</v>
      </c>
      <c r="Y18" s="20">
        <f t="shared" si="6"/>
        <v>10</v>
      </c>
      <c r="Z18" s="23" t="s">
        <v>129</v>
      </c>
      <c r="AB18" s="40" t="str">
        <f t="shared" si="11"/>
        <v>0000000200000</v>
      </c>
      <c r="AC18" s="15" t="str">
        <f t="shared" si="7"/>
        <v>0001000000100</v>
      </c>
      <c r="AD18" s="15" t="str">
        <f t="shared" si="7"/>
        <v>0002000000000</v>
      </c>
      <c r="AE18" s="15" t="str">
        <f t="shared" si="7"/>
        <v>0000000000200</v>
      </c>
      <c r="AF18" s="15" t="str">
        <f t="shared" si="7"/>
        <v>0002000000000</v>
      </c>
      <c r="AG18" s="41" t="str">
        <f t="shared" si="7"/>
        <v>0000000000020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4</v>
      </c>
      <c r="AT18" s="30" cm="1">
        <f t="array" ref="AT18">SUMPRODUCT($AI$10:$AI$113,AL$10:AL$113,IF(LEFT($AJ$10:$AJ$113,2)=$AR18,1,0))</f>
        <v>4</v>
      </c>
      <c r="AU18" s="30" cm="1">
        <f t="array" ref="AU18">SUMPRODUCT($AI$10:$AI$113,AM$10:AM$113,IF(LEFT($AJ$10:$AJ$113,2)=$AR18,1,0))</f>
        <v>4</v>
      </c>
      <c r="AV18" s="30" cm="1">
        <f t="array" ref="AV18">SUMPRODUCT($AI$10:$AI$113,AN$10:AN$113,IF(LEFT($AJ$10:$AJ$113,2)=$AR18,1,0))</f>
        <v>6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4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138</v>
      </c>
      <c r="D19" s="30" t="s">
        <v>138</v>
      </c>
      <c r="E19" s="30" t="s">
        <v>134</v>
      </c>
      <c r="F19" s="30" t="s">
        <v>134</v>
      </c>
      <c r="G19" s="30" t="s">
        <v>133</v>
      </c>
      <c r="H19" s="35" t="s">
        <v>138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8</v>
      </c>
      <c r="S19" s="30">
        <f t="shared" si="5"/>
        <v>7</v>
      </c>
      <c r="T19" s="30">
        <f t="shared" si="5"/>
        <v>12</v>
      </c>
      <c r="U19" s="30">
        <f t="shared" si="5"/>
        <v>6</v>
      </c>
      <c r="V19" s="30">
        <f t="shared" si="5"/>
        <v>5</v>
      </c>
      <c r="W19" s="35">
        <f t="shared" si="5"/>
        <v>8</v>
      </c>
      <c r="Y19" s="20">
        <f t="shared" si="6"/>
        <v>11</v>
      </c>
      <c r="Z19" s="23" t="s">
        <v>132</v>
      </c>
      <c r="AA19" s="21"/>
      <c r="AB19" s="40" t="str">
        <f t="shared" si="11"/>
        <v>0000000100010</v>
      </c>
      <c r="AC19" s="15" t="str">
        <f t="shared" si="7"/>
        <v>0001000000010</v>
      </c>
      <c r="AD19" s="15" t="str">
        <f t="shared" si="7"/>
        <v>0002000000000</v>
      </c>
      <c r="AE19" s="15" t="str">
        <f t="shared" si="7"/>
        <v>0001000000100</v>
      </c>
      <c r="AF19" s="15" t="str">
        <f t="shared" si="7"/>
        <v>0001000100000</v>
      </c>
      <c r="AG19" s="41" t="str">
        <f t="shared" si="7"/>
        <v>0000000000020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16</v>
      </c>
      <c r="AT19" s="30" cm="1">
        <f t="array" ref="AT19">SUMPRODUCT($AI$10:$AI$113,AL$10:AL$113,IF(LEFT($AJ$10:$AJ$113,2)=$AR19,1,0))</f>
        <v>16</v>
      </c>
      <c r="AU19" s="30" cm="1">
        <f t="array" ref="AU19">SUMPRODUCT($AI$10:$AI$113,AM$10:AM$113,IF(LEFT($AJ$10:$AJ$113,2)=$AR19,1,0))</f>
        <v>26</v>
      </c>
      <c r="AV19" s="30" cm="1">
        <f t="array" ref="AV19">SUMPRODUCT($AI$10:$AI$113,AN$10:AN$113,IF(LEFT($AJ$10:$AJ$113,2)=$AR19,1,0))</f>
        <v>12</v>
      </c>
      <c r="AW19" s="30" cm="1">
        <f t="array" ref="AW19">SUMPRODUCT($AI$10:$AI$113,AO$10:AO$113,IF(LEFT($AJ$10:$AJ$113,2)=$AR19,1,0))</f>
        <v>10</v>
      </c>
      <c r="AX19" s="35" cm="1">
        <f t="array" ref="AX19">SUMPRODUCT($AI$10:$AI$113,AP$10:AP$113,IF(LEFT($AJ$10:$AJ$113,2)=$AR19,1,0))</f>
        <v>16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132</v>
      </c>
      <c r="D20" s="30" t="s">
        <v>138</v>
      </c>
      <c r="E20" s="30" t="s">
        <v>126</v>
      </c>
      <c r="F20" s="30" t="s">
        <v>136</v>
      </c>
      <c r="G20" s="30" t="s">
        <v>131</v>
      </c>
      <c r="H20" s="35" t="s">
        <v>138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9</v>
      </c>
      <c r="S20" s="30">
        <f t="shared" si="5"/>
        <v>8</v>
      </c>
      <c r="T20" s="30">
        <f t="shared" si="5"/>
        <v>14</v>
      </c>
      <c r="U20" s="30">
        <f t="shared" si="5"/>
        <v>10</v>
      </c>
      <c r="V20" s="30">
        <f t="shared" si="5"/>
        <v>6</v>
      </c>
      <c r="W20" s="35">
        <f t="shared" si="5"/>
        <v>4</v>
      </c>
      <c r="Y20" s="20">
        <v>12</v>
      </c>
      <c r="Z20" s="23" t="s">
        <v>138</v>
      </c>
      <c r="AA20" s="21"/>
      <c r="AB20" s="40" t="str">
        <f t="shared" si="11"/>
        <v>0000000000110</v>
      </c>
      <c r="AC20" s="15" t="str">
        <f t="shared" si="7"/>
        <v>0000000000020</v>
      </c>
      <c r="AD20" s="15" t="str">
        <f t="shared" si="7"/>
        <v>1112111111110</v>
      </c>
      <c r="AE20" s="15" t="str">
        <f t="shared" si="7"/>
        <v>0001100000000</v>
      </c>
      <c r="AF20" s="15" t="str">
        <f t="shared" si="7"/>
        <v>0100000100000</v>
      </c>
      <c r="AG20" s="41" t="str">
        <f t="shared" si="7"/>
        <v>0000000000020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18</v>
      </c>
      <c r="AT20" s="30" cm="1">
        <f t="array" ref="AT20">SUMPRODUCT($AI$10:$AI$113,AL$10:AL$113,IF(LEFT($AJ$10:$AJ$113,2)=$AR20,1,0))</f>
        <v>18</v>
      </c>
      <c r="AU20" s="30" cm="1">
        <f t="array" ref="AU20">SUMPRODUCT($AI$10:$AI$113,AM$10:AM$113,IF(LEFT($AJ$10:$AJ$113,2)=$AR20,1,0))</f>
        <v>30</v>
      </c>
      <c r="AV20" s="30" cm="1">
        <f t="array" ref="AV20">SUMPRODUCT($AI$10:$AI$113,AN$10:AN$113,IF(LEFT($AJ$10:$AJ$113,2)=$AR20,1,0))</f>
        <v>20</v>
      </c>
      <c r="AW20" s="30" cm="1">
        <f t="array" ref="AW20">SUMPRODUCT($AI$10:$AI$113,AO$10:AO$113,IF(LEFT($AJ$10:$AJ$113,2)=$AR20,1,0))</f>
        <v>12</v>
      </c>
      <c r="AX20" s="35" cm="1">
        <f t="array" ref="AX20">SUMPRODUCT($AI$10:$AI$113,AP$10:AP$113,IF(LEFT($AJ$10:$AJ$113,2)=$AR20,1,0))</f>
        <v>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136</v>
      </c>
      <c r="D21" s="30" t="s">
        <v>138</v>
      </c>
      <c r="E21" s="30" t="s">
        <v>138</v>
      </c>
      <c r="F21" s="30" t="s">
        <v>138</v>
      </c>
      <c r="G21" s="30" t="s">
        <v>133</v>
      </c>
      <c r="H21" s="35" t="s">
        <v>134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8</v>
      </c>
      <c r="S21" s="30">
        <f t="shared" si="5"/>
        <v>8</v>
      </c>
      <c r="T21" s="30">
        <f t="shared" si="5"/>
        <v>10</v>
      </c>
      <c r="U21" s="30">
        <f t="shared" si="5"/>
        <v>11</v>
      </c>
      <c r="V21" s="30">
        <f t="shared" si="5"/>
        <v>4</v>
      </c>
      <c r="W21" s="35">
        <f t="shared" si="5"/>
        <v>11</v>
      </c>
      <c r="Y21" s="18">
        <v>13</v>
      </c>
      <c r="Z21" s="22" t="s">
        <v>135</v>
      </c>
      <c r="AA21" s="21"/>
      <c r="AB21" s="40" t="str">
        <f t="shared" si="11"/>
        <v>0000100000100</v>
      </c>
      <c r="AC21" s="15" t="str">
        <f t="shared" si="7"/>
        <v>0000000000020</v>
      </c>
      <c r="AD21" s="15" t="str">
        <f t="shared" si="7"/>
        <v>1111111111120</v>
      </c>
      <c r="AE21" s="15" t="str">
        <f t="shared" si="7"/>
        <v>0000100000010</v>
      </c>
      <c r="AF21" s="15" t="str">
        <f t="shared" si="7"/>
        <v>0100000100000</v>
      </c>
      <c r="AG21" s="41" t="str">
        <f t="shared" si="7"/>
        <v>0001000000010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16</v>
      </c>
      <c r="AT21" s="30" cm="1">
        <f t="array" ref="AT21">SUMPRODUCT($AI$10:$AI$113,AL$10:AL$113,IF(LEFT($AJ$10:$AJ$113,2)=$AR21,1,0))</f>
        <v>18</v>
      </c>
      <c r="AU21" s="30" cm="1">
        <f t="array" ref="AU21">SUMPRODUCT($AI$10:$AI$113,AM$10:AM$113,IF(LEFT($AJ$10:$AJ$113,2)=$AR21,1,0))</f>
        <v>22</v>
      </c>
      <c r="AV21" s="30" cm="1">
        <f t="array" ref="AV21">SUMPRODUCT($AI$10:$AI$113,AN$10:AN$113,IF(LEFT($AJ$10:$AJ$113,2)=$AR21,1,0))</f>
        <v>22</v>
      </c>
      <c r="AW21" s="30" cm="1">
        <f t="array" ref="AW21">SUMPRODUCT($AI$10:$AI$113,AO$10:AO$113,IF(LEFT($AJ$10:$AJ$113,2)=$AR21,1,0))</f>
        <v>8</v>
      </c>
      <c r="AX21" s="35" cm="1">
        <f t="array" ref="AX21">SUMPRODUCT($AI$10:$AI$113,AP$10:AP$113,IF(LEFT($AJ$10:$AJ$113,2)=$AR21,1,0))</f>
        <v>22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136</v>
      </c>
      <c r="D22" s="30" t="s">
        <v>133</v>
      </c>
      <c r="E22" s="30" t="s">
        <v>128</v>
      </c>
      <c r="F22" s="30" t="s">
        <v>130</v>
      </c>
      <c r="G22" s="30" t="s">
        <v>133</v>
      </c>
      <c r="H22" s="35" t="s">
        <v>130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0000200000000</v>
      </c>
      <c r="AC22" s="15" t="str">
        <f t="shared" si="7"/>
        <v>0000000100010</v>
      </c>
      <c r="AD22" s="15" t="str">
        <f t="shared" si="7"/>
        <v>0000001000010</v>
      </c>
      <c r="AE22" s="15" t="str">
        <f t="shared" si="7"/>
        <v>0000000010010</v>
      </c>
      <c r="AF22" s="15" t="str">
        <f t="shared" si="7"/>
        <v>0000000200000</v>
      </c>
      <c r="AG22" s="41" t="str">
        <f t="shared" si="7"/>
        <v>0001000010000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136</v>
      </c>
      <c r="D23" s="30" t="s">
        <v>132</v>
      </c>
      <c r="E23" s="30" t="s">
        <v>134</v>
      </c>
      <c r="F23" s="30" t="s">
        <v>133</v>
      </c>
      <c r="G23" s="30" t="s">
        <v>133</v>
      </c>
      <c r="H23" s="35" t="s">
        <v>129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87</v>
      </c>
      <c r="S23" s="37">
        <f t="shared" ref="S23:W23" si="14">SUM(S10:S22)</f>
        <v>52</v>
      </c>
      <c r="T23" s="37">
        <f t="shared" si="14"/>
        <v>99</v>
      </c>
      <c r="U23" s="37">
        <f t="shared" si="14"/>
        <v>65</v>
      </c>
      <c r="V23" s="37">
        <f t="shared" si="14"/>
        <v>41</v>
      </c>
      <c r="W23" s="38">
        <f t="shared" si="14"/>
        <v>69</v>
      </c>
      <c r="Y23" s="21"/>
      <c r="Z23" s="21"/>
      <c r="AA23" s="21"/>
      <c r="AB23" s="40" t="str">
        <f t="shared" si="11"/>
        <v>0000200000000</v>
      </c>
      <c r="AC23" s="15" t="str">
        <f t="shared" si="7"/>
        <v>0000000100100</v>
      </c>
      <c r="AD23" s="15" t="str">
        <f t="shared" si="7"/>
        <v>0001001000000</v>
      </c>
      <c r="AE23" s="15" t="str">
        <f t="shared" si="7"/>
        <v>0000000110000</v>
      </c>
      <c r="AF23" s="15" t="str">
        <f t="shared" si="7"/>
        <v>0000000200000</v>
      </c>
      <c r="AG23" s="41" t="str">
        <f t="shared" si="7"/>
        <v>0000000011000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3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87</v>
      </c>
      <c r="AT23" s="30">
        <f t="shared" si="16"/>
        <v>50</v>
      </c>
      <c r="AU23" s="30">
        <f t="shared" si="16"/>
        <v>97</v>
      </c>
      <c r="AV23" s="30">
        <f t="shared" si="16"/>
        <v>65</v>
      </c>
      <c r="AW23" s="30">
        <f t="shared" si="16"/>
        <v>41</v>
      </c>
      <c r="AX23" s="35">
        <f t="shared" si="16"/>
        <v>69</v>
      </c>
    </row>
    <row r="24" spans="2:64">
      <c r="B24" s="34">
        <f t="shared" si="9"/>
        <v>14</v>
      </c>
      <c r="C24" s="30" t="s">
        <v>133</v>
      </c>
      <c r="D24" s="30" t="s">
        <v>126</v>
      </c>
      <c r="E24" s="30" t="s">
        <v>137</v>
      </c>
      <c r="F24" s="30" t="s">
        <v>131</v>
      </c>
      <c r="G24" s="30" t="s">
        <v>136</v>
      </c>
      <c r="H24" s="35" t="s">
        <v>129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0000100100000</v>
      </c>
      <c r="AC24" s="15" t="str">
        <f t="shared" si="7"/>
        <v>1111111111210</v>
      </c>
      <c r="AD24" s="15" t="str">
        <f t="shared" si="7"/>
        <v>0001010000000</v>
      </c>
      <c r="AE24" s="15" t="str">
        <f t="shared" si="7"/>
        <v>0100000100000</v>
      </c>
      <c r="AF24" s="15" t="str">
        <f t="shared" si="7"/>
        <v>0000100100000</v>
      </c>
      <c r="AG24" s="41" t="str">
        <f t="shared" si="7"/>
        <v>0000000002000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22</v>
      </c>
      <c r="AL24" s="39" cm="1">
        <f t="array" ref="AL24">SUMPRODUCT(--(MID(AC$10:AC$135, SUMIF($Z$9:$Z$21, LEFT($AJ24,2), $Y$9:$Y$21), 1) = RIGHT($AJ24, 1)), K$10:K$135)</f>
        <v>4</v>
      </c>
      <c r="AM24" s="39" cm="1">
        <f t="array" ref="AM24">SUMPRODUCT(--(MID(AD$10:AD$135, SUMIF($Z$9:$Z$21, LEFT($AJ24,2), $Y$9:$Y$21), 1) = RIGHT($AJ24, 1)), L$10:L$135)</f>
        <v>32</v>
      </c>
      <c r="AN24" s="39" cm="1">
        <f t="array" ref="AN24">SUMPRODUCT(--(MID(AE$10:AE$135, SUMIF($Z$9:$Z$21, LEFT($AJ24,2), $Y$9:$Y$21), 1) = RIGHT($AJ24, 1)), M$10:M$135)</f>
        <v>6</v>
      </c>
      <c r="AO24" s="39" cm="1">
        <f t="array" ref="AO24">SUMPRODUCT(--(MID(AF$10:AF$135, SUMIF($Z$9:$Z$21, LEFT($AJ24,2), $Y$9:$Y$21), 1) = RIGHT($AJ24, 1)), N$10:N$135)</f>
        <v>4</v>
      </c>
      <c r="AP24" s="19" cm="1">
        <f t="array" ref="AP24">SUMPRODUCT(--(MID(AG$10:AG$135, SUMIF($Z$9:$Z$21, LEFT($AJ24,2), $Y$9:$Y$21), 1) = RIGHT($AJ24, 1)), O$10:O$135)</f>
        <v>4</v>
      </c>
      <c r="AR24" s="34" t="str">
        <f t="shared" si="15"/>
        <v>AA-0</v>
      </c>
      <c r="AS24" s="30">
        <f t="shared" si="16"/>
        <v>81</v>
      </c>
      <c r="AT24" s="30">
        <f t="shared" si="16"/>
        <v>45</v>
      </c>
      <c r="AU24" s="30">
        <f t="shared" si="16"/>
        <v>91</v>
      </c>
      <c r="AV24" s="30">
        <f t="shared" si="16"/>
        <v>49</v>
      </c>
      <c r="AW24" s="30">
        <f t="shared" si="16"/>
        <v>29</v>
      </c>
      <c r="AX24" s="35">
        <f t="shared" si="16"/>
        <v>60</v>
      </c>
    </row>
    <row r="25" spans="2:64">
      <c r="B25" s="34">
        <f t="shared" si="9"/>
        <v>15</v>
      </c>
      <c r="C25" s="30" t="s">
        <v>127</v>
      </c>
      <c r="D25" s="30" t="s">
        <v>127</v>
      </c>
      <c r="E25" s="30" t="s">
        <v>130</v>
      </c>
      <c r="F25" s="30" t="s">
        <v>131</v>
      </c>
      <c r="G25" s="30" t="s">
        <v>127</v>
      </c>
      <c r="H25" s="35" t="s">
        <v>129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0010000100000</v>
      </c>
      <c r="AC25" s="15" t="str">
        <f t="shared" si="7"/>
        <v>1121111111110</v>
      </c>
      <c r="AD25" s="15" t="str">
        <f t="shared" si="7"/>
        <v>0000010010000</v>
      </c>
      <c r="AE25" s="15" t="str">
        <f t="shared" si="7"/>
        <v>0200000000000</v>
      </c>
      <c r="AF25" s="15" t="str">
        <f t="shared" si="7"/>
        <v>0010100000000</v>
      </c>
      <c r="AG25" s="41" t="str">
        <f t="shared" si="7"/>
        <v>0000000002000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63</v>
      </c>
      <c r="AL25" s="39" cm="1">
        <f t="array" ref="AL25">SUMPRODUCT(--(MID(AC$10:AC$135, SUMIF($Z$9:$Z$21, LEFT($AJ25,2), $Y$9:$Y$21), 1) = RIGHT($AJ25, 1)), K$10:K$135)</f>
        <v>45</v>
      </c>
      <c r="AM25" s="39" cm="1">
        <f t="array" ref="AM25">SUMPRODUCT(--(MID(AD$10:AD$135, SUMIF($Z$9:$Z$21, LEFT($AJ25,2), $Y$9:$Y$21), 1) = RIGHT($AJ25, 1)), L$10:L$135)</f>
        <v>65</v>
      </c>
      <c r="AN25" s="39" cm="1">
        <f t="array" ref="AN25">SUMPRODUCT(--(MID(AE$10:AE$135, SUMIF($Z$9:$Z$21, LEFT($AJ25,2), $Y$9:$Y$21), 1) = RIGHT($AJ25, 1)), M$10:M$135)</f>
        <v>57</v>
      </c>
      <c r="AO25" s="39" cm="1">
        <f t="array" ref="AO25">SUMPRODUCT(--(MID(AF$10:AF$135, SUMIF($Z$9:$Z$21, LEFT($AJ25,2), $Y$9:$Y$21), 1) = RIGHT($AJ25, 1)), N$10:N$135)</f>
        <v>35</v>
      </c>
      <c r="AP25" s="19" cm="1">
        <f t="array" ref="AP25">SUMPRODUCT(--(MID(AG$10:AG$135, SUMIF($Z$9:$Z$21, LEFT($AJ25,2), $Y$9:$Y$21), 1) = RIGHT($AJ25, 1)), O$10:O$135)</f>
        <v>63</v>
      </c>
      <c r="AR25" s="34" t="str">
        <f t="shared" si="15"/>
        <v>BB-0</v>
      </c>
      <c r="AS25" s="30">
        <f t="shared" si="16"/>
        <v>63</v>
      </c>
      <c r="AT25" s="30">
        <f t="shared" si="16"/>
        <v>45</v>
      </c>
      <c r="AU25" s="30">
        <f t="shared" si="16"/>
        <v>65</v>
      </c>
      <c r="AV25" s="30">
        <f t="shared" si="16"/>
        <v>57</v>
      </c>
      <c r="AW25" s="30">
        <f t="shared" si="16"/>
        <v>35</v>
      </c>
      <c r="AX25" s="35">
        <f t="shared" si="16"/>
        <v>63</v>
      </c>
    </row>
    <row r="26" spans="2:64">
      <c r="B26" s="34">
        <f t="shared" si="9"/>
        <v>16</v>
      </c>
      <c r="C26" s="30" t="s">
        <v>127</v>
      </c>
      <c r="D26" s="30" t="s">
        <v>127</v>
      </c>
      <c r="E26" s="30" t="s">
        <v>127</v>
      </c>
      <c r="F26" s="30" t="s">
        <v>131</v>
      </c>
      <c r="G26" s="30" t="s">
        <v>129</v>
      </c>
      <c r="H26" s="35" t="s">
        <v>129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0020000000000</v>
      </c>
      <c r="AC26" s="15" t="str">
        <f t="shared" si="11"/>
        <v>0020000000000</v>
      </c>
      <c r="AD26" s="15" t="str">
        <f t="shared" si="11"/>
        <v>0010000010000</v>
      </c>
      <c r="AE26" s="15" t="str">
        <f t="shared" si="11"/>
        <v>0200000000000</v>
      </c>
      <c r="AF26" s="15" t="str">
        <f t="shared" si="11"/>
        <v>0010000001000</v>
      </c>
      <c r="AG26" s="41" t="str">
        <f t="shared" si="11"/>
        <v>0000000002000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73</v>
      </c>
      <c r="AT26" s="30">
        <f t="shared" si="16"/>
        <v>42</v>
      </c>
      <c r="AU26" s="30">
        <f t="shared" si="16"/>
        <v>76</v>
      </c>
      <c r="AV26" s="30">
        <f t="shared" si="16"/>
        <v>43</v>
      </c>
      <c r="AW26" s="30">
        <f t="shared" si="16"/>
        <v>34</v>
      </c>
      <c r="AX26" s="35">
        <f t="shared" si="16"/>
        <v>53</v>
      </c>
    </row>
    <row r="27" spans="2:64">
      <c r="B27" s="34">
        <f t="shared" si="9"/>
        <v>17</v>
      </c>
      <c r="C27" s="30" t="s">
        <v>127</v>
      </c>
      <c r="D27" s="30" t="s">
        <v>127</v>
      </c>
      <c r="E27" s="30" t="s">
        <v>136</v>
      </c>
      <c r="F27" s="30" t="s">
        <v>127</v>
      </c>
      <c r="G27" s="30" t="s">
        <v>138</v>
      </c>
      <c r="H27" s="35" t="s">
        <v>133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0020000000000</v>
      </c>
      <c r="AC27" s="15" t="str">
        <f t="shared" si="11"/>
        <v>0020000000000</v>
      </c>
      <c r="AD27" s="15" t="str">
        <f t="shared" si="11"/>
        <v>0010100000000</v>
      </c>
      <c r="AE27" s="15" t="str">
        <f t="shared" si="11"/>
        <v>0110000000000</v>
      </c>
      <c r="AF27" s="15" t="str">
        <f t="shared" si="11"/>
        <v>0000000001010</v>
      </c>
      <c r="AG27" s="41" t="str">
        <f t="shared" si="11"/>
        <v>0000000101000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67</v>
      </c>
      <c r="AT27" s="30">
        <f t="shared" si="16"/>
        <v>48</v>
      </c>
      <c r="AU27" s="30">
        <f t="shared" si="16"/>
        <v>89</v>
      </c>
      <c r="AV27" s="30">
        <f t="shared" si="16"/>
        <v>63</v>
      </c>
      <c r="AW27" s="30">
        <f t="shared" si="16"/>
        <v>39</v>
      </c>
      <c r="AX27" s="35">
        <f t="shared" si="16"/>
        <v>59</v>
      </c>
    </row>
    <row r="28" spans="2:64">
      <c r="B28" s="34">
        <f t="shared" si="9"/>
        <v>18</v>
      </c>
      <c r="C28" s="30" t="s">
        <v>130</v>
      </c>
      <c r="D28" s="30" t="s">
        <v>130</v>
      </c>
      <c r="E28" s="30" t="s">
        <v>133</v>
      </c>
      <c r="F28" s="30" t="s">
        <v>132</v>
      </c>
      <c r="G28" s="30" t="s">
        <v>138</v>
      </c>
      <c r="H28" s="35" t="s">
        <v>128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0010000010000</v>
      </c>
      <c r="AC28" s="15" t="str">
        <f t="shared" si="11"/>
        <v>0010000010000</v>
      </c>
      <c r="AD28" s="15" t="str">
        <f t="shared" si="11"/>
        <v>0000100100000</v>
      </c>
      <c r="AE28" s="15" t="str">
        <f t="shared" si="11"/>
        <v>0010000000100</v>
      </c>
      <c r="AF28" s="15" t="str">
        <f t="shared" si="11"/>
        <v>0000000000020</v>
      </c>
      <c r="AG28" s="41" t="str">
        <f t="shared" si="11"/>
        <v>0000001100000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77</v>
      </c>
      <c r="AT28" s="30">
        <f t="shared" si="16"/>
        <v>46</v>
      </c>
      <c r="AU28" s="30">
        <f t="shared" si="16"/>
        <v>95</v>
      </c>
      <c r="AV28" s="30">
        <f t="shared" si="16"/>
        <v>63</v>
      </c>
      <c r="AW28" s="30">
        <f t="shared" si="16"/>
        <v>35</v>
      </c>
      <c r="AX28" s="35">
        <f t="shared" si="16"/>
        <v>67</v>
      </c>
    </row>
    <row r="29" spans="2:64">
      <c r="B29" s="34">
        <f t="shared" si="9"/>
        <v>19</v>
      </c>
      <c r="C29" s="30" t="s">
        <v>129</v>
      </c>
      <c r="D29" s="30" t="s">
        <v>133</v>
      </c>
      <c r="E29" s="30" t="s">
        <v>133</v>
      </c>
      <c r="F29" s="30" t="s">
        <v>131</v>
      </c>
      <c r="G29" s="30" t="s">
        <v>138</v>
      </c>
      <c r="H29" s="35" t="s">
        <v>132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0000000011000</v>
      </c>
      <c r="AC29" s="15" t="str">
        <f t="shared" si="11"/>
        <v>0000000110000</v>
      </c>
      <c r="AD29" s="15" t="str">
        <f t="shared" si="11"/>
        <v>0000000200000</v>
      </c>
      <c r="AE29" s="15" t="str">
        <f t="shared" si="11"/>
        <v>0100000000100</v>
      </c>
      <c r="AF29" s="15" t="str">
        <f t="shared" si="11"/>
        <v>0000000000020</v>
      </c>
      <c r="AG29" s="41" t="str">
        <f t="shared" si="11"/>
        <v>0000001000100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75</v>
      </c>
      <c r="AT29" s="30">
        <f t="shared" si="16"/>
        <v>43</v>
      </c>
      <c r="AU29" s="30">
        <f t="shared" si="16"/>
        <v>79</v>
      </c>
      <c r="AV29" s="30">
        <f t="shared" si="16"/>
        <v>59</v>
      </c>
      <c r="AW29" s="30">
        <f t="shared" si="16"/>
        <v>39</v>
      </c>
      <c r="AX29" s="35">
        <f t="shared" si="16"/>
        <v>59</v>
      </c>
    </row>
    <row r="30" spans="2:64">
      <c r="B30" s="34">
        <f t="shared" si="9"/>
        <v>20</v>
      </c>
      <c r="C30" s="30" t="s">
        <v>129</v>
      </c>
      <c r="D30" s="30" t="s">
        <v>133</v>
      </c>
      <c r="E30" s="30" t="s">
        <v>133</v>
      </c>
      <c r="F30" s="30" t="s">
        <v>138</v>
      </c>
      <c r="G30" s="30" t="s">
        <v>137</v>
      </c>
      <c r="H30" s="35" t="s">
        <v>132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0000000002000</v>
      </c>
      <c r="AC30" s="15" t="str">
        <f t="shared" si="11"/>
        <v>0000000200000</v>
      </c>
      <c r="AD30" s="15" t="str">
        <f t="shared" si="11"/>
        <v>0000000200000</v>
      </c>
      <c r="AE30" s="15" t="str">
        <f t="shared" si="11"/>
        <v>0100000000010</v>
      </c>
      <c r="AF30" s="15" t="str">
        <f t="shared" si="11"/>
        <v>0000010000010</v>
      </c>
      <c r="AG30" s="41" t="str">
        <f t="shared" si="11"/>
        <v>0000000000200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65</v>
      </c>
      <c r="AT30" s="30">
        <f t="shared" si="16"/>
        <v>40</v>
      </c>
      <c r="AU30" s="30">
        <f t="shared" si="16"/>
        <v>73</v>
      </c>
      <c r="AV30" s="30">
        <f t="shared" si="16"/>
        <v>59</v>
      </c>
      <c r="AW30" s="30">
        <f t="shared" si="16"/>
        <v>35</v>
      </c>
      <c r="AX30" s="35">
        <f t="shared" si="16"/>
        <v>47</v>
      </c>
    </row>
    <row r="31" spans="2:64">
      <c r="B31" s="34">
        <f t="shared" si="9"/>
        <v>21</v>
      </c>
      <c r="C31" s="30" t="s">
        <v>129</v>
      </c>
      <c r="D31" s="30" t="s">
        <v>133</v>
      </c>
      <c r="E31" s="30" t="s">
        <v>128</v>
      </c>
      <c r="F31" s="30" t="s">
        <v>138</v>
      </c>
      <c r="G31" s="30" t="s">
        <v>132</v>
      </c>
      <c r="H31" s="35" t="s">
        <v>132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0000000002000</v>
      </c>
      <c r="AC31" s="15" t="str">
        <f t="shared" si="11"/>
        <v>0000000200000</v>
      </c>
      <c r="AD31" s="15" t="str">
        <f t="shared" si="11"/>
        <v>0000001100000</v>
      </c>
      <c r="AE31" s="15" t="str">
        <f t="shared" si="11"/>
        <v>0000000000020</v>
      </c>
      <c r="AF31" s="15" t="str">
        <f t="shared" si="11"/>
        <v>0000010000100</v>
      </c>
      <c r="AG31" s="41" t="str">
        <f t="shared" si="11"/>
        <v>0000000000200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3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3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83</v>
      </c>
      <c r="AT31" s="30">
        <f t="shared" si="16"/>
        <v>48</v>
      </c>
      <c r="AU31" s="30">
        <f t="shared" si="16"/>
        <v>95</v>
      </c>
      <c r="AV31" s="30">
        <f t="shared" si="16"/>
        <v>59</v>
      </c>
      <c r="AW31" s="30">
        <f t="shared" si="16"/>
        <v>39</v>
      </c>
      <c r="AX31" s="35">
        <f t="shared" si="16"/>
        <v>65</v>
      </c>
    </row>
    <row r="32" spans="2:64">
      <c r="B32" s="34">
        <f t="shared" si="9"/>
        <v>22</v>
      </c>
      <c r="C32" s="30" t="s">
        <v>136</v>
      </c>
      <c r="D32" s="30" t="s">
        <v>128</v>
      </c>
      <c r="E32" s="30" t="s">
        <v>128</v>
      </c>
      <c r="F32" s="30" t="s">
        <v>138</v>
      </c>
      <c r="G32" s="30" t="s">
        <v>132</v>
      </c>
      <c r="H32" s="35" t="s">
        <v>132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0000100001000</v>
      </c>
      <c r="AC32" s="15" t="str">
        <f t="shared" si="11"/>
        <v>0000001100000</v>
      </c>
      <c r="AD32" s="15" t="str">
        <f t="shared" si="11"/>
        <v>0000002000000</v>
      </c>
      <c r="AE32" s="15" t="str">
        <f t="shared" si="11"/>
        <v>0000000000020</v>
      </c>
      <c r="AF32" s="15" t="str">
        <f t="shared" si="11"/>
        <v>0000000000200</v>
      </c>
      <c r="AG32" s="41" t="str">
        <f t="shared" si="11"/>
        <v>0000000000200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12</v>
      </c>
      <c r="AL32" s="39" cm="1">
        <f t="array" ref="AL32">SUMPRODUCT(--(MID(AC$10:AC$135, SUMIF($Z$9:$Z$21, LEFT($AJ32,2), $Y$9:$Y$21), 1) = RIGHT($AJ32, 1)), K$10:K$135)</f>
        <v>8</v>
      </c>
      <c r="AM32" s="39" cm="1">
        <f t="array" ref="AM32">SUMPRODUCT(--(MID(AD$10:AD$135, SUMIF($Z$9:$Z$21, LEFT($AJ32,2), $Y$9:$Y$21), 1) = RIGHT($AJ32, 1)), L$10:L$135)</f>
        <v>20</v>
      </c>
      <c r="AN32" s="39" cm="1">
        <f t="array" ref="AN32">SUMPRODUCT(--(MID(AE$10:AE$135, SUMIF($Z$9:$Z$21, LEFT($AJ32,2), $Y$9:$Y$21), 1) = RIGHT($AJ32, 1)), M$10:M$135)</f>
        <v>20</v>
      </c>
      <c r="AO32" s="39" cm="1">
        <f t="array" ref="AO32">SUMPRODUCT(--(MID(AF$10:AF$135, SUMIF($Z$9:$Z$21, LEFT($AJ32,2), $Y$9:$Y$21), 1) = RIGHT($AJ32, 1)), N$10:N$135)</f>
        <v>4</v>
      </c>
      <c r="AP32" s="19" cm="1">
        <f t="array" ref="AP32">SUMPRODUCT(--(MID(AG$10:AG$135, SUMIF($Z$9:$Z$21, LEFT($AJ32,2), $Y$9:$Y$21), 1) = RIGHT($AJ32, 1)), O$10:O$135)</f>
        <v>14</v>
      </c>
      <c r="AR32" s="34" t="str">
        <f t="shared" si="15"/>
        <v>JJ-0</v>
      </c>
      <c r="AS32" s="30">
        <f t="shared" si="16"/>
        <v>73</v>
      </c>
      <c r="AT32" s="30">
        <f t="shared" si="16"/>
        <v>38</v>
      </c>
      <c r="AU32" s="30">
        <f t="shared" si="16"/>
        <v>75</v>
      </c>
      <c r="AV32" s="30">
        <f t="shared" si="16"/>
        <v>55</v>
      </c>
      <c r="AW32" s="30">
        <f t="shared" si="16"/>
        <v>33</v>
      </c>
      <c r="AX32" s="35">
        <f t="shared" si="16"/>
        <v>56</v>
      </c>
    </row>
    <row r="33" spans="2:50">
      <c r="B33" s="34">
        <f t="shared" si="9"/>
        <v>23</v>
      </c>
      <c r="C33" s="30" t="s">
        <v>132</v>
      </c>
      <c r="D33" s="30" t="s">
        <v>128</v>
      </c>
      <c r="E33" s="30" t="s">
        <v>128</v>
      </c>
      <c r="F33" s="30" t="s">
        <v>134</v>
      </c>
      <c r="G33" s="30" t="s">
        <v>132</v>
      </c>
      <c r="H33" s="35" t="s">
        <v>136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0000100000100</v>
      </c>
      <c r="AC33" s="15" t="str">
        <f t="shared" si="11"/>
        <v>0000002000000</v>
      </c>
      <c r="AD33" s="15" t="str">
        <f t="shared" si="11"/>
        <v>0000002000000</v>
      </c>
      <c r="AE33" s="15" t="str">
        <f t="shared" si="11"/>
        <v>0001000000010</v>
      </c>
      <c r="AF33" s="15" t="str">
        <f t="shared" si="11"/>
        <v>0000000000200</v>
      </c>
      <c r="AG33" s="41" t="str">
        <f t="shared" si="11"/>
        <v>0000100000100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73</v>
      </c>
      <c r="AL33" s="39" cm="1">
        <f t="array" ref="AL33">SUMPRODUCT(--(MID(AC$10:AC$135, SUMIF($Z$9:$Z$21, LEFT($AJ33,2), $Y$9:$Y$21), 1) = RIGHT($AJ33, 1)), K$10:K$135)</f>
        <v>42</v>
      </c>
      <c r="AM33" s="39" cm="1">
        <f t="array" ref="AM33">SUMPRODUCT(--(MID(AD$10:AD$135, SUMIF($Z$9:$Z$21, LEFT($AJ33,2), $Y$9:$Y$21), 1) = RIGHT($AJ33, 1)), L$10:L$135)</f>
        <v>76</v>
      </c>
      <c r="AN33" s="39" cm="1">
        <f t="array" ref="AN33">SUMPRODUCT(--(MID(AE$10:AE$135, SUMIF($Z$9:$Z$21, LEFT($AJ33,2), $Y$9:$Y$21), 1) = RIGHT($AJ33, 1)), M$10:M$135)</f>
        <v>43</v>
      </c>
      <c r="AO33" s="39" cm="1">
        <f t="array" ref="AO33">SUMPRODUCT(--(MID(AF$10:AF$135, SUMIF($Z$9:$Z$21, LEFT($AJ33,2), $Y$9:$Y$21), 1) = RIGHT($AJ33, 1)), N$10:N$135)</f>
        <v>34</v>
      </c>
      <c r="AP33" s="19" cm="1">
        <f t="array" ref="AP33">SUMPRODUCT(--(MID(AG$10:AG$135, SUMIF($Z$9:$Z$21, LEFT($AJ33,2), $Y$9:$Y$21), 1) = RIGHT($AJ33, 1)), O$10:O$135)</f>
        <v>53</v>
      </c>
      <c r="AR33" s="34" t="str">
        <f t="shared" si="15"/>
        <v>KK-0</v>
      </c>
      <c r="AS33" s="30">
        <f t="shared" si="16"/>
        <v>71</v>
      </c>
      <c r="AT33" s="30">
        <f t="shared" si="16"/>
        <v>37</v>
      </c>
      <c r="AU33" s="30">
        <f t="shared" si="16"/>
        <v>71</v>
      </c>
      <c r="AV33" s="30">
        <f t="shared" si="16"/>
        <v>47</v>
      </c>
      <c r="AW33" s="30">
        <f t="shared" si="16"/>
        <v>31</v>
      </c>
      <c r="AX33" s="35">
        <f t="shared" si="16"/>
        <v>64</v>
      </c>
    </row>
    <row r="34" spans="2:50">
      <c r="B34" s="34">
        <f t="shared" si="9"/>
        <v>24</v>
      </c>
      <c r="C34" s="30" t="s">
        <v>132</v>
      </c>
      <c r="D34" s="30" t="s">
        <v>128</v>
      </c>
      <c r="E34" s="30" t="s">
        <v>129</v>
      </c>
      <c r="F34" s="30" t="s">
        <v>134</v>
      </c>
      <c r="G34" s="30" t="s">
        <v>138</v>
      </c>
      <c r="H34" s="35" t="s">
        <v>136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0000000000200</v>
      </c>
      <c r="AC34" s="15" t="str">
        <f t="shared" si="11"/>
        <v>0000002000000</v>
      </c>
      <c r="AD34" s="15" t="str">
        <f t="shared" si="11"/>
        <v>0000001001000</v>
      </c>
      <c r="AE34" s="15" t="str">
        <f t="shared" si="11"/>
        <v>0002000000000</v>
      </c>
      <c r="AF34" s="15" t="str">
        <f t="shared" si="11"/>
        <v>0000000000110</v>
      </c>
      <c r="AG34" s="41" t="str">
        <f t="shared" si="11"/>
        <v>0000200000000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73</v>
      </c>
      <c r="AT34" s="30">
        <f t="shared" si="16"/>
        <v>36</v>
      </c>
      <c r="AU34" s="30">
        <f t="shared" si="16"/>
        <v>80</v>
      </c>
      <c r="AV34" s="30">
        <f t="shared" si="16"/>
        <v>45</v>
      </c>
      <c r="AW34" s="30">
        <f t="shared" si="16"/>
        <v>35</v>
      </c>
      <c r="AX34" s="35">
        <f t="shared" si="16"/>
        <v>50</v>
      </c>
    </row>
    <row r="35" spans="2:50">
      <c r="B35" s="34">
        <f t="shared" si="9"/>
        <v>25</v>
      </c>
      <c r="C35" s="30" t="s">
        <v>132</v>
      </c>
      <c r="D35" s="30" t="s">
        <v>128</v>
      </c>
      <c r="E35" s="30" t="s">
        <v>129</v>
      </c>
      <c r="F35" s="30" t="s">
        <v>134</v>
      </c>
      <c r="G35" s="30" t="s">
        <v>130</v>
      </c>
      <c r="H35" s="35" t="s">
        <v>136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0000000000200</v>
      </c>
      <c r="AC35" s="15" t="str">
        <f t="shared" si="11"/>
        <v>0000002000000</v>
      </c>
      <c r="AD35" s="15" t="str">
        <f t="shared" si="11"/>
        <v>0000000002000</v>
      </c>
      <c r="AE35" s="15" t="str">
        <f t="shared" si="11"/>
        <v>0002000000000</v>
      </c>
      <c r="AF35" s="15" t="str">
        <f t="shared" si="11"/>
        <v>0000000010010</v>
      </c>
      <c r="AG35" s="41" t="str">
        <f t="shared" si="11"/>
        <v>0000200000000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87</v>
      </c>
      <c r="AT35" s="37">
        <f t="shared" si="16"/>
        <v>52</v>
      </c>
      <c r="AU35" s="37">
        <f t="shared" si="16"/>
        <v>99</v>
      </c>
      <c r="AV35" s="37">
        <f t="shared" si="16"/>
        <v>65</v>
      </c>
      <c r="AW35" s="37">
        <f t="shared" si="16"/>
        <v>41</v>
      </c>
      <c r="AX35" s="38">
        <f t="shared" si="16"/>
        <v>69</v>
      </c>
    </row>
    <row r="36" spans="2:50">
      <c r="B36" s="34">
        <f t="shared" si="9"/>
        <v>26</v>
      </c>
      <c r="C36" s="30" t="s">
        <v>131</v>
      </c>
      <c r="D36" s="30" t="s">
        <v>136</v>
      </c>
      <c r="E36" s="30" t="s">
        <v>129</v>
      </c>
      <c r="F36" s="30" t="s">
        <v>129</v>
      </c>
      <c r="G36" s="30" t="s">
        <v>131</v>
      </c>
      <c r="H36" s="35" t="s">
        <v>134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0100000000100</v>
      </c>
      <c r="AC36" s="15" t="str">
        <f t="shared" si="11"/>
        <v>0000101000000</v>
      </c>
      <c r="AD36" s="15" t="str">
        <f t="shared" si="11"/>
        <v>0000000002000</v>
      </c>
      <c r="AE36" s="15" t="str">
        <f t="shared" si="11"/>
        <v>0001000001000</v>
      </c>
      <c r="AF36" s="15" t="str">
        <f t="shared" si="11"/>
        <v>0100000010000</v>
      </c>
      <c r="AG36" s="41" t="str">
        <f t="shared" si="11"/>
        <v>0001100000000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127</v>
      </c>
      <c r="D37" s="30" t="s">
        <v>129</v>
      </c>
      <c r="E37" s="30" t="s">
        <v>132</v>
      </c>
      <c r="F37" s="30" t="s">
        <v>129</v>
      </c>
      <c r="G37" s="30" t="s">
        <v>131</v>
      </c>
      <c r="H37" s="35" t="s">
        <v>134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0110000000000</v>
      </c>
      <c r="AC37" s="15" t="str">
        <f t="shared" si="11"/>
        <v>0000100001000</v>
      </c>
      <c r="AD37" s="15" t="str">
        <f t="shared" si="11"/>
        <v>0000000001100</v>
      </c>
      <c r="AE37" s="15" t="str">
        <f t="shared" si="11"/>
        <v>0000000002000</v>
      </c>
      <c r="AF37" s="15" t="str">
        <f t="shared" si="11"/>
        <v>0200000000000</v>
      </c>
      <c r="AG37" s="41" t="str">
        <f t="shared" si="11"/>
        <v>0002000000000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134</v>
      </c>
      <c r="D38" s="30" t="s">
        <v>137</v>
      </c>
      <c r="E38" s="30" t="s">
        <v>132</v>
      </c>
      <c r="F38" s="30" t="s">
        <v>129</v>
      </c>
      <c r="G38" s="30" t="s">
        <v>131</v>
      </c>
      <c r="H38" s="35" t="s">
        <v>134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0011000000000</v>
      </c>
      <c r="AC38" s="15" t="str">
        <f t="shared" si="11"/>
        <v>0000010001000</v>
      </c>
      <c r="AD38" s="15" t="str">
        <f t="shared" si="11"/>
        <v>0000000000200</v>
      </c>
      <c r="AE38" s="15" t="str">
        <f t="shared" si="11"/>
        <v>0000000002000</v>
      </c>
      <c r="AF38" s="15" t="str">
        <f t="shared" si="11"/>
        <v>0200000000000</v>
      </c>
      <c r="AG38" s="41" t="str">
        <f t="shared" si="11"/>
        <v>0002000000000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134</v>
      </c>
      <c r="D39" s="30" t="s">
        <v>138</v>
      </c>
      <c r="E39" s="30" t="s">
        <v>132</v>
      </c>
      <c r="F39" s="30" t="s">
        <v>127</v>
      </c>
      <c r="G39" s="30" t="s">
        <v>129</v>
      </c>
      <c r="H39" s="35" t="s">
        <v>133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0002000000000</v>
      </c>
      <c r="AC39" s="15" t="str">
        <f t="shared" si="11"/>
        <v>0000010000010</v>
      </c>
      <c r="AD39" s="15" t="str">
        <f t="shared" si="11"/>
        <v>0000000000200</v>
      </c>
      <c r="AE39" s="15" t="str">
        <f t="shared" si="11"/>
        <v>0010000001000</v>
      </c>
      <c r="AF39" s="15" t="str">
        <f t="shared" si="11"/>
        <v>0100000001000</v>
      </c>
      <c r="AG39" s="41" t="str">
        <f t="shared" si="11"/>
        <v>0001000100000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134</v>
      </c>
      <c r="D40" s="30" t="s">
        <v>134</v>
      </c>
      <c r="E40" s="30" t="s">
        <v>127</v>
      </c>
      <c r="F40" s="30" t="s">
        <v>127</v>
      </c>
      <c r="G40" s="30" t="s">
        <v>129</v>
      </c>
      <c r="H40" s="35" t="s">
        <v>133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0002000000000</v>
      </c>
      <c r="AC40" s="15" t="str">
        <f t="shared" si="11"/>
        <v>0001000000010</v>
      </c>
      <c r="AD40" s="15" t="str">
        <f t="shared" si="11"/>
        <v>0010000000100</v>
      </c>
      <c r="AE40" s="15" t="str">
        <f t="shared" si="11"/>
        <v>0020000000000</v>
      </c>
      <c r="AF40" s="15" t="str">
        <f t="shared" si="11"/>
        <v>0000000002000</v>
      </c>
      <c r="AG40" s="41" t="str">
        <f t="shared" si="11"/>
        <v>0000000200000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18</v>
      </c>
      <c r="AL40" s="39" cm="1">
        <f t="array" ref="AL40">SUMPRODUCT(--(MID(AC$10:AC$135, SUMIF($Z$9:$Z$21, LEFT($AJ40,2), $Y$9:$Y$21), 1) = RIGHT($AJ40, 1)), K$10:K$135)</f>
        <v>4</v>
      </c>
      <c r="AM40" s="39" cm="1">
        <f t="array" ref="AM40">SUMPRODUCT(--(MID(AD$10:AD$135, SUMIF($Z$9:$Z$21, LEFT($AJ40,2), $Y$9:$Y$21), 1) = RIGHT($AJ40, 1)), L$10:L$135)</f>
        <v>10</v>
      </c>
      <c r="AN40" s="39" cm="1">
        <f t="array" ref="AN40">SUMPRODUCT(--(MID(AE$10:AE$135, SUMIF($Z$9:$Z$21, LEFT($AJ40,2), $Y$9:$Y$21), 1) = RIGHT($AJ40, 1)), M$10:M$135)</f>
        <v>2</v>
      </c>
      <c r="AO40" s="39" cm="1">
        <f t="array" ref="AO40">SUMPRODUCT(--(MID(AF$10:AF$135, SUMIF($Z$9:$Z$21, LEFT($AJ40,2), $Y$9:$Y$21), 1) = RIGHT($AJ40, 1)), N$10:N$135)</f>
        <v>2</v>
      </c>
      <c r="AP40" s="19" cm="1">
        <f t="array" ref="AP40">SUMPRODUCT(--(MID(AG$10:AG$135, SUMIF($Z$9:$Z$21, LEFT($AJ40,2), $Y$9:$Y$21), 1) = RIGHT($AJ40, 1)), O$10:O$135)</f>
        <v>8</v>
      </c>
    </row>
    <row r="41" spans="2:50">
      <c r="B41" s="34">
        <f t="shared" si="9"/>
        <v>31</v>
      </c>
      <c r="C41" s="30" t="s">
        <v>128</v>
      </c>
      <c r="D41" s="30" t="s">
        <v>134</v>
      </c>
      <c r="E41" s="30" t="s">
        <v>127</v>
      </c>
      <c r="F41" s="30" t="s">
        <v>127</v>
      </c>
      <c r="G41" s="30" t="s">
        <v>129</v>
      </c>
      <c r="H41" s="35" t="s">
        <v>133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0001001000000</v>
      </c>
      <c r="AC41" s="15" t="str">
        <f t="shared" si="11"/>
        <v>0002000000000</v>
      </c>
      <c r="AD41" s="15" t="str">
        <f t="shared" si="11"/>
        <v>0020000000000</v>
      </c>
      <c r="AE41" s="15" t="str">
        <f t="shared" si="11"/>
        <v>0020000000000</v>
      </c>
      <c r="AF41" s="15" t="str">
        <f t="shared" si="11"/>
        <v>0000000002000</v>
      </c>
      <c r="AG41" s="41" t="str">
        <f t="shared" si="11"/>
        <v>0000000200000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67</v>
      </c>
      <c r="AL41" s="39" cm="1">
        <f t="array" ref="AL41">SUMPRODUCT(--(MID(AC$10:AC$135, SUMIF($Z$9:$Z$21, LEFT($AJ41,2), $Y$9:$Y$21), 1) = RIGHT($AJ41, 1)), K$10:K$135)</f>
        <v>48</v>
      </c>
      <c r="AM41" s="39" cm="1">
        <f t="array" ref="AM41">SUMPRODUCT(--(MID(AD$10:AD$135, SUMIF($Z$9:$Z$21, LEFT($AJ41,2), $Y$9:$Y$21), 1) = RIGHT($AJ41, 1)), L$10:L$135)</f>
        <v>89</v>
      </c>
      <c r="AN41" s="39" cm="1">
        <f t="array" ref="AN41">SUMPRODUCT(--(MID(AE$10:AE$135, SUMIF($Z$9:$Z$21, LEFT($AJ41,2), $Y$9:$Y$21), 1) = RIGHT($AJ41, 1)), M$10:M$135)</f>
        <v>63</v>
      </c>
      <c r="AO41" s="39" cm="1">
        <f t="array" ref="AO41">SUMPRODUCT(--(MID(AF$10:AF$135, SUMIF($Z$9:$Z$21, LEFT($AJ41,2), $Y$9:$Y$21), 1) = RIGHT($AJ41, 1)), N$10:N$135)</f>
        <v>39</v>
      </c>
      <c r="AP41" s="19" cm="1">
        <f t="array" ref="AP41">SUMPRODUCT(--(MID(AG$10:AG$135, SUMIF($Z$9:$Z$21, LEFT($AJ41,2), $Y$9:$Y$21), 1) = RIGHT($AJ41, 1)), O$10:O$135)</f>
        <v>59</v>
      </c>
    </row>
    <row r="42" spans="2:50">
      <c r="B42" s="34">
        <f t="shared" si="9"/>
        <v>32</v>
      </c>
      <c r="C42" s="30" t="s">
        <v>138</v>
      </c>
      <c r="D42" s="30" t="s">
        <v>134</v>
      </c>
      <c r="E42" s="30" t="s">
        <v>127</v>
      </c>
      <c r="F42" s="30" t="s">
        <v>128</v>
      </c>
      <c r="G42" s="30" t="s">
        <v>131</v>
      </c>
      <c r="H42" s="35" t="s">
        <v>128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0000001000010</v>
      </c>
      <c r="AC42" s="15" t="str">
        <f t="shared" si="11"/>
        <v>0002000000000</v>
      </c>
      <c r="AD42" s="15" t="str">
        <f t="shared" si="11"/>
        <v>0020000000000</v>
      </c>
      <c r="AE42" s="15" t="str">
        <f t="shared" si="11"/>
        <v>0010001000000</v>
      </c>
      <c r="AF42" s="15" t="str">
        <f t="shared" si="11"/>
        <v>0100000001000</v>
      </c>
      <c r="AG42" s="41" t="str">
        <f t="shared" si="11"/>
        <v>0000001100000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138</v>
      </c>
      <c r="D43" s="30" t="s">
        <v>129</v>
      </c>
      <c r="E43" s="30" t="s">
        <v>131</v>
      </c>
      <c r="F43" s="30" t="s">
        <v>131</v>
      </c>
      <c r="G43" s="30" t="s">
        <v>137</v>
      </c>
      <c r="H43" s="35" t="s">
        <v>128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0000000000020</v>
      </c>
      <c r="AC43" s="15" t="str">
        <f t="shared" si="11"/>
        <v>0001000001000</v>
      </c>
      <c r="AD43" s="15" t="str">
        <f t="shared" si="11"/>
        <v>0110000000000</v>
      </c>
      <c r="AE43" s="15" t="str">
        <f t="shared" si="11"/>
        <v>0100001000000</v>
      </c>
      <c r="AF43" s="15" t="str">
        <f t="shared" si="11"/>
        <v>0100010000000</v>
      </c>
      <c r="AG43" s="41" t="str">
        <f t="shared" si="11"/>
        <v>0000002000000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138</v>
      </c>
      <c r="D44" s="30" t="s">
        <v>129</v>
      </c>
      <c r="E44" s="30" t="s">
        <v>131</v>
      </c>
      <c r="F44" s="30" t="s">
        <v>138</v>
      </c>
      <c r="G44" s="30" t="s">
        <v>134</v>
      </c>
      <c r="H44" s="35" t="s">
        <v>128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0000000000020</v>
      </c>
      <c r="AC44" s="15" t="str">
        <f t="shared" si="11"/>
        <v>0000000002000</v>
      </c>
      <c r="AD44" s="15" t="str">
        <f t="shared" si="11"/>
        <v>0200000000000</v>
      </c>
      <c r="AE44" s="15" t="str">
        <f t="shared" si="11"/>
        <v>0100000000010</v>
      </c>
      <c r="AF44" s="15" t="str">
        <f t="shared" si="11"/>
        <v>0001010000000</v>
      </c>
      <c r="AG44" s="41" t="str">
        <f t="shared" si="11"/>
        <v>0000002000000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128</v>
      </c>
      <c r="D45" s="30" t="s">
        <v>129</v>
      </c>
      <c r="E45" s="30" t="s">
        <v>131</v>
      </c>
      <c r="F45" s="30" t="s">
        <v>134</v>
      </c>
      <c r="G45" s="30" t="s">
        <v>132</v>
      </c>
      <c r="H45" s="35" t="s">
        <v>127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0000001000010</v>
      </c>
      <c r="AC45" s="15" t="str">
        <f t="shared" si="11"/>
        <v>0000000002000</v>
      </c>
      <c r="AD45" s="15" t="str">
        <f t="shared" si="11"/>
        <v>0200000000000</v>
      </c>
      <c r="AE45" s="15" t="str">
        <f t="shared" si="11"/>
        <v>0001000000010</v>
      </c>
      <c r="AF45" s="15" t="str">
        <f t="shared" si="11"/>
        <v>0001000000100</v>
      </c>
      <c r="AG45" s="41" t="str">
        <f t="shared" si="11"/>
        <v>0010001000000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128</v>
      </c>
      <c r="D46" s="30" t="s">
        <v>134</v>
      </c>
      <c r="E46" s="30" t="s">
        <v>127</v>
      </c>
      <c r="F46" s="30" t="s">
        <v>131</v>
      </c>
      <c r="G46" s="30" t="s">
        <v>131</v>
      </c>
      <c r="H46" s="35" t="s">
        <v>127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0000002000000</v>
      </c>
      <c r="AC46" s="15" t="str">
        <f t="shared" si="11"/>
        <v>0001000001000</v>
      </c>
      <c r="AD46" s="15" t="str">
        <f t="shared" si="11"/>
        <v>0110000000000</v>
      </c>
      <c r="AE46" s="15" t="str">
        <f t="shared" si="11"/>
        <v>0101000000000</v>
      </c>
      <c r="AF46" s="15" t="str">
        <f t="shared" si="11"/>
        <v>0100000000100</v>
      </c>
      <c r="AG46" s="41" t="str">
        <f t="shared" si="11"/>
        <v>0020000000000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128</v>
      </c>
      <c r="D47" s="30" t="s">
        <v>133</v>
      </c>
      <c r="E47" s="30" t="s">
        <v>132</v>
      </c>
      <c r="F47" s="30" t="s">
        <v>130</v>
      </c>
      <c r="G47" s="30" t="s">
        <v>132</v>
      </c>
      <c r="H47" s="35" t="s">
        <v>127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0000002000000</v>
      </c>
      <c r="AC47" s="15" t="str">
        <f t="shared" si="11"/>
        <v>0001000100000</v>
      </c>
      <c r="AD47" s="15" t="str">
        <f t="shared" si="11"/>
        <v>0010000000100</v>
      </c>
      <c r="AE47" s="15" t="str">
        <f t="shared" si="11"/>
        <v>0100000010000</v>
      </c>
      <c r="AF47" s="15" t="str">
        <f t="shared" si="11"/>
        <v>0100000000100</v>
      </c>
      <c r="AG47" s="41" t="str">
        <f t="shared" si="11"/>
        <v>0020000000000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136</v>
      </c>
      <c r="D48" s="30" t="s">
        <v>138</v>
      </c>
      <c r="E48" s="30" t="s">
        <v>129</v>
      </c>
      <c r="F48" s="30" t="s">
        <v>128</v>
      </c>
      <c r="G48" s="30" t="s">
        <v>137</v>
      </c>
      <c r="H48" s="35" t="s">
        <v>134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0000101000000</v>
      </c>
      <c r="AC48" s="15" t="str">
        <f t="shared" si="11"/>
        <v>0000000100010</v>
      </c>
      <c r="AD48" s="15" t="str">
        <f t="shared" si="11"/>
        <v>0000000001100</v>
      </c>
      <c r="AE48" s="15" t="str">
        <f t="shared" si="11"/>
        <v>0000001010000</v>
      </c>
      <c r="AF48" s="15" t="str">
        <f t="shared" si="11"/>
        <v>0000010000100</v>
      </c>
      <c r="AG48" s="41" t="str">
        <f t="shared" si="11"/>
        <v>0011000000000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10</v>
      </c>
      <c r="AL48" s="39" cm="1">
        <f t="array" ref="AL48">SUMPRODUCT(--(MID(AC$10:AC$135, SUMIF($Z$9:$Z$21, LEFT($AJ48,2), $Y$9:$Y$21), 1) = RIGHT($AJ48, 1)), K$10:K$135)</f>
        <v>6</v>
      </c>
      <c r="AM48" s="39" cm="1">
        <f t="array" ref="AM48">SUMPRODUCT(--(MID(AD$10:AD$135, SUMIF($Z$9:$Z$21, LEFT($AJ48,2), $Y$9:$Y$21), 1) = RIGHT($AJ48, 1)), L$10:L$135)</f>
        <v>4</v>
      </c>
      <c r="AN48" s="39" cm="1">
        <f t="array" ref="AN48">SUMPRODUCT(--(MID(AE$10:AE$135, SUMIF($Z$9:$Z$21, LEFT($AJ48,2), $Y$9:$Y$21), 1) = RIGHT($AJ48, 1)), M$10:M$135)</f>
        <v>2</v>
      </c>
      <c r="AO48" s="39" cm="1">
        <f t="array" ref="AO48">SUMPRODUCT(--(MID(AF$10:AF$135, SUMIF($Z$9:$Z$21, LEFT($AJ48,2), $Y$9:$Y$21), 1) = RIGHT($AJ48, 1)), N$10:N$135)</f>
        <v>6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133</v>
      </c>
      <c r="D49" s="30" t="s">
        <v>132</v>
      </c>
      <c r="E49" s="30" t="s">
        <v>133</v>
      </c>
      <c r="F49" s="30" t="s">
        <v>131</v>
      </c>
      <c r="G49" s="30" t="s">
        <v>131</v>
      </c>
      <c r="H49" s="35" t="s">
        <v>129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0000100100000</v>
      </c>
      <c r="AC49" s="15" t="str">
        <f t="shared" si="11"/>
        <v>0000000000110</v>
      </c>
      <c r="AD49" s="15" t="str">
        <f t="shared" si="11"/>
        <v>0000000101000</v>
      </c>
      <c r="AE49" s="15" t="str">
        <f t="shared" si="11"/>
        <v>0100001000000</v>
      </c>
      <c r="AF49" s="15" t="str">
        <f t="shared" si="11"/>
        <v>0100010000000</v>
      </c>
      <c r="AG49" s="41" t="str">
        <f t="shared" si="11"/>
        <v>0001000001000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77</v>
      </c>
      <c r="AL49" s="39" cm="1">
        <f t="array" ref="AL49">SUMPRODUCT(--(MID(AC$10:AC$135, SUMIF($Z$9:$Z$21, LEFT($AJ49,2), $Y$9:$Y$21), 1) = RIGHT($AJ49, 1)), K$10:K$135)</f>
        <v>46</v>
      </c>
      <c r="AM49" s="39" cm="1">
        <f t="array" ref="AM49">SUMPRODUCT(--(MID(AD$10:AD$135, SUMIF($Z$9:$Z$21, LEFT($AJ49,2), $Y$9:$Y$21), 1) = RIGHT($AJ49, 1)), L$10:L$135)</f>
        <v>95</v>
      </c>
      <c r="AN49" s="39" cm="1">
        <f t="array" ref="AN49">SUMPRODUCT(--(MID(AE$10:AE$135, SUMIF($Z$9:$Z$21, LEFT($AJ49,2), $Y$9:$Y$21), 1) = RIGHT($AJ49, 1)), M$10:M$135)</f>
        <v>63</v>
      </c>
      <c r="AO49" s="39" cm="1">
        <f t="array" ref="AO49">SUMPRODUCT(--(MID(AF$10:AF$135, SUMIF($Z$9:$Z$21, LEFT($AJ49,2), $Y$9:$Y$21), 1) = RIGHT($AJ49, 1)), N$10:N$135)</f>
        <v>35</v>
      </c>
      <c r="AP49" s="19" cm="1">
        <f t="array" ref="AP49">SUMPRODUCT(--(MID(AG$10:AG$135, SUMIF($Z$9:$Z$21, LEFT($AJ49,2), $Y$9:$Y$21), 1) = RIGHT($AJ49, 1)), O$10:O$135)</f>
        <v>67</v>
      </c>
    </row>
    <row r="50" spans="2:42">
      <c r="B50" s="34">
        <f t="shared" si="9"/>
        <v>40</v>
      </c>
      <c r="C50" s="30" t="s">
        <v>136</v>
      </c>
      <c r="D50" s="30" t="s">
        <v>137</v>
      </c>
      <c r="E50" s="30" t="s">
        <v>138</v>
      </c>
      <c r="F50" s="30" t="s">
        <v>134</v>
      </c>
      <c r="G50" s="30" t="s">
        <v>129</v>
      </c>
      <c r="H50" s="35" t="s">
        <v>131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0000100100000</v>
      </c>
      <c r="AC50" s="15" t="str">
        <f t="shared" si="11"/>
        <v>0000010000100</v>
      </c>
      <c r="AD50" s="15" t="str">
        <f t="shared" si="11"/>
        <v>0000000100010</v>
      </c>
      <c r="AE50" s="15" t="str">
        <f t="shared" si="11"/>
        <v>0101000000000</v>
      </c>
      <c r="AF50" s="15" t="str">
        <f t="shared" si="11"/>
        <v>0100000001000</v>
      </c>
      <c r="AG50" s="41" t="str">
        <f t="shared" si="11"/>
        <v>0100000001000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132</v>
      </c>
      <c r="D51" s="30" t="s">
        <v>132</v>
      </c>
      <c r="E51" s="30" t="s">
        <v>134</v>
      </c>
      <c r="F51" s="30" t="s">
        <v>132</v>
      </c>
      <c r="G51" s="30"/>
      <c r="H51" s="35" t="s">
        <v>136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 t="str">
        <f t="shared" si="3"/>
        <v/>
      </c>
      <c r="O51" s="35">
        <f t="shared" si="3"/>
        <v>1</v>
      </c>
      <c r="Y51" s="21"/>
      <c r="Z51" s="21"/>
      <c r="AA51" s="15"/>
      <c r="AB51" s="40" t="str">
        <f t="shared" si="11"/>
        <v>0000100000100</v>
      </c>
      <c r="AC51" s="15" t="str">
        <f t="shared" si="11"/>
        <v>0000010000100</v>
      </c>
      <c r="AD51" s="15" t="str">
        <f t="shared" si="11"/>
        <v>0001000000010</v>
      </c>
      <c r="AE51" s="15" t="str">
        <f t="shared" si="11"/>
        <v>0001000000100</v>
      </c>
      <c r="AF51" s="15" t="str">
        <f t="shared" si="11"/>
        <v/>
      </c>
      <c r="AG51" s="41" t="str">
        <f t="shared" si="11"/>
        <v>0100100000000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137</v>
      </c>
      <c r="D52" s="30" t="s">
        <v>133</v>
      </c>
      <c r="E52" s="30" t="s">
        <v>138</v>
      </c>
      <c r="F52" s="30" t="s">
        <v>129</v>
      </c>
      <c r="G52" s="30"/>
      <c r="H52" s="35" t="s">
        <v>133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 t="str">
        <f t="shared" si="3"/>
        <v/>
      </c>
      <c r="O52" s="35">
        <f t="shared" si="3"/>
        <v>1</v>
      </c>
      <c r="Y52" s="21"/>
      <c r="Z52" s="21"/>
      <c r="AA52" s="15"/>
      <c r="AB52" s="40" t="str">
        <f t="shared" si="11"/>
        <v>0000010000100</v>
      </c>
      <c r="AC52" s="15" t="str">
        <f t="shared" si="11"/>
        <v>0000000100100</v>
      </c>
      <c r="AD52" s="15" t="str">
        <f t="shared" si="11"/>
        <v>0001000000010</v>
      </c>
      <c r="AE52" s="15" t="str">
        <f t="shared" si="11"/>
        <v>0000000001100</v>
      </c>
      <c r="AF52" s="15" t="str">
        <f t="shared" si="11"/>
        <v/>
      </c>
      <c r="AG52" s="41" t="str">
        <f t="shared" si="11"/>
        <v>0000100100000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138</v>
      </c>
      <c r="D53" s="30" t="s">
        <v>129</v>
      </c>
      <c r="E53" s="30" t="s">
        <v>127</v>
      </c>
      <c r="F53" s="30" t="s">
        <v>131</v>
      </c>
      <c r="G53" s="30"/>
      <c r="H53" s="35" t="s">
        <v>138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 t="str">
        <f t="shared" si="3"/>
        <v/>
      </c>
      <c r="O53" s="35">
        <f t="shared" si="3"/>
        <v>1</v>
      </c>
      <c r="Y53" s="21"/>
      <c r="Z53" s="21"/>
      <c r="AA53" s="15"/>
      <c r="AB53" s="40" t="str">
        <f t="shared" si="11"/>
        <v>0000010000010</v>
      </c>
      <c r="AC53" s="15" t="str">
        <f t="shared" si="11"/>
        <v>0000000101000</v>
      </c>
      <c r="AD53" s="15" t="str">
        <f t="shared" si="11"/>
        <v>0010000000010</v>
      </c>
      <c r="AE53" s="15" t="str">
        <f t="shared" si="11"/>
        <v>0100000001000</v>
      </c>
      <c r="AF53" s="15" t="str">
        <f t="shared" si="11"/>
        <v/>
      </c>
      <c r="AG53" s="41" t="str">
        <f t="shared" si="11"/>
        <v>0000000100010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134</v>
      </c>
      <c r="D54" s="30" t="s">
        <v>138</v>
      </c>
      <c r="E54" s="30" t="s">
        <v>132</v>
      </c>
      <c r="F54" s="30" t="s">
        <v>132</v>
      </c>
      <c r="G54" s="30"/>
      <c r="H54" s="35" t="s">
        <v>134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 t="str">
        <f t="shared" si="3"/>
        <v/>
      </c>
      <c r="O54" s="35">
        <f t="shared" si="3"/>
        <v>1</v>
      </c>
      <c r="Y54" s="21"/>
      <c r="Z54" s="21"/>
      <c r="AA54" s="15"/>
      <c r="AB54" s="40" t="str">
        <f t="shared" si="11"/>
        <v>0001000000010</v>
      </c>
      <c r="AC54" s="15" t="str">
        <f t="shared" si="11"/>
        <v>0000000001010</v>
      </c>
      <c r="AD54" s="15" t="str">
        <f t="shared" si="11"/>
        <v>0010000000100</v>
      </c>
      <c r="AE54" s="15" t="str">
        <f t="shared" si="11"/>
        <v>0100000000100</v>
      </c>
      <c r="AF54" s="15" t="str">
        <f t="shared" si="11"/>
        <v/>
      </c>
      <c r="AG54" s="41" t="str">
        <f t="shared" si="11"/>
        <v>0001000000010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138</v>
      </c>
      <c r="D55" s="30" t="s">
        <v>129</v>
      </c>
      <c r="E55" s="30" t="s">
        <v>127</v>
      </c>
      <c r="F55" s="30" t="s">
        <v>131</v>
      </c>
      <c r="G55" s="30"/>
      <c r="H55" s="35" t="s">
        <v>138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 t="str">
        <f t="shared" si="3"/>
        <v/>
      </c>
      <c r="O55" s="35">
        <f t="shared" si="3"/>
        <v>1</v>
      </c>
      <c r="Y55" s="21"/>
      <c r="Z55" s="21"/>
      <c r="AA55" s="15"/>
      <c r="AB55" s="40" t="str">
        <f t="shared" si="11"/>
        <v>0001000000010</v>
      </c>
      <c r="AC55" s="15" t="str">
        <f t="shared" si="11"/>
        <v>0000000001010</v>
      </c>
      <c r="AD55" s="15" t="str">
        <f t="shared" si="11"/>
        <v>0010000000100</v>
      </c>
      <c r="AE55" s="15" t="str">
        <f t="shared" si="11"/>
        <v>0100000000100</v>
      </c>
      <c r="AF55" s="15" t="str">
        <f t="shared" si="11"/>
        <v/>
      </c>
      <c r="AG55" s="41" t="str">
        <f t="shared" si="11"/>
        <v>0001000000010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3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0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136</v>
      </c>
      <c r="D56" s="30" t="s">
        <v>138</v>
      </c>
      <c r="E56" s="30" t="s">
        <v>129</v>
      </c>
      <c r="F56" s="30" t="s">
        <v>134</v>
      </c>
      <c r="G56" s="30"/>
      <c r="H56" s="35" t="s">
        <v>130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 t="str">
        <f t="shared" si="3"/>
        <v/>
      </c>
      <c r="O56" s="35">
        <f t="shared" si="3"/>
        <v>1</v>
      </c>
      <c r="Y56" s="21"/>
      <c r="Z56" s="21"/>
      <c r="AA56" s="15"/>
      <c r="AB56" s="40" t="str">
        <f t="shared" si="11"/>
        <v>0000100000010</v>
      </c>
      <c r="AC56" s="15" t="str">
        <f t="shared" si="11"/>
        <v>0000000001010</v>
      </c>
      <c r="AD56" s="15" t="str">
        <f t="shared" si="11"/>
        <v>0010000001000</v>
      </c>
      <c r="AE56" s="15" t="str">
        <f t="shared" si="11"/>
        <v>0101000000000</v>
      </c>
      <c r="AF56" s="15" t="str">
        <f t="shared" si="11"/>
        <v/>
      </c>
      <c r="AG56" s="41" t="str">
        <f t="shared" si="11"/>
        <v>0000000010010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10</v>
      </c>
      <c r="AL56" s="39" cm="1">
        <f t="array" ref="AL56">SUMPRODUCT(--(MID(AC$10:AC$135, SUMIF($Z$9:$Z$21, LEFT($AJ56,2), $Y$9:$Y$21), 1) = RIGHT($AJ56, 1)), K$10:K$135)</f>
        <v>6</v>
      </c>
      <c r="AM56" s="39" cm="1">
        <f t="array" ref="AM56">SUMPRODUCT(--(MID(AD$10:AD$135, SUMIF($Z$9:$Z$21, LEFT($AJ56,2), $Y$9:$Y$21), 1) = RIGHT($AJ56, 1)), L$10:L$135)</f>
        <v>18</v>
      </c>
      <c r="AN56" s="39" cm="1">
        <f t="array" ref="AN56">SUMPRODUCT(--(MID(AE$10:AE$135, SUMIF($Z$9:$Z$21, LEFT($AJ56,2), $Y$9:$Y$21), 1) = RIGHT($AJ56, 1)), M$10:M$135)</f>
        <v>6</v>
      </c>
      <c r="AO56" s="39" cm="1">
        <f t="array" ref="AO56">SUMPRODUCT(--(MID(AF$10:AF$135, SUMIF($Z$9:$Z$21, LEFT($AJ56,2), $Y$9:$Y$21), 1) = RIGHT($AJ56, 1)), N$10:N$135)</f>
        <v>2</v>
      </c>
      <c r="AP56" s="19" cm="1">
        <f t="array" ref="AP56">SUMPRODUCT(--(MID(AG$10:AG$135, SUMIF($Z$9:$Z$21, LEFT($AJ56,2), $Y$9:$Y$21), 1) = RIGHT($AJ56, 1)), O$10:O$135)</f>
        <v>8</v>
      </c>
    </row>
    <row r="57" spans="2:42">
      <c r="B57" s="34">
        <f t="shared" si="9"/>
        <v>47</v>
      </c>
      <c r="C57" s="30" t="s">
        <v>133</v>
      </c>
      <c r="D57" s="30" t="s">
        <v>132</v>
      </c>
      <c r="E57" s="30" t="s">
        <v>132</v>
      </c>
      <c r="F57" s="30" t="s">
        <v>138</v>
      </c>
      <c r="G57" s="30"/>
      <c r="H57" s="35" t="s">
        <v>133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 t="str">
        <f t="shared" si="3"/>
        <v/>
      </c>
      <c r="O57" s="35">
        <f t="shared" si="3"/>
        <v>1</v>
      </c>
      <c r="Y57" s="21"/>
      <c r="Z57" s="21"/>
      <c r="AA57" s="15"/>
      <c r="AB57" s="40" t="str">
        <f t="shared" si="11"/>
        <v>0000100100000</v>
      </c>
      <c r="AC57" s="15" t="str">
        <f t="shared" si="11"/>
        <v>0000000000110</v>
      </c>
      <c r="AD57" s="15" t="str">
        <f t="shared" si="11"/>
        <v>0000000001100</v>
      </c>
      <c r="AE57" s="15" t="str">
        <f t="shared" si="11"/>
        <v>0001000000010</v>
      </c>
      <c r="AF57" s="15" t="str">
        <f t="shared" si="11"/>
        <v/>
      </c>
      <c r="AG57" s="41" t="str">
        <f t="shared" si="11"/>
        <v>0000000110000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75</v>
      </c>
      <c r="AL57" s="39" cm="1">
        <f t="array" ref="AL57">SUMPRODUCT(--(MID(AC$10:AC$135, SUMIF($Z$9:$Z$21, LEFT($AJ57,2), $Y$9:$Y$21), 1) = RIGHT($AJ57, 1)), K$10:K$135)</f>
        <v>43</v>
      </c>
      <c r="AM57" s="39" cm="1">
        <f t="array" ref="AM57">SUMPRODUCT(--(MID(AD$10:AD$135, SUMIF($Z$9:$Z$21, LEFT($AJ57,2), $Y$9:$Y$21), 1) = RIGHT($AJ57, 1)), L$10:L$135)</f>
        <v>79</v>
      </c>
      <c r="AN57" s="39" cm="1">
        <f t="array" ref="AN57">SUMPRODUCT(--(MID(AE$10:AE$135, SUMIF($Z$9:$Z$21, LEFT($AJ57,2), $Y$9:$Y$21), 1) = RIGHT($AJ57, 1)), M$10:M$135)</f>
        <v>59</v>
      </c>
      <c r="AO57" s="39" cm="1">
        <f t="array" ref="AO57">SUMPRODUCT(--(MID(AF$10:AF$135, SUMIF($Z$9:$Z$21, LEFT($AJ57,2), $Y$9:$Y$21), 1) = RIGHT($AJ57, 1)), N$10:N$135)</f>
        <v>39</v>
      </c>
      <c r="AP57" s="19" cm="1">
        <f t="array" ref="AP57">SUMPRODUCT(--(MID(AG$10:AG$135, SUMIF($Z$9:$Z$21, LEFT($AJ57,2), $Y$9:$Y$21), 1) = RIGHT($AJ57, 1)), O$10:O$135)</f>
        <v>59</v>
      </c>
    </row>
    <row r="58" spans="2:42">
      <c r="B58" s="34">
        <f t="shared" si="9"/>
        <v>48</v>
      </c>
      <c r="C58" s="30" t="s">
        <v>129</v>
      </c>
      <c r="D58" s="30" t="s">
        <v>138</v>
      </c>
      <c r="E58" s="30" t="s">
        <v>138</v>
      </c>
      <c r="F58" s="30" t="s">
        <v>134</v>
      </c>
      <c r="G58" s="30"/>
      <c r="H58" s="35" t="s">
        <v>134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 t="str">
        <f t="shared" si="3"/>
        <v/>
      </c>
      <c r="O58" s="35">
        <f t="shared" si="3"/>
        <v>1</v>
      </c>
      <c r="Y58" s="21"/>
      <c r="Z58" s="21"/>
      <c r="AA58" s="15"/>
      <c r="AB58" s="40" t="str">
        <f t="shared" si="11"/>
        <v>0000000101000</v>
      </c>
      <c r="AC58" s="15" t="str">
        <f t="shared" si="11"/>
        <v>0000000000110</v>
      </c>
      <c r="AD58" s="15" t="str">
        <f t="shared" si="11"/>
        <v>0000000000110</v>
      </c>
      <c r="AE58" s="15" t="str">
        <f t="shared" si="11"/>
        <v>0001000000010</v>
      </c>
      <c r="AF58" s="15" t="str">
        <f t="shared" si="11"/>
        <v/>
      </c>
      <c r="AG58" s="41" t="str">
        <f t="shared" si="11"/>
        <v>0001000100000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136</v>
      </c>
      <c r="D59" s="30" t="s">
        <v>132</v>
      </c>
      <c r="E59" s="30" t="s">
        <v>128</v>
      </c>
      <c r="F59" s="30" t="s">
        <v>132</v>
      </c>
      <c r="G59" s="30"/>
      <c r="H59" s="35" t="s">
        <v>138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 t="str">
        <f t="shared" si="3"/>
        <v/>
      </c>
      <c r="O59" s="35">
        <f t="shared" si="3"/>
        <v>1</v>
      </c>
      <c r="Y59" s="21"/>
      <c r="Z59" s="21"/>
      <c r="AA59" s="15"/>
      <c r="AB59" s="40" t="str">
        <f t="shared" si="11"/>
        <v>0000100001000</v>
      </c>
      <c r="AC59" s="15" t="str">
        <f t="shared" si="11"/>
        <v>0000000000110</v>
      </c>
      <c r="AD59" s="15" t="str">
        <f t="shared" si="11"/>
        <v>0000001000010</v>
      </c>
      <c r="AE59" s="15" t="str">
        <f t="shared" si="11"/>
        <v>0001000000100</v>
      </c>
      <c r="AF59" s="15" t="str">
        <f t="shared" si="11"/>
        <v/>
      </c>
      <c r="AG59" s="41" t="str">
        <f t="shared" si="11"/>
        <v>0001000000010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138</v>
      </c>
      <c r="D60" s="30" t="s">
        <v>128</v>
      </c>
      <c r="E60" s="30" t="s">
        <v>127</v>
      </c>
      <c r="F60" s="30" t="s">
        <v>129</v>
      </c>
      <c r="G60" s="30"/>
      <c r="H60" s="35" t="s">
        <v>133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 t="str">
        <f t="shared" si="21"/>
        <v/>
      </c>
      <c r="O60" s="35">
        <f t="shared" si="21"/>
        <v>1</v>
      </c>
      <c r="AA60" s="15"/>
      <c r="AB60" s="40" t="str">
        <f t="shared" si="11"/>
        <v>0000100000010</v>
      </c>
      <c r="AC60" s="15" t="str">
        <f t="shared" si="11"/>
        <v>0000001000100</v>
      </c>
      <c r="AD60" s="15" t="str">
        <f t="shared" si="11"/>
        <v>0010001000000</v>
      </c>
      <c r="AE60" s="15" t="str">
        <f t="shared" si="11"/>
        <v>0000000001100</v>
      </c>
      <c r="AF60" s="15" t="str">
        <f t="shared" si="11"/>
        <v/>
      </c>
      <c r="AG60" s="41" t="str">
        <f t="shared" si="11"/>
        <v>0000000100010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132</v>
      </c>
      <c r="D61" s="30" t="s">
        <v>129</v>
      </c>
      <c r="E61" s="30" t="s">
        <v>136</v>
      </c>
      <c r="F61" s="30" t="s">
        <v>134</v>
      </c>
      <c r="G61" s="30"/>
      <c r="H61" s="35" t="s">
        <v>134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 t="str">
        <f t="shared" si="21"/>
        <v/>
      </c>
      <c r="O61" s="35">
        <f t="shared" si="21"/>
        <v>1</v>
      </c>
      <c r="AA61" s="15"/>
      <c r="AB61" s="40" t="str">
        <f t="shared" si="11"/>
        <v>0000000000110</v>
      </c>
      <c r="AC61" s="15" t="str">
        <f t="shared" si="11"/>
        <v>0000001001000</v>
      </c>
      <c r="AD61" s="15" t="str">
        <f t="shared" si="11"/>
        <v>0010100000000</v>
      </c>
      <c r="AE61" s="15" t="str">
        <f t="shared" si="11"/>
        <v>0001000001000</v>
      </c>
      <c r="AF61" s="15" t="str">
        <f t="shared" si="11"/>
        <v/>
      </c>
      <c r="AG61" s="41" t="str">
        <f t="shared" si="11"/>
        <v>0001000100000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137</v>
      </c>
      <c r="D62" s="30"/>
      <c r="E62" s="30" t="s">
        <v>133</v>
      </c>
      <c r="F62" s="30" t="s">
        <v>130</v>
      </c>
      <c r="G62" s="30"/>
      <c r="H62" s="35" t="s">
        <v>129</v>
      </c>
      <c r="J62" s="34">
        <f t="shared" si="21"/>
        <v>1</v>
      </c>
      <c r="K62" s="30" t="str">
        <f t="shared" si="21"/>
        <v/>
      </c>
      <c r="L62" s="30">
        <f t="shared" si="21"/>
        <v>1</v>
      </c>
      <c r="M62" s="30">
        <f t="shared" si="21"/>
        <v>1</v>
      </c>
      <c r="N62" s="30" t="str">
        <f t="shared" si="21"/>
        <v/>
      </c>
      <c r="O62" s="35">
        <f t="shared" si="21"/>
        <v>1</v>
      </c>
      <c r="AA62" s="15"/>
      <c r="AB62" s="40" t="str">
        <f t="shared" si="11"/>
        <v>0000010000100</v>
      </c>
      <c r="AC62" s="15" t="str">
        <f t="shared" si="11"/>
        <v/>
      </c>
      <c r="AD62" s="15" t="str">
        <f t="shared" si="11"/>
        <v>0000100100000</v>
      </c>
      <c r="AE62" s="15" t="str">
        <f t="shared" si="11"/>
        <v>0001000010000</v>
      </c>
      <c r="AF62" s="15" t="str">
        <f t="shared" si="11"/>
        <v/>
      </c>
      <c r="AG62" s="41" t="str">
        <f t="shared" si="11"/>
        <v>0001000001000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133</v>
      </c>
      <c r="D63" s="30"/>
      <c r="E63" s="30" t="s">
        <v>134</v>
      </c>
      <c r="F63" s="30" t="s">
        <v>138</v>
      </c>
      <c r="G63" s="30"/>
      <c r="H63" s="35" t="s">
        <v>136</v>
      </c>
      <c r="J63" s="34">
        <f t="shared" si="21"/>
        <v>1</v>
      </c>
      <c r="K63" s="30" t="str">
        <f t="shared" si="21"/>
        <v/>
      </c>
      <c r="L63" s="30">
        <f t="shared" si="21"/>
        <v>1</v>
      </c>
      <c r="M63" s="30">
        <f t="shared" si="21"/>
        <v>1</v>
      </c>
      <c r="N63" s="30" t="str">
        <f t="shared" si="21"/>
        <v/>
      </c>
      <c r="O63" s="35">
        <f t="shared" si="21"/>
        <v>1</v>
      </c>
      <c r="AA63" s="15"/>
      <c r="AB63" s="40" t="str">
        <f t="shared" si="11"/>
        <v>0000010100000</v>
      </c>
      <c r="AC63" s="15" t="str">
        <f t="shared" si="11"/>
        <v/>
      </c>
      <c r="AD63" s="15" t="str">
        <f t="shared" si="11"/>
        <v>0001000100000</v>
      </c>
      <c r="AE63" s="15" t="str">
        <f t="shared" si="11"/>
        <v>0000000010010</v>
      </c>
      <c r="AF63" s="15" t="str">
        <f t="shared" si="11"/>
        <v/>
      </c>
      <c r="AG63" s="41" t="str">
        <f t="shared" si="11"/>
        <v>0000100001000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2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127</v>
      </c>
      <c r="D64" s="30"/>
      <c r="E64" s="30" t="s">
        <v>129</v>
      </c>
      <c r="F64" s="30" t="s">
        <v>134</v>
      </c>
      <c r="G64" s="30"/>
      <c r="H64" s="35" t="s">
        <v>133</v>
      </c>
      <c r="J64" s="34">
        <f t="shared" si="21"/>
        <v>1</v>
      </c>
      <c r="K64" s="30" t="str">
        <f t="shared" si="21"/>
        <v/>
      </c>
      <c r="L64" s="30">
        <f t="shared" si="21"/>
        <v>1</v>
      </c>
      <c r="M64" s="30">
        <f t="shared" si="21"/>
        <v>1</v>
      </c>
      <c r="N64" s="30" t="str">
        <f t="shared" si="21"/>
        <v/>
      </c>
      <c r="O64" s="35">
        <f t="shared" si="21"/>
        <v>1</v>
      </c>
      <c r="AB64" s="40" t="str">
        <f t="shared" si="11"/>
        <v>0010000100000</v>
      </c>
      <c r="AC64" s="15" t="str">
        <f t="shared" si="11"/>
        <v/>
      </c>
      <c r="AD64" s="15" t="str">
        <f t="shared" si="11"/>
        <v>0001000001000</v>
      </c>
      <c r="AE64" s="15" t="str">
        <f t="shared" si="11"/>
        <v>0001000000010</v>
      </c>
      <c r="AF64" s="15" t="str">
        <f t="shared" si="11"/>
        <v/>
      </c>
      <c r="AG64" s="41" t="str">
        <f t="shared" si="11"/>
        <v>0000100100000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20</v>
      </c>
      <c r="AL64" s="39" cm="1">
        <f t="array" ref="AL64">SUMPRODUCT(--(MID(AC$10:AC$135, SUMIF($Z$9:$Z$21, LEFT($AJ64,2), $Y$9:$Y$21), 1) = RIGHT($AJ64, 1)), K$10:K$135)</f>
        <v>10</v>
      </c>
      <c r="AM64" s="39" cm="1">
        <f t="array" ref="AM64">SUMPRODUCT(--(MID(AD$10:AD$135, SUMIF($Z$9:$Z$21, LEFT($AJ64,2), $Y$9:$Y$21), 1) = RIGHT($AJ64, 1)), L$10:L$135)</f>
        <v>24</v>
      </c>
      <c r="AN64" s="39" cm="1">
        <f t="array" ref="AN64">SUMPRODUCT(--(MID(AE$10:AE$135, SUMIF($Z$9:$Z$21, LEFT($AJ64,2), $Y$9:$Y$21), 1) = RIGHT($AJ64, 1)), M$10:M$135)</f>
        <v>4</v>
      </c>
      <c r="AO64" s="39" cm="1">
        <f t="array" ref="AO64">SUMPRODUCT(--(MID(AF$10:AF$135, SUMIF($Z$9:$Z$21, LEFT($AJ64,2), $Y$9:$Y$21), 1) = RIGHT($AJ64, 1)), N$10:N$135)</f>
        <v>4</v>
      </c>
      <c r="AP64" s="19" cm="1">
        <f t="array" ref="AP64">SUMPRODUCT(--(MID(AG$10:AG$135, SUMIF($Z$9:$Z$21, LEFT($AJ64,2), $Y$9:$Y$21), 1) = RIGHT($AJ64, 1)), O$10:O$135)</f>
        <v>20</v>
      </c>
    </row>
    <row r="65" spans="2:42">
      <c r="B65" s="34">
        <f t="shared" si="9"/>
        <v>55</v>
      </c>
      <c r="C65" s="30" t="s">
        <v>128</v>
      </c>
      <c r="D65" s="30"/>
      <c r="E65" s="30" t="s">
        <v>127</v>
      </c>
      <c r="F65" s="30" t="s">
        <v>127</v>
      </c>
      <c r="G65" s="30"/>
      <c r="H65" s="35" t="s">
        <v>131</v>
      </c>
      <c r="J65" s="34">
        <f t="shared" si="21"/>
        <v>1</v>
      </c>
      <c r="K65" s="30" t="str">
        <f t="shared" si="21"/>
        <v/>
      </c>
      <c r="L65" s="30">
        <f t="shared" si="21"/>
        <v>1</v>
      </c>
      <c r="M65" s="30">
        <f t="shared" si="21"/>
        <v>1</v>
      </c>
      <c r="N65" s="30" t="str">
        <f t="shared" si="21"/>
        <v/>
      </c>
      <c r="O65" s="35">
        <f t="shared" si="21"/>
        <v>1</v>
      </c>
      <c r="AB65" s="40" t="str">
        <f t="shared" si="11"/>
        <v>0010001000000</v>
      </c>
      <c r="AC65" s="15" t="str">
        <f t="shared" si="11"/>
        <v/>
      </c>
      <c r="AD65" s="15" t="str">
        <f t="shared" si="11"/>
        <v>0010000001000</v>
      </c>
      <c r="AE65" s="15" t="str">
        <f t="shared" si="11"/>
        <v>0011000000000</v>
      </c>
      <c r="AF65" s="15" t="str">
        <f t="shared" si="11"/>
        <v/>
      </c>
      <c r="AG65" s="41" t="str">
        <f t="shared" si="11"/>
        <v>0100000100000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65</v>
      </c>
      <c r="AL65" s="39" cm="1">
        <f t="array" ref="AL65">SUMPRODUCT(--(MID(AC$10:AC$135, SUMIF($Z$9:$Z$21, LEFT($AJ65,2), $Y$9:$Y$21), 1) = RIGHT($AJ65, 1)), K$10:K$135)</f>
        <v>40</v>
      </c>
      <c r="AM65" s="39" cm="1">
        <f t="array" ref="AM65">SUMPRODUCT(--(MID(AD$10:AD$135, SUMIF($Z$9:$Z$21, LEFT($AJ65,2), $Y$9:$Y$21), 1) = RIGHT($AJ65, 1)), L$10:L$135)</f>
        <v>73</v>
      </c>
      <c r="AN65" s="39" cm="1">
        <f t="array" ref="AN65">SUMPRODUCT(--(MID(AE$10:AE$135, SUMIF($Z$9:$Z$21, LEFT($AJ65,2), $Y$9:$Y$21), 1) = RIGHT($AJ65, 1)), M$10:M$135)</f>
        <v>59</v>
      </c>
      <c r="AO65" s="39" cm="1">
        <f t="array" ref="AO65">SUMPRODUCT(--(MID(AF$10:AF$135, SUMIF($Z$9:$Z$21, LEFT($AJ65,2), $Y$9:$Y$21), 1) = RIGHT($AJ65, 1)), N$10:N$135)</f>
        <v>35</v>
      </c>
      <c r="AP65" s="19" cm="1">
        <f t="array" ref="AP65">SUMPRODUCT(--(MID(AG$10:AG$135, SUMIF($Z$9:$Z$21, LEFT($AJ65,2), $Y$9:$Y$21), 1) = RIGHT($AJ65, 1)), O$10:O$135)</f>
        <v>47</v>
      </c>
    </row>
    <row r="66" spans="2:42">
      <c r="B66" s="34">
        <f t="shared" si="9"/>
        <v>56</v>
      </c>
      <c r="C66" s="30" t="s">
        <v>136</v>
      </c>
      <c r="D66" s="30"/>
      <c r="E66" s="30" t="s">
        <v>133</v>
      </c>
      <c r="F66" s="30" t="s">
        <v>132</v>
      </c>
      <c r="G66" s="30"/>
      <c r="H66" s="35" t="s">
        <v>138</v>
      </c>
      <c r="J66" s="34">
        <f t="shared" si="21"/>
        <v>1</v>
      </c>
      <c r="K66" s="30" t="str">
        <f t="shared" si="21"/>
        <v/>
      </c>
      <c r="L66" s="30">
        <f t="shared" si="21"/>
        <v>1</v>
      </c>
      <c r="M66" s="30">
        <f t="shared" si="21"/>
        <v>1</v>
      </c>
      <c r="N66" s="30" t="str">
        <f t="shared" si="21"/>
        <v/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0000101000000</v>
      </c>
      <c r="AC66" s="15" t="str">
        <f t="shared" si="23"/>
        <v/>
      </c>
      <c r="AD66" s="15" t="str">
        <f t="shared" si="23"/>
        <v>0010000100000</v>
      </c>
      <c r="AE66" s="15" t="str">
        <f t="shared" si="23"/>
        <v>0010000000100</v>
      </c>
      <c r="AF66" s="15" t="str">
        <f t="shared" si="23"/>
        <v/>
      </c>
      <c r="AG66" s="41" t="str">
        <f t="shared" si="23"/>
        <v>0100000000010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134</v>
      </c>
      <c r="D67" s="30"/>
      <c r="E67" s="30" t="s">
        <v>134</v>
      </c>
      <c r="F67" s="30" t="s">
        <v>138</v>
      </c>
      <c r="G67" s="30"/>
      <c r="H67" s="35" t="s">
        <v>133</v>
      </c>
      <c r="J67" s="34">
        <f t="shared" si="21"/>
        <v>1</v>
      </c>
      <c r="K67" s="30" t="str">
        <f t="shared" si="21"/>
        <v/>
      </c>
      <c r="L67" s="30">
        <f t="shared" si="21"/>
        <v>1</v>
      </c>
      <c r="M67" s="30">
        <f t="shared" si="21"/>
        <v>1</v>
      </c>
      <c r="N67" s="30" t="str">
        <f t="shared" si="21"/>
        <v/>
      </c>
      <c r="O67" s="35">
        <f t="shared" si="21"/>
        <v>1</v>
      </c>
      <c r="AB67" s="40" t="str">
        <f t="shared" si="23"/>
        <v>0001100000000</v>
      </c>
      <c r="AC67" s="15" t="str">
        <f t="shared" si="23"/>
        <v/>
      </c>
      <c r="AD67" s="15" t="str">
        <f t="shared" si="23"/>
        <v>0001000100000</v>
      </c>
      <c r="AE67" s="15" t="str">
        <f t="shared" si="23"/>
        <v>0000000000110</v>
      </c>
      <c r="AF67" s="15" t="str">
        <f t="shared" si="23"/>
        <v/>
      </c>
      <c r="AG67" s="41" t="str">
        <f t="shared" si="23"/>
        <v>0000000100010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137</v>
      </c>
      <c r="D68" s="30"/>
      <c r="E68" s="30" t="s">
        <v>127</v>
      </c>
      <c r="F68" s="30" t="s">
        <v>132</v>
      </c>
      <c r="G68" s="30"/>
      <c r="H68" s="35" t="s">
        <v>138</v>
      </c>
      <c r="J68" s="34">
        <f t="shared" si="21"/>
        <v>1</v>
      </c>
      <c r="K68" s="30" t="str">
        <f t="shared" si="21"/>
        <v/>
      </c>
      <c r="L68" s="30">
        <f t="shared" si="21"/>
        <v>1</v>
      </c>
      <c r="M68" s="30">
        <f t="shared" si="21"/>
        <v>1</v>
      </c>
      <c r="N68" s="30" t="str">
        <f t="shared" si="21"/>
        <v/>
      </c>
      <c r="O68" s="35">
        <f t="shared" si="21"/>
        <v>1</v>
      </c>
      <c r="AB68" s="40" t="str">
        <f t="shared" si="23"/>
        <v>0001010000000</v>
      </c>
      <c r="AC68" s="15" t="str">
        <f t="shared" si="23"/>
        <v/>
      </c>
      <c r="AD68" s="15" t="str">
        <f t="shared" si="23"/>
        <v>0011000000000</v>
      </c>
      <c r="AE68" s="15" t="str">
        <f t="shared" si="23"/>
        <v>0000000000110</v>
      </c>
      <c r="AF68" s="15" t="str">
        <f t="shared" si="23"/>
        <v/>
      </c>
      <c r="AG68" s="41" t="str">
        <f t="shared" si="23"/>
        <v>0000000100010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133</v>
      </c>
      <c r="D69" s="30"/>
      <c r="E69" s="30" t="s">
        <v>138</v>
      </c>
      <c r="F69" s="30" t="s">
        <v>138</v>
      </c>
      <c r="G69" s="30"/>
      <c r="H69" s="35" t="s">
        <v>129</v>
      </c>
      <c r="J69" s="34">
        <f t="shared" si="21"/>
        <v>1</v>
      </c>
      <c r="K69" s="30" t="str">
        <f t="shared" si="21"/>
        <v/>
      </c>
      <c r="L69" s="30">
        <f t="shared" si="21"/>
        <v>1</v>
      </c>
      <c r="M69" s="30">
        <f t="shared" si="21"/>
        <v>1</v>
      </c>
      <c r="N69" s="30" t="str">
        <f t="shared" si="21"/>
        <v/>
      </c>
      <c r="O69" s="35">
        <f t="shared" si="21"/>
        <v>1</v>
      </c>
      <c r="AB69" s="40" t="str">
        <f t="shared" si="23"/>
        <v>0000010100000</v>
      </c>
      <c r="AC69" s="15" t="str">
        <f t="shared" si="23"/>
        <v/>
      </c>
      <c r="AD69" s="15" t="str">
        <f t="shared" si="23"/>
        <v>0010000000010</v>
      </c>
      <c r="AE69" s="15" t="str">
        <f t="shared" si="23"/>
        <v>0000000000110</v>
      </c>
      <c r="AF69" s="15" t="str">
        <f t="shared" si="23"/>
        <v/>
      </c>
      <c r="AG69" s="41" t="str">
        <f t="shared" si="23"/>
        <v>0000000001010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129</v>
      </c>
      <c r="D70" s="30"/>
      <c r="E70" s="30" t="s">
        <v>136</v>
      </c>
      <c r="F70" s="30" t="s">
        <v>132</v>
      </c>
      <c r="G70" s="30"/>
      <c r="H70" s="35" t="s">
        <v>128</v>
      </c>
      <c r="J70" s="34">
        <f t="shared" si="21"/>
        <v>1</v>
      </c>
      <c r="K70" s="30" t="str">
        <f t="shared" si="21"/>
        <v/>
      </c>
      <c r="L70" s="30">
        <f t="shared" si="21"/>
        <v>1</v>
      </c>
      <c r="M70" s="30">
        <f t="shared" si="21"/>
        <v>1</v>
      </c>
      <c r="N70" s="30" t="str">
        <f t="shared" si="21"/>
        <v/>
      </c>
      <c r="O70" s="35">
        <f t="shared" si="21"/>
        <v>1</v>
      </c>
      <c r="AB70" s="40" t="str">
        <f t="shared" si="23"/>
        <v>0000000101000</v>
      </c>
      <c r="AC70" s="15" t="str">
        <f t="shared" si="23"/>
        <v/>
      </c>
      <c r="AD70" s="15" t="str">
        <f t="shared" si="23"/>
        <v>0000100000010</v>
      </c>
      <c r="AE70" s="15" t="str">
        <f t="shared" si="23"/>
        <v>0000000000110</v>
      </c>
      <c r="AF70" s="15" t="str">
        <f t="shared" si="23"/>
        <v/>
      </c>
      <c r="AG70" s="41" t="str">
        <f t="shared" si="23"/>
        <v>0000001001000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127</v>
      </c>
      <c r="D71" s="30"/>
      <c r="E71" s="30" t="s">
        <v>129</v>
      </c>
      <c r="F71" s="30" t="s">
        <v>138</v>
      </c>
      <c r="G71" s="30"/>
      <c r="H71" s="35" t="s">
        <v>133</v>
      </c>
      <c r="J71" s="34">
        <f t="shared" si="21"/>
        <v>1</v>
      </c>
      <c r="K71" s="30" t="str">
        <f t="shared" si="21"/>
        <v/>
      </c>
      <c r="L71" s="30">
        <f t="shared" si="21"/>
        <v>1</v>
      </c>
      <c r="M71" s="30">
        <f t="shared" si="21"/>
        <v>1</v>
      </c>
      <c r="N71" s="30" t="str">
        <f t="shared" si="21"/>
        <v/>
      </c>
      <c r="O71" s="35">
        <f t="shared" si="21"/>
        <v>1</v>
      </c>
      <c r="AB71" s="40" t="str">
        <f t="shared" si="23"/>
        <v>0010000001000</v>
      </c>
      <c r="AC71" s="15" t="str">
        <f t="shared" si="23"/>
        <v/>
      </c>
      <c r="AD71" s="15" t="str">
        <f t="shared" si="23"/>
        <v>0000100001000</v>
      </c>
      <c r="AE71" s="15" t="str">
        <f t="shared" si="23"/>
        <v>0000000000110</v>
      </c>
      <c r="AF71" s="15" t="str">
        <f t="shared" si="23"/>
        <v/>
      </c>
      <c r="AG71" s="41" t="str">
        <f t="shared" si="23"/>
        <v>0000001100000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136</v>
      </c>
      <c r="D72" s="30"/>
      <c r="E72" s="30" t="s">
        <v>134</v>
      </c>
      <c r="F72" s="30" t="s">
        <v>134</v>
      </c>
      <c r="G72" s="30"/>
      <c r="H72" s="35" t="s">
        <v>138</v>
      </c>
      <c r="J72" s="34">
        <f t="shared" si="21"/>
        <v>1</v>
      </c>
      <c r="K72" s="30" t="str">
        <f t="shared" si="21"/>
        <v/>
      </c>
      <c r="L72" s="30">
        <f t="shared" si="21"/>
        <v>1</v>
      </c>
      <c r="M72" s="30">
        <f t="shared" si="21"/>
        <v>1</v>
      </c>
      <c r="N72" s="30" t="str">
        <f t="shared" si="21"/>
        <v/>
      </c>
      <c r="O72" s="35">
        <f t="shared" si="21"/>
        <v>1</v>
      </c>
      <c r="AB72" s="40" t="str">
        <f t="shared" si="23"/>
        <v>0010100000000</v>
      </c>
      <c r="AC72" s="15" t="str">
        <f t="shared" si="23"/>
        <v/>
      </c>
      <c r="AD72" s="15" t="str">
        <f t="shared" si="23"/>
        <v>0001000001000</v>
      </c>
      <c r="AE72" s="15" t="str">
        <f t="shared" si="23"/>
        <v>0001000000010</v>
      </c>
      <c r="AF72" s="15" t="str">
        <f t="shared" si="23"/>
        <v/>
      </c>
      <c r="AG72" s="41" t="str">
        <f t="shared" si="23"/>
        <v>0000000100010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4</v>
      </c>
      <c r="AL72" s="39" cm="1">
        <f t="array" ref="AL72">SUMPRODUCT(--(MID(AC$10:AC$135, SUMIF($Z$9:$Z$21, LEFT($AJ72,2), $Y$9:$Y$21), 1) = RIGHT($AJ72, 1)), K$10:K$135)</f>
        <v>4</v>
      </c>
      <c r="AM72" s="39" cm="1">
        <f t="array" ref="AM72">SUMPRODUCT(--(MID(AD$10:AD$135, SUMIF($Z$9:$Z$21, LEFT($AJ72,2), $Y$9:$Y$21), 1) = RIGHT($AJ72, 1)), L$10:L$135)</f>
        <v>4</v>
      </c>
      <c r="AN72" s="39" cm="1">
        <f t="array" ref="AN72">SUMPRODUCT(--(MID(AE$10:AE$135, SUMIF($Z$9:$Z$21, LEFT($AJ72,2), $Y$9:$Y$21), 1) = RIGHT($AJ72, 1)), M$10:M$135)</f>
        <v>6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4</v>
      </c>
    </row>
    <row r="73" spans="2:42">
      <c r="B73" s="34">
        <f t="shared" si="9"/>
        <v>63</v>
      </c>
      <c r="C73" s="30" t="s">
        <v>133</v>
      </c>
      <c r="D73" s="30"/>
      <c r="E73" s="30" t="s">
        <v>133</v>
      </c>
      <c r="F73" s="30" t="s">
        <v>138</v>
      </c>
      <c r="G73" s="30"/>
      <c r="H73" s="35" t="s">
        <v>133</v>
      </c>
      <c r="J73" s="34">
        <f t="shared" si="21"/>
        <v>1</v>
      </c>
      <c r="K73" s="30" t="str">
        <f t="shared" si="21"/>
        <v/>
      </c>
      <c r="L73" s="30">
        <f t="shared" si="21"/>
        <v>1</v>
      </c>
      <c r="M73" s="30">
        <f t="shared" si="21"/>
        <v>1</v>
      </c>
      <c r="N73" s="30" t="str">
        <f t="shared" si="21"/>
        <v/>
      </c>
      <c r="O73" s="35">
        <f t="shared" si="21"/>
        <v>1</v>
      </c>
      <c r="AB73" s="40" t="str">
        <f t="shared" si="23"/>
        <v>0000100100000</v>
      </c>
      <c r="AC73" s="15" t="str">
        <f t="shared" si="23"/>
        <v/>
      </c>
      <c r="AD73" s="15" t="str">
        <f t="shared" si="23"/>
        <v>0001000100000</v>
      </c>
      <c r="AE73" s="15" t="str">
        <f t="shared" si="23"/>
        <v>0001000000010</v>
      </c>
      <c r="AF73" s="15" t="str">
        <f t="shared" si="23"/>
        <v/>
      </c>
      <c r="AG73" s="41" t="str">
        <f t="shared" si="23"/>
        <v>0000000100010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83</v>
      </c>
      <c r="AL73" s="39" cm="1">
        <f t="array" ref="AL73">SUMPRODUCT(--(MID(AC$10:AC$135, SUMIF($Z$9:$Z$21, LEFT($AJ73,2), $Y$9:$Y$21), 1) = RIGHT($AJ73, 1)), K$10:K$135)</f>
        <v>48</v>
      </c>
      <c r="AM73" s="39" cm="1">
        <f t="array" ref="AM73">SUMPRODUCT(--(MID(AD$10:AD$135, SUMIF($Z$9:$Z$21, LEFT($AJ73,2), $Y$9:$Y$21), 1) = RIGHT($AJ73, 1)), L$10:L$135)</f>
        <v>95</v>
      </c>
      <c r="AN73" s="39" cm="1">
        <f t="array" ref="AN73">SUMPRODUCT(--(MID(AE$10:AE$135, SUMIF($Z$9:$Z$21, LEFT($AJ73,2), $Y$9:$Y$21), 1) = RIGHT($AJ73, 1)), M$10:M$135)</f>
        <v>59</v>
      </c>
      <c r="AO73" s="39" cm="1">
        <f t="array" ref="AO73">SUMPRODUCT(--(MID(AF$10:AF$135, SUMIF($Z$9:$Z$21, LEFT($AJ73,2), $Y$9:$Y$21), 1) = RIGHT($AJ73, 1)), N$10:N$135)</f>
        <v>39</v>
      </c>
      <c r="AP73" s="19" cm="1">
        <f t="array" ref="AP73">SUMPRODUCT(--(MID(AG$10:AG$135, SUMIF($Z$9:$Z$21, LEFT($AJ73,2), $Y$9:$Y$21), 1) = RIGHT($AJ73, 1)), O$10:O$135)</f>
        <v>65</v>
      </c>
    </row>
    <row r="74" spans="2:42">
      <c r="B74" s="34">
        <f t="shared" si="9"/>
        <v>64</v>
      </c>
      <c r="C74" s="30" t="s">
        <v>128</v>
      </c>
      <c r="D74" s="30"/>
      <c r="E74" s="30" t="s">
        <v>132</v>
      </c>
      <c r="F74" s="30" t="s">
        <v>134</v>
      </c>
      <c r="G74" s="30"/>
      <c r="H74" s="35" t="s">
        <v>134</v>
      </c>
      <c r="J74" s="34">
        <f t="shared" si="21"/>
        <v>1</v>
      </c>
      <c r="K74" s="30" t="str">
        <f t="shared" si="21"/>
        <v/>
      </c>
      <c r="L74" s="30">
        <f t="shared" si="21"/>
        <v>1</v>
      </c>
      <c r="M74" s="30">
        <f t="shared" si="21"/>
        <v>1</v>
      </c>
      <c r="N74" s="30" t="str">
        <f t="shared" si="21"/>
        <v/>
      </c>
      <c r="O74" s="35">
        <f t="shared" si="21"/>
        <v>1</v>
      </c>
      <c r="AB74" s="40" t="str">
        <f t="shared" si="23"/>
        <v>0000001100000</v>
      </c>
      <c r="AC74" s="15" t="str">
        <f t="shared" si="23"/>
        <v/>
      </c>
      <c r="AD74" s="15" t="str">
        <f t="shared" si="23"/>
        <v>0000000100100</v>
      </c>
      <c r="AE74" s="15" t="str">
        <f t="shared" si="23"/>
        <v>0001000000010</v>
      </c>
      <c r="AF74" s="15" t="str">
        <f t="shared" si="23"/>
        <v/>
      </c>
      <c r="AG74" s="41" t="str">
        <f t="shared" si="23"/>
        <v>0001000100000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132</v>
      </c>
      <c r="D75" s="30"/>
      <c r="E75" s="30" t="s">
        <v>134</v>
      </c>
      <c r="F75" s="30"/>
      <c r="G75" s="30"/>
      <c r="H75" s="35" t="s">
        <v>129</v>
      </c>
      <c r="J75" s="34">
        <f t="shared" si="21"/>
        <v>1</v>
      </c>
      <c r="K75" s="30" t="str">
        <f t="shared" si="21"/>
        <v/>
      </c>
      <c r="L75" s="30">
        <f t="shared" si="21"/>
        <v>1</v>
      </c>
      <c r="M75" s="30" t="str">
        <f t="shared" si="21"/>
        <v/>
      </c>
      <c r="N75" s="30" t="str">
        <f t="shared" si="21"/>
        <v/>
      </c>
      <c r="O75" s="35">
        <f t="shared" si="21"/>
        <v>1</v>
      </c>
      <c r="AB75" s="40" t="str">
        <f t="shared" si="23"/>
        <v>0000001000100</v>
      </c>
      <c r="AC75" s="15" t="str">
        <f t="shared" si="23"/>
        <v/>
      </c>
      <c r="AD75" s="15" t="str">
        <f t="shared" si="23"/>
        <v>0001000000100</v>
      </c>
      <c r="AE75" s="15" t="str">
        <f t="shared" si="23"/>
        <v/>
      </c>
      <c r="AF75" s="15" t="str">
        <f t="shared" si="23"/>
        <v/>
      </c>
      <c r="AG75" s="41" t="str">
        <f t="shared" si="23"/>
        <v>0001000001000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127</v>
      </c>
      <c r="D76" s="30"/>
      <c r="E76" s="30" t="s">
        <v>127</v>
      </c>
      <c r="F76" s="30"/>
      <c r="G76" s="30"/>
      <c r="H76" s="35" t="s">
        <v>138</v>
      </c>
      <c r="J76" s="34">
        <f t="shared" si="21"/>
        <v>1</v>
      </c>
      <c r="K76" s="30" t="str">
        <f t="shared" si="21"/>
        <v/>
      </c>
      <c r="L76" s="30">
        <f t="shared" si="21"/>
        <v>1</v>
      </c>
      <c r="M76" s="30" t="str">
        <f t="shared" si="21"/>
        <v/>
      </c>
      <c r="N76" s="30" t="str">
        <f t="shared" si="21"/>
        <v/>
      </c>
      <c r="O76" s="35">
        <f t="shared" si="21"/>
        <v>1</v>
      </c>
      <c r="AB76" s="40" t="str">
        <f t="shared" si="23"/>
        <v>0010000000100</v>
      </c>
      <c r="AC76" s="15" t="str">
        <f t="shared" si="23"/>
        <v/>
      </c>
      <c r="AD76" s="15" t="str">
        <f t="shared" si="23"/>
        <v>0011000000000</v>
      </c>
      <c r="AE76" s="15" t="str">
        <f t="shared" si="23"/>
        <v/>
      </c>
      <c r="AF76" s="15" t="str">
        <f t="shared" si="23"/>
        <v/>
      </c>
      <c r="AG76" s="41" t="str">
        <f t="shared" si="23"/>
        <v>0000000001010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128</v>
      </c>
      <c r="D77" s="30"/>
      <c r="E77" s="30" t="s">
        <v>129</v>
      </c>
      <c r="F77" s="30"/>
      <c r="G77" s="30"/>
      <c r="H77" s="35" t="s">
        <v>133</v>
      </c>
      <c r="J77" s="34">
        <f t="shared" si="21"/>
        <v>1</v>
      </c>
      <c r="K77" s="30" t="str">
        <f t="shared" si="21"/>
        <v/>
      </c>
      <c r="L77" s="30">
        <f t="shared" si="21"/>
        <v>1</v>
      </c>
      <c r="M77" s="30" t="str">
        <f t="shared" si="21"/>
        <v/>
      </c>
      <c r="N77" s="30" t="str">
        <f t="shared" si="21"/>
        <v/>
      </c>
      <c r="O77" s="35">
        <f t="shared" si="21"/>
        <v>1</v>
      </c>
      <c r="AB77" s="40" t="str">
        <f t="shared" si="23"/>
        <v>0010001000000</v>
      </c>
      <c r="AC77" s="15" t="str">
        <f t="shared" si="23"/>
        <v/>
      </c>
      <c r="AD77" s="15" t="str">
        <f t="shared" si="23"/>
        <v>0010000001000</v>
      </c>
      <c r="AE77" s="15" t="str">
        <f t="shared" si="23"/>
        <v/>
      </c>
      <c r="AF77" s="15" t="str">
        <f t="shared" si="23"/>
        <v/>
      </c>
      <c r="AG77" s="41" t="str">
        <f t="shared" si="23"/>
        <v>0000000100010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 t="s">
        <v>136</v>
      </c>
      <c r="D78" s="30"/>
      <c r="E78" s="30" t="s">
        <v>134</v>
      </c>
      <c r="F78" s="30"/>
      <c r="G78" s="30"/>
      <c r="H78" s="35" t="s">
        <v>128</v>
      </c>
      <c r="J78" s="34">
        <f t="shared" si="21"/>
        <v>1</v>
      </c>
      <c r="K78" s="30" t="str">
        <f t="shared" si="21"/>
        <v/>
      </c>
      <c r="L78" s="30">
        <f t="shared" si="21"/>
        <v>1</v>
      </c>
      <c r="M78" s="30" t="str">
        <f t="shared" si="21"/>
        <v/>
      </c>
      <c r="N78" s="30" t="str">
        <f t="shared" si="21"/>
        <v/>
      </c>
      <c r="O78" s="35">
        <f t="shared" si="21"/>
        <v>1</v>
      </c>
      <c r="AB78" s="40" t="str">
        <f t="shared" si="23"/>
        <v>0000101000000</v>
      </c>
      <c r="AC78" s="15" t="str">
        <f t="shared" si="23"/>
        <v/>
      </c>
      <c r="AD78" s="15" t="str">
        <f t="shared" si="23"/>
        <v>0001000001000</v>
      </c>
      <c r="AE78" s="15" t="str">
        <f t="shared" si="23"/>
        <v/>
      </c>
      <c r="AF78" s="15" t="str">
        <f t="shared" si="23"/>
        <v/>
      </c>
      <c r="AG78" s="41" t="str">
        <f t="shared" si="23"/>
        <v>0000001100000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 t="s">
        <v>127</v>
      </c>
      <c r="D79" s="30"/>
      <c r="E79" s="30" t="s">
        <v>133</v>
      </c>
      <c r="F79" s="30"/>
      <c r="G79" s="30"/>
      <c r="H79" s="35"/>
      <c r="J79" s="34">
        <f t="shared" si="21"/>
        <v>1</v>
      </c>
      <c r="K79" s="30" t="str">
        <f t="shared" si="21"/>
        <v/>
      </c>
      <c r="L79" s="30">
        <f t="shared" si="21"/>
        <v>1</v>
      </c>
      <c r="M79" s="30" t="str">
        <f t="shared" si="21"/>
        <v/>
      </c>
      <c r="N79" s="30" t="str">
        <f t="shared" si="21"/>
        <v/>
      </c>
      <c r="O79" s="35" t="str">
        <f t="shared" si="21"/>
        <v/>
      </c>
      <c r="AB79" s="40" t="str">
        <f t="shared" si="23"/>
        <v>0010100000000</v>
      </c>
      <c r="AC79" s="15" t="str">
        <f t="shared" si="23"/>
        <v/>
      </c>
      <c r="AD79" s="15" t="str">
        <f t="shared" si="23"/>
        <v>0001000100000</v>
      </c>
      <c r="AE79" s="15" t="str">
        <f t="shared" si="23"/>
        <v/>
      </c>
      <c r="AF79" s="15" t="str">
        <f t="shared" si="23"/>
        <v/>
      </c>
      <c r="AG79" s="41" t="str">
        <f t="shared" si="23"/>
        <v/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3</v>
      </c>
    </row>
    <row r="80" spans="2:42">
      <c r="B80" s="34">
        <f t="shared" si="25"/>
        <v>70</v>
      </c>
      <c r="C80" s="30" t="s">
        <v>134</v>
      </c>
      <c r="D80" s="30"/>
      <c r="E80" s="30" t="s">
        <v>132</v>
      </c>
      <c r="F80" s="30"/>
      <c r="G80" s="30"/>
      <c r="H80" s="35"/>
      <c r="J80" s="34">
        <f t="shared" si="21"/>
        <v>1</v>
      </c>
      <c r="K80" s="30" t="str">
        <f t="shared" si="21"/>
        <v/>
      </c>
      <c r="L80" s="30">
        <f t="shared" si="21"/>
        <v>1</v>
      </c>
      <c r="M80" s="30" t="str">
        <f t="shared" si="21"/>
        <v/>
      </c>
      <c r="N80" s="30" t="str">
        <f t="shared" si="21"/>
        <v/>
      </c>
      <c r="O80" s="35" t="str">
        <f t="shared" si="21"/>
        <v/>
      </c>
      <c r="AB80" s="40" t="str">
        <f t="shared" si="23"/>
        <v>0011000000000</v>
      </c>
      <c r="AC80" s="15" t="str">
        <f t="shared" si="23"/>
        <v/>
      </c>
      <c r="AD80" s="15" t="str">
        <f t="shared" si="23"/>
        <v>0000000100100</v>
      </c>
      <c r="AE80" s="15" t="str">
        <f t="shared" si="23"/>
        <v/>
      </c>
      <c r="AF80" s="15" t="str">
        <f t="shared" si="23"/>
        <v/>
      </c>
      <c r="AG80" s="41" t="str">
        <f t="shared" si="23"/>
        <v/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12</v>
      </c>
      <c r="AL80" s="39" cm="1">
        <f t="array" ref="AL80">SUMPRODUCT(--(MID(AC$10:AC$135, SUMIF($Z$9:$Z$21, LEFT($AJ80,2), $Y$9:$Y$21), 1) = RIGHT($AJ80, 1)), K$10:K$135)</f>
        <v>12</v>
      </c>
      <c r="AM80" s="39" cm="1">
        <f t="array" ref="AM80">SUMPRODUCT(--(MID(AD$10:AD$135, SUMIF($Z$9:$Z$21, LEFT($AJ80,2), $Y$9:$Y$21), 1) = RIGHT($AJ80, 1)), L$10:L$135)</f>
        <v>22</v>
      </c>
      <c r="AN80" s="39" cm="1">
        <f t="array" ref="AN80">SUMPRODUCT(--(MID(AE$10:AE$135, SUMIF($Z$9:$Z$21, LEFT($AJ80,2), $Y$9:$Y$21), 1) = RIGHT($AJ80, 1)), M$10:M$135)</f>
        <v>8</v>
      </c>
      <c r="AO80" s="39" cm="1">
        <f t="array" ref="AO80">SUMPRODUCT(--(MID(AF$10:AF$135, SUMIF($Z$9:$Z$21, LEFT($AJ80,2), $Y$9:$Y$21), 1) = RIGHT($AJ80, 1)), N$10:N$135)</f>
        <v>6</v>
      </c>
      <c r="AP80" s="19" cm="1">
        <f t="array" ref="AP80">SUMPRODUCT(--(MID(AG$10:AG$135, SUMIF($Z$9:$Z$21, LEFT($AJ80,2), $Y$9:$Y$21), 1) = RIGHT($AJ80, 1)), O$10:O$135)</f>
        <v>10</v>
      </c>
    </row>
    <row r="81" spans="2:42">
      <c r="B81" s="34">
        <f t="shared" si="25"/>
        <v>71</v>
      </c>
      <c r="C81" s="30" t="s">
        <v>130</v>
      </c>
      <c r="D81" s="30"/>
      <c r="E81" s="30" t="s">
        <v>138</v>
      </c>
      <c r="F81" s="30"/>
      <c r="G81" s="30"/>
      <c r="H81" s="35"/>
      <c r="J81" s="34">
        <f t="shared" si="21"/>
        <v>1</v>
      </c>
      <c r="K81" s="30" t="str">
        <f t="shared" si="21"/>
        <v/>
      </c>
      <c r="L81" s="30">
        <f t="shared" si="21"/>
        <v>1</v>
      </c>
      <c r="M81" s="30" t="str">
        <f t="shared" si="21"/>
        <v/>
      </c>
      <c r="N81" s="30" t="str">
        <f t="shared" si="21"/>
        <v/>
      </c>
      <c r="O81" s="35" t="str">
        <f t="shared" si="21"/>
        <v/>
      </c>
      <c r="AB81" s="40" t="str">
        <f t="shared" si="23"/>
        <v>0001000010000</v>
      </c>
      <c r="AC81" s="15" t="str">
        <f t="shared" si="23"/>
        <v/>
      </c>
      <c r="AD81" s="15" t="str">
        <f t="shared" si="23"/>
        <v>0000000000110</v>
      </c>
      <c r="AE81" s="15" t="str">
        <f t="shared" si="23"/>
        <v/>
      </c>
      <c r="AF81" s="15" t="str">
        <f t="shared" si="23"/>
        <v/>
      </c>
      <c r="AG81" s="41" t="str">
        <f t="shared" si="23"/>
        <v/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73</v>
      </c>
      <c r="AL81" s="39" cm="1">
        <f t="array" ref="AL81">SUMPRODUCT(--(MID(AC$10:AC$135, SUMIF($Z$9:$Z$21, LEFT($AJ81,2), $Y$9:$Y$21), 1) = RIGHT($AJ81, 1)), K$10:K$135)</f>
        <v>38</v>
      </c>
      <c r="AM81" s="39" cm="1">
        <f t="array" ref="AM81">SUMPRODUCT(--(MID(AD$10:AD$135, SUMIF($Z$9:$Z$21, LEFT($AJ81,2), $Y$9:$Y$21), 1) = RIGHT($AJ81, 1)), L$10:L$135)</f>
        <v>75</v>
      </c>
      <c r="AN81" s="39" cm="1">
        <f t="array" ref="AN81">SUMPRODUCT(--(MID(AE$10:AE$135, SUMIF($Z$9:$Z$21, LEFT($AJ81,2), $Y$9:$Y$21), 1) = RIGHT($AJ81, 1)), M$10:M$135)</f>
        <v>55</v>
      </c>
      <c r="AO81" s="39" cm="1">
        <f t="array" ref="AO81">SUMPRODUCT(--(MID(AF$10:AF$135, SUMIF($Z$9:$Z$21, LEFT($AJ81,2), $Y$9:$Y$21), 1) = RIGHT($AJ81, 1)), N$10:N$135)</f>
        <v>33</v>
      </c>
      <c r="AP81" s="19" cm="1">
        <f t="array" ref="AP81">SUMPRODUCT(--(MID(AG$10:AG$135, SUMIF($Z$9:$Z$21, LEFT($AJ81,2), $Y$9:$Y$21), 1) = RIGHT($AJ81, 1)), O$10:O$135)</f>
        <v>56</v>
      </c>
    </row>
    <row r="82" spans="2:42">
      <c r="B82" s="34">
        <f t="shared" si="25"/>
        <v>72</v>
      </c>
      <c r="C82" s="30" t="s">
        <v>127</v>
      </c>
      <c r="D82" s="30"/>
      <c r="E82" s="30" t="s">
        <v>133</v>
      </c>
      <c r="F82" s="30"/>
      <c r="G82" s="30"/>
      <c r="H82" s="35"/>
      <c r="J82" s="34">
        <f t="shared" si="21"/>
        <v>1</v>
      </c>
      <c r="K82" s="30" t="str">
        <f t="shared" si="21"/>
        <v/>
      </c>
      <c r="L82" s="30">
        <f t="shared" si="21"/>
        <v>1</v>
      </c>
      <c r="M82" s="30" t="str">
        <f t="shared" si="21"/>
        <v/>
      </c>
      <c r="N82" s="30" t="str">
        <f t="shared" si="21"/>
        <v/>
      </c>
      <c r="O82" s="35" t="str">
        <f t="shared" si="21"/>
        <v/>
      </c>
      <c r="AB82" s="40" t="str">
        <f t="shared" si="23"/>
        <v>0010000010000</v>
      </c>
      <c r="AC82" s="15" t="str">
        <f t="shared" si="23"/>
        <v/>
      </c>
      <c r="AD82" s="15" t="str">
        <f t="shared" si="23"/>
        <v>0000000100010</v>
      </c>
      <c r="AE82" s="15" t="str">
        <f t="shared" si="23"/>
        <v/>
      </c>
      <c r="AF82" s="15" t="str">
        <f t="shared" si="23"/>
        <v/>
      </c>
      <c r="AG82" s="41" t="str">
        <f t="shared" si="23"/>
        <v/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 t="s">
        <v>137</v>
      </c>
      <c r="D83" s="30"/>
      <c r="E83" s="30" t="s">
        <v>136</v>
      </c>
      <c r="F83" s="30"/>
      <c r="G83" s="30"/>
      <c r="H83" s="35"/>
      <c r="J83" s="34">
        <f t="shared" si="21"/>
        <v>1</v>
      </c>
      <c r="K83" s="30" t="str">
        <f t="shared" si="21"/>
        <v/>
      </c>
      <c r="L83" s="30">
        <f t="shared" si="21"/>
        <v>1</v>
      </c>
      <c r="M83" s="30" t="str">
        <f t="shared" si="21"/>
        <v/>
      </c>
      <c r="N83" s="30" t="str">
        <f t="shared" si="21"/>
        <v/>
      </c>
      <c r="O83" s="35" t="str">
        <f t="shared" si="21"/>
        <v/>
      </c>
      <c r="AB83" s="40" t="str">
        <f t="shared" si="23"/>
        <v>0010010000000</v>
      </c>
      <c r="AC83" s="15" t="str">
        <f t="shared" si="23"/>
        <v/>
      </c>
      <c r="AD83" s="15" t="str">
        <f t="shared" si="23"/>
        <v>0000100100000</v>
      </c>
      <c r="AE83" s="15" t="str">
        <f t="shared" si="23"/>
        <v/>
      </c>
      <c r="AF83" s="15" t="str">
        <f t="shared" si="23"/>
        <v/>
      </c>
      <c r="AG83" s="41" t="str">
        <f t="shared" si="23"/>
        <v/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 t="s">
        <v>133</v>
      </c>
      <c r="D84" s="30"/>
      <c r="E84" s="30" t="s">
        <v>129</v>
      </c>
      <c r="F84" s="30"/>
      <c r="G84" s="30"/>
      <c r="H84" s="35"/>
      <c r="J84" s="34">
        <f t="shared" si="21"/>
        <v>1</v>
      </c>
      <c r="K84" s="30" t="str">
        <f t="shared" si="21"/>
        <v/>
      </c>
      <c r="L84" s="30">
        <f t="shared" si="21"/>
        <v>1</v>
      </c>
      <c r="M84" s="30" t="str">
        <f t="shared" si="21"/>
        <v/>
      </c>
      <c r="N84" s="30" t="str">
        <f t="shared" si="21"/>
        <v/>
      </c>
      <c r="O84" s="35" t="str">
        <f t="shared" si="21"/>
        <v/>
      </c>
      <c r="AB84" s="40" t="str">
        <f t="shared" si="23"/>
        <v>0000010100000</v>
      </c>
      <c r="AC84" s="15" t="str">
        <f t="shared" si="23"/>
        <v/>
      </c>
      <c r="AD84" s="15" t="str">
        <f t="shared" si="23"/>
        <v>0000100001000</v>
      </c>
      <c r="AE84" s="15" t="str">
        <f t="shared" si="23"/>
        <v/>
      </c>
      <c r="AF84" s="15" t="str">
        <f t="shared" si="23"/>
        <v/>
      </c>
      <c r="AG84" s="41" t="str">
        <f t="shared" si="23"/>
        <v/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 t="s">
        <v>127</v>
      </c>
      <c r="D85" s="30"/>
      <c r="E85" s="30" t="s">
        <v>132</v>
      </c>
      <c r="F85" s="30"/>
      <c r="G85" s="30"/>
      <c r="H85" s="35"/>
      <c r="J85" s="34">
        <f t="shared" si="21"/>
        <v>1</v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 t="str">
        <f t="shared" si="21"/>
        <v/>
      </c>
      <c r="O85" s="35" t="str">
        <f t="shared" si="21"/>
        <v/>
      </c>
      <c r="AB85" s="40" t="str">
        <f t="shared" si="23"/>
        <v>0010000100000</v>
      </c>
      <c r="AC85" s="15" t="str">
        <f t="shared" si="23"/>
        <v/>
      </c>
      <c r="AD85" s="15" t="str">
        <f t="shared" si="23"/>
        <v>0000000001100</v>
      </c>
      <c r="AE85" s="15" t="str">
        <f t="shared" si="23"/>
        <v/>
      </c>
      <c r="AF85" s="15" t="str">
        <f t="shared" si="23"/>
        <v/>
      </c>
      <c r="AG85" s="41" t="str">
        <f t="shared" si="23"/>
        <v/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 t="s">
        <v>138</v>
      </c>
      <c r="D86" s="30"/>
      <c r="E86" s="30" t="s">
        <v>128</v>
      </c>
      <c r="F86" s="30"/>
      <c r="G86" s="30"/>
      <c r="H86" s="35"/>
      <c r="J86" s="34">
        <f t="shared" si="21"/>
        <v>1</v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 t="str">
        <f t="shared" si="21"/>
        <v/>
      </c>
      <c r="O86" s="35" t="str">
        <f t="shared" si="21"/>
        <v/>
      </c>
      <c r="AB86" s="40" t="str">
        <f t="shared" si="23"/>
        <v>0010000000010</v>
      </c>
      <c r="AC86" s="15" t="str">
        <f t="shared" si="23"/>
        <v/>
      </c>
      <c r="AD86" s="15" t="str">
        <f t="shared" si="23"/>
        <v>0000001000100</v>
      </c>
      <c r="AE86" s="15" t="str">
        <f t="shared" si="23"/>
        <v/>
      </c>
      <c r="AF86" s="15" t="str">
        <f t="shared" si="23"/>
        <v/>
      </c>
      <c r="AG86" s="41" t="str">
        <f t="shared" si="23"/>
        <v/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 t="s">
        <v>129</v>
      </c>
      <c r="D87" s="30"/>
      <c r="E87" s="30" t="s">
        <v>127</v>
      </c>
      <c r="F87" s="30"/>
      <c r="G87" s="30"/>
      <c r="H87" s="35"/>
      <c r="J87" s="34">
        <f t="shared" si="21"/>
        <v>1</v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 t="str">
        <f t="shared" si="21"/>
        <v/>
      </c>
      <c r="O87" s="35" t="str">
        <f t="shared" si="21"/>
        <v/>
      </c>
      <c r="AB87" s="40" t="str">
        <f t="shared" si="23"/>
        <v>0000000001010</v>
      </c>
      <c r="AC87" s="15" t="str">
        <f t="shared" si="23"/>
        <v/>
      </c>
      <c r="AD87" s="15" t="str">
        <f t="shared" si="23"/>
        <v>0010001000000</v>
      </c>
      <c r="AE87" s="15" t="str">
        <f t="shared" si="23"/>
        <v/>
      </c>
      <c r="AF87" s="15" t="str">
        <f t="shared" si="23"/>
        <v/>
      </c>
      <c r="AG87" s="41" t="str">
        <f t="shared" si="23"/>
        <v/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3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3</v>
      </c>
    </row>
    <row r="88" spans="2:42">
      <c r="B88" s="34">
        <f t="shared" si="25"/>
        <v>78</v>
      </c>
      <c r="C88" s="30" t="s">
        <v>133</v>
      </c>
      <c r="D88" s="30"/>
      <c r="E88" s="30" t="s">
        <v>129</v>
      </c>
      <c r="F88" s="30"/>
      <c r="G88" s="30"/>
      <c r="H88" s="35"/>
      <c r="J88" s="34">
        <f t="shared" si="21"/>
        <v>1</v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 t="str">
        <f t="shared" si="21"/>
        <v/>
      </c>
      <c r="O88" s="35" t="str">
        <f t="shared" si="21"/>
        <v/>
      </c>
      <c r="AB88" s="40" t="str">
        <f t="shared" si="23"/>
        <v>0000000101000</v>
      </c>
      <c r="AC88" s="15" t="str">
        <f t="shared" si="23"/>
        <v/>
      </c>
      <c r="AD88" s="15" t="str">
        <f t="shared" si="23"/>
        <v>0010000001000</v>
      </c>
      <c r="AE88" s="15" t="str">
        <f t="shared" si="23"/>
        <v/>
      </c>
      <c r="AF88" s="15" t="str">
        <f t="shared" si="23"/>
        <v/>
      </c>
      <c r="AG88" s="41" t="str">
        <f t="shared" si="23"/>
        <v/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14</v>
      </c>
      <c r="AL88" s="39" cm="1">
        <f t="array" ref="AL88">SUMPRODUCT(--(MID(AC$10:AC$135, SUMIF($Z$9:$Z$21, LEFT($AJ88,2), $Y$9:$Y$21), 1) = RIGHT($AJ88, 1)), K$10:K$135)</f>
        <v>12</v>
      </c>
      <c r="AM88" s="39" cm="1">
        <f t="array" ref="AM88">SUMPRODUCT(--(MID(AD$10:AD$135, SUMIF($Z$9:$Z$21, LEFT($AJ88,2), $Y$9:$Y$21), 1) = RIGHT($AJ88, 1)), L$10:L$135)</f>
        <v>26</v>
      </c>
      <c r="AN88" s="39" cm="1">
        <f t="array" ref="AN88">SUMPRODUCT(--(MID(AE$10:AE$135, SUMIF($Z$9:$Z$21, LEFT($AJ88,2), $Y$9:$Y$21), 1) = RIGHT($AJ88, 1)), M$10:M$135)</f>
        <v>16</v>
      </c>
      <c r="AO88" s="39" cm="1">
        <f t="array" ref="AO88">SUMPRODUCT(--(MID(AF$10:AF$135, SUMIF($Z$9:$Z$21, LEFT($AJ88,2), $Y$9:$Y$21), 1) = RIGHT($AJ88, 1)), N$10:N$135)</f>
        <v>8</v>
      </c>
      <c r="AP88" s="19" cm="1">
        <f t="array" ref="AP88">SUMPRODUCT(--(MID(AG$10:AG$135, SUMIF($Z$9:$Z$21, LEFT($AJ88,2), $Y$9:$Y$21), 1) = RIGHT($AJ88, 1)), O$10:O$135)</f>
        <v>2</v>
      </c>
    </row>
    <row r="89" spans="2:42">
      <c r="B89" s="34">
        <f t="shared" si="25"/>
        <v>79</v>
      </c>
      <c r="C89" s="30" t="s">
        <v>134</v>
      </c>
      <c r="D89" s="30"/>
      <c r="E89" s="30" t="s">
        <v>138</v>
      </c>
      <c r="F89" s="30"/>
      <c r="G89" s="30"/>
      <c r="H89" s="35"/>
      <c r="J89" s="34">
        <f t="shared" si="21"/>
        <v>1</v>
      </c>
      <c r="K89" s="30" t="str">
        <f t="shared" si="21"/>
        <v/>
      </c>
      <c r="L89" s="30">
        <f t="shared" si="21"/>
        <v>1</v>
      </c>
      <c r="M89" s="30" t="str">
        <f t="shared" si="21"/>
        <v/>
      </c>
      <c r="N89" s="30" t="str">
        <f t="shared" si="21"/>
        <v/>
      </c>
      <c r="O89" s="35" t="str">
        <f t="shared" si="21"/>
        <v/>
      </c>
      <c r="AB89" s="40" t="str">
        <f t="shared" si="23"/>
        <v>0001000100000</v>
      </c>
      <c r="AC89" s="15" t="str">
        <f t="shared" si="23"/>
        <v/>
      </c>
      <c r="AD89" s="15" t="str">
        <f t="shared" si="23"/>
        <v>0000000001010</v>
      </c>
      <c r="AE89" s="15" t="str">
        <f t="shared" si="23"/>
        <v/>
      </c>
      <c r="AF89" s="15" t="str">
        <f t="shared" si="23"/>
        <v/>
      </c>
      <c r="AG89" s="41" t="str">
        <f t="shared" si="23"/>
        <v/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71</v>
      </c>
      <c r="AL89" s="39" cm="1">
        <f t="array" ref="AL89">SUMPRODUCT(--(MID(AC$10:AC$135, SUMIF($Z$9:$Z$21, LEFT($AJ89,2), $Y$9:$Y$21), 1) = RIGHT($AJ89, 1)), K$10:K$135)</f>
        <v>37</v>
      </c>
      <c r="AM89" s="39" cm="1">
        <f t="array" ref="AM89">SUMPRODUCT(--(MID(AD$10:AD$135, SUMIF($Z$9:$Z$21, LEFT($AJ89,2), $Y$9:$Y$21), 1) = RIGHT($AJ89, 1)), L$10:L$135)</f>
        <v>71</v>
      </c>
      <c r="AN89" s="39" cm="1">
        <f t="array" ref="AN89">SUMPRODUCT(--(MID(AE$10:AE$135, SUMIF($Z$9:$Z$21, LEFT($AJ89,2), $Y$9:$Y$21), 1) = RIGHT($AJ89, 1)), M$10:M$135)</f>
        <v>47</v>
      </c>
      <c r="AO89" s="39" cm="1">
        <f t="array" ref="AO89">SUMPRODUCT(--(MID(AF$10:AF$135, SUMIF($Z$9:$Z$21, LEFT($AJ89,2), $Y$9:$Y$21), 1) = RIGHT($AJ89, 1)), N$10:N$135)</f>
        <v>31</v>
      </c>
      <c r="AP89" s="19" cm="1">
        <f t="array" ref="AP89">SUMPRODUCT(--(MID(AG$10:AG$135, SUMIF($Z$9:$Z$21, LEFT($AJ89,2), $Y$9:$Y$21), 1) = RIGHT($AJ89, 1)), O$10:O$135)</f>
        <v>64</v>
      </c>
    </row>
    <row r="90" spans="2:42">
      <c r="B90" s="34">
        <f t="shared" si="25"/>
        <v>80</v>
      </c>
      <c r="C90" s="30" t="s">
        <v>132</v>
      </c>
      <c r="D90" s="30"/>
      <c r="E90" s="30" t="s">
        <v>132</v>
      </c>
      <c r="F90" s="30"/>
      <c r="G90" s="30"/>
      <c r="H90" s="35"/>
      <c r="J90" s="34">
        <f t="shared" si="21"/>
        <v>1</v>
      </c>
      <c r="K90" s="30" t="str">
        <f t="shared" si="21"/>
        <v/>
      </c>
      <c r="L90" s="30">
        <f t="shared" si="21"/>
        <v>1</v>
      </c>
      <c r="M90" s="30" t="str">
        <f t="shared" si="21"/>
        <v/>
      </c>
      <c r="N90" s="30" t="str">
        <f t="shared" si="21"/>
        <v/>
      </c>
      <c r="O90" s="35" t="str">
        <f t="shared" si="21"/>
        <v/>
      </c>
      <c r="AB90" s="40" t="str">
        <f t="shared" si="23"/>
        <v>0001000000100</v>
      </c>
      <c r="AC90" s="15" t="str">
        <f t="shared" si="23"/>
        <v/>
      </c>
      <c r="AD90" s="15" t="str">
        <f t="shared" si="23"/>
        <v>0000000000110</v>
      </c>
      <c r="AE90" s="15" t="str">
        <f t="shared" si="23"/>
        <v/>
      </c>
      <c r="AF90" s="15" t="str">
        <f t="shared" si="23"/>
        <v/>
      </c>
      <c r="AG90" s="41" t="str">
        <f t="shared" si="23"/>
        <v/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 t="s">
        <v>127</v>
      </c>
      <c r="D91" s="30"/>
      <c r="E91" s="30" t="s">
        <v>133</v>
      </c>
      <c r="F91" s="30"/>
      <c r="G91" s="30"/>
      <c r="H91" s="35"/>
      <c r="J91" s="34">
        <f t="shared" si="21"/>
        <v>1</v>
      </c>
      <c r="K91" s="30" t="str">
        <f t="shared" si="21"/>
        <v/>
      </c>
      <c r="L91" s="30">
        <f t="shared" si="21"/>
        <v>1</v>
      </c>
      <c r="M91" s="30" t="str">
        <f t="shared" si="21"/>
        <v/>
      </c>
      <c r="N91" s="30" t="str">
        <f t="shared" si="21"/>
        <v/>
      </c>
      <c r="O91" s="35" t="str">
        <f t="shared" si="21"/>
        <v/>
      </c>
      <c r="AB91" s="40" t="str">
        <f t="shared" si="23"/>
        <v>0010000000100</v>
      </c>
      <c r="AC91" s="15" t="str">
        <f t="shared" si="23"/>
        <v/>
      </c>
      <c r="AD91" s="15" t="str">
        <f t="shared" si="23"/>
        <v>0000000100100</v>
      </c>
      <c r="AE91" s="15" t="str">
        <f t="shared" si="23"/>
        <v/>
      </c>
      <c r="AF91" s="15" t="str">
        <f t="shared" si="23"/>
        <v/>
      </c>
      <c r="AG91" s="41" t="str">
        <f t="shared" si="23"/>
        <v/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 t="s">
        <v>132</v>
      </c>
      <c r="D92" s="30"/>
      <c r="E92" s="30" t="s">
        <v>128</v>
      </c>
      <c r="F92" s="30"/>
      <c r="G92" s="30"/>
      <c r="H92" s="35"/>
      <c r="J92" s="34">
        <f t="shared" si="21"/>
        <v>1</v>
      </c>
      <c r="K92" s="30" t="str">
        <f t="shared" si="21"/>
        <v/>
      </c>
      <c r="L92" s="30">
        <f t="shared" si="21"/>
        <v>1</v>
      </c>
      <c r="M92" s="30" t="str">
        <f t="shared" si="21"/>
        <v/>
      </c>
      <c r="N92" s="30" t="str">
        <f t="shared" si="21"/>
        <v/>
      </c>
      <c r="O92" s="35" t="str">
        <f t="shared" si="21"/>
        <v/>
      </c>
      <c r="AB92" s="40" t="str">
        <f t="shared" si="23"/>
        <v>0010000000100</v>
      </c>
      <c r="AC92" s="15" t="str">
        <f t="shared" si="23"/>
        <v/>
      </c>
      <c r="AD92" s="15" t="str">
        <f t="shared" si="23"/>
        <v>0000001100000</v>
      </c>
      <c r="AE92" s="15" t="str">
        <f t="shared" si="23"/>
        <v/>
      </c>
      <c r="AF92" s="15" t="str">
        <f t="shared" si="23"/>
        <v/>
      </c>
      <c r="AG92" s="41" t="str">
        <f t="shared" si="23"/>
        <v/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 t="s">
        <v>127</v>
      </c>
      <c r="D93" s="30"/>
      <c r="E93" s="30" t="s">
        <v>127</v>
      </c>
      <c r="F93" s="30"/>
      <c r="G93" s="30"/>
      <c r="H93" s="35"/>
      <c r="J93" s="34">
        <f t="shared" si="21"/>
        <v>1</v>
      </c>
      <c r="K93" s="30" t="str">
        <f t="shared" si="21"/>
        <v/>
      </c>
      <c r="L93" s="30">
        <f t="shared" si="21"/>
        <v>1</v>
      </c>
      <c r="M93" s="30" t="str">
        <f t="shared" si="21"/>
        <v/>
      </c>
      <c r="N93" s="30" t="str">
        <f t="shared" si="21"/>
        <v/>
      </c>
      <c r="O93" s="35" t="str">
        <f t="shared" si="21"/>
        <v/>
      </c>
      <c r="AB93" s="40" t="str">
        <f t="shared" si="23"/>
        <v>0010000000100</v>
      </c>
      <c r="AC93" s="15" t="str">
        <f t="shared" si="23"/>
        <v/>
      </c>
      <c r="AD93" s="15" t="str">
        <f t="shared" si="23"/>
        <v>0010001000000</v>
      </c>
      <c r="AE93" s="15" t="str">
        <f t="shared" si="23"/>
        <v/>
      </c>
      <c r="AF93" s="15" t="str">
        <f t="shared" si="23"/>
        <v/>
      </c>
      <c r="AG93" s="41" t="str">
        <f t="shared" si="23"/>
        <v/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 t="s">
        <v>129</v>
      </c>
      <c r="D94" s="30"/>
      <c r="E94" s="30" t="s">
        <v>132</v>
      </c>
      <c r="F94" s="30"/>
      <c r="G94" s="30"/>
      <c r="H94" s="35"/>
      <c r="J94" s="34">
        <f t="shared" si="21"/>
        <v>1</v>
      </c>
      <c r="K94" s="30" t="str">
        <f t="shared" si="21"/>
        <v/>
      </c>
      <c r="L94" s="30">
        <f t="shared" si="21"/>
        <v>1</v>
      </c>
      <c r="M94" s="30" t="str">
        <f t="shared" si="21"/>
        <v/>
      </c>
      <c r="N94" s="30" t="str">
        <f t="shared" si="21"/>
        <v/>
      </c>
      <c r="O94" s="35" t="str">
        <f t="shared" si="21"/>
        <v/>
      </c>
      <c r="AB94" s="40" t="str">
        <f t="shared" si="23"/>
        <v>0010000001000</v>
      </c>
      <c r="AC94" s="15" t="str">
        <f t="shared" si="23"/>
        <v/>
      </c>
      <c r="AD94" s="15" t="str">
        <f t="shared" si="23"/>
        <v>0010000000100</v>
      </c>
      <c r="AE94" s="15" t="str">
        <f t="shared" si="23"/>
        <v/>
      </c>
      <c r="AF94" s="15" t="str">
        <f t="shared" si="23"/>
        <v/>
      </c>
      <c r="AG94" s="41" t="str">
        <f t="shared" si="23"/>
        <v/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 t="s">
        <v>133</v>
      </c>
      <c r="D95" s="30"/>
      <c r="E95" s="30" t="s">
        <v>128</v>
      </c>
      <c r="F95" s="30"/>
      <c r="G95" s="30"/>
      <c r="H95" s="35"/>
      <c r="J95" s="34">
        <f t="shared" si="21"/>
        <v>1</v>
      </c>
      <c r="K95" s="30" t="str">
        <f t="shared" si="21"/>
        <v/>
      </c>
      <c r="L95" s="30">
        <f t="shared" si="21"/>
        <v>1</v>
      </c>
      <c r="M95" s="30" t="str">
        <f t="shared" si="21"/>
        <v/>
      </c>
      <c r="N95" s="30" t="str">
        <f t="shared" si="21"/>
        <v/>
      </c>
      <c r="O95" s="35" t="str">
        <f t="shared" si="21"/>
        <v/>
      </c>
      <c r="AB95" s="40" t="str">
        <f t="shared" si="23"/>
        <v>0000000101000</v>
      </c>
      <c r="AC95" s="15" t="str">
        <f t="shared" si="23"/>
        <v/>
      </c>
      <c r="AD95" s="15" t="str">
        <f t="shared" si="23"/>
        <v>0000001000100</v>
      </c>
      <c r="AE95" s="15" t="str">
        <f t="shared" si="23"/>
        <v/>
      </c>
      <c r="AF95" s="15" t="str">
        <f t="shared" si="23"/>
        <v/>
      </c>
      <c r="AG95" s="41" t="str">
        <f t="shared" si="23"/>
        <v/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3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3</v>
      </c>
    </row>
    <row r="96" spans="2:42">
      <c r="B96" s="34">
        <f t="shared" si="25"/>
        <v>86</v>
      </c>
      <c r="C96" s="30" t="s">
        <v>127</v>
      </c>
      <c r="D96" s="30"/>
      <c r="E96" s="30" t="s">
        <v>127</v>
      </c>
      <c r="F96" s="30"/>
      <c r="G96" s="30"/>
      <c r="H96" s="35"/>
      <c r="J96" s="34">
        <f t="shared" si="21"/>
        <v>1</v>
      </c>
      <c r="K96" s="30" t="str">
        <f t="shared" si="21"/>
        <v/>
      </c>
      <c r="L96" s="30">
        <f t="shared" si="21"/>
        <v>1</v>
      </c>
      <c r="M96" s="30" t="str">
        <f t="shared" si="21"/>
        <v/>
      </c>
      <c r="N96" s="30" t="str">
        <f t="shared" si="21"/>
        <v/>
      </c>
      <c r="O96" s="35" t="str">
        <f t="shared" si="21"/>
        <v/>
      </c>
      <c r="AB96" s="40" t="str">
        <f t="shared" si="23"/>
        <v>0010000100000</v>
      </c>
      <c r="AC96" s="15" t="str">
        <f t="shared" si="23"/>
        <v/>
      </c>
      <c r="AD96" s="15" t="str">
        <f t="shared" si="23"/>
        <v>0010001000000</v>
      </c>
      <c r="AE96" s="15" t="str">
        <f t="shared" si="23"/>
        <v/>
      </c>
      <c r="AF96" s="15" t="str">
        <f t="shared" si="23"/>
        <v/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12</v>
      </c>
      <c r="AL96" s="39" cm="1">
        <f t="array" ref="AL96">SUMPRODUCT(--(MID(AC$10:AC$135, SUMIF($Z$9:$Z$21, LEFT($AJ96,2), $Y$9:$Y$21), 1) = RIGHT($AJ96, 1)), K$10:K$135)</f>
        <v>14</v>
      </c>
      <c r="AM96" s="39" cm="1">
        <f t="array" ref="AM96">SUMPRODUCT(--(MID(AD$10:AD$135, SUMIF($Z$9:$Z$21, LEFT($AJ96,2), $Y$9:$Y$21), 1) = RIGHT($AJ96, 1)), L$10:L$135)</f>
        <v>16</v>
      </c>
      <c r="AN96" s="39" cm="1">
        <f t="array" ref="AN96">SUMPRODUCT(--(MID(AE$10:AE$135, SUMIF($Z$9:$Z$21, LEFT($AJ96,2), $Y$9:$Y$21), 1) = RIGHT($AJ96, 1)), M$10:M$135)</f>
        <v>18</v>
      </c>
      <c r="AO96" s="39" cm="1">
        <f t="array" ref="AO96">SUMPRODUCT(--(MID(AF$10:AF$135, SUMIF($Z$9:$Z$21, LEFT($AJ96,2), $Y$9:$Y$21), 1) = RIGHT($AJ96, 1)), N$10:N$135)</f>
        <v>4</v>
      </c>
      <c r="AP96" s="19" cm="1">
        <f t="array" ref="AP96">SUMPRODUCT(--(MID(AG$10:AG$135, SUMIF($Z$9:$Z$21, LEFT($AJ96,2), $Y$9:$Y$21), 1) = RIGHT($AJ96, 1)), O$10:O$135)</f>
        <v>16</v>
      </c>
    </row>
    <row r="97" spans="2:44">
      <c r="B97" s="34">
        <f t="shared" si="25"/>
        <v>87</v>
      </c>
      <c r="C97" s="30"/>
      <c r="D97" s="30"/>
      <c r="E97" s="30" t="s">
        <v>132</v>
      </c>
      <c r="F97" s="30"/>
      <c r="G97" s="30"/>
      <c r="H97" s="35"/>
      <c r="J97" s="34" t="str">
        <f t="shared" si="21"/>
        <v/>
      </c>
      <c r="K97" s="30" t="str">
        <f t="shared" si="21"/>
        <v/>
      </c>
      <c r="L97" s="30">
        <f t="shared" si="21"/>
        <v>1</v>
      </c>
      <c r="M97" s="30" t="str">
        <f t="shared" si="21"/>
        <v/>
      </c>
      <c r="N97" s="30" t="str">
        <f t="shared" si="21"/>
        <v/>
      </c>
      <c r="O97" s="35" t="str">
        <f t="shared" si="21"/>
        <v/>
      </c>
      <c r="AB97" s="40" t="str">
        <f t="shared" si="23"/>
        <v/>
      </c>
      <c r="AC97" s="15" t="str">
        <f t="shared" si="23"/>
        <v/>
      </c>
      <c r="AD97" s="15" t="str">
        <f t="shared" si="23"/>
        <v>0010000000100</v>
      </c>
      <c r="AE97" s="15" t="str">
        <f t="shared" si="23"/>
        <v/>
      </c>
      <c r="AF97" s="15" t="str">
        <f t="shared" si="23"/>
        <v/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73</v>
      </c>
      <c r="AL97" s="39" cm="1">
        <f t="array" ref="AL97">SUMPRODUCT(--(MID(AC$10:AC$135, SUMIF($Z$9:$Z$21, LEFT($AJ97,2), $Y$9:$Y$21), 1) = RIGHT($AJ97, 1)), K$10:K$135)</f>
        <v>36</v>
      </c>
      <c r="AM97" s="39" cm="1">
        <f t="array" ref="AM97">SUMPRODUCT(--(MID(AD$10:AD$135, SUMIF($Z$9:$Z$21, LEFT($AJ97,2), $Y$9:$Y$21), 1) = RIGHT($AJ97, 1)), L$10:L$135)</f>
        <v>80</v>
      </c>
      <c r="AN97" s="39" cm="1">
        <f t="array" ref="AN97">SUMPRODUCT(--(MID(AE$10:AE$135, SUMIF($Z$9:$Z$21, LEFT($AJ97,2), $Y$9:$Y$21), 1) = RIGHT($AJ97, 1)), M$10:M$135)</f>
        <v>45</v>
      </c>
      <c r="AO97" s="39" cm="1">
        <f t="array" ref="AO97">SUMPRODUCT(--(MID(AF$10:AF$135, SUMIF($Z$9:$Z$21, LEFT($AJ97,2), $Y$9:$Y$21), 1) = RIGHT($AJ97, 1)), N$10:N$135)</f>
        <v>35</v>
      </c>
      <c r="AP97" s="19" cm="1">
        <f t="array" ref="AP97">SUMPRODUCT(--(MID(AG$10:AG$135, SUMIF($Z$9:$Z$21, LEFT($AJ97,2), $Y$9:$Y$21), 1) = RIGHT($AJ97, 1)), O$10:O$135)</f>
        <v>50</v>
      </c>
    </row>
    <row r="98" spans="2:44">
      <c r="B98" s="34">
        <f t="shared" si="25"/>
        <v>88</v>
      </c>
      <c r="C98" s="30"/>
      <c r="D98" s="30"/>
      <c r="E98" s="30" t="s">
        <v>134</v>
      </c>
      <c r="F98" s="30"/>
      <c r="G98" s="30"/>
      <c r="H98" s="35"/>
      <c r="J98" s="34" t="str">
        <f t="shared" si="21"/>
        <v/>
      </c>
      <c r="K98" s="30" t="str">
        <f t="shared" si="21"/>
        <v/>
      </c>
      <c r="L98" s="30">
        <f t="shared" si="21"/>
        <v>1</v>
      </c>
      <c r="M98" s="30" t="str">
        <f t="shared" si="21"/>
        <v/>
      </c>
      <c r="N98" s="30" t="str">
        <f t="shared" si="21"/>
        <v/>
      </c>
      <c r="O98" s="35" t="str">
        <f t="shared" si="21"/>
        <v/>
      </c>
      <c r="AB98" s="40" t="str">
        <f t="shared" si="23"/>
        <v/>
      </c>
      <c r="AC98" s="15" t="str">
        <f t="shared" si="23"/>
        <v/>
      </c>
      <c r="AD98" s="15" t="str">
        <f t="shared" si="23"/>
        <v>0001000000100</v>
      </c>
      <c r="AE98" s="15" t="str">
        <f t="shared" si="23"/>
        <v/>
      </c>
      <c r="AF98" s="15" t="str">
        <f t="shared" si="23"/>
        <v/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 t="s">
        <v>132</v>
      </c>
      <c r="F99" s="30"/>
      <c r="G99" s="30"/>
      <c r="H99" s="35"/>
      <c r="J99" s="34" t="str">
        <f t="shared" si="21"/>
        <v/>
      </c>
      <c r="K99" s="30" t="str">
        <f t="shared" si="21"/>
        <v/>
      </c>
      <c r="L99" s="30">
        <f t="shared" si="21"/>
        <v>1</v>
      </c>
      <c r="M99" s="30" t="str">
        <f t="shared" si="21"/>
        <v/>
      </c>
      <c r="N99" s="30" t="str">
        <f t="shared" si="21"/>
        <v/>
      </c>
      <c r="O99" s="35" t="str">
        <f t="shared" si="21"/>
        <v/>
      </c>
      <c r="AB99" s="40" t="str">
        <f t="shared" si="23"/>
        <v/>
      </c>
      <c r="AC99" s="15" t="str">
        <f t="shared" si="23"/>
        <v/>
      </c>
      <c r="AD99" s="15" t="str">
        <f t="shared" si="23"/>
        <v>0001000000100</v>
      </c>
      <c r="AE99" s="15" t="str">
        <f t="shared" si="23"/>
        <v/>
      </c>
      <c r="AF99" s="15" t="str">
        <f t="shared" si="23"/>
        <v/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 t="s">
        <v>127</v>
      </c>
      <c r="F100" s="30"/>
      <c r="G100" s="30"/>
      <c r="H100" s="35"/>
      <c r="J100" s="34" t="str">
        <f t="shared" si="21"/>
        <v/>
      </c>
      <c r="K100" s="30" t="str">
        <f t="shared" si="21"/>
        <v/>
      </c>
      <c r="L100" s="30">
        <f t="shared" si="21"/>
        <v>1</v>
      </c>
      <c r="M100" s="30" t="str">
        <f t="shared" si="21"/>
        <v/>
      </c>
      <c r="N100" s="30" t="str">
        <f t="shared" si="21"/>
        <v/>
      </c>
      <c r="O100" s="35" t="str">
        <f t="shared" si="21"/>
        <v/>
      </c>
      <c r="AB100" s="40" t="str">
        <f t="shared" si="23"/>
        <v/>
      </c>
      <c r="AC100" s="15" t="str">
        <f t="shared" si="23"/>
        <v/>
      </c>
      <c r="AD100" s="15" t="str">
        <f t="shared" si="23"/>
        <v>0010000000100</v>
      </c>
      <c r="AE100" s="15" t="str">
        <f t="shared" si="23"/>
        <v/>
      </c>
      <c r="AF100" s="15" t="str">
        <f t="shared" si="23"/>
        <v/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 t="s">
        <v>133</v>
      </c>
      <c r="F101" s="30"/>
      <c r="G101" s="30"/>
      <c r="H101" s="35"/>
      <c r="J101" s="34" t="str">
        <f t="shared" si="21"/>
        <v/>
      </c>
      <c r="K101" s="30" t="str">
        <f t="shared" si="21"/>
        <v/>
      </c>
      <c r="L101" s="30">
        <f t="shared" si="21"/>
        <v>1</v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/>
      </c>
      <c r="AC101" s="15" t="str">
        <f t="shared" si="23"/>
        <v/>
      </c>
      <c r="AD101" s="15" t="str">
        <f t="shared" si="23"/>
        <v>0010000100000</v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 t="s">
        <v>127</v>
      </c>
      <c r="F102" s="30"/>
      <c r="G102" s="30"/>
      <c r="H102" s="35"/>
      <c r="J102" s="34" t="str">
        <f t="shared" si="21"/>
        <v/>
      </c>
      <c r="K102" s="30" t="str">
        <f t="shared" si="21"/>
        <v/>
      </c>
      <c r="L102" s="30">
        <f t="shared" si="21"/>
        <v>1</v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/>
      </c>
      <c r="AC102" s="15" t="str">
        <f t="shared" si="23"/>
        <v/>
      </c>
      <c r="AD102" s="15" t="str">
        <f t="shared" si="23"/>
        <v>0010000100000</v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 t="s">
        <v>129</v>
      </c>
      <c r="F103" s="30"/>
      <c r="G103" s="30"/>
      <c r="H103" s="35"/>
      <c r="J103" s="34" t="str">
        <f t="shared" ref="J103:L135" si="31">IF(C103="","",1)</f>
        <v/>
      </c>
      <c r="K103" s="30" t="str">
        <f t="shared" si="31"/>
        <v/>
      </c>
      <c r="L103" s="30">
        <f t="shared" si="31"/>
        <v>1</v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/>
      </c>
      <c r="AC103" s="15" t="str">
        <f t="shared" si="23"/>
        <v/>
      </c>
      <c r="AD103" s="15" t="str">
        <f t="shared" si="23"/>
        <v>0010000001000</v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 t="s">
        <v>134</v>
      </c>
      <c r="F104" s="30"/>
      <c r="G104" s="30"/>
      <c r="H104" s="35"/>
      <c r="J104" s="34" t="str">
        <f t="shared" si="31"/>
        <v/>
      </c>
      <c r="K104" s="30" t="str">
        <f t="shared" si="31"/>
        <v/>
      </c>
      <c r="L104" s="30">
        <f t="shared" si="31"/>
        <v>1</v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/>
      </c>
      <c r="AC104" s="15" t="str">
        <f t="shared" si="23"/>
        <v/>
      </c>
      <c r="AD104" s="15" t="str">
        <f t="shared" si="23"/>
        <v>0001000001000</v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 t="s">
        <v>128</v>
      </c>
      <c r="F105" s="30"/>
      <c r="G105" s="30"/>
      <c r="H105" s="35"/>
      <c r="J105" s="34" t="str">
        <f t="shared" si="31"/>
        <v/>
      </c>
      <c r="K105" s="30" t="str">
        <f t="shared" si="31"/>
        <v/>
      </c>
      <c r="L105" s="30">
        <f t="shared" si="31"/>
        <v>1</v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/>
      </c>
      <c r="AC105" s="15" t="str">
        <f t="shared" si="23"/>
        <v/>
      </c>
      <c r="AD105" s="15" t="str">
        <f t="shared" si="23"/>
        <v>0001001000000</v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87</v>
      </c>
      <c r="AL105" s="39" cm="1">
        <f t="array" ref="AL105">SUMPRODUCT(--(MID(AC$10:AC$135, SUMIF($Z$9:$Z$21, LEFT($AJ105,2), $Y$9:$Y$21), 1) = RIGHT($AJ105, 1)), K$10:K$135)</f>
        <v>52</v>
      </c>
      <c r="AM105" s="39" cm="1">
        <f t="array" ref="AM105">SUMPRODUCT(--(MID(AD$10:AD$135, SUMIF($Z$9:$Z$21, LEFT($AJ105,2), $Y$9:$Y$21), 1) = RIGHT($AJ105, 1)), L$10:L$135)</f>
        <v>99</v>
      </c>
      <c r="AN105" s="39" cm="1">
        <f t="array" ref="AN105">SUMPRODUCT(--(MID(AE$10:AE$135, SUMIF($Z$9:$Z$21, LEFT($AJ105,2), $Y$9:$Y$21), 1) = RIGHT($AJ105, 1)), M$10:M$135)</f>
        <v>65</v>
      </c>
      <c r="AO105" s="39" cm="1">
        <f t="array" ref="AO105">SUMPRODUCT(--(MID(AF$10:AF$135, SUMIF($Z$9:$Z$21, LEFT($AJ105,2), $Y$9:$Y$21), 1) = RIGHT($AJ105, 1)), N$10:N$135)</f>
        <v>41</v>
      </c>
      <c r="AP105" s="19" cm="1">
        <f t="array" ref="AP105">SUMPRODUCT(--(MID(AG$10:AG$135, SUMIF($Z$9:$Z$21, LEFT($AJ105,2), $Y$9:$Y$21), 1) = RIGHT($AJ105, 1)), O$10:O$135)</f>
        <v>69</v>
      </c>
      <c r="AR105" s="39"/>
    </row>
    <row r="106" spans="2:44">
      <c r="B106" s="34">
        <f t="shared" si="25"/>
        <v>96</v>
      </c>
      <c r="C106" s="30"/>
      <c r="D106" s="30"/>
      <c r="E106" s="30" t="s">
        <v>127</v>
      </c>
      <c r="F106" s="30"/>
      <c r="G106" s="30"/>
      <c r="H106" s="35"/>
      <c r="J106" s="34" t="str">
        <f t="shared" si="31"/>
        <v/>
      </c>
      <c r="K106" s="30" t="str">
        <f t="shared" si="31"/>
        <v/>
      </c>
      <c r="L106" s="30">
        <f t="shared" si="31"/>
        <v>1</v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/>
      </c>
      <c r="AC106" s="15" t="str">
        <f t="shared" si="23"/>
        <v/>
      </c>
      <c r="AD106" s="15" t="str">
        <f t="shared" si="23"/>
        <v>0010001000000</v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 t="s">
        <v>133</v>
      </c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>
        <f t="shared" si="31"/>
        <v>1</v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>0010000100000</v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 t="s">
        <v>128</v>
      </c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>
        <f t="shared" si="31"/>
        <v>1</v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>0000001100000</v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2</v>
      </c>
      <c r="AM112" s="39" cm="1">
        <f t="array" ref="AM112">SUMPRODUCT(--(MID(AD$10:AD$135, SUMIF($Z$9:$Z$21, LEFT($AJ112,2), $Y$9:$Y$21), 1) = RIGHT($AJ112, 1)), L$10:L$135)</f>
        <v>2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87</v>
      </c>
      <c r="AL113" s="17" cm="1">
        <f t="array" ref="AL113">SUMPRODUCT(--(MID(AC$10:AC$135, SUMIF($Z$9:$Z$21, LEFT($AJ113,2), $Y$9:$Y$21), 1) = RIGHT($AJ113, 1)), K$10:K$135)</f>
        <v>50</v>
      </c>
      <c r="AM113" s="17" cm="1">
        <f t="array" ref="AM113">SUMPRODUCT(--(MID(AD$10:AD$135, SUMIF($Z$9:$Z$21, LEFT($AJ113,2), $Y$9:$Y$21), 1) = RIGHT($AJ113, 1)), L$10:L$135)</f>
        <v>97</v>
      </c>
      <c r="AN113" s="17" cm="1">
        <f t="array" ref="AN113">SUMPRODUCT(--(MID(AE$10:AE$135, SUMIF($Z$9:$Z$21, LEFT($AJ113,2), $Y$9:$Y$21), 1) = RIGHT($AJ113, 1)), M$10:M$135)</f>
        <v>65</v>
      </c>
      <c r="AO113" s="17" cm="1">
        <f t="array" ref="AO113">SUMPRODUCT(--(MID(AF$10:AF$135, SUMIF($Z$9:$Z$21, LEFT($AJ113,2), $Y$9:$Y$21), 1) = RIGHT($AJ113, 1)), N$10:N$135)</f>
        <v>41</v>
      </c>
      <c r="AP113" s="16" cm="1">
        <f t="array" ref="AP113">SUMPRODUCT(--(MID(AG$10:AG$135, SUMIF($Z$9:$Z$21, LEFT($AJ113,2), $Y$9:$Y$21), 1) = RIGHT($AJ113, 1)), O$10:O$135)</f>
        <v>69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41" priority="1" operator="equal">
      <formula>"WC"</formula>
    </cfRule>
    <cfRule type="cellIs" dxfId="40" priority="2" operator="equal">
      <formula>"FG"</formula>
    </cfRule>
  </conditionalFormatting>
  <conditionalFormatting sqref="J3:O3">
    <cfRule type="cellIs" dxfId="39" priority="3" operator="equal">
      <formula>$E$24</formula>
    </cfRule>
    <cfRule type="cellIs" dxfId="38" priority="4" operator="equal">
      <formula>$C$20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8D9A-FCD4-4197-9CA1-64C592EA7D37}">
  <dimension ref="B2:BL135"/>
  <sheetViews>
    <sheetView zoomScale="91" zoomScaleNormal="84" workbookViewId="0">
      <selection activeCell="H10" sqref="H10:H95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KK</v>
      </c>
      <c r="D4" s="32" t="str">
        <f t="shared" si="1"/>
        <v>JJ</v>
      </c>
      <c r="E4" s="32" t="str">
        <f t="shared" si="1"/>
        <v>LL</v>
      </c>
      <c r="F4" s="32" t="str">
        <f t="shared" si="1"/>
        <v>BB</v>
      </c>
      <c r="G4" s="32" t="str">
        <f t="shared" si="1"/>
        <v>KK</v>
      </c>
      <c r="H4" s="33" t="str">
        <f t="shared" si="1"/>
        <v>CC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CC</v>
      </c>
      <c r="D5" s="30" t="str">
        <f t="shared" si="1"/>
        <v>AA</v>
      </c>
      <c r="E5" s="30" t="str">
        <f t="shared" si="1"/>
        <v>GG</v>
      </c>
      <c r="F5" s="30" t="str">
        <f t="shared" si="1"/>
        <v>JJ</v>
      </c>
      <c r="G5" s="30" t="str">
        <f t="shared" si="1"/>
        <v>FF</v>
      </c>
      <c r="H5" s="35" t="str">
        <f t="shared" si="1"/>
        <v>JJ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BB</v>
      </c>
      <c r="D6" s="30" t="str">
        <f t="shared" si="1"/>
        <v>JJ</v>
      </c>
      <c r="E6" s="30" t="str">
        <f t="shared" si="1"/>
        <v>BB</v>
      </c>
      <c r="F6" s="30" t="str">
        <f t="shared" si="1"/>
        <v>KK</v>
      </c>
      <c r="G6" s="30" t="str">
        <f t="shared" si="1"/>
        <v>JJ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AA</v>
      </c>
      <c r="D7" s="30" t="str">
        <f t="shared" si="1"/>
        <v>KK</v>
      </c>
      <c r="E7" s="30" t="str">
        <f t="shared" si="1"/>
        <v>LL</v>
      </c>
      <c r="F7" s="30" t="str">
        <f t="shared" si="1"/>
        <v>JJ</v>
      </c>
      <c r="G7" s="30" t="str">
        <f t="shared" si="1"/>
        <v>AA</v>
      </c>
      <c r="H7" s="35" t="str">
        <f t="shared" si="1"/>
        <v>DD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LL</v>
      </c>
      <c r="D8" s="30" t="str">
        <f t="shared" si="1"/>
        <v>BB</v>
      </c>
      <c r="E8" s="30" t="str">
        <f t="shared" si="1"/>
        <v>AA</v>
      </c>
      <c r="F8" s="30" t="str">
        <f t="shared" si="1"/>
        <v>FF</v>
      </c>
      <c r="G8" s="30" t="str">
        <f t="shared" si="1"/>
        <v>CC</v>
      </c>
      <c r="H8" s="35" t="str">
        <f t="shared" si="1"/>
        <v>JJ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KK</v>
      </c>
      <c r="D9" s="37" t="str">
        <f t="shared" si="1"/>
        <v>AA</v>
      </c>
      <c r="E9" s="37" t="str">
        <f t="shared" si="1"/>
        <v>LL</v>
      </c>
      <c r="F9" s="37" t="str">
        <f t="shared" si="1"/>
        <v>AA</v>
      </c>
      <c r="G9" s="37" t="str">
        <f t="shared" si="1"/>
        <v>FF</v>
      </c>
      <c r="H9" s="38" t="str">
        <f t="shared" si="1"/>
        <v>GG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137</v>
      </c>
      <c r="D10" s="30" t="s">
        <v>138</v>
      </c>
      <c r="E10" s="30" t="s">
        <v>132</v>
      </c>
      <c r="F10" s="30" t="s">
        <v>130</v>
      </c>
      <c r="G10" s="30" t="s">
        <v>133</v>
      </c>
      <c r="H10" s="35" t="s">
        <v>138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1</v>
      </c>
      <c r="V10" s="30">
        <f t="shared" si="5"/>
        <v>1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0000010000100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0100000000010</v>
      </c>
      <c r="AD10" s="15" t="str">
        <f t="shared" si="7"/>
        <v>0000000000110</v>
      </c>
      <c r="AE10" s="15" t="str">
        <f t="shared" si="7"/>
        <v>0100000010000</v>
      </c>
      <c r="AF10" s="15" t="str">
        <f t="shared" si="7"/>
        <v>0000001100000</v>
      </c>
      <c r="AG10" s="41" t="str">
        <f t="shared" si="7"/>
        <v>0000000100010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2</v>
      </c>
      <c r="AW10" s="30" cm="1">
        <f t="array" ref="AW10">SUMPRODUCT($AI$10:$AI$113,AO$10:AO$113,IF(LEFT($AJ$10:$AJ$113,2)=$AR10,1,0))</f>
        <v>2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129</v>
      </c>
      <c r="D11" s="30" t="s">
        <v>133</v>
      </c>
      <c r="E11" s="30" t="s">
        <v>132</v>
      </c>
      <c r="F11" s="30" t="s">
        <v>128</v>
      </c>
      <c r="G11" s="30" t="s">
        <v>133</v>
      </c>
      <c r="H11" s="35" t="s">
        <v>128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5</v>
      </c>
      <c r="S11" s="30">
        <f t="shared" si="5"/>
        <v>15</v>
      </c>
      <c r="T11" s="30">
        <f t="shared" si="5"/>
        <v>10</v>
      </c>
      <c r="U11" s="30">
        <f t="shared" si="5"/>
        <v>6</v>
      </c>
      <c r="V11" s="30">
        <f t="shared" si="5"/>
        <v>7</v>
      </c>
      <c r="W11" s="35">
        <f t="shared" si="5"/>
        <v>8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0000010001000</v>
      </c>
      <c r="AC11" s="15" t="str">
        <f t="shared" si="7"/>
        <v>0000000100010</v>
      </c>
      <c r="AD11" s="15" t="str">
        <f t="shared" si="7"/>
        <v>0000000000200</v>
      </c>
      <c r="AE11" s="15" t="str">
        <f t="shared" si="7"/>
        <v>0000001010000</v>
      </c>
      <c r="AF11" s="15" t="str">
        <f t="shared" si="7"/>
        <v>0000000200000</v>
      </c>
      <c r="AG11" s="41" t="str">
        <f t="shared" si="7"/>
        <v>0000001000010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10</v>
      </c>
      <c r="AT11" s="30" cm="1">
        <f t="array" ref="AT11">SUMPRODUCT($AI$10:$AI$113,AL$10:AL$113,IF(LEFT($AJ$10:$AJ$113,2)=$AR11,1,0))</f>
        <v>30</v>
      </c>
      <c r="AU11" s="30" cm="1">
        <f t="array" ref="AU11">SUMPRODUCT($AI$10:$AI$113,AM$10:AM$113,IF(LEFT($AJ$10:$AJ$113,2)=$AR11,1,0))</f>
        <v>20</v>
      </c>
      <c r="AV11" s="30" cm="1">
        <f t="array" ref="AV11">SUMPRODUCT($AI$10:$AI$113,AN$10:AN$113,IF(LEFT($AJ$10:$AJ$113,2)=$AR11,1,0))</f>
        <v>14</v>
      </c>
      <c r="AW11" s="30" cm="1">
        <f t="array" ref="AW11">SUMPRODUCT($AI$10:$AI$113,AO$10:AO$113,IF(LEFT($AJ$10:$AJ$113,2)=$AR11,1,0))</f>
        <v>16</v>
      </c>
      <c r="AX11" s="35" cm="1">
        <f t="array" ref="AX11">SUMPRODUCT($AI$10:$AI$113,AP$10:AP$113,IF(LEFT($AJ$10:$AJ$113,2)=$AR11,1,0))</f>
        <v>16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129</v>
      </c>
      <c r="D12" s="30" t="s">
        <v>129</v>
      </c>
      <c r="E12" s="30" t="s">
        <v>132</v>
      </c>
      <c r="F12" s="30" t="s">
        <v>128</v>
      </c>
      <c r="G12" s="30" t="s">
        <v>133</v>
      </c>
      <c r="H12" s="35" t="s">
        <v>133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10</v>
      </c>
      <c r="S12" s="30">
        <f t="shared" si="5"/>
        <v>11</v>
      </c>
      <c r="T12" s="30">
        <f t="shared" si="5"/>
        <v>10</v>
      </c>
      <c r="U12" s="30">
        <f t="shared" si="5"/>
        <v>5</v>
      </c>
      <c r="V12" s="30">
        <f t="shared" si="5"/>
        <v>5</v>
      </c>
      <c r="W12" s="35">
        <f t="shared" si="5"/>
        <v>8</v>
      </c>
      <c r="Y12" s="20">
        <f t="shared" si="6"/>
        <v>4</v>
      </c>
      <c r="Z12" s="23" t="s">
        <v>134</v>
      </c>
      <c r="AB12" s="40" t="str">
        <f t="shared" si="11"/>
        <v>0000000002000</v>
      </c>
      <c r="AC12" s="15" t="str">
        <f t="shared" si="7"/>
        <v>0000000101000</v>
      </c>
      <c r="AD12" s="15" t="str">
        <f t="shared" si="7"/>
        <v>0000000000200</v>
      </c>
      <c r="AE12" s="15" t="str">
        <f t="shared" si="7"/>
        <v>0000002000000</v>
      </c>
      <c r="AF12" s="15" t="str">
        <f t="shared" si="7"/>
        <v>0000000200000</v>
      </c>
      <c r="AG12" s="41" t="str">
        <f t="shared" si="7"/>
        <v>0000001100000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20</v>
      </c>
      <c r="AT12" s="30" cm="1">
        <f t="array" ref="AT12">SUMPRODUCT($AI$10:$AI$113,AL$10:AL$113,IF(LEFT($AJ$10:$AJ$113,2)=$AR12,1,0))</f>
        <v>22</v>
      </c>
      <c r="AU12" s="30" cm="1">
        <f t="array" ref="AU12">SUMPRODUCT($AI$10:$AI$113,AM$10:AM$113,IF(LEFT($AJ$10:$AJ$113,2)=$AR12,1,0))</f>
        <v>20</v>
      </c>
      <c r="AV12" s="30" cm="1">
        <f t="array" ref="AV12">SUMPRODUCT($AI$10:$AI$113,AN$10:AN$113,IF(LEFT($AJ$10:$AJ$113,2)=$AR12,1,0))</f>
        <v>12</v>
      </c>
      <c r="AW12" s="30" cm="1">
        <f t="array" ref="AW12">SUMPRODUCT($AI$10:$AI$113,AO$10:AO$113,IF(LEFT($AJ$10:$AJ$113,2)=$AR12,1,0))</f>
        <v>12</v>
      </c>
      <c r="AX12" s="35" cm="1">
        <f t="array" ref="AX12">SUMPRODUCT($AI$10:$AI$113,AP$10:AP$113,IF(LEFT($AJ$10:$AJ$113,2)=$AR12,1,0))</f>
        <v>16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129</v>
      </c>
      <c r="D13" s="30" t="s">
        <v>129</v>
      </c>
      <c r="E13" s="30" t="s">
        <v>134</v>
      </c>
      <c r="F13" s="30" t="s">
        <v>128</v>
      </c>
      <c r="G13" s="30" t="s">
        <v>133</v>
      </c>
      <c r="H13" s="35" t="s">
        <v>129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9</v>
      </c>
      <c r="S13" s="30">
        <f t="shared" si="5"/>
        <v>12</v>
      </c>
      <c r="T13" s="30">
        <f t="shared" si="5"/>
        <v>7</v>
      </c>
      <c r="U13" s="30">
        <f t="shared" si="5"/>
        <v>6</v>
      </c>
      <c r="V13" s="30">
        <f t="shared" si="5"/>
        <v>7</v>
      </c>
      <c r="W13" s="35">
        <f t="shared" si="5"/>
        <v>9</v>
      </c>
      <c r="Y13" s="20">
        <f t="shared" si="6"/>
        <v>5</v>
      </c>
      <c r="Z13" s="23" t="s">
        <v>136</v>
      </c>
      <c r="AB13" s="40" t="str">
        <f t="shared" si="11"/>
        <v>0000000002000</v>
      </c>
      <c r="AC13" s="15" t="str">
        <f t="shared" si="7"/>
        <v>0000000002000</v>
      </c>
      <c r="AD13" s="15" t="str">
        <f t="shared" si="7"/>
        <v>0001000000100</v>
      </c>
      <c r="AE13" s="15" t="str">
        <f t="shared" si="7"/>
        <v>0000002000000</v>
      </c>
      <c r="AF13" s="15" t="str">
        <f t="shared" si="7"/>
        <v>0000000200000</v>
      </c>
      <c r="AG13" s="41" t="str">
        <f t="shared" si="7"/>
        <v>0000000101000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18</v>
      </c>
      <c r="AT13" s="30" cm="1">
        <f t="array" ref="AT13">SUMPRODUCT($AI$10:$AI$113,AL$10:AL$113,IF(LEFT($AJ$10:$AJ$113,2)=$AR13,1,0))</f>
        <v>24</v>
      </c>
      <c r="AU13" s="30" cm="1">
        <f t="array" ref="AU13">SUMPRODUCT($AI$10:$AI$113,AM$10:AM$113,IF(LEFT($AJ$10:$AJ$113,2)=$AR13,1,0))</f>
        <v>14</v>
      </c>
      <c r="AV13" s="30" cm="1">
        <f t="array" ref="AV13">SUMPRODUCT($AI$10:$AI$113,AN$10:AN$113,IF(LEFT($AJ$10:$AJ$113,2)=$AR13,1,0))</f>
        <v>14</v>
      </c>
      <c r="AW13" s="30" cm="1">
        <f t="array" ref="AW13">SUMPRODUCT($AI$10:$AI$113,AO$10:AO$113,IF(LEFT($AJ$10:$AJ$113,2)=$AR13,1,0))</f>
        <v>16</v>
      </c>
      <c r="AX13" s="35" cm="1">
        <f t="array" ref="AX13">SUMPRODUCT($AI$10:$AI$113,AP$10:AP$113,IF(LEFT($AJ$10:$AJ$113,2)=$AR13,1,0))</f>
        <v>18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133</v>
      </c>
      <c r="D14" s="30" t="s">
        <v>129</v>
      </c>
      <c r="E14" s="30" t="s">
        <v>132</v>
      </c>
      <c r="F14" s="30" t="s">
        <v>134</v>
      </c>
      <c r="G14" s="30" t="s">
        <v>136</v>
      </c>
      <c r="H14" s="35" t="s">
        <v>129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4</v>
      </c>
      <c r="S14" s="30">
        <f t="shared" si="5"/>
        <v>1</v>
      </c>
      <c r="T14" s="30">
        <f t="shared" si="5"/>
        <v>1</v>
      </c>
      <c r="U14" s="30">
        <f t="shared" si="5"/>
        <v>1</v>
      </c>
      <c r="V14" s="30">
        <f t="shared" si="5"/>
        <v>1</v>
      </c>
      <c r="W14" s="35">
        <f t="shared" si="5"/>
        <v>9</v>
      </c>
      <c r="Y14" s="20">
        <f t="shared" si="6"/>
        <v>6</v>
      </c>
      <c r="Z14" s="23" t="s">
        <v>137</v>
      </c>
      <c r="AB14" s="40" t="str">
        <f t="shared" si="11"/>
        <v>0000000101000</v>
      </c>
      <c r="AC14" s="15" t="str">
        <f t="shared" si="7"/>
        <v>0000000002000</v>
      </c>
      <c r="AD14" s="15" t="str">
        <f t="shared" si="7"/>
        <v>0001000000100</v>
      </c>
      <c r="AE14" s="15" t="str">
        <f t="shared" si="7"/>
        <v>0001001000000</v>
      </c>
      <c r="AF14" s="15" t="str">
        <f t="shared" si="7"/>
        <v>0000100100000</v>
      </c>
      <c r="AG14" s="41" t="str">
        <f t="shared" si="7"/>
        <v>0000000002000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8</v>
      </c>
      <c r="AT14" s="30" cm="1">
        <f t="array" ref="AT14">SUMPRODUCT($AI$10:$AI$113,AL$10:AL$113,IF(LEFT($AJ$10:$AJ$113,2)=$AR14,1,0))</f>
        <v>2</v>
      </c>
      <c r="AU14" s="30" cm="1">
        <f t="array" ref="AU14">SUMPRODUCT($AI$10:$AI$113,AM$10:AM$113,IF(LEFT($AJ$10:$AJ$113,2)=$AR14,1,0))</f>
        <v>2</v>
      </c>
      <c r="AV14" s="30" cm="1">
        <f t="array" ref="AV14">SUMPRODUCT($AI$10:$AI$113,AN$10:AN$113,IF(LEFT($AJ$10:$AJ$113,2)=$AR14,1,0))</f>
        <v>4</v>
      </c>
      <c r="AW14" s="30" cm="1">
        <f t="array" ref="AW14">SUMPRODUCT($AI$10:$AI$113,AO$10:AO$113,IF(LEFT($AJ$10:$AJ$113,2)=$AR14,1,0))</f>
        <v>4</v>
      </c>
      <c r="AX14" s="35" cm="1">
        <f t="array" ref="AX14">SUMPRODUCT($AI$10:$AI$113,AP$10:AP$113,IF(LEFT($AJ$10:$AJ$113,2)=$AR14,1,0))</f>
        <v>18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128</v>
      </c>
      <c r="D15" s="30" t="s">
        <v>130</v>
      </c>
      <c r="E15" s="30" t="s">
        <v>137</v>
      </c>
      <c r="F15" s="30" t="s">
        <v>138</v>
      </c>
      <c r="G15" s="30" t="s">
        <v>128</v>
      </c>
      <c r="H15" s="35" t="s">
        <v>129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3</v>
      </c>
      <c r="T15" s="30">
        <f t="shared" si="5"/>
        <v>1</v>
      </c>
      <c r="U15" s="30">
        <f t="shared" si="5"/>
        <v>2</v>
      </c>
      <c r="V15" s="30">
        <f t="shared" si="5"/>
        <v>3</v>
      </c>
      <c r="W15" s="35">
        <f t="shared" si="5"/>
        <v>2</v>
      </c>
      <c r="Y15" s="20">
        <f t="shared" si="6"/>
        <v>7</v>
      </c>
      <c r="Z15" s="23" t="s">
        <v>128</v>
      </c>
      <c r="AB15" s="40" t="str">
        <f t="shared" si="11"/>
        <v>0000001100000</v>
      </c>
      <c r="AC15" s="15" t="str">
        <f t="shared" si="7"/>
        <v>0000000011000</v>
      </c>
      <c r="AD15" s="15" t="str">
        <f t="shared" si="7"/>
        <v>0000010000100</v>
      </c>
      <c r="AE15" s="15" t="str">
        <f t="shared" si="7"/>
        <v>0001000000010</v>
      </c>
      <c r="AF15" s="15" t="str">
        <f t="shared" si="7"/>
        <v>0000101000000</v>
      </c>
      <c r="AG15" s="41" t="str">
        <f t="shared" si="7"/>
        <v>0000000002000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2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6</v>
      </c>
      <c r="AU15" s="30" cm="1">
        <f t="array" ref="AU15">SUMPRODUCT($AI$10:$AI$113,AM$10:AM$113,IF(LEFT($AJ$10:$AJ$113,2)=$AR15,1,0))</f>
        <v>2</v>
      </c>
      <c r="AV15" s="30" cm="1">
        <f t="array" ref="AV15">SUMPRODUCT($AI$10:$AI$113,AN$10:AN$113,IF(LEFT($AJ$10:$AJ$113,2)=$AR15,1,0))</f>
        <v>6</v>
      </c>
      <c r="AW15" s="30" cm="1">
        <f t="array" ref="AW15">SUMPRODUCT($AI$10:$AI$113,AO$10:AO$113,IF(LEFT($AJ$10:$AJ$113,2)=$AR15,1,0))</f>
        <v>8</v>
      </c>
      <c r="AX15" s="35" cm="1">
        <f t="array" ref="AX15">SUMPRODUCT($AI$10:$AI$113,AP$10:AP$113,IF(LEFT($AJ$10:$AJ$113,2)=$AR15,1,0))</f>
        <v>4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128</v>
      </c>
      <c r="D16" s="30" t="s">
        <v>133</v>
      </c>
      <c r="E16" s="30" t="s">
        <v>129</v>
      </c>
      <c r="F16" s="30" t="s">
        <v>138</v>
      </c>
      <c r="G16" s="30" t="s">
        <v>128</v>
      </c>
      <c r="H16" s="35" t="s">
        <v>130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5</v>
      </c>
      <c r="S16" s="30">
        <f t="shared" si="5"/>
        <v>2</v>
      </c>
      <c r="T16" s="30">
        <f t="shared" si="5"/>
        <v>1</v>
      </c>
      <c r="U16" s="30">
        <f t="shared" si="5"/>
        <v>7</v>
      </c>
      <c r="V16" s="30">
        <f t="shared" si="5"/>
        <v>10</v>
      </c>
      <c r="W16" s="35">
        <f t="shared" si="5"/>
        <v>11</v>
      </c>
      <c r="Y16" s="20">
        <f t="shared" si="6"/>
        <v>8</v>
      </c>
      <c r="Z16" s="23" t="s">
        <v>133</v>
      </c>
      <c r="AB16" s="40" t="str">
        <f t="shared" si="11"/>
        <v>0000002000000</v>
      </c>
      <c r="AC16" s="15" t="str">
        <f t="shared" si="7"/>
        <v>0000000110000</v>
      </c>
      <c r="AD16" s="15" t="str">
        <f t="shared" si="7"/>
        <v>0000010001000</v>
      </c>
      <c r="AE16" s="15" t="str">
        <f t="shared" si="7"/>
        <v>0000000000020</v>
      </c>
      <c r="AF16" s="15" t="str">
        <f t="shared" si="7"/>
        <v>0000002000000</v>
      </c>
      <c r="AG16" s="41" t="str">
        <f t="shared" si="7"/>
        <v>0000000011000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6</v>
      </c>
      <c r="AL16" s="39" cm="1">
        <f t="array" ref="AL16">SUMPRODUCT(--(MID(AC$10:AC$135, SUMIF($Z$9:$Z$21, LEFT($AJ16,2), $Y$9:$Y$21), 1) = RIGHT($AJ16, 1)), K$10:K$135)</f>
        <v>26</v>
      </c>
      <c r="AM16" s="39" cm="1">
        <f t="array" ref="AM16">SUMPRODUCT(--(MID(AD$10:AD$135, SUMIF($Z$9:$Z$21, LEFT($AJ16,2), $Y$9:$Y$21), 1) = RIGHT($AJ16, 1)), L$10:L$135)</f>
        <v>16</v>
      </c>
      <c r="AN16" s="39" cm="1">
        <f t="array" ref="AN16">SUMPRODUCT(--(MID(AE$10:AE$135, SUMIF($Z$9:$Z$21, LEFT($AJ16,2), $Y$9:$Y$21), 1) = RIGHT($AJ16, 1)), M$10:M$135)</f>
        <v>10</v>
      </c>
      <c r="AO16" s="39" cm="1">
        <f t="array" ref="AO16">SUMPRODUCT(--(MID(AF$10:AF$135, SUMIF($Z$9:$Z$21, LEFT($AJ16,2), $Y$9:$Y$21), 1) = RIGHT($AJ16, 1)), N$10:N$135)</f>
        <v>12</v>
      </c>
      <c r="AP16" s="19" cm="1">
        <f t="array" ref="AP16">SUMPRODUCT(--(MID(AG$10:AG$135, SUMIF($Z$9:$Z$21, LEFT($AJ16,2), $Y$9:$Y$21), 1) = RIGHT($AJ16, 1)), O$10:O$135)</f>
        <v>12</v>
      </c>
      <c r="AR16" s="34" t="str">
        <f t="shared" si="8"/>
        <v>FF</v>
      </c>
      <c r="AS16" s="30" cm="1">
        <f t="array" ref="AS16">SUMPRODUCT($AI$10:$AI$113,AK$10:AK$113,IF(LEFT($AJ$10:$AJ$113,2)=$AR16,1,0))</f>
        <v>10</v>
      </c>
      <c r="AT16" s="30" cm="1">
        <f t="array" ref="AT16">SUMPRODUCT($AI$10:$AI$113,AL$10:AL$113,IF(LEFT($AJ$10:$AJ$113,2)=$AR16,1,0))</f>
        <v>4</v>
      </c>
      <c r="AU16" s="30" cm="1">
        <f t="array" ref="AU16">SUMPRODUCT($AI$10:$AI$113,AM$10:AM$113,IF(LEFT($AJ$10:$AJ$113,2)=$AR16,1,0))</f>
        <v>2</v>
      </c>
      <c r="AV16" s="30" cm="1">
        <f t="array" ref="AV16">SUMPRODUCT($AI$10:$AI$113,AN$10:AN$113,IF(LEFT($AJ$10:$AJ$113,2)=$AR16,1,0))</f>
        <v>16</v>
      </c>
      <c r="AW16" s="30" cm="1">
        <f t="array" ref="AW16">SUMPRODUCT($AI$10:$AI$113,AO$10:AO$113,IF(LEFT($AJ$10:$AJ$113,2)=$AR16,1,0))</f>
        <v>22</v>
      </c>
      <c r="AX16" s="35" cm="1">
        <f t="array" ref="AX16">SUMPRODUCT($AI$10:$AI$113,AP$10:AP$113,IF(LEFT($AJ$10:$AJ$113,2)=$AR16,1,0))</f>
        <v>22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128</v>
      </c>
      <c r="D17" s="30" t="s">
        <v>133</v>
      </c>
      <c r="E17" s="30" t="s">
        <v>136</v>
      </c>
      <c r="F17" s="30" t="s">
        <v>138</v>
      </c>
      <c r="G17" s="30" t="s">
        <v>128</v>
      </c>
      <c r="H17" s="35" t="s">
        <v>132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5</v>
      </c>
      <c r="S17" s="30">
        <f t="shared" si="5"/>
        <v>11</v>
      </c>
      <c r="T17" s="30">
        <f t="shared" si="5"/>
        <v>12</v>
      </c>
      <c r="U17" s="30">
        <f t="shared" si="5"/>
        <v>5</v>
      </c>
      <c r="V17" s="30">
        <f t="shared" si="5"/>
        <v>4</v>
      </c>
      <c r="W17" s="35">
        <f t="shared" si="5"/>
        <v>8</v>
      </c>
      <c r="Y17" s="20">
        <f t="shared" si="6"/>
        <v>9</v>
      </c>
      <c r="Z17" s="23" t="s">
        <v>130</v>
      </c>
      <c r="AB17" s="40" t="str">
        <f t="shared" si="11"/>
        <v>0000002000000</v>
      </c>
      <c r="AC17" s="15" t="str">
        <f t="shared" si="7"/>
        <v>0000000200000</v>
      </c>
      <c r="AD17" s="15" t="str">
        <f t="shared" si="7"/>
        <v>0000100001000</v>
      </c>
      <c r="AE17" s="15" t="str">
        <f t="shared" si="7"/>
        <v>0000000000020</v>
      </c>
      <c r="AF17" s="15" t="str">
        <f t="shared" si="7"/>
        <v>0000002000000</v>
      </c>
      <c r="AG17" s="41" t="str">
        <f t="shared" si="7"/>
        <v>0000000010100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51</v>
      </c>
      <c r="AL17" s="39" cm="1">
        <f t="array" ref="AL17">SUMPRODUCT(--(MID(AC$10:AC$135, SUMIF($Z$9:$Z$21, LEFT($AJ17,2), $Y$9:$Y$21), 1) = RIGHT($AJ17, 1)), K$10:K$135)</f>
        <v>63</v>
      </c>
      <c r="AM17" s="39" cm="1">
        <f t="array" ref="AM17">SUMPRODUCT(--(MID(AD$10:AD$135, SUMIF($Z$9:$Z$21, LEFT($AJ17,2), $Y$9:$Y$21), 1) = RIGHT($AJ17, 1)), L$10:L$135)</f>
        <v>59</v>
      </c>
      <c r="AN17" s="39" cm="1">
        <f t="array" ref="AN17">SUMPRODUCT(--(MID(AE$10:AE$135, SUMIF($Z$9:$Z$21, LEFT($AJ17,2), $Y$9:$Y$21), 1) = RIGHT($AJ17, 1)), M$10:M$135)</f>
        <v>39</v>
      </c>
      <c r="AO17" s="39" cm="1">
        <f t="array" ref="AO17">SUMPRODUCT(--(MID(AF$10:AF$135, SUMIF($Z$9:$Z$21, LEFT($AJ17,2), $Y$9:$Y$21), 1) = RIGHT($AJ17, 1)), N$10:N$135)</f>
        <v>47</v>
      </c>
      <c r="AP17" s="19" cm="1">
        <f t="array" ref="AP17">SUMPRODUCT(--(MID(AG$10:AG$135, SUMIF($Z$9:$Z$21, LEFT($AJ17,2), $Y$9:$Y$21), 1) = RIGHT($AJ17, 1)), O$10:O$135)</f>
        <v>72</v>
      </c>
      <c r="AR17" s="34" t="str">
        <f t="shared" si="8"/>
        <v>GG</v>
      </c>
      <c r="AS17" s="30" cm="1">
        <f t="array" ref="AS17">SUMPRODUCT($AI$10:$AI$113,AK$10:AK$113,IF(LEFT($AJ$10:$AJ$113,2)=$AR17,1,0))</f>
        <v>10</v>
      </c>
      <c r="AT17" s="30" cm="1">
        <f t="array" ref="AT17">SUMPRODUCT($AI$10:$AI$113,AL$10:AL$113,IF(LEFT($AJ$10:$AJ$113,2)=$AR17,1,0))</f>
        <v>22</v>
      </c>
      <c r="AU17" s="30" cm="1">
        <f t="array" ref="AU17">SUMPRODUCT($AI$10:$AI$113,AM$10:AM$113,IF(LEFT($AJ$10:$AJ$113,2)=$AR17,1,0))</f>
        <v>24</v>
      </c>
      <c r="AV17" s="30" cm="1">
        <f t="array" ref="AV17">SUMPRODUCT($AI$10:$AI$113,AN$10:AN$113,IF(LEFT($AJ$10:$AJ$113,2)=$AR17,1,0))</f>
        <v>12</v>
      </c>
      <c r="AW17" s="30" cm="1">
        <f t="array" ref="AW17">SUMPRODUCT($AI$10:$AI$113,AO$10:AO$113,IF(LEFT($AJ$10:$AJ$113,2)=$AR17,1,0))</f>
        <v>10</v>
      </c>
      <c r="AX17" s="35" cm="1">
        <f t="array" ref="AX17">SUMPRODUCT($AI$10:$AI$113,AP$10:AP$113,IF(LEFT($AJ$10:$AJ$113,2)=$AR17,1,0))</f>
        <v>16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132</v>
      </c>
      <c r="D18" s="30" t="s">
        <v>133</v>
      </c>
      <c r="E18" s="30" t="s">
        <v>129</v>
      </c>
      <c r="F18" s="30" t="s">
        <v>138</v>
      </c>
      <c r="G18" s="30" t="s">
        <v>126</v>
      </c>
      <c r="H18" s="35" t="s">
        <v>129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1</v>
      </c>
      <c r="S18" s="30">
        <f t="shared" si="5"/>
        <v>1</v>
      </c>
      <c r="T18" s="30">
        <f t="shared" si="5"/>
        <v>1</v>
      </c>
      <c r="U18" s="30">
        <f t="shared" si="5"/>
        <v>1</v>
      </c>
      <c r="V18" s="30">
        <f t="shared" si="5"/>
        <v>1</v>
      </c>
      <c r="W18" s="35">
        <f t="shared" si="5"/>
        <v>2</v>
      </c>
      <c r="Y18" s="20">
        <f t="shared" si="6"/>
        <v>10</v>
      </c>
      <c r="Z18" s="23" t="s">
        <v>129</v>
      </c>
      <c r="AB18" s="40" t="str">
        <f t="shared" si="11"/>
        <v>0000001000100</v>
      </c>
      <c r="AC18" s="15" t="str">
        <f t="shared" si="7"/>
        <v>0000000200000</v>
      </c>
      <c r="AD18" s="15" t="str">
        <f t="shared" si="7"/>
        <v>0000100001000</v>
      </c>
      <c r="AE18" s="15" t="str">
        <f t="shared" si="7"/>
        <v>0000000000020</v>
      </c>
      <c r="AF18" s="15" t="str">
        <f t="shared" si="7"/>
        <v>1111112111110</v>
      </c>
      <c r="AG18" s="41" t="str">
        <f t="shared" si="7"/>
        <v>0000000001100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2</v>
      </c>
      <c r="AT18" s="30" cm="1">
        <f t="array" ref="AT18">SUMPRODUCT($AI$10:$AI$113,AL$10:AL$113,IF(LEFT($AJ$10:$AJ$113,2)=$AR18,1,0))</f>
        <v>2</v>
      </c>
      <c r="AU18" s="30" cm="1">
        <f t="array" ref="AU18">SUMPRODUCT($AI$10:$AI$113,AM$10:AM$113,IF(LEFT($AJ$10:$AJ$113,2)=$AR18,1,0))</f>
        <v>2</v>
      </c>
      <c r="AV18" s="30" cm="1">
        <f t="array" ref="AV18">SUMPRODUCT($AI$10:$AI$113,AN$10:AN$113,IF(LEFT($AJ$10:$AJ$113,2)=$AR18,1,0))</f>
        <v>4</v>
      </c>
      <c r="AW18" s="30" cm="1">
        <f t="array" ref="AW18">SUMPRODUCT($AI$10:$AI$113,AO$10:AO$113,IF(LEFT($AJ$10:$AJ$113,2)=$AR18,1,0))</f>
        <v>4</v>
      </c>
      <c r="AX18" s="35" cm="1">
        <f t="array" ref="AX18">SUMPRODUCT($AI$10:$AI$113,AP$10:AP$113,IF(LEFT($AJ$10:$AJ$113,2)=$AR18,1,0))</f>
        <v>4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127</v>
      </c>
      <c r="D19" s="30" t="s">
        <v>127</v>
      </c>
      <c r="E19" s="30" t="s">
        <v>129</v>
      </c>
      <c r="F19" s="30" t="s">
        <v>132</v>
      </c>
      <c r="G19" s="30" t="s">
        <v>132</v>
      </c>
      <c r="H19" s="35" t="s">
        <v>127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4</v>
      </c>
      <c r="S19" s="30">
        <f t="shared" si="5"/>
        <v>20</v>
      </c>
      <c r="T19" s="30">
        <f t="shared" si="5"/>
        <v>9</v>
      </c>
      <c r="U19" s="30">
        <f t="shared" si="5"/>
        <v>6</v>
      </c>
      <c r="V19" s="30">
        <f t="shared" si="5"/>
        <v>7</v>
      </c>
      <c r="W19" s="35">
        <f t="shared" si="5"/>
        <v>15</v>
      </c>
      <c r="Y19" s="20">
        <f t="shared" si="6"/>
        <v>11</v>
      </c>
      <c r="Z19" s="23" t="s">
        <v>132</v>
      </c>
      <c r="AA19" s="21"/>
      <c r="AB19" s="40" t="str">
        <f t="shared" si="11"/>
        <v>0010000000100</v>
      </c>
      <c r="AC19" s="15" t="str">
        <f t="shared" si="7"/>
        <v>0010000100000</v>
      </c>
      <c r="AD19" s="15" t="str">
        <f t="shared" si="7"/>
        <v>0000000002000</v>
      </c>
      <c r="AE19" s="15" t="str">
        <f t="shared" si="7"/>
        <v>0000000000110</v>
      </c>
      <c r="AF19" s="15" t="str">
        <f t="shared" si="7"/>
        <v>1111111111210</v>
      </c>
      <c r="AG19" s="41" t="str">
        <f t="shared" si="7"/>
        <v>0010000001000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8</v>
      </c>
      <c r="AT19" s="30" cm="1">
        <f t="array" ref="AT19">SUMPRODUCT($AI$10:$AI$113,AL$10:AL$113,IF(LEFT($AJ$10:$AJ$113,2)=$AR19,1,0))</f>
        <v>40</v>
      </c>
      <c r="AU19" s="30" cm="1">
        <f t="array" ref="AU19">SUMPRODUCT($AI$10:$AI$113,AM$10:AM$113,IF(LEFT($AJ$10:$AJ$113,2)=$AR19,1,0))</f>
        <v>18</v>
      </c>
      <c r="AV19" s="30" cm="1">
        <f t="array" ref="AV19">SUMPRODUCT($AI$10:$AI$113,AN$10:AN$113,IF(LEFT($AJ$10:$AJ$113,2)=$AR19,1,0))</f>
        <v>14</v>
      </c>
      <c r="AW19" s="30" cm="1">
        <f t="array" ref="AW19">SUMPRODUCT($AI$10:$AI$113,AO$10:AO$113,IF(LEFT($AJ$10:$AJ$113,2)=$AR19,1,0))</f>
        <v>16</v>
      </c>
      <c r="AX19" s="35" cm="1">
        <f t="array" ref="AX19">SUMPRODUCT($AI$10:$AI$113,AP$10:AP$113,IF(LEFT($AJ$10:$AJ$113,2)=$AR19,1,0))</f>
        <v>30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136</v>
      </c>
      <c r="D20" s="30" t="s">
        <v>132</v>
      </c>
      <c r="E20" s="30" t="s">
        <v>129</v>
      </c>
      <c r="F20" s="30" t="s">
        <v>132</v>
      </c>
      <c r="G20" s="30" t="s">
        <v>132</v>
      </c>
      <c r="H20" s="35" t="s">
        <v>131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8</v>
      </c>
      <c r="S20" s="30">
        <f t="shared" si="5"/>
        <v>11</v>
      </c>
      <c r="T20" s="30">
        <f t="shared" si="5"/>
        <v>4</v>
      </c>
      <c r="U20" s="30">
        <f t="shared" si="5"/>
        <v>7</v>
      </c>
      <c r="V20" s="30">
        <f t="shared" si="5"/>
        <v>9</v>
      </c>
      <c r="W20" s="35">
        <f t="shared" si="5"/>
        <v>10</v>
      </c>
      <c r="Y20" s="20">
        <v>12</v>
      </c>
      <c r="Z20" s="23" t="s">
        <v>138</v>
      </c>
      <c r="AA20" s="21"/>
      <c r="AB20" s="40" t="str">
        <f t="shared" si="11"/>
        <v>0010100000000</v>
      </c>
      <c r="AC20" s="15" t="str">
        <f t="shared" si="7"/>
        <v>0010000000100</v>
      </c>
      <c r="AD20" s="15" t="str">
        <f t="shared" si="7"/>
        <v>0000000002000</v>
      </c>
      <c r="AE20" s="15" t="str">
        <f t="shared" si="7"/>
        <v>0000000000200</v>
      </c>
      <c r="AF20" s="15" t="str">
        <f t="shared" si="7"/>
        <v>0000000000200</v>
      </c>
      <c r="AG20" s="41" t="str">
        <f t="shared" si="7"/>
        <v>0110000000000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16</v>
      </c>
      <c r="AT20" s="30" cm="1">
        <f t="array" ref="AT20">SUMPRODUCT($AI$10:$AI$113,AL$10:AL$113,IF(LEFT($AJ$10:$AJ$113,2)=$AR20,1,0))</f>
        <v>22</v>
      </c>
      <c r="AU20" s="30" cm="1">
        <f t="array" ref="AU20">SUMPRODUCT($AI$10:$AI$113,AM$10:AM$113,IF(LEFT($AJ$10:$AJ$113,2)=$AR20,1,0))</f>
        <v>8</v>
      </c>
      <c r="AV20" s="30" cm="1">
        <f t="array" ref="AV20">SUMPRODUCT($AI$10:$AI$113,AN$10:AN$113,IF(LEFT($AJ$10:$AJ$113,2)=$AR20,1,0))</f>
        <v>16</v>
      </c>
      <c r="AW20" s="30" cm="1">
        <f t="array" ref="AW20">SUMPRODUCT($AI$10:$AI$113,AO$10:AO$113,IF(LEFT($AJ$10:$AJ$113,2)=$AR20,1,0))</f>
        <v>20</v>
      </c>
      <c r="AX20" s="35" cm="1">
        <f t="array" ref="AX20">SUMPRODUCT($AI$10:$AI$113,AP$10:AP$113,IF(LEFT($AJ$10:$AJ$113,2)=$AR20,1,0))</f>
        <v>20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134</v>
      </c>
      <c r="D21" s="30" t="s">
        <v>132</v>
      </c>
      <c r="E21" s="30" t="s">
        <v>133</v>
      </c>
      <c r="F21" s="30" t="s">
        <v>132</v>
      </c>
      <c r="G21" s="30" t="s">
        <v>132</v>
      </c>
      <c r="H21" s="35" t="s">
        <v>137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7</v>
      </c>
      <c r="S21" s="30">
        <f t="shared" si="5"/>
        <v>4</v>
      </c>
      <c r="T21" s="30">
        <f t="shared" si="5"/>
        <v>21</v>
      </c>
      <c r="U21" s="30">
        <f t="shared" si="5"/>
        <v>4</v>
      </c>
      <c r="V21" s="30">
        <f t="shared" si="5"/>
        <v>6</v>
      </c>
      <c r="W21" s="35">
        <f t="shared" si="5"/>
        <v>4</v>
      </c>
      <c r="Y21" s="18">
        <v>13</v>
      </c>
      <c r="Z21" s="22" t="s">
        <v>135</v>
      </c>
      <c r="AA21" s="21"/>
      <c r="AB21" s="40" t="str">
        <f t="shared" si="11"/>
        <v>0001100000000</v>
      </c>
      <c r="AC21" s="15" t="str">
        <f t="shared" si="7"/>
        <v>0000000000200</v>
      </c>
      <c r="AD21" s="15" t="str">
        <f t="shared" si="7"/>
        <v>0000000101000</v>
      </c>
      <c r="AE21" s="15" t="str">
        <f t="shared" si="7"/>
        <v>0000000000200</v>
      </c>
      <c r="AF21" s="15" t="str">
        <f t="shared" si="7"/>
        <v>0000000000200</v>
      </c>
      <c r="AG21" s="41" t="str">
        <f t="shared" si="7"/>
        <v>0100010000000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14</v>
      </c>
      <c r="AT21" s="30" cm="1">
        <f t="array" ref="AT21">SUMPRODUCT($AI$10:$AI$113,AL$10:AL$113,IF(LEFT($AJ$10:$AJ$113,2)=$AR21,1,0))</f>
        <v>8</v>
      </c>
      <c r="AU21" s="30" cm="1">
        <f t="array" ref="AU21">SUMPRODUCT($AI$10:$AI$113,AM$10:AM$113,IF(LEFT($AJ$10:$AJ$113,2)=$AR21,1,0))</f>
        <v>42</v>
      </c>
      <c r="AV21" s="30" cm="1">
        <f t="array" ref="AV21">SUMPRODUCT($AI$10:$AI$113,AN$10:AN$113,IF(LEFT($AJ$10:$AJ$113,2)=$AR21,1,0))</f>
        <v>10</v>
      </c>
      <c r="AW21" s="30" cm="1">
        <f t="array" ref="AW21">SUMPRODUCT($AI$10:$AI$113,AO$10:AO$113,IF(LEFT($AJ$10:$AJ$113,2)=$AR21,1,0))</f>
        <v>14</v>
      </c>
      <c r="AX21" s="35" cm="1">
        <f t="array" ref="AX21">SUMPRODUCT($AI$10:$AI$113,AP$10:AP$113,IF(LEFT($AJ$10:$AJ$113,2)=$AR21,1,0))</f>
        <v>8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133</v>
      </c>
      <c r="D22" s="30" t="s">
        <v>132</v>
      </c>
      <c r="E22" s="30" t="s">
        <v>138</v>
      </c>
      <c r="F22" s="30" t="s">
        <v>127</v>
      </c>
      <c r="G22" s="30" t="s">
        <v>132</v>
      </c>
      <c r="H22" s="35" t="s">
        <v>134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0001000100000</v>
      </c>
      <c r="AC22" s="15" t="str">
        <f t="shared" si="7"/>
        <v>0000000000200</v>
      </c>
      <c r="AD22" s="15" t="str">
        <f t="shared" si="7"/>
        <v>0000000100010</v>
      </c>
      <c r="AE22" s="15" t="str">
        <f t="shared" si="7"/>
        <v>0010000000100</v>
      </c>
      <c r="AF22" s="15" t="str">
        <f t="shared" si="7"/>
        <v>0000000000200</v>
      </c>
      <c r="AG22" s="41" t="str">
        <f t="shared" si="7"/>
        <v>0001010000000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133</v>
      </c>
      <c r="D23" s="30" t="s">
        <v>137</v>
      </c>
      <c r="E23" s="30" t="s">
        <v>138</v>
      </c>
      <c r="F23" s="30" t="s">
        <v>133</v>
      </c>
      <c r="G23" s="30" t="s">
        <v>134</v>
      </c>
      <c r="H23" s="35" t="s">
        <v>136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59</v>
      </c>
      <c r="S23" s="37">
        <f t="shared" ref="S23:W23" si="14">SUM(S10:S22)</f>
        <v>91</v>
      </c>
      <c r="T23" s="37">
        <f t="shared" si="14"/>
        <v>77</v>
      </c>
      <c r="U23" s="37">
        <f t="shared" si="14"/>
        <v>51</v>
      </c>
      <c r="V23" s="37">
        <f t="shared" si="14"/>
        <v>61</v>
      </c>
      <c r="W23" s="38">
        <f t="shared" si="14"/>
        <v>86</v>
      </c>
      <c r="Y23" s="21"/>
      <c r="Z23" s="21"/>
      <c r="AA23" s="21"/>
      <c r="AB23" s="40" t="str">
        <f t="shared" si="11"/>
        <v>0000000200000</v>
      </c>
      <c r="AC23" s="15" t="str">
        <f t="shared" si="7"/>
        <v>0000010000100</v>
      </c>
      <c r="AD23" s="15" t="str">
        <f t="shared" si="7"/>
        <v>0000000000020</v>
      </c>
      <c r="AE23" s="15" t="str">
        <f t="shared" si="7"/>
        <v>0010000100000</v>
      </c>
      <c r="AF23" s="15" t="str">
        <f t="shared" si="7"/>
        <v>0001000000100</v>
      </c>
      <c r="AG23" s="41" t="str">
        <f t="shared" si="7"/>
        <v>0001100000000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2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3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59</v>
      </c>
      <c r="AT23" s="30">
        <f t="shared" si="16"/>
        <v>91</v>
      </c>
      <c r="AU23" s="30">
        <f t="shared" si="16"/>
        <v>77</v>
      </c>
      <c r="AV23" s="30">
        <f t="shared" si="16"/>
        <v>49</v>
      </c>
      <c r="AW23" s="30">
        <f t="shared" si="16"/>
        <v>59</v>
      </c>
      <c r="AX23" s="35">
        <f t="shared" si="16"/>
        <v>86</v>
      </c>
    </row>
    <row r="24" spans="2:64">
      <c r="B24" s="34">
        <f t="shared" si="9"/>
        <v>14</v>
      </c>
      <c r="C24" s="30" t="s">
        <v>133</v>
      </c>
      <c r="D24" s="30" t="s">
        <v>128</v>
      </c>
      <c r="E24" s="30" t="s">
        <v>138</v>
      </c>
      <c r="F24" s="30" t="s">
        <v>127</v>
      </c>
      <c r="G24" s="30" t="s">
        <v>130</v>
      </c>
      <c r="H24" s="35" t="s">
        <v>132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0000000200000</v>
      </c>
      <c r="AC24" s="15" t="str">
        <f t="shared" si="7"/>
        <v>0000011000000</v>
      </c>
      <c r="AD24" s="15" t="str">
        <f t="shared" si="7"/>
        <v>0000000000020</v>
      </c>
      <c r="AE24" s="15" t="str">
        <f t="shared" si="7"/>
        <v>0010000100000</v>
      </c>
      <c r="AF24" s="15" t="str">
        <f t="shared" si="7"/>
        <v>0001000010000</v>
      </c>
      <c r="AG24" s="41" t="str">
        <f t="shared" si="7"/>
        <v>0000100000100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16</v>
      </c>
      <c r="AL24" s="39" cm="1">
        <f t="array" ref="AL24">SUMPRODUCT(--(MID(AC$10:AC$135, SUMIF($Z$9:$Z$21, LEFT($AJ24,2), $Y$9:$Y$21), 1) = RIGHT($AJ24, 1)), K$10:K$135)</f>
        <v>18</v>
      </c>
      <c r="AM24" s="39" cm="1">
        <f t="array" ref="AM24">SUMPRODUCT(--(MID(AD$10:AD$135, SUMIF($Z$9:$Z$21, LEFT($AJ24,2), $Y$9:$Y$21), 1) = RIGHT($AJ24, 1)), L$10:L$135)</f>
        <v>16</v>
      </c>
      <c r="AN24" s="39" cm="1">
        <f t="array" ref="AN24">SUMPRODUCT(--(MID(AE$10:AE$135, SUMIF($Z$9:$Z$21, LEFT($AJ24,2), $Y$9:$Y$21), 1) = RIGHT($AJ24, 1)), M$10:M$135)</f>
        <v>6</v>
      </c>
      <c r="AO24" s="39" cm="1">
        <f t="array" ref="AO24">SUMPRODUCT(--(MID(AF$10:AF$135, SUMIF($Z$9:$Z$21, LEFT($AJ24,2), $Y$9:$Y$21), 1) = RIGHT($AJ24, 1)), N$10:N$135)</f>
        <v>8</v>
      </c>
      <c r="AP24" s="19" cm="1">
        <f t="array" ref="AP24">SUMPRODUCT(--(MID(AG$10:AG$135, SUMIF($Z$9:$Z$21, LEFT($AJ24,2), $Y$9:$Y$21), 1) = RIGHT($AJ24, 1)), O$10:O$135)</f>
        <v>12</v>
      </c>
      <c r="AR24" s="34" t="str">
        <f t="shared" si="15"/>
        <v>AA-0</v>
      </c>
      <c r="AS24" s="30">
        <f t="shared" si="16"/>
        <v>51</v>
      </c>
      <c r="AT24" s="30">
        <f t="shared" si="16"/>
        <v>63</v>
      </c>
      <c r="AU24" s="30">
        <f t="shared" si="16"/>
        <v>59</v>
      </c>
      <c r="AV24" s="30">
        <f t="shared" si="16"/>
        <v>39</v>
      </c>
      <c r="AW24" s="30">
        <f t="shared" si="16"/>
        <v>47</v>
      </c>
      <c r="AX24" s="35">
        <f t="shared" si="16"/>
        <v>72</v>
      </c>
    </row>
    <row r="25" spans="2:64">
      <c r="B25" s="34">
        <f t="shared" si="9"/>
        <v>15</v>
      </c>
      <c r="C25" s="30" t="s">
        <v>138</v>
      </c>
      <c r="D25" s="30" t="s">
        <v>131</v>
      </c>
      <c r="E25" s="30" t="s">
        <v>138</v>
      </c>
      <c r="F25" s="30" t="s">
        <v>127</v>
      </c>
      <c r="G25" s="30" t="s">
        <v>127</v>
      </c>
      <c r="H25" s="35" t="s">
        <v>132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0000000100010</v>
      </c>
      <c r="AC25" s="15" t="str">
        <f t="shared" si="7"/>
        <v>0100001000000</v>
      </c>
      <c r="AD25" s="15" t="str">
        <f t="shared" si="7"/>
        <v>0000000000020</v>
      </c>
      <c r="AE25" s="15" t="str">
        <f t="shared" si="7"/>
        <v>0020000000000</v>
      </c>
      <c r="AF25" s="15" t="str">
        <f t="shared" si="7"/>
        <v>0010000010000</v>
      </c>
      <c r="AG25" s="41" t="str">
        <f t="shared" si="7"/>
        <v>0000000000200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41</v>
      </c>
      <c r="AL25" s="39" cm="1">
        <f t="array" ref="AL25">SUMPRODUCT(--(MID(AC$10:AC$135, SUMIF($Z$9:$Z$21, LEFT($AJ25,2), $Y$9:$Y$21), 1) = RIGHT($AJ25, 1)), K$10:K$135)</f>
        <v>71</v>
      </c>
      <c r="AM25" s="39" cm="1">
        <f t="array" ref="AM25">SUMPRODUCT(--(MID(AD$10:AD$135, SUMIF($Z$9:$Z$21, LEFT($AJ25,2), $Y$9:$Y$21), 1) = RIGHT($AJ25, 1)), L$10:L$135)</f>
        <v>59</v>
      </c>
      <c r="AN25" s="39" cm="1">
        <f t="array" ref="AN25">SUMPRODUCT(--(MID(AE$10:AE$135, SUMIF($Z$9:$Z$21, LEFT($AJ25,2), $Y$9:$Y$21), 1) = RIGHT($AJ25, 1)), M$10:M$135)</f>
        <v>42</v>
      </c>
      <c r="AO25" s="39" cm="1">
        <f t="array" ref="AO25">SUMPRODUCT(--(MID(AF$10:AF$135, SUMIF($Z$9:$Z$21, LEFT($AJ25,2), $Y$9:$Y$21), 1) = RIGHT($AJ25, 1)), N$10:N$135)</f>
        <v>51</v>
      </c>
      <c r="AP25" s="19" cm="1">
        <f t="array" ref="AP25">SUMPRODUCT(--(MID(AG$10:AG$135, SUMIF($Z$9:$Z$21, LEFT($AJ25,2), $Y$9:$Y$21), 1) = RIGHT($AJ25, 1)), O$10:O$135)</f>
        <v>72</v>
      </c>
      <c r="AR25" s="34" t="str">
        <f t="shared" si="15"/>
        <v>BB-0</v>
      </c>
      <c r="AS25" s="30">
        <f t="shared" si="16"/>
        <v>41</v>
      </c>
      <c r="AT25" s="30">
        <f t="shared" si="16"/>
        <v>71</v>
      </c>
      <c r="AU25" s="30">
        <f t="shared" si="16"/>
        <v>59</v>
      </c>
      <c r="AV25" s="30">
        <f t="shared" si="16"/>
        <v>42</v>
      </c>
      <c r="AW25" s="30">
        <f t="shared" si="16"/>
        <v>51</v>
      </c>
      <c r="AX25" s="35">
        <f t="shared" si="16"/>
        <v>72</v>
      </c>
    </row>
    <row r="26" spans="2:64">
      <c r="B26" s="34">
        <f t="shared" si="9"/>
        <v>16</v>
      </c>
      <c r="C26" s="30" t="s">
        <v>130</v>
      </c>
      <c r="D26" s="30" t="s">
        <v>127</v>
      </c>
      <c r="E26" s="30" t="s">
        <v>127</v>
      </c>
      <c r="F26" s="30" t="s">
        <v>127</v>
      </c>
      <c r="G26" s="30" t="s">
        <v>137</v>
      </c>
      <c r="H26" s="35" t="s">
        <v>132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0000000010010</v>
      </c>
      <c r="AC26" s="15" t="str">
        <f t="shared" si="11"/>
        <v>0110000000000</v>
      </c>
      <c r="AD26" s="15" t="str">
        <f t="shared" si="11"/>
        <v>0010000000010</v>
      </c>
      <c r="AE26" s="15" t="str">
        <f t="shared" si="11"/>
        <v>0020000000000</v>
      </c>
      <c r="AF26" s="15" t="str">
        <f t="shared" si="11"/>
        <v>0010010000000</v>
      </c>
      <c r="AG26" s="41" t="str">
        <f t="shared" si="11"/>
        <v>0000000000200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43</v>
      </c>
      <c r="AT26" s="30">
        <f t="shared" si="16"/>
        <v>69</v>
      </c>
      <c r="AU26" s="30">
        <f t="shared" si="16"/>
        <v>65</v>
      </c>
      <c r="AV26" s="30">
        <f t="shared" si="16"/>
        <v>39</v>
      </c>
      <c r="AW26" s="30">
        <f t="shared" si="16"/>
        <v>47</v>
      </c>
      <c r="AX26" s="35">
        <f t="shared" si="16"/>
        <v>70</v>
      </c>
    </row>
    <row r="27" spans="2:64">
      <c r="B27" s="34">
        <f t="shared" si="9"/>
        <v>17</v>
      </c>
      <c r="C27" s="30" t="s">
        <v>128</v>
      </c>
      <c r="D27" s="30" t="s">
        <v>127</v>
      </c>
      <c r="E27" s="30" t="s">
        <v>130</v>
      </c>
      <c r="F27" s="30" t="s">
        <v>126</v>
      </c>
      <c r="G27" s="30" t="s">
        <v>131</v>
      </c>
      <c r="H27" s="35" t="s">
        <v>134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0000001010000</v>
      </c>
      <c r="AC27" s="15" t="str">
        <f t="shared" si="11"/>
        <v>0020000000000</v>
      </c>
      <c r="AD27" s="15" t="str">
        <f t="shared" si="11"/>
        <v>0010000010000</v>
      </c>
      <c r="AE27" s="15" t="str">
        <f t="shared" si="11"/>
        <v>1121111111110</v>
      </c>
      <c r="AF27" s="15" t="str">
        <f t="shared" si="11"/>
        <v>0100010000000</v>
      </c>
      <c r="AG27" s="41" t="str">
        <f t="shared" si="11"/>
        <v>0001000000100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53</v>
      </c>
      <c r="AT27" s="30">
        <f t="shared" si="16"/>
        <v>89</v>
      </c>
      <c r="AU27" s="30">
        <f t="shared" si="16"/>
        <v>75</v>
      </c>
      <c r="AV27" s="30">
        <f t="shared" si="16"/>
        <v>47</v>
      </c>
      <c r="AW27" s="30">
        <f t="shared" si="16"/>
        <v>57</v>
      </c>
      <c r="AX27" s="35">
        <f t="shared" si="16"/>
        <v>70</v>
      </c>
    </row>
    <row r="28" spans="2:64">
      <c r="B28" s="34">
        <f t="shared" si="9"/>
        <v>18</v>
      </c>
      <c r="C28" s="30" t="s">
        <v>134</v>
      </c>
      <c r="D28" s="30" t="s">
        <v>127</v>
      </c>
      <c r="E28" s="30" t="s">
        <v>131</v>
      </c>
      <c r="F28" s="30" t="s">
        <v>128</v>
      </c>
      <c r="G28" s="30" t="s">
        <v>128</v>
      </c>
      <c r="H28" s="35" t="s">
        <v>134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0001001000000</v>
      </c>
      <c r="AC28" s="15" t="str">
        <f t="shared" si="11"/>
        <v>0020000000000</v>
      </c>
      <c r="AD28" s="15" t="str">
        <f t="shared" si="11"/>
        <v>0100000010000</v>
      </c>
      <c r="AE28" s="15" t="str">
        <f t="shared" si="11"/>
        <v>1111112111110</v>
      </c>
      <c r="AF28" s="15" t="str">
        <f t="shared" si="11"/>
        <v>0100001000000</v>
      </c>
      <c r="AG28" s="41" t="str">
        <f t="shared" si="11"/>
        <v>0002000000000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57</v>
      </c>
      <c r="AT28" s="30">
        <f t="shared" si="16"/>
        <v>85</v>
      </c>
      <c r="AU28" s="30">
        <f t="shared" si="16"/>
        <v>75</v>
      </c>
      <c r="AV28" s="30">
        <f t="shared" si="16"/>
        <v>45</v>
      </c>
      <c r="AW28" s="30">
        <f t="shared" si="16"/>
        <v>53</v>
      </c>
      <c r="AX28" s="35">
        <f t="shared" si="16"/>
        <v>82</v>
      </c>
    </row>
    <row r="29" spans="2:64">
      <c r="B29" s="34">
        <f t="shared" si="9"/>
        <v>19</v>
      </c>
      <c r="C29" s="30" t="s">
        <v>134</v>
      </c>
      <c r="D29" s="30" t="s">
        <v>134</v>
      </c>
      <c r="E29" s="30" t="s">
        <v>128</v>
      </c>
      <c r="F29" s="30" t="s">
        <v>129</v>
      </c>
      <c r="G29" s="30" t="s">
        <v>129</v>
      </c>
      <c r="H29" s="35" t="s">
        <v>134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0002000000000</v>
      </c>
      <c r="AC29" s="15" t="str">
        <f t="shared" si="11"/>
        <v>0011000000000</v>
      </c>
      <c r="AD29" s="15" t="str">
        <f t="shared" si="11"/>
        <v>0100001000000</v>
      </c>
      <c r="AE29" s="15" t="str">
        <f t="shared" si="11"/>
        <v>0000001001000</v>
      </c>
      <c r="AF29" s="15" t="str">
        <f t="shared" si="11"/>
        <v>0000001001000</v>
      </c>
      <c r="AG29" s="41" t="str">
        <f t="shared" si="11"/>
        <v>0002000000000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51</v>
      </c>
      <c r="AT29" s="30">
        <f t="shared" si="16"/>
        <v>87</v>
      </c>
      <c r="AU29" s="30">
        <f t="shared" si="16"/>
        <v>75</v>
      </c>
      <c r="AV29" s="30">
        <f t="shared" si="16"/>
        <v>38</v>
      </c>
      <c r="AW29" s="30">
        <f t="shared" si="16"/>
        <v>42</v>
      </c>
      <c r="AX29" s="35">
        <f t="shared" si="16"/>
        <v>66</v>
      </c>
    </row>
    <row r="30" spans="2:64">
      <c r="B30" s="34">
        <f t="shared" si="9"/>
        <v>20</v>
      </c>
      <c r="C30" s="30" t="s">
        <v>134</v>
      </c>
      <c r="D30" s="30" t="s">
        <v>138</v>
      </c>
      <c r="E30" s="30" t="s">
        <v>133</v>
      </c>
      <c r="F30" s="30" t="s">
        <v>129</v>
      </c>
      <c r="G30" s="30" t="s">
        <v>138</v>
      </c>
      <c r="H30" s="35" t="s">
        <v>138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0002000000000</v>
      </c>
      <c r="AC30" s="15" t="str">
        <f t="shared" si="11"/>
        <v>0001000000010</v>
      </c>
      <c r="AD30" s="15" t="str">
        <f t="shared" si="11"/>
        <v>0000001100000</v>
      </c>
      <c r="AE30" s="15" t="str">
        <f t="shared" si="11"/>
        <v>0000000002000</v>
      </c>
      <c r="AF30" s="15" t="str">
        <f t="shared" si="11"/>
        <v>0000000001010</v>
      </c>
      <c r="AG30" s="41" t="str">
        <f t="shared" si="11"/>
        <v>0001000000010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51</v>
      </c>
      <c r="AT30" s="30">
        <f t="shared" si="16"/>
        <v>71</v>
      </c>
      <c r="AU30" s="30">
        <f t="shared" si="16"/>
        <v>55</v>
      </c>
      <c r="AV30" s="30">
        <f t="shared" si="16"/>
        <v>41</v>
      </c>
      <c r="AW30" s="30">
        <f t="shared" si="16"/>
        <v>54</v>
      </c>
      <c r="AX30" s="35">
        <f t="shared" si="16"/>
        <v>72</v>
      </c>
    </row>
    <row r="31" spans="2:64">
      <c r="B31" s="34">
        <f t="shared" si="9"/>
        <v>21</v>
      </c>
      <c r="C31" s="30" t="s">
        <v>129</v>
      </c>
      <c r="D31" s="30" t="s">
        <v>138</v>
      </c>
      <c r="E31" s="30" t="s">
        <v>133</v>
      </c>
      <c r="F31" s="30" t="s">
        <v>129</v>
      </c>
      <c r="G31" s="30" t="s">
        <v>127</v>
      </c>
      <c r="H31" s="35" t="s">
        <v>138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0001000001000</v>
      </c>
      <c r="AC31" s="15" t="str">
        <f t="shared" si="11"/>
        <v>0000000000020</v>
      </c>
      <c r="AD31" s="15" t="str">
        <f t="shared" si="11"/>
        <v>0000000200000</v>
      </c>
      <c r="AE31" s="15" t="str">
        <f t="shared" si="11"/>
        <v>0000000002000</v>
      </c>
      <c r="AF31" s="15" t="str">
        <f t="shared" si="11"/>
        <v>0010000000010</v>
      </c>
      <c r="AG31" s="41" t="str">
        <f t="shared" si="11"/>
        <v>0000000000020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57</v>
      </c>
      <c r="AT31" s="30">
        <f t="shared" si="16"/>
        <v>89</v>
      </c>
      <c r="AU31" s="30">
        <f t="shared" si="16"/>
        <v>75</v>
      </c>
      <c r="AV31" s="30">
        <f t="shared" si="16"/>
        <v>47</v>
      </c>
      <c r="AW31" s="30">
        <f t="shared" si="16"/>
        <v>57</v>
      </c>
      <c r="AX31" s="35">
        <f t="shared" si="16"/>
        <v>82</v>
      </c>
    </row>
    <row r="32" spans="2:64">
      <c r="B32" s="34">
        <f t="shared" si="9"/>
        <v>22</v>
      </c>
      <c r="C32" s="30" t="s">
        <v>131</v>
      </c>
      <c r="D32" s="30" t="s">
        <v>138</v>
      </c>
      <c r="E32" s="30" t="s">
        <v>133</v>
      </c>
      <c r="F32" s="30" t="s">
        <v>137</v>
      </c>
      <c r="G32" s="30" t="s">
        <v>127</v>
      </c>
      <c r="H32" s="35" t="s">
        <v>138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0100000001000</v>
      </c>
      <c r="AC32" s="15" t="str">
        <f t="shared" si="11"/>
        <v>0000000000020</v>
      </c>
      <c r="AD32" s="15" t="str">
        <f t="shared" si="11"/>
        <v>0000000200000</v>
      </c>
      <c r="AE32" s="15" t="str">
        <f t="shared" si="11"/>
        <v>0000010001000</v>
      </c>
      <c r="AF32" s="15" t="str">
        <f t="shared" si="11"/>
        <v>0020000000000</v>
      </c>
      <c r="AG32" s="41" t="str">
        <f t="shared" si="11"/>
        <v>0000000000020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14</v>
      </c>
      <c r="AL32" s="39" cm="1">
        <f t="array" ref="AL32">SUMPRODUCT(--(MID(AC$10:AC$135, SUMIF($Z$9:$Z$21, LEFT($AJ32,2), $Y$9:$Y$21), 1) = RIGHT($AJ32, 1)), K$10:K$135)</f>
        <v>20</v>
      </c>
      <c r="AM32" s="39" cm="1">
        <f t="array" ref="AM32">SUMPRODUCT(--(MID(AD$10:AD$135, SUMIF($Z$9:$Z$21, LEFT($AJ32,2), $Y$9:$Y$21), 1) = RIGHT($AJ32, 1)), L$10:L$135)</f>
        <v>10</v>
      </c>
      <c r="AN32" s="39" cm="1">
        <f t="array" ref="AN32">SUMPRODUCT(--(MID(AE$10:AE$135, SUMIF($Z$9:$Z$21, LEFT($AJ32,2), $Y$9:$Y$21), 1) = RIGHT($AJ32, 1)), M$10:M$135)</f>
        <v>10</v>
      </c>
      <c r="AO32" s="39" cm="1">
        <f t="array" ref="AO32">SUMPRODUCT(--(MID(AF$10:AF$135, SUMIF($Z$9:$Z$21, LEFT($AJ32,2), $Y$9:$Y$21), 1) = RIGHT($AJ32, 1)), N$10:N$135)</f>
        <v>12</v>
      </c>
      <c r="AP32" s="19" cm="1">
        <f t="array" ref="AP32">SUMPRODUCT(--(MID(AG$10:AG$135, SUMIF($Z$9:$Z$21, LEFT($AJ32,2), $Y$9:$Y$21), 1) = RIGHT($AJ32, 1)), O$10:O$135)</f>
        <v>14</v>
      </c>
      <c r="AR32" s="34" t="str">
        <f t="shared" si="15"/>
        <v>JJ-0</v>
      </c>
      <c r="AS32" s="30">
        <f t="shared" si="16"/>
        <v>53</v>
      </c>
      <c r="AT32" s="30">
        <f t="shared" si="16"/>
        <v>53</v>
      </c>
      <c r="AU32" s="30">
        <f t="shared" si="16"/>
        <v>61</v>
      </c>
      <c r="AV32" s="30">
        <f t="shared" si="16"/>
        <v>39</v>
      </c>
      <c r="AW32" s="30">
        <f t="shared" si="16"/>
        <v>47</v>
      </c>
      <c r="AX32" s="35">
        <f t="shared" si="16"/>
        <v>58</v>
      </c>
    </row>
    <row r="33" spans="2:50">
      <c r="B33" s="34">
        <f t="shared" si="9"/>
        <v>23</v>
      </c>
      <c r="C33" s="30" t="s">
        <v>138</v>
      </c>
      <c r="D33" s="30" t="s">
        <v>132</v>
      </c>
      <c r="E33" s="30" t="s">
        <v>127</v>
      </c>
      <c r="F33" s="30" t="s">
        <v>131</v>
      </c>
      <c r="G33" s="30" t="s">
        <v>127</v>
      </c>
      <c r="H33" s="35" t="s">
        <v>127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0100000000010</v>
      </c>
      <c r="AC33" s="15" t="str">
        <f t="shared" si="11"/>
        <v>0000000000110</v>
      </c>
      <c r="AD33" s="15" t="str">
        <f t="shared" si="11"/>
        <v>0010000100000</v>
      </c>
      <c r="AE33" s="15" t="str">
        <f t="shared" si="11"/>
        <v>0100010000000</v>
      </c>
      <c r="AF33" s="15" t="str">
        <f t="shared" si="11"/>
        <v>0020000000000</v>
      </c>
      <c r="AG33" s="41" t="str">
        <f t="shared" si="11"/>
        <v>0010000000010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43</v>
      </c>
      <c r="AL33" s="39" cm="1">
        <f t="array" ref="AL33">SUMPRODUCT(--(MID(AC$10:AC$135, SUMIF($Z$9:$Z$21, LEFT($AJ33,2), $Y$9:$Y$21), 1) = RIGHT($AJ33, 1)), K$10:K$135)</f>
        <v>69</v>
      </c>
      <c r="AM33" s="39" cm="1">
        <f t="array" ref="AM33">SUMPRODUCT(--(MID(AD$10:AD$135, SUMIF($Z$9:$Z$21, LEFT($AJ33,2), $Y$9:$Y$21), 1) = RIGHT($AJ33, 1)), L$10:L$135)</f>
        <v>65</v>
      </c>
      <c r="AN33" s="39" cm="1">
        <f t="array" ref="AN33">SUMPRODUCT(--(MID(AE$10:AE$135, SUMIF($Z$9:$Z$21, LEFT($AJ33,2), $Y$9:$Y$21), 1) = RIGHT($AJ33, 1)), M$10:M$135)</f>
        <v>39</v>
      </c>
      <c r="AO33" s="39" cm="1">
        <f t="array" ref="AO33">SUMPRODUCT(--(MID(AF$10:AF$135, SUMIF($Z$9:$Z$21, LEFT($AJ33,2), $Y$9:$Y$21), 1) = RIGHT($AJ33, 1)), N$10:N$135)</f>
        <v>47</v>
      </c>
      <c r="AP33" s="19" cm="1">
        <f t="array" ref="AP33">SUMPRODUCT(--(MID(AG$10:AG$135, SUMIF($Z$9:$Z$21, LEFT($AJ33,2), $Y$9:$Y$21), 1) = RIGHT($AJ33, 1)), O$10:O$135)</f>
        <v>70</v>
      </c>
      <c r="AR33" s="34" t="str">
        <f t="shared" si="15"/>
        <v>KK-0</v>
      </c>
      <c r="AS33" s="30">
        <f t="shared" si="16"/>
        <v>45</v>
      </c>
      <c r="AT33" s="30">
        <f t="shared" si="16"/>
        <v>71</v>
      </c>
      <c r="AU33" s="30">
        <f t="shared" si="16"/>
        <v>71</v>
      </c>
      <c r="AV33" s="30">
        <f t="shared" si="16"/>
        <v>37</v>
      </c>
      <c r="AW33" s="30">
        <f t="shared" si="16"/>
        <v>45</v>
      </c>
      <c r="AX33" s="35">
        <f t="shared" si="16"/>
        <v>68</v>
      </c>
    </row>
    <row r="34" spans="2:50">
      <c r="B34" s="34">
        <f t="shared" si="9"/>
        <v>24</v>
      </c>
      <c r="C34" s="30" t="s">
        <v>138</v>
      </c>
      <c r="D34" s="30" t="s">
        <v>136</v>
      </c>
      <c r="E34" s="30" t="s">
        <v>127</v>
      </c>
      <c r="F34" s="30" t="s">
        <v>131</v>
      </c>
      <c r="G34" s="30" t="s">
        <v>129</v>
      </c>
      <c r="H34" s="35" t="s">
        <v>127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0000000000020</v>
      </c>
      <c r="AC34" s="15" t="str">
        <f t="shared" si="11"/>
        <v>0000100000100</v>
      </c>
      <c r="AD34" s="15" t="str">
        <f t="shared" si="11"/>
        <v>0020000000000</v>
      </c>
      <c r="AE34" s="15" t="str">
        <f t="shared" si="11"/>
        <v>0200000000000</v>
      </c>
      <c r="AF34" s="15" t="str">
        <f t="shared" si="11"/>
        <v>0010000001000</v>
      </c>
      <c r="AG34" s="41" t="str">
        <f t="shared" si="11"/>
        <v>0020000000000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47</v>
      </c>
      <c r="AT34" s="30">
        <f t="shared" si="16"/>
        <v>85</v>
      </c>
      <c r="AU34" s="30">
        <f t="shared" si="16"/>
        <v>38</v>
      </c>
      <c r="AV34" s="30">
        <f t="shared" si="16"/>
        <v>44</v>
      </c>
      <c r="AW34" s="30">
        <f t="shared" si="16"/>
        <v>49</v>
      </c>
      <c r="AX34" s="35">
        <f t="shared" si="16"/>
        <v>80</v>
      </c>
    </row>
    <row r="35" spans="2:50">
      <c r="B35" s="34">
        <f t="shared" si="9"/>
        <v>25</v>
      </c>
      <c r="C35" s="30" t="s">
        <v>138</v>
      </c>
      <c r="D35" s="30" t="s">
        <v>134</v>
      </c>
      <c r="E35" s="30" t="s">
        <v>127</v>
      </c>
      <c r="F35" s="30" t="s">
        <v>131</v>
      </c>
      <c r="G35" s="30" t="s">
        <v>129</v>
      </c>
      <c r="H35" s="35" t="s">
        <v>127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0000000000020</v>
      </c>
      <c r="AC35" s="15" t="str">
        <f t="shared" si="11"/>
        <v>0001100000000</v>
      </c>
      <c r="AD35" s="15" t="str">
        <f t="shared" si="11"/>
        <v>0020000000000</v>
      </c>
      <c r="AE35" s="15" t="str">
        <f t="shared" si="11"/>
        <v>0200000000000</v>
      </c>
      <c r="AF35" s="15" t="str">
        <f t="shared" si="11"/>
        <v>0000000002000</v>
      </c>
      <c r="AG35" s="41" t="str">
        <f t="shared" si="11"/>
        <v>0020000000000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59</v>
      </c>
      <c r="AT35" s="37">
        <f t="shared" si="16"/>
        <v>91</v>
      </c>
      <c r="AU35" s="37">
        <f t="shared" si="16"/>
        <v>77</v>
      </c>
      <c r="AV35" s="37">
        <f t="shared" si="16"/>
        <v>51</v>
      </c>
      <c r="AW35" s="37">
        <f t="shared" si="16"/>
        <v>61</v>
      </c>
      <c r="AX35" s="38">
        <f t="shared" si="16"/>
        <v>86</v>
      </c>
    </row>
    <row r="36" spans="2:50">
      <c r="B36" s="34">
        <f t="shared" si="9"/>
        <v>26</v>
      </c>
      <c r="C36" s="30" t="s">
        <v>132</v>
      </c>
      <c r="D36" s="30" t="s">
        <v>134</v>
      </c>
      <c r="E36" s="30" t="s">
        <v>131</v>
      </c>
      <c r="F36" s="30" t="s">
        <v>136</v>
      </c>
      <c r="G36" s="30" t="s">
        <v>129</v>
      </c>
      <c r="H36" s="35" t="s">
        <v>131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0000000000110</v>
      </c>
      <c r="AC36" s="15" t="str">
        <f t="shared" si="11"/>
        <v>0002000000000</v>
      </c>
      <c r="AD36" s="15" t="str">
        <f t="shared" si="11"/>
        <v>0110000000000</v>
      </c>
      <c r="AE36" s="15" t="str">
        <f t="shared" si="11"/>
        <v>0100100000000</v>
      </c>
      <c r="AF36" s="15" t="str">
        <f t="shared" si="11"/>
        <v>0000000002000</v>
      </c>
      <c r="AG36" s="41" t="str">
        <f t="shared" si="11"/>
        <v>0110000000000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132</v>
      </c>
      <c r="D37" s="30" t="s">
        <v>134</v>
      </c>
      <c r="E37" s="30" t="s">
        <v>131</v>
      </c>
      <c r="F37" s="30" t="s">
        <v>134</v>
      </c>
      <c r="G37" s="30" t="s">
        <v>131</v>
      </c>
      <c r="H37" s="35" t="s">
        <v>131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0000000000200</v>
      </c>
      <c r="AC37" s="15" t="str">
        <f t="shared" si="11"/>
        <v>0002000000000</v>
      </c>
      <c r="AD37" s="15" t="str">
        <f t="shared" si="11"/>
        <v>0200000000000</v>
      </c>
      <c r="AE37" s="15" t="str">
        <f t="shared" si="11"/>
        <v>0001100000000</v>
      </c>
      <c r="AF37" s="15" t="str">
        <f t="shared" si="11"/>
        <v>0100000001000</v>
      </c>
      <c r="AG37" s="41" t="str">
        <f t="shared" si="11"/>
        <v>0200000000000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132</v>
      </c>
      <c r="D38" s="30" t="s">
        <v>129</v>
      </c>
      <c r="E38" s="30" t="s">
        <v>131</v>
      </c>
      <c r="F38" s="30" t="s">
        <v>134</v>
      </c>
      <c r="G38" s="30" t="s">
        <v>131</v>
      </c>
      <c r="H38" s="35" t="s">
        <v>131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0000000000200</v>
      </c>
      <c r="AC38" s="15" t="str">
        <f t="shared" si="11"/>
        <v>0001000001000</v>
      </c>
      <c r="AD38" s="15" t="str">
        <f t="shared" si="11"/>
        <v>0200000000000</v>
      </c>
      <c r="AE38" s="15" t="str">
        <f t="shared" si="11"/>
        <v>0002000000000</v>
      </c>
      <c r="AF38" s="15" t="str">
        <f t="shared" si="11"/>
        <v>0200000000000</v>
      </c>
      <c r="AG38" s="41" t="str">
        <f t="shared" si="11"/>
        <v>0200000000000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131</v>
      </c>
      <c r="D39" s="30" t="s">
        <v>131</v>
      </c>
      <c r="E39" s="30" t="s">
        <v>134</v>
      </c>
      <c r="F39" s="30" t="s">
        <v>134</v>
      </c>
      <c r="G39" s="30" t="s">
        <v>131</v>
      </c>
      <c r="H39" s="35" t="s">
        <v>128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0100000000100</v>
      </c>
      <c r="AC39" s="15" t="str">
        <f t="shared" si="11"/>
        <v>0100000001000</v>
      </c>
      <c r="AD39" s="15" t="str">
        <f t="shared" si="11"/>
        <v>0101000000000</v>
      </c>
      <c r="AE39" s="15" t="str">
        <f t="shared" si="11"/>
        <v>0002000000000</v>
      </c>
      <c r="AF39" s="15" t="str">
        <f t="shared" si="11"/>
        <v>0200000000000</v>
      </c>
      <c r="AG39" s="41" t="str">
        <f t="shared" si="11"/>
        <v>0100001000000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131</v>
      </c>
      <c r="D40" s="30" t="s">
        <v>131</v>
      </c>
      <c r="E40" s="30" t="s">
        <v>134</v>
      </c>
      <c r="F40" s="30" t="s">
        <v>132</v>
      </c>
      <c r="G40" s="30" t="s">
        <v>138</v>
      </c>
      <c r="H40" s="35" t="s">
        <v>128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0200000000000</v>
      </c>
      <c r="AC40" s="15" t="str">
        <f t="shared" si="11"/>
        <v>0200000000000</v>
      </c>
      <c r="AD40" s="15" t="str">
        <f t="shared" si="11"/>
        <v>0002000000000</v>
      </c>
      <c r="AE40" s="15" t="str">
        <f t="shared" si="11"/>
        <v>0001000000100</v>
      </c>
      <c r="AF40" s="15" t="str">
        <f t="shared" si="11"/>
        <v>0100000000010</v>
      </c>
      <c r="AG40" s="41" t="str">
        <f t="shared" si="11"/>
        <v>0000002000000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4</v>
      </c>
      <c r="AL40" s="39" cm="1">
        <f t="array" ref="AL40">SUMPRODUCT(--(MID(AC$10:AC$135, SUMIF($Z$9:$Z$21, LEFT($AJ40,2), $Y$9:$Y$21), 1) = RIGHT($AJ40, 1)), K$10:K$135)</f>
        <v>2</v>
      </c>
      <c r="AM40" s="39" cm="1">
        <f t="array" ref="AM40">SUMPRODUCT(--(MID(AD$10:AD$135, SUMIF($Z$9:$Z$21, LEFT($AJ40,2), $Y$9:$Y$21), 1) = RIGHT($AJ40, 1)), L$10:L$135)</f>
        <v>2</v>
      </c>
      <c r="AN40" s="39" cm="1">
        <f t="array" ref="AN40">SUMPRODUCT(--(MID(AE$10:AE$135, SUMIF($Z$9:$Z$21, LEFT($AJ40,2), $Y$9:$Y$21), 1) = RIGHT($AJ40, 1)), M$10:M$135)</f>
        <v>4</v>
      </c>
      <c r="AO40" s="39" cm="1">
        <f t="array" ref="AO40">SUMPRODUCT(--(MID(AF$10:AF$135, SUMIF($Z$9:$Z$21, LEFT($AJ40,2), $Y$9:$Y$21), 1) = RIGHT($AJ40, 1)), N$10:N$135)</f>
        <v>4</v>
      </c>
      <c r="AP40" s="19" cm="1">
        <f t="array" ref="AP40">SUMPRODUCT(--(MID(AG$10:AG$135, SUMIF($Z$9:$Z$21, LEFT($AJ40,2), $Y$9:$Y$21), 1) = RIGHT($AJ40, 1)), O$10:O$135)</f>
        <v>14</v>
      </c>
    </row>
    <row r="41" spans="2:50">
      <c r="B41" s="34">
        <f t="shared" si="9"/>
        <v>31</v>
      </c>
      <c r="C41" s="30" t="s">
        <v>131</v>
      </c>
      <c r="D41" s="30" t="s">
        <v>131</v>
      </c>
      <c r="E41" s="30" t="s">
        <v>134</v>
      </c>
      <c r="F41" s="30" t="s">
        <v>129</v>
      </c>
      <c r="G41" s="30" t="s">
        <v>138</v>
      </c>
      <c r="H41" s="35" t="s">
        <v>128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0200000000000</v>
      </c>
      <c r="AC41" s="15" t="str">
        <f t="shared" si="11"/>
        <v>0200000000000</v>
      </c>
      <c r="AD41" s="15" t="str">
        <f t="shared" si="11"/>
        <v>0002000000000</v>
      </c>
      <c r="AE41" s="15" t="str">
        <f t="shared" si="11"/>
        <v>0000000001100</v>
      </c>
      <c r="AF41" s="15" t="str">
        <f t="shared" si="11"/>
        <v>0000000000020</v>
      </c>
      <c r="AG41" s="41" t="str">
        <f t="shared" si="11"/>
        <v>0000002000000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53</v>
      </c>
      <c r="AL41" s="39" cm="1">
        <f t="array" ref="AL41">SUMPRODUCT(--(MID(AC$10:AC$135, SUMIF($Z$9:$Z$21, LEFT($AJ41,2), $Y$9:$Y$21), 1) = RIGHT($AJ41, 1)), K$10:K$135)</f>
        <v>89</v>
      </c>
      <c r="AM41" s="39" cm="1">
        <f t="array" ref="AM41">SUMPRODUCT(--(MID(AD$10:AD$135, SUMIF($Z$9:$Z$21, LEFT($AJ41,2), $Y$9:$Y$21), 1) = RIGHT($AJ41, 1)), L$10:L$135)</f>
        <v>75</v>
      </c>
      <c r="AN41" s="39" cm="1">
        <f t="array" ref="AN41">SUMPRODUCT(--(MID(AE$10:AE$135, SUMIF($Z$9:$Z$21, LEFT($AJ41,2), $Y$9:$Y$21), 1) = RIGHT($AJ41, 1)), M$10:M$135)</f>
        <v>47</v>
      </c>
      <c r="AO41" s="39" cm="1">
        <f t="array" ref="AO41">SUMPRODUCT(--(MID(AF$10:AF$135, SUMIF($Z$9:$Z$21, LEFT($AJ41,2), $Y$9:$Y$21), 1) = RIGHT($AJ41, 1)), N$10:N$135)</f>
        <v>57</v>
      </c>
      <c r="AP41" s="19" cm="1">
        <f t="array" ref="AP41">SUMPRODUCT(--(MID(AG$10:AG$135, SUMIF($Z$9:$Z$21, LEFT($AJ41,2), $Y$9:$Y$21), 1) = RIGHT($AJ41, 1)), O$10:O$135)</f>
        <v>70</v>
      </c>
    </row>
    <row r="42" spans="2:50">
      <c r="B42" s="34">
        <f t="shared" si="9"/>
        <v>32</v>
      </c>
      <c r="C42" s="30" t="s">
        <v>136</v>
      </c>
      <c r="D42" s="30" t="s">
        <v>129</v>
      </c>
      <c r="E42" s="30" t="s">
        <v>129</v>
      </c>
      <c r="F42" s="30" t="s">
        <v>131</v>
      </c>
      <c r="G42" s="30" t="s">
        <v>138</v>
      </c>
      <c r="H42" s="35" t="s">
        <v>133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0100100000000</v>
      </c>
      <c r="AC42" s="15" t="str">
        <f t="shared" si="11"/>
        <v>0100000001000</v>
      </c>
      <c r="AD42" s="15" t="str">
        <f t="shared" si="11"/>
        <v>0001000001000</v>
      </c>
      <c r="AE42" s="15" t="str">
        <f t="shared" si="11"/>
        <v>0100000001000</v>
      </c>
      <c r="AF42" s="15" t="str">
        <f t="shared" si="11"/>
        <v>0000000000020</v>
      </c>
      <c r="AG42" s="41" t="str">
        <f t="shared" si="11"/>
        <v>0000001100000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136</v>
      </c>
      <c r="D43" s="30" t="s">
        <v>131</v>
      </c>
      <c r="E43" s="30" t="s">
        <v>133</v>
      </c>
      <c r="F43" s="30" t="s">
        <v>133</v>
      </c>
      <c r="G43" s="30" t="s">
        <v>134</v>
      </c>
      <c r="H43" s="35" t="s">
        <v>133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0000200000000</v>
      </c>
      <c r="AC43" s="15" t="str">
        <f t="shared" si="11"/>
        <v>0100000001000</v>
      </c>
      <c r="AD43" s="15" t="str">
        <f t="shared" si="11"/>
        <v>0000000101000</v>
      </c>
      <c r="AE43" s="15" t="str">
        <f t="shared" si="11"/>
        <v>0100000100000</v>
      </c>
      <c r="AF43" s="15" t="str">
        <f t="shared" si="11"/>
        <v>0001000000010</v>
      </c>
      <c r="AG43" s="41" t="str">
        <f t="shared" si="11"/>
        <v>0000000200000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136</v>
      </c>
      <c r="D44" s="30" t="s">
        <v>134</v>
      </c>
      <c r="E44" s="30" t="s">
        <v>138</v>
      </c>
      <c r="F44" s="30" t="s">
        <v>133</v>
      </c>
      <c r="G44" s="30" t="s">
        <v>134</v>
      </c>
      <c r="H44" s="35" t="s">
        <v>133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0000200000000</v>
      </c>
      <c r="AC44" s="15" t="str">
        <f t="shared" si="11"/>
        <v>0101000000000</v>
      </c>
      <c r="AD44" s="15" t="str">
        <f t="shared" si="11"/>
        <v>0000000100010</v>
      </c>
      <c r="AE44" s="15" t="str">
        <f t="shared" si="11"/>
        <v>0000000200000</v>
      </c>
      <c r="AF44" s="15" t="str">
        <f t="shared" si="11"/>
        <v>0002000000000</v>
      </c>
      <c r="AG44" s="41" t="str">
        <f t="shared" si="11"/>
        <v>0000000200000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127</v>
      </c>
      <c r="D45" s="30" t="s">
        <v>129</v>
      </c>
      <c r="E45" s="30" t="s">
        <v>131</v>
      </c>
      <c r="F45" s="30" t="s">
        <v>133</v>
      </c>
      <c r="G45" s="30" t="s">
        <v>134</v>
      </c>
      <c r="H45" s="35" t="s">
        <v>136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0010100000000</v>
      </c>
      <c r="AC45" s="15" t="str">
        <f t="shared" si="11"/>
        <v>0001000001000</v>
      </c>
      <c r="AD45" s="15" t="str">
        <f t="shared" si="11"/>
        <v>0100000000010</v>
      </c>
      <c r="AE45" s="15" t="str">
        <f t="shared" si="11"/>
        <v>0000000200000</v>
      </c>
      <c r="AF45" s="15" t="str">
        <f t="shared" si="11"/>
        <v>0002000000000</v>
      </c>
      <c r="AG45" s="41" t="str">
        <f t="shared" si="11"/>
        <v>0000100100000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127</v>
      </c>
      <c r="D46" s="30" t="s">
        <v>134</v>
      </c>
      <c r="E46" s="30" t="s">
        <v>138</v>
      </c>
      <c r="F46" s="30" t="s">
        <v>132</v>
      </c>
      <c r="G46" s="30" t="s">
        <v>132</v>
      </c>
      <c r="H46" s="35" t="s">
        <v>136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0020000000000</v>
      </c>
      <c r="AC46" s="15" t="str">
        <f t="shared" si="11"/>
        <v>0001000001000</v>
      </c>
      <c r="AD46" s="15" t="str">
        <f t="shared" si="11"/>
        <v>0100000000010</v>
      </c>
      <c r="AE46" s="15" t="str">
        <f t="shared" si="11"/>
        <v>0000000100100</v>
      </c>
      <c r="AF46" s="15" t="str">
        <f t="shared" si="11"/>
        <v>0001000000100</v>
      </c>
      <c r="AG46" s="41" t="str">
        <f t="shared" si="11"/>
        <v>0000200000000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127</v>
      </c>
      <c r="D47" s="30" t="s">
        <v>129</v>
      </c>
      <c r="E47" s="30" t="s">
        <v>129</v>
      </c>
      <c r="F47" s="30" t="s">
        <v>137</v>
      </c>
      <c r="G47" s="30" t="s">
        <v>137</v>
      </c>
      <c r="H47" s="35" t="s">
        <v>136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0020000000000</v>
      </c>
      <c r="AC47" s="15" t="str">
        <f t="shared" si="11"/>
        <v>0001000001000</v>
      </c>
      <c r="AD47" s="15" t="str">
        <f t="shared" si="11"/>
        <v>0000000001010</v>
      </c>
      <c r="AE47" s="15" t="str">
        <f t="shared" si="11"/>
        <v>0000010000100</v>
      </c>
      <c r="AF47" s="15" t="str">
        <f t="shared" si="11"/>
        <v>0000010000100</v>
      </c>
      <c r="AG47" s="41" t="str">
        <f t="shared" si="11"/>
        <v>0000200000000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134</v>
      </c>
      <c r="D48" s="30" t="s">
        <v>133</v>
      </c>
      <c r="E48" s="30" t="s">
        <v>131</v>
      </c>
      <c r="F48" s="30" t="s">
        <v>128</v>
      </c>
      <c r="G48" s="30" t="s">
        <v>131</v>
      </c>
      <c r="H48" s="35" t="s">
        <v>134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0011000000000</v>
      </c>
      <c r="AC48" s="15" t="str">
        <f t="shared" si="11"/>
        <v>0000000101000</v>
      </c>
      <c r="AD48" s="15" t="str">
        <f t="shared" si="11"/>
        <v>0100000001000</v>
      </c>
      <c r="AE48" s="15" t="str">
        <f t="shared" si="11"/>
        <v>0000011000000</v>
      </c>
      <c r="AF48" s="15" t="str">
        <f t="shared" si="11"/>
        <v>0100010000000</v>
      </c>
      <c r="AG48" s="41" t="str">
        <f t="shared" si="11"/>
        <v>0001100000000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6</v>
      </c>
      <c r="AM48" s="39" cm="1">
        <f t="array" ref="AM48">SUMPRODUCT(--(MID(AD$10:AD$135, SUMIF($Z$9:$Z$21, LEFT($AJ48,2), $Y$9:$Y$21), 1) = RIGHT($AJ48, 1)), L$10:L$135)</f>
        <v>2</v>
      </c>
      <c r="AN48" s="39" cm="1">
        <f t="array" ref="AN48">SUMPRODUCT(--(MID(AE$10:AE$135, SUMIF($Z$9:$Z$21, LEFT($AJ48,2), $Y$9:$Y$21), 1) = RIGHT($AJ48, 1)), M$10:M$135)</f>
        <v>6</v>
      </c>
      <c r="AO48" s="39" cm="1">
        <f t="array" ref="AO48">SUMPRODUCT(--(MID(AF$10:AF$135, SUMIF($Z$9:$Z$21, LEFT($AJ48,2), $Y$9:$Y$21), 1) = RIGHT($AJ48, 1)), N$10:N$135)</f>
        <v>8</v>
      </c>
      <c r="AP48" s="19" cm="1">
        <f t="array" ref="AP48">SUMPRODUCT(--(MID(AG$10:AG$135, SUMIF($Z$9:$Z$21, LEFT($AJ48,2), $Y$9:$Y$21), 1) = RIGHT($AJ48, 1)), O$10:O$135)</f>
        <v>4</v>
      </c>
    </row>
    <row r="49" spans="2:42">
      <c r="B49" s="34">
        <f t="shared" si="9"/>
        <v>39</v>
      </c>
      <c r="C49" s="30" t="s">
        <v>127</v>
      </c>
      <c r="D49" s="30" t="s">
        <v>134</v>
      </c>
      <c r="E49" s="30" t="s">
        <v>133</v>
      </c>
      <c r="F49" s="30" t="s">
        <v>134</v>
      </c>
      <c r="G49" s="30" t="s">
        <v>128</v>
      </c>
      <c r="H49" s="35" t="s">
        <v>128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0011000000000</v>
      </c>
      <c r="AC49" s="15" t="str">
        <f t="shared" si="11"/>
        <v>0001000100000</v>
      </c>
      <c r="AD49" s="15" t="str">
        <f t="shared" si="11"/>
        <v>0100000100000</v>
      </c>
      <c r="AE49" s="15" t="str">
        <f t="shared" si="11"/>
        <v>0001001000000</v>
      </c>
      <c r="AF49" s="15" t="str">
        <f t="shared" si="11"/>
        <v>0100001000000</v>
      </c>
      <c r="AG49" s="41" t="str">
        <f t="shared" si="11"/>
        <v>0001001000000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57</v>
      </c>
      <c r="AL49" s="39" cm="1">
        <f t="array" ref="AL49">SUMPRODUCT(--(MID(AC$10:AC$135, SUMIF($Z$9:$Z$21, LEFT($AJ49,2), $Y$9:$Y$21), 1) = RIGHT($AJ49, 1)), K$10:K$135)</f>
        <v>85</v>
      </c>
      <c r="AM49" s="39" cm="1">
        <f t="array" ref="AM49">SUMPRODUCT(--(MID(AD$10:AD$135, SUMIF($Z$9:$Z$21, LEFT($AJ49,2), $Y$9:$Y$21), 1) = RIGHT($AJ49, 1)), L$10:L$135)</f>
        <v>75</v>
      </c>
      <c r="AN49" s="39" cm="1">
        <f t="array" ref="AN49">SUMPRODUCT(--(MID(AE$10:AE$135, SUMIF($Z$9:$Z$21, LEFT($AJ49,2), $Y$9:$Y$21), 1) = RIGHT($AJ49, 1)), M$10:M$135)</f>
        <v>45</v>
      </c>
      <c r="AO49" s="39" cm="1">
        <f t="array" ref="AO49">SUMPRODUCT(--(MID(AF$10:AF$135, SUMIF($Z$9:$Z$21, LEFT($AJ49,2), $Y$9:$Y$21), 1) = RIGHT($AJ49, 1)), N$10:N$135)</f>
        <v>53</v>
      </c>
      <c r="AP49" s="19" cm="1">
        <f t="array" ref="AP49">SUMPRODUCT(--(MID(AG$10:AG$135, SUMIF($Z$9:$Z$21, LEFT($AJ49,2), $Y$9:$Y$21), 1) = RIGHT($AJ49, 1)), O$10:O$135)</f>
        <v>82</v>
      </c>
    </row>
    <row r="50" spans="2:42">
      <c r="B50" s="34">
        <f t="shared" si="9"/>
        <v>40</v>
      </c>
      <c r="C50" s="30" t="s">
        <v>133</v>
      </c>
      <c r="D50" s="30" t="s">
        <v>129</v>
      </c>
      <c r="E50" s="30" t="s">
        <v>127</v>
      </c>
      <c r="F50" s="30" t="s">
        <v>132</v>
      </c>
      <c r="G50" s="30" t="s">
        <v>134</v>
      </c>
      <c r="H50" s="35" t="s">
        <v>136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0010000100000</v>
      </c>
      <c r="AC50" s="15" t="str">
        <f t="shared" si="11"/>
        <v>0001000001000</v>
      </c>
      <c r="AD50" s="15" t="str">
        <f t="shared" si="11"/>
        <v>0010000100000</v>
      </c>
      <c r="AE50" s="15" t="str">
        <f t="shared" si="11"/>
        <v>0001000000100</v>
      </c>
      <c r="AF50" s="15" t="str">
        <f t="shared" si="11"/>
        <v>0001001000000</v>
      </c>
      <c r="AG50" s="41" t="str">
        <f t="shared" si="11"/>
        <v>0000101000000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128</v>
      </c>
      <c r="D51" s="30" t="s">
        <v>132</v>
      </c>
      <c r="E51" s="30" t="s">
        <v>138</v>
      </c>
      <c r="F51" s="30" t="s">
        <v>128</v>
      </c>
      <c r="G51" s="30" t="s">
        <v>128</v>
      </c>
      <c r="H51" s="35" t="s">
        <v>132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0000001100000</v>
      </c>
      <c r="AC51" s="15" t="str">
        <f t="shared" si="11"/>
        <v>0000000001100</v>
      </c>
      <c r="AD51" s="15" t="str">
        <f t="shared" si="11"/>
        <v>0010000000010</v>
      </c>
      <c r="AE51" s="15" t="str">
        <f t="shared" si="11"/>
        <v>0000001000100</v>
      </c>
      <c r="AF51" s="15" t="str">
        <f t="shared" si="11"/>
        <v>0001001000000</v>
      </c>
      <c r="AG51" s="41" t="str">
        <f t="shared" si="11"/>
        <v>0000100000100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134</v>
      </c>
      <c r="D52" s="30" t="s">
        <v>134</v>
      </c>
      <c r="E52" s="30" t="s">
        <v>133</v>
      </c>
      <c r="F52" s="30" t="s">
        <v>134</v>
      </c>
      <c r="G52" s="30" t="s">
        <v>132</v>
      </c>
      <c r="H52" s="35" t="s">
        <v>129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0001001000000</v>
      </c>
      <c r="AC52" s="15" t="str">
        <f t="shared" si="11"/>
        <v>0001000000100</v>
      </c>
      <c r="AD52" s="15" t="str">
        <f t="shared" si="11"/>
        <v>0000000100010</v>
      </c>
      <c r="AE52" s="15" t="str">
        <f t="shared" si="11"/>
        <v>0001001000000</v>
      </c>
      <c r="AF52" s="15" t="str">
        <f t="shared" si="11"/>
        <v>0000001000100</v>
      </c>
      <c r="AG52" s="41" t="str">
        <f t="shared" si="11"/>
        <v>0000000001100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138</v>
      </c>
      <c r="D53" s="30" t="s">
        <v>129</v>
      </c>
      <c r="E53" s="30" t="s">
        <v>134</v>
      </c>
      <c r="F53" s="30" t="s">
        <v>133</v>
      </c>
      <c r="G53" s="30" t="s">
        <v>138</v>
      </c>
      <c r="H53" s="35" t="s">
        <v>134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0001000000010</v>
      </c>
      <c r="AC53" s="15" t="str">
        <f t="shared" si="11"/>
        <v>0001000001000</v>
      </c>
      <c r="AD53" s="15" t="str">
        <f t="shared" si="11"/>
        <v>0001000100000</v>
      </c>
      <c r="AE53" s="15" t="str">
        <f t="shared" si="11"/>
        <v>0001000100000</v>
      </c>
      <c r="AF53" s="15" t="str">
        <f t="shared" si="11"/>
        <v>0000000000110</v>
      </c>
      <c r="AG53" s="41" t="str">
        <f t="shared" si="11"/>
        <v>0001000001000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127</v>
      </c>
      <c r="D54" s="30" t="s">
        <v>132</v>
      </c>
      <c r="E54" s="30" t="s">
        <v>129</v>
      </c>
      <c r="F54" s="30" t="s">
        <v>131</v>
      </c>
      <c r="G54" s="30" t="s">
        <v>129</v>
      </c>
      <c r="H54" s="35" t="s">
        <v>127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0010000000010</v>
      </c>
      <c r="AC54" s="15" t="str">
        <f t="shared" si="11"/>
        <v>0000000001100</v>
      </c>
      <c r="AD54" s="15" t="str">
        <f t="shared" si="11"/>
        <v>0001000001000</v>
      </c>
      <c r="AE54" s="15" t="str">
        <f t="shared" si="11"/>
        <v>0100000100000</v>
      </c>
      <c r="AF54" s="15" t="str">
        <f t="shared" si="11"/>
        <v>0000000001010</v>
      </c>
      <c r="AG54" s="41" t="str">
        <f t="shared" si="11"/>
        <v>0011000000000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134</v>
      </c>
      <c r="D55" s="30" t="s">
        <v>129</v>
      </c>
      <c r="E55" s="30" t="s">
        <v>138</v>
      </c>
      <c r="F55" s="30" t="s">
        <v>127</v>
      </c>
      <c r="G55" s="30" t="s">
        <v>138</v>
      </c>
      <c r="H55" s="35" t="s">
        <v>132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0011000000000</v>
      </c>
      <c r="AC55" s="15" t="str">
        <f t="shared" si="11"/>
        <v>0000000001100</v>
      </c>
      <c r="AD55" s="15" t="str">
        <f t="shared" si="11"/>
        <v>0000000001010</v>
      </c>
      <c r="AE55" s="15" t="str">
        <f t="shared" si="11"/>
        <v>0110000000000</v>
      </c>
      <c r="AF55" s="15" t="str">
        <f t="shared" si="11"/>
        <v>0000000001010</v>
      </c>
      <c r="AG55" s="41" t="str">
        <f t="shared" si="11"/>
        <v>0010000000100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0</v>
      </c>
      <c r="AM55" s="39" cm="1">
        <f t="array" ref="AM55">SUMPRODUCT(--(MID(AD$10:AD$135, SUMIF($Z$9:$Z$21, LEFT($AJ55,2), $Y$9:$Y$21), 1) = RIGHT($AJ55, 1)), L$10:L$135)</f>
        <v>0</v>
      </c>
      <c r="AN55" s="39" cm="1">
        <f t="array" ref="AN55">SUMPRODUCT(--(MID(AE$10:AE$135, SUMIF($Z$9:$Z$21, LEFT($AJ55,2), $Y$9:$Y$21), 1) = RIGHT($AJ55, 1)), M$10:M$135)</f>
        <v>3</v>
      </c>
      <c r="AO55" s="39" cm="1">
        <f t="array" ref="AO55">SUMPRODUCT(--(MID(AF$10:AF$135, SUMIF($Z$9:$Z$21, LEFT($AJ55,2), $Y$9:$Y$21), 1) = RIGHT($AJ55, 1)), N$10:N$135)</f>
        <v>3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132</v>
      </c>
      <c r="D56" s="30" t="s">
        <v>134</v>
      </c>
      <c r="E56" s="30" t="s">
        <v>127</v>
      </c>
      <c r="F56" s="30" t="s">
        <v>129</v>
      </c>
      <c r="G56" s="30" t="s">
        <v>128</v>
      </c>
      <c r="H56" s="35" t="s">
        <v>131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0001000000100</v>
      </c>
      <c r="AC56" s="15" t="str">
        <f t="shared" si="11"/>
        <v>0001000001000</v>
      </c>
      <c r="AD56" s="15" t="str">
        <f t="shared" si="11"/>
        <v>0010000000010</v>
      </c>
      <c r="AE56" s="15" t="str">
        <f t="shared" si="11"/>
        <v>0010000001000</v>
      </c>
      <c r="AF56" s="15" t="str">
        <f t="shared" si="11"/>
        <v>0000001000010</v>
      </c>
      <c r="AG56" s="41" t="str">
        <f t="shared" si="11"/>
        <v>0100000000100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6</v>
      </c>
      <c r="AL56" s="39" cm="1">
        <f t="array" ref="AL56">SUMPRODUCT(--(MID(AC$10:AC$135, SUMIF($Z$9:$Z$21, LEFT($AJ56,2), $Y$9:$Y$21), 1) = RIGHT($AJ56, 1)), K$10:K$135)</f>
        <v>4</v>
      </c>
      <c r="AM56" s="39" cm="1">
        <f t="array" ref="AM56">SUMPRODUCT(--(MID(AD$10:AD$135, SUMIF($Z$9:$Z$21, LEFT($AJ56,2), $Y$9:$Y$21), 1) = RIGHT($AJ56, 1)), L$10:L$135)</f>
        <v>2</v>
      </c>
      <c r="AN56" s="39" cm="1">
        <f t="array" ref="AN56">SUMPRODUCT(--(MID(AE$10:AE$135, SUMIF($Z$9:$Z$21, LEFT($AJ56,2), $Y$9:$Y$21), 1) = RIGHT($AJ56, 1)), M$10:M$135)</f>
        <v>10</v>
      </c>
      <c r="AO56" s="39" cm="1">
        <f t="array" ref="AO56">SUMPRODUCT(--(MID(AF$10:AF$135, SUMIF($Z$9:$Z$21, LEFT($AJ56,2), $Y$9:$Y$21), 1) = RIGHT($AJ56, 1)), N$10:N$135)</f>
        <v>16</v>
      </c>
      <c r="AP56" s="19" cm="1">
        <f t="array" ref="AP56">SUMPRODUCT(--(MID(AG$10:AG$135, SUMIF($Z$9:$Z$21, LEFT($AJ56,2), $Y$9:$Y$21), 1) = RIGHT($AJ56, 1)), O$10:O$135)</f>
        <v>18</v>
      </c>
    </row>
    <row r="57" spans="2:42">
      <c r="B57" s="34">
        <f t="shared" si="9"/>
        <v>47</v>
      </c>
      <c r="C57" s="30" t="s">
        <v>138</v>
      </c>
      <c r="D57" s="30" t="s">
        <v>132</v>
      </c>
      <c r="E57" s="30" t="s">
        <v>138</v>
      </c>
      <c r="F57" s="30" t="s">
        <v>132</v>
      </c>
      <c r="G57" s="30" t="s">
        <v>132</v>
      </c>
      <c r="H57" s="35" t="s">
        <v>129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0000000000110</v>
      </c>
      <c r="AC57" s="15" t="str">
        <f t="shared" si="11"/>
        <v>0001000000100</v>
      </c>
      <c r="AD57" s="15" t="str">
        <f t="shared" si="11"/>
        <v>0010000000010</v>
      </c>
      <c r="AE57" s="15" t="str">
        <f t="shared" si="11"/>
        <v>0000000001100</v>
      </c>
      <c r="AF57" s="15" t="str">
        <f t="shared" si="11"/>
        <v>0000001000100</v>
      </c>
      <c r="AG57" s="41" t="str">
        <f t="shared" si="11"/>
        <v>0100000001000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51</v>
      </c>
      <c r="AL57" s="39" cm="1">
        <f t="array" ref="AL57">SUMPRODUCT(--(MID(AC$10:AC$135, SUMIF($Z$9:$Z$21, LEFT($AJ57,2), $Y$9:$Y$21), 1) = RIGHT($AJ57, 1)), K$10:K$135)</f>
        <v>87</v>
      </c>
      <c r="AM57" s="39" cm="1">
        <f t="array" ref="AM57">SUMPRODUCT(--(MID(AD$10:AD$135, SUMIF($Z$9:$Z$21, LEFT($AJ57,2), $Y$9:$Y$21), 1) = RIGHT($AJ57, 1)), L$10:L$135)</f>
        <v>75</v>
      </c>
      <c r="AN57" s="39" cm="1">
        <f t="array" ref="AN57">SUMPRODUCT(--(MID(AE$10:AE$135, SUMIF($Z$9:$Z$21, LEFT($AJ57,2), $Y$9:$Y$21), 1) = RIGHT($AJ57, 1)), M$10:M$135)</f>
        <v>38</v>
      </c>
      <c r="AO57" s="39" cm="1">
        <f t="array" ref="AO57">SUMPRODUCT(--(MID(AF$10:AF$135, SUMIF($Z$9:$Z$21, LEFT($AJ57,2), $Y$9:$Y$21), 1) = RIGHT($AJ57, 1)), N$10:N$135)</f>
        <v>42</v>
      </c>
      <c r="AP57" s="19" cm="1">
        <f t="array" ref="AP57">SUMPRODUCT(--(MID(AG$10:AG$135, SUMIF($Z$9:$Z$21, LEFT($AJ57,2), $Y$9:$Y$21), 1) = RIGHT($AJ57, 1)), O$10:O$135)</f>
        <v>66</v>
      </c>
    </row>
    <row r="58" spans="2:42">
      <c r="B58" s="34">
        <f t="shared" si="9"/>
        <v>48</v>
      </c>
      <c r="C58" s="30" t="s">
        <v>127</v>
      </c>
      <c r="D58" s="30" t="s">
        <v>127</v>
      </c>
      <c r="E58" s="30" t="s">
        <v>127</v>
      </c>
      <c r="F58" s="30" t="s">
        <v>129</v>
      </c>
      <c r="G58" s="30" t="s">
        <v>129</v>
      </c>
      <c r="H58" s="35" t="s">
        <v>127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0010000000010</v>
      </c>
      <c r="AC58" s="15" t="str">
        <f t="shared" si="11"/>
        <v>0010000000100</v>
      </c>
      <c r="AD58" s="15" t="str">
        <f t="shared" si="11"/>
        <v>0010000000010</v>
      </c>
      <c r="AE58" s="15" t="str">
        <f t="shared" si="11"/>
        <v>0000000001100</v>
      </c>
      <c r="AF58" s="15" t="str">
        <f t="shared" si="11"/>
        <v>0000000001100</v>
      </c>
      <c r="AG58" s="41" t="str">
        <f t="shared" si="11"/>
        <v>0010000001000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132</v>
      </c>
      <c r="D59" s="30" t="s">
        <v>129</v>
      </c>
      <c r="E59" s="30" t="s">
        <v>138</v>
      </c>
      <c r="F59" s="30" t="s">
        <v>128</v>
      </c>
      <c r="G59" s="30" t="s">
        <v>137</v>
      </c>
      <c r="H59" s="35" t="s">
        <v>132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0010000000100</v>
      </c>
      <c r="AC59" s="15" t="str">
        <f t="shared" si="11"/>
        <v>0010000001000</v>
      </c>
      <c r="AD59" s="15" t="str">
        <f t="shared" si="11"/>
        <v>0010000000010</v>
      </c>
      <c r="AE59" s="15" t="str">
        <f t="shared" si="11"/>
        <v>0000001001000</v>
      </c>
      <c r="AF59" s="15" t="str">
        <f t="shared" si="11"/>
        <v>0000010001000</v>
      </c>
      <c r="AG59" s="41" t="str">
        <f t="shared" si="11"/>
        <v>0010000000100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127</v>
      </c>
      <c r="D60" s="30" t="s">
        <v>131</v>
      </c>
      <c r="E60" s="30" t="s">
        <v>134</v>
      </c>
      <c r="F60" s="30" t="s">
        <v>131</v>
      </c>
      <c r="G60" s="30" t="s">
        <v>134</v>
      </c>
      <c r="H60" s="35" t="s">
        <v>129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0010000000100</v>
      </c>
      <c r="AC60" s="15" t="str">
        <f t="shared" si="11"/>
        <v>0100000001000</v>
      </c>
      <c r="AD60" s="15" t="str">
        <f t="shared" si="11"/>
        <v>0001000000010</v>
      </c>
      <c r="AE60" s="15" t="str">
        <f t="shared" si="11"/>
        <v>0100001000000</v>
      </c>
      <c r="AF60" s="15" t="str">
        <f t="shared" si="11"/>
        <v>0001010000000</v>
      </c>
      <c r="AG60" s="41" t="str">
        <f t="shared" si="11"/>
        <v>0000000001100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134</v>
      </c>
      <c r="D61" s="30" t="s">
        <v>127</v>
      </c>
      <c r="E61" s="30" t="s">
        <v>138</v>
      </c>
      <c r="F61" s="30"/>
      <c r="G61" s="30" t="s">
        <v>131</v>
      </c>
      <c r="H61" s="35" t="s">
        <v>137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 t="str">
        <f t="shared" si="21"/>
        <v/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0011000000000</v>
      </c>
      <c r="AC61" s="15" t="str">
        <f t="shared" si="11"/>
        <v>0110000000000</v>
      </c>
      <c r="AD61" s="15" t="str">
        <f t="shared" si="11"/>
        <v>0001000000010</v>
      </c>
      <c r="AE61" s="15" t="str">
        <f t="shared" si="11"/>
        <v/>
      </c>
      <c r="AF61" s="15" t="str">
        <f t="shared" si="11"/>
        <v>0101000000000</v>
      </c>
      <c r="AG61" s="41" t="str">
        <f t="shared" si="11"/>
        <v>0000010001000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127</v>
      </c>
      <c r="D62" s="30" t="s">
        <v>133</v>
      </c>
      <c r="E62" s="30" t="s">
        <v>129</v>
      </c>
      <c r="F62" s="30"/>
      <c r="G62" s="30" t="s">
        <v>132</v>
      </c>
      <c r="H62" s="35" t="s">
        <v>128</v>
      </c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 t="str">
        <f t="shared" si="21"/>
        <v/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0011000000000</v>
      </c>
      <c r="AC62" s="15" t="str">
        <f t="shared" si="11"/>
        <v>0010000100000</v>
      </c>
      <c r="AD62" s="15" t="str">
        <f t="shared" si="11"/>
        <v>0000000001010</v>
      </c>
      <c r="AE62" s="15" t="str">
        <f t="shared" si="11"/>
        <v/>
      </c>
      <c r="AF62" s="15" t="str">
        <f t="shared" si="11"/>
        <v>0100000000100</v>
      </c>
      <c r="AG62" s="41" t="str">
        <f t="shared" si="11"/>
        <v>0000011000000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132</v>
      </c>
      <c r="D63" s="30" t="s">
        <v>131</v>
      </c>
      <c r="E63" s="30" t="s">
        <v>138</v>
      </c>
      <c r="F63" s="30"/>
      <c r="G63" s="30" t="s">
        <v>127</v>
      </c>
      <c r="H63" s="35" t="s">
        <v>129</v>
      </c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 t="str">
        <f t="shared" si="21"/>
        <v/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0010000000100</v>
      </c>
      <c r="AC63" s="15" t="str">
        <f t="shared" si="11"/>
        <v>0100000100000</v>
      </c>
      <c r="AD63" s="15" t="str">
        <f t="shared" si="11"/>
        <v>0000000001010</v>
      </c>
      <c r="AE63" s="15" t="str">
        <f t="shared" si="11"/>
        <v/>
      </c>
      <c r="AF63" s="15" t="str">
        <f t="shared" si="11"/>
        <v>0010000000100</v>
      </c>
      <c r="AG63" s="41" t="str">
        <f t="shared" si="11"/>
        <v>0000001001000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3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134</v>
      </c>
      <c r="D64" s="30" t="s">
        <v>129</v>
      </c>
      <c r="E64" s="30" t="s">
        <v>129</v>
      </c>
      <c r="F64" s="30"/>
      <c r="G64" s="30" t="s">
        <v>128</v>
      </c>
      <c r="H64" s="35" t="s">
        <v>132</v>
      </c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 t="str">
        <f t="shared" si="21"/>
        <v/>
      </c>
      <c r="N64" s="30">
        <f t="shared" si="21"/>
        <v>1</v>
      </c>
      <c r="O64" s="35">
        <f t="shared" si="21"/>
        <v>1</v>
      </c>
      <c r="AB64" s="40" t="str">
        <f t="shared" si="11"/>
        <v>0001000000100</v>
      </c>
      <c r="AC64" s="15" t="str">
        <f t="shared" si="11"/>
        <v>0100000001000</v>
      </c>
      <c r="AD64" s="15" t="str">
        <f t="shared" si="11"/>
        <v>0000000001010</v>
      </c>
      <c r="AE64" s="15" t="str">
        <f t="shared" si="11"/>
        <v/>
      </c>
      <c r="AF64" s="15" t="str">
        <f t="shared" si="11"/>
        <v>0010001000000</v>
      </c>
      <c r="AG64" s="41" t="str">
        <f t="shared" si="11"/>
        <v>0000000001100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6</v>
      </c>
      <c r="AL64" s="39" cm="1">
        <f t="array" ref="AL64">SUMPRODUCT(--(MID(AC$10:AC$135, SUMIF($Z$9:$Z$21, LEFT($AJ64,2), $Y$9:$Y$21), 1) = RIGHT($AJ64, 1)), K$10:K$135)</f>
        <v>18</v>
      </c>
      <c r="AM64" s="39" cm="1">
        <f t="array" ref="AM64">SUMPRODUCT(--(MID(AD$10:AD$135, SUMIF($Z$9:$Z$21, LEFT($AJ64,2), $Y$9:$Y$21), 1) = RIGHT($AJ64, 1)), L$10:L$135)</f>
        <v>20</v>
      </c>
      <c r="AN64" s="39" cm="1">
        <f t="array" ref="AN64">SUMPRODUCT(--(MID(AE$10:AE$135, SUMIF($Z$9:$Z$21, LEFT($AJ64,2), $Y$9:$Y$21), 1) = RIGHT($AJ64, 1)), M$10:M$135)</f>
        <v>8</v>
      </c>
      <c r="AO64" s="39" cm="1">
        <f t="array" ref="AO64">SUMPRODUCT(--(MID(AF$10:AF$135, SUMIF($Z$9:$Z$21, LEFT($AJ64,2), $Y$9:$Y$21), 1) = RIGHT($AJ64, 1)), N$10:N$135)</f>
        <v>4</v>
      </c>
      <c r="AP64" s="19" cm="1">
        <f t="array" ref="AP64">SUMPRODUCT(--(MID(AG$10:AG$135, SUMIF($Z$9:$Z$21, LEFT($AJ64,2), $Y$9:$Y$21), 1) = RIGHT($AJ64, 1)), O$10:O$135)</f>
        <v>12</v>
      </c>
    </row>
    <row r="65" spans="2:42">
      <c r="B65" s="34">
        <f t="shared" si="9"/>
        <v>55</v>
      </c>
      <c r="C65" s="30" t="s">
        <v>127</v>
      </c>
      <c r="D65" s="30" t="s">
        <v>134</v>
      </c>
      <c r="E65" s="30" t="s">
        <v>133</v>
      </c>
      <c r="F65" s="30"/>
      <c r="G65" s="30" t="s">
        <v>132</v>
      </c>
      <c r="H65" s="35" t="s">
        <v>127</v>
      </c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 t="str">
        <f t="shared" si="21"/>
        <v/>
      </c>
      <c r="N65" s="30">
        <f t="shared" si="21"/>
        <v>1</v>
      </c>
      <c r="O65" s="35">
        <f t="shared" si="21"/>
        <v>1</v>
      </c>
      <c r="AB65" s="40" t="str">
        <f t="shared" si="11"/>
        <v>0011000000000</v>
      </c>
      <c r="AC65" s="15" t="str">
        <f t="shared" si="11"/>
        <v>0001000001000</v>
      </c>
      <c r="AD65" s="15" t="str">
        <f t="shared" si="11"/>
        <v>0000000101000</v>
      </c>
      <c r="AE65" s="15" t="str">
        <f t="shared" si="11"/>
        <v/>
      </c>
      <c r="AF65" s="15" t="str">
        <f t="shared" si="11"/>
        <v>0000001000100</v>
      </c>
      <c r="AG65" s="41" t="str">
        <f t="shared" si="11"/>
        <v>0010000000100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51</v>
      </c>
      <c r="AL65" s="39" cm="1">
        <f t="array" ref="AL65">SUMPRODUCT(--(MID(AC$10:AC$135, SUMIF($Z$9:$Z$21, LEFT($AJ65,2), $Y$9:$Y$21), 1) = RIGHT($AJ65, 1)), K$10:K$135)</f>
        <v>71</v>
      </c>
      <c r="AM65" s="39" cm="1">
        <f t="array" ref="AM65">SUMPRODUCT(--(MID(AD$10:AD$135, SUMIF($Z$9:$Z$21, LEFT($AJ65,2), $Y$9:$Y$21), 1) = RIGHT($AJ65, 1)), L$10:L$135)</f>
        <v>55</v>
      </c>
      <c r="AN65" s="39" cm="1">
        <f t="array" ref="AN65">SUMPRODUCT(--(MID(AE$10:AE$135, SUMIF($Z$9:$Z$21, LEFT($AJ65,2), $Y$9:$Y$21), 1) = RIGHT($AJ65, 1)), M$10:M$135)</f>
        <v>41</v>
      </c>
      <c r="AO65" s="39" cm="1">
        <f t="array" ref="AO65">SUMPRODUCT(--(MID(AF$10:AF$135, SUMIF($Z$9:$Z$21, LEFT($AJ65,2), $Y$9:$Y$21), 1) = RIGHT($AJ65, 1)), N$10:N$135)</f>
        <v>54</v>
      </c>
      <c r="AP65" s="19" cm="1">
        <f t="array" ref="AP65">SUMPRODUCT(--(MID(AG$10:AG$135, SUMIF($Z$9:$Z$21, LEFT($AJ65,2), $Y$9:$Y$21), 1) = RIGHT($AJ65, 1)), O$10:O$135)</f>
        <v>72</v>
      </c>
    </row>
    <row r="66" spans="2:42">
      <c r="B66" s="34">
        <f t="shared" si="9"/>
        <v>56</v>
      </c>
      <c r="C66" s="30" t="s">
        <v>131</v>
      </c>
      <c r="D66" s="30" t="s">
        <v>127</v>
      </c>
      <c r="E66" s="30" t="s">
        <v>131</v>
      </c>
      <c r="F66" s="30"/>
      <c r="G66" s="30" t="s">
        <v>128</v>
      </c>
      <c r="H66" s="35" t="s">
        <v>136</v>
      </c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 t="str">
        <f t="shared" si="21"/>
        <v/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0110000000000</v>
      </c>
      <c r="AC66" s="15" t="str">
        <f t="shared" si="23"/>
        <v>0011000000000</v>
      </c>
      <c r="AD66" s="15" t="str">
        <f t="shared" si="23"/>
        <v>0100000100000</v>
      </c>
      <c r="AE66" s="15" t="str">
        <f t="shared" si="23"/>
        <v/>
      </c>
      <c r="AF66" s="15" t="str">
        <f t="shared" si="23"/>
        <v>0000001000100</v>
      </c>
      <c r="AG66" s="41" t="str">
        <f t="shared" si="23"/>
        <v>0010100000000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138</v>
      </c>
      <c r="D67" s="30" t="s">
        <v>133</v>
      </c>
      <c r="E67" s="30" t="s">
        <v>133</v>
      </c>
      <c r="F67" s="30"/>
      <c r="G67" s="30" t="s">
        <v>129</v>
      </c>
      <c r="H67" s="35" t="s">
        <v>129</v>
      </c>
      <c r="J67" s="34">
        <f t="shared" si="21"/>
        <v>1</v>
      </c>
      <c r="K67" s="30">
        <f t="shared" si="21"/>
        <v>1</v>
      </c>
      <c r="L67" s="30">
        <f t="shared" si="21"/>
        <v>1</v>
      </c>
      <c r="M67" s="30" t="str">
        <f t="shared" si="21"/>
        <v/>
      </c>
      <c r="N67" s="30">
        <f t="shared" si="21"/>
        <v>1</v>
      </c>
      <c r="O67" s="35">
        <f t="shared" si="21"/>
        <v>1</v>
      </c>
      <c r="AB67" s="40" t="str">
        <f t="shared" si="23"/>
        <v>0100000000010</v>
      </c>
      <c r="AC67" s="15" t="str">
        <f t="shared" si="23"/>
        <v>0010000100000</v>
      </c>
      <c r="AD67" s="15" t="str">
        <f t="shared" si="23"/>
        <v>0100000100000</v>
      </c>
      <c r="AE67" s="15" t="str">
        <f t="shared" si="23"/>
        <v/>
      </c>
      <c r="AF67" s="15" t="str">
        <f t="shared" si="23"/>
        <v>0000001001000</v>
      </c>
      <c r="AG67" s="41" t="str">
        <f t="shared" si="23"/>
        <v>0000100001000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132</v>
      </c>
      <c r="D68" s="30" t="s">
        <v>129</v>
      </c>
      <c r="E68" s="30" t="s">
        <v>138</v>
      </c>
      <c r="F68" s="30"/>
      <c r="G68" s="30" t="s">
        <v>131</v>
      </c>
      <c r="H68" s="35" t="s">
        <v>131</v>
      </c>
      <c r="J68" s="34">
        <f t="shared" si="21"/>
        <v>1</v>
      </c>
      <c r="K68" s="30">
        <f t="shared" si="21"/>
        <v>1</v>
      </c>
      <c r="L68" s="30">
        <f t="shared" si="21"/>
        <v>1</v>
      </c>
      <c r="M68" s="30" t="str">
        <f t="shared" si="21"/>
        <v/>
      </c>
      <c r="N68" s="30">
        <f t="shared" si="21"/>
        <v>1</v>
      </c>
      <c r="O68" s="35">
        <f t="shared" si="21"/>
        <v>1</v>
      </c>
      <c r="AB68" s="40" t="str">
        <f t="shared" si="23"/>
        <v>0000000000110</v>
      </c>
      <c r="AC68" s="15" t="str">
        <f t="shared" si="23"/>
        <v>0000000101000</v>
      </c>
      <c r="AD68" s="15" t="str">
        <f t="shared" si="23"/>
        <v>0000000100010</v>
      </c>
      <c r="AE68" s="15" t="str">
        <f t="shared" si="23"/>
        <v/>
      </c>
      <c r="AF68" s="15" t="str">
        <f t="shared" si="23"/>
        <v>0100000001000</v>
      </c>
      <c r="AG68" s="41" t="str">
        <f t="shared" si="23"/>
        <v>0100000001000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/>
      <c r="D69" s="30" t="s">
        <v>131</v>
      </c>
      <c r="E69" s="30" t="s">
        <v>131</v>
      </c>
      <c r="F69" s="30"/>
      <c r="G69" s="30" t="s">
        <v>134</v>
      </c>
      <c r="H69" s="35" t="s">
        <v>127</v>
      </c>
      <c r="J69" s="34" t="str">
        <f t="shared" si="21"/>
        <v/>
      </c>
      <c r="K69" s="30">
        <f t="shared" si="21"/>
        <v>1</v>
      </c>
      <c r="L69" s="30">
        <f t="shared" si="21"/>
        <v>1</v>
      </c>
      <c r="M69" s="30" t="str">
        <f t="shared" si="21"/>
        <v/>
      </c>
      <c r="N69" s="30">
        <f t="shared" si="21"/>
        <v>1</v>
      </c>
      <c r="O69" s="35">
        <f t="shared" si="21"/>
        <v>1</v>
      </c>
      <c r="AB69" s="40" t="str">
        <f t="shared" si="23"/>
        <v/>
      </c>
      <c r="AC69" s="15" t="str">
        <f t="shared" si="23"/>
        <v>0100000001000</v>
      </c>
      <c r="AD69" s="15" t="str">
        <f t="shared" si="23"/>
        <v>0100000000010</v>
      </c>
      <c r="AE69" s="15" t="str">
        <f t="shared" si="23"/>
        <v/>
      </c>
      <c r="AF69" s="15" t="str">
        <f t="shared" si="23"/>
        <v>0101000000000</v>
      </c>
      <c r="AG69" s="41" t="str">
        <f t="shared" si="23"/>
        <v>0110000000000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/>
      <c r="D70" s="30" t="s">
        <v>133</v>
      </c>
      <c r="E70" s="30" t="s">
        <v>138</v>
      </c>
      <c r="F70" s="30"/>
      <c r="G70" s="30" t="s">
        <v>128</v>
      </c>
      <c r="H70" s="35" t="s">
        <v>130</v>
      </c>
      <c r="J70" s="34" t="str">
        <f t="shared" si="21"/>
        <v/>
      </c>
      <c r="K70" s="30">
        <f t="shared" si="21"/>
        <v>1</v>
      </c>
      <c r="L70" s="30">
        <f t="shared" si="21"/>
        <v>1</v>
      </c>
      <c r="M70" s="30" t="str">
        <f t="shared" si="21"/>
        <v/>
      </c>
      <c r="N70" s="30">
        <f t="shared" si="21"/>
        <v>1</v>
      </c>
      <c r="O70" s="35">
        <f t="shared" si="21"/>
        <v>1</v>
      </c>
      <c r="AB70" s="40" t="str">
        <f t="shared" si="23"/>
        <v/>
      </c>
      <c r="AC70" s="15" t="str">
        <f t="shared" si="23"/>
        <v>0100000100000</v>
      </c>
      <c r="AD70" s="15" t="str">
        <f t="shared" si="23"/>
        <v>0100000000010</v>
      </c>
      <c r="AE70" s="15" t="str">
        <f t="shared" si="23"/>
        <v/>
      </c>
      <c r="AF70" s="15" t="str">
        <f t="shared" si="23"/>
        <v>0001001000000</v>
      </c>
      <c r="AG70" s="41" t="str">
        <f t="shared" si="23"/>
        <v>0010000010000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/>
      <c r="D71" s="30" t="s">
        <v>129</v>
      </c>
      <c r="E71" s="30" t="s">
        <v>133</v>
      </c>
      <c r="F71" s="30"/>
      <c r="G71" s="30"/>
      <c r="H71" s="35" t="s">
        <v>133</v>
      </c>
      <c r="J71" s="34" t="str">
        <f t="shared" si="21"/>
        <v/>
      </c>
      <c r="K71" s="30">
        <f t="shared" si="21"/>
        <v>1</v>
      </c>
      <c r="L71" s="30">
        <f t="shared" si="21"/>
        <v>1</v>
      </c>
      <c r="M71" s="30" t="str">
        <f t="shared" si="21"/>
        <v/>
      </c>
      <c r="N71" s="30" t="str">
        <f t="shared" si="21"/>
        <v/>
      </c>
      <c r="O71" s="35">
        <f t="shared" si="21"/>
        <v>1</v>
      </c>
      <c r="AB71" s="40" t="str">
        <f t="shared" si="23"/>
        <v/>
      </c>
      <c r="AC71" s="15" t="str">
        <f t="shared" si="23"/>
        <v>0000000101000</v>
      </c>
      <c r="AD71" s="15" t="str">
        <f t="shared" si="23"/>
        <v>0000000100010</v>
      </c>
      <c r="AE71" s="15" t="str">
        <f t="shared" si="23"/>
        <v/>
      </c>
      <c r="AF71" s="15" t="str">
        <f t="shared" si="23"/>
        <v/>
      </c>
      <c r="AG71" s="41" t="str">
        <f t="shared" si="23"/>
        <v>0000000110000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/>
      <c r="D72" s="30" t="s">
        <v>137</v>
      </c>
      <c r="E72" s="30" t="s">
        <v>138</v>
      </c>
      <c r="F72" s="30"/>
      <c r="G72" s="30"/>
      <c r="H72" s="35" t="s">
        <v>132</v>
      </c>
      <c r="J72" s="34" t="str">
        <f t="shared" si="21"/>
        <v/>
      </c>
      <c r="K72" s="30">
        <f t="shared" si="21"/>
        <v>1</v>
      </c>
      <c r="L72" s="30">
        <f t="shared" si="21"/>
        <v>1</v>
      </c>
      <c r="M72" s="30" t="str">
        <f t="shared" si="21"/>
        <v/>
      </c>
      <c r="N72" s="30" t="str">
        <f t="shared" si="21"/>
        <v/>
      </c>
      <c r="O72" s="35">
        <f t="shared" si="21"/>
        <v>1</v>
      </c>
      <c r="AB72" s="40" t="str">
        <f t="shared" si="23"/>
        <v/>
      </c>
      <c r="AC72" s="15" t="str">
        <f t="shared" si="23"/>
        <v>0000010001000</v>
      </c>
      <c r="AD72" s="15" t="str">
        <f t="shared" si="23"/>
        <v>0000000100010</v>
      </c>
      <c r="AE72" s="15" t="str">
        <f t="shared" si="23"/>
        <v/>
      </c>
      <c r="AF72" s="15" t="str">
        <f t="shared" si="23"/>
        <v/>
      </c>
      <c r="AG72" s="41" t="str">
        <f t="shared" si="23"/>
        <v>0000000100100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2</v>
      </c>
      <c r="AL72" s="39" cm="1">
        <f t="array" ref="AL72">SUMPRODUCT(--(MID(AC$10:AC$135, SUMIF($Z$9:$Z$21, LEFT($AJ72,2), $Y$9:$Y$21), 1) = RIGHT($AJ72, 1)), K$10:K$135)</f>
        <v>2</v>
      </c>
      <c r="AM72" s="39" cm="1">
        <f t="array" ref="AM72">SUMPRODUCT(--(MID(AD$10:AD$135, SUMIF($Z$9:$Z$21, LEFT($AJ72,2), $Y$9:$Y$21), 1) = RIGHT($AJ72, 1)), L$10:L$135)</f>
        <v>2</v>
      </c>
      <c r="AN72" s="39" cm="1">
        <f t="array" ref="AN72">SUMPRODUCT(--(MID(AE$10:AE$135, SUMIF($Z$9:$Z$21, LEFT($AJ72,2), $Y$9:$Y$21), 1) = RIGHT($AJ72, 1)), M$10:M$135)</f>
        <v>4</v>
      </c>
      <c r="AO72" s="39" cm="1">
        <f t="array" ref="AO72">SUMPRODUCT(--(MID(AF$10:AF$135, SUMIF($Z$9:$Z$21, LEFT($AJ72,2), $Y$9:$Y$21), 1) = RIGHT($AJ72, 1)), N$10:N$135)</f>
        <v>4</v>
      </c>
      <c r="AP72" s="19" cm="1">
        <f t="array" ref="AP72">SUMPRODUCT(--(MID(AG$10:AG$135, SUMIF($Z$9:$Z$21, LEFT($AJ72,2), $Y$9:$Y$21), 1) = RIGHT($AJ72, 1)), O$10:O$135)</f>
        <v>4</v>
      </c>
    </row>
    <row r="73" spans="2:42">
      <c r="B73" s="34">
        <f t="shared" si="9"/>
        <v>63</v>
      </c>
      <c r="C73" s="30"/>
      <c r="D73" s="30" t="s">
        <v>131</v>
      </c>
      <c r="E73" s="30" t="s">
        <v>133</v>
      </c>
      <c r="F73" s="30"/>
      <c r="G73" s="30"/>
      <c r="H73" s="35" t="s">
        <v>129</v>
      </c>
      <c r="J73" s="34" t="str">
        <f t="shared" si="21"/>
        <v/>
      </c>
      <c r="K73" s="30">
        <f t="shared" si="21"/>
        <v>1</v>
      </c>
      <c r="L73" s="30">
        <f t="shared" si="21"/>
        <v>1</v>
      </c>
      <c r="M73" s="30" t="str">
        <f t="shared" si="21"/>
        <v/>
      </c>
      <c r="N73" s="30" t="str">
        <f t="shared" si="21"/>
        <v/>
      </c>
      <c r="O73" s="35">
        <f t="shared" si="21"/>
        <v>1</v>
      </c>
      <c r="AB73" s="40" t="str">
        <f t="shared" si="23"/>
        <v/>
      </c>
      <c r="AC73" s="15" t="str">
        <f t="shared" si="23"/>
        <v>0100010000000</v>
      </c>
      <c r="AD73" s="15" t="str">
        <f t="shared" si="23"/>
        <v>0000000100010</v>
      </c>
      <c r="AE73" s="15" t="str">
        <f t="shared" si="23"/>
        <v/>
      </c>
      <c r="AF73" s="15" t="str">
        <f t="shared" si="23"/>
        <v/>
      </c>
      <c r="AG73" s="41" t="str">
        <f t="shared" si="23"/>
        <v>0000000001100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57</v>
      </c>
      <c r="AL73" s="39" cm="1">
        <f t="array" ref="AL73">SUMPRODUCT(--(MID(AC$10:AC$135, SUMIF($Z$9:$Z$21, LEFT($AJ73,2), $Y$9:$Y$21), 1) = RIGHT($AJ73, 1)), K$10:K$135)</f>
        <v>89</v>
      </c>
      <c r="AM73" s="39" cm="1">
        <f t="array" ref="AM73">SUMPRODUCT(--(MID(AD$10:AD$135, SUMIF($Z$9:$Z$21, LEFT($AJ73,2), $Y$9:$Y$21), 1) = RIGHT($AJ73, 1)), L$10:L$135)</f>
        <v>75</v>
      </c>
      <c r="AN73" s="39" cm="1">
        <f t="array" ref="AN73">SUMPRODUCT(--(MID(AE$10:AE$135, SUMIF($Z$9:$Z$21, LEFT($AJ73,2), $Y$9:$Y$21), 1) = RIGHT($AJ73, 1)), M$10:M$135)</f>
        <v>47</v>
      </c>
      <c r="AO73" s="39" cm="1">
        <f t="array" ref="AO73">SUMPRODUCT(--(MID(AF$10:AF$135, SUMIF($Z$9:$Z$21, LEFT($AJ73,2), $Y$9:$Y$21), 1) = RIGHT($AJ73, 1)), N$10:N$135)</f>
        <v>57</v>
      </c>
      <c r="AP73" s="19" cm="1">
        <f t="array" ref="AP73">SUMPRODUCT(--(MID(AG$10:AG$135, SUMIF($Z$9:$Z$21, LEFT($AJ73,2), $Y$9:$Y$21), 1) = RIGHT($AJ73, 1)), O$10:O$135)</f>
        <v>82</v>
      </c>
    </row>
    <row r="74" spans="2:42">
      <c r="B74" s="34">
        <f t="shared" si="9"/>
        <v>64</v>
      </c>
      <c r="C74" s="30"/>
      <c r="D74" s="30" t="s">
        <v>132</v>
      </c>
      <c r="E74" s="30" t="s">
        <v>138</v>
      </c>
      <c r="F74" s="30"/>
      <c r="G74" s="30"/>
      <c r="H74" s="35" t="s">
        <v>128</v>
      </c>
      <c r="J74" s="34" t="str">
        <f t="shared" si="21"/>
        <v/>
      </c>
      <c r="K74" s="30">
        <f t="shared" si="21"/>
        <v>1</v>
      </c>
      <c r="L74" s="30">
        <f t="shared" si="21"/>
        <v>1</v>
      </c>
      <c r="M74" s="30" t="str">
        <f t="shared" si="21"/>
        <v/>
      </c>
      <c r="N74" s="30" t="str">
        <f t="shared" si="21"/>
        <v/>
      </c>
      <c r="O74" s="35">
        <f t="shared" si="21"/>
        <v>1</v>
      </c>
      <c r="AB74" s="40" t="str">
        <f t="shared" si="23"/>
        <v/>
      </c>
      <c r="AC74" s="15" t="str">
        <f t="shared" si="23"/>
        <v>0100000000100</v>
      </c>
      <c r="AD74" s="15" t="str">
        <f t="shared" si="23"/>
        <v>0000000100010</v>
      </c>
      <c r="AE74" s="15" t="str">
        <f t="shared" si="23"/>
        <v/>
      </c>
      <c r="AF74" s="15" t="str">
        <f t="shared" si="23"/>
        <v/>
      </c>
      <c r="AG74" s="41" t="str">
        <f t="shared" si="23"/>
        <v>0000001001000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/>
      <c r="D75" s="30" t="s">
        <v>131</v>
      </c>
      <c r="E75" s="30" t="s">
        <v>127</v>
      </c>
      <c r="F75" s="30"/>
      <c r="G75" s="30"/>
      <c r="H75" s="35" t="s">
        <v>131</v>
      </c>
      <c r="J75" s="34" t="str">
        <f t="shared" si="21"/>
        <v/>
      </c>
      <c r="K75" s="30">
        <f t="shared" si="21"/>
        <v>1</v>
      </c>
      <c r="L75" s="30">
        <f t="shared" si="21"/>
        <v>1</v>
      </c>
      <c r="M75" s="30" t="str">
        <f t="shared" si="21"/>
        <v/>
      </c>
      <c r="N75" s="30" t="str">
        <f t="shared" si="21"/>
        <v/>
      </c>
      <c r="O75" s="35">
        <f t="shared" si="21"/>
        <v>1</v>
      </c>
      <c r="AB75" s="40" t="str">
        <f t="shared" si="23"/>
        <v/>
      </c>
      <c r="AC75" s="15" t="str">
        <f t="shared" si="23"/>
        <v>0100000000100</v>
      </c>
      <c r="AD75" s="15" t="str">
        <f t="shared" si="23"/>
        <v>0010000000010</v>
      </c>
      <c r="AE75" s="15" t="str">
        <f t="shared" si="23"/>
        <v/>
      </c>
      <c r="AF75" s="15" t="str">
        <f t="shared" si="23"/>
        <v/>
      </c>
      <c r="AG75" s="41" t="str">
        <f t="shared" si="23"/>
        <v>0100001000000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/>
      <c r="D76" s="30" t="s">
        <v>132</v>
      </c>
      <c r="E76" s="30" t="s">
        <v>138</v>
      </c>
      <c r="F76" s="30"/>
      <c r="G76" s="30"/>
      <c r="H76" s="35" t="s">
        <v>133</v>
      </c>
      <c r="J76" s="34" t="str">
        <f t="shared" si="21"/>
        <v/>
      </c>
      <c r="K76" s="30">
        <f t="shared" si="21"/>
        <v>1</v>
      </c>
      <c r="L76" s="30">
        <f t="shared" si="21"/>
        <v>1</v>
      </c>
      <c r="M76" s="30" t="str">
        <f t="shared" si="21"/>
        <v/>
      </c>
      <c r="N76" s="30" t="str">
        <f t="shared" si="21"/>
        <v/>
      </c>
      <c r="O76" s="35">
        <f t="shared" si="21"/>
        <v>1</v>
      </c>
      <c r="AB76" s="40" t="str">
        <f t="shared" si="23"/>
        <v/>
      </c>
      <c r="AC76" s="15" t="str">
        <f t="shared" si="23"/>
        <v>0100000000100</v>
      </c>
      <c r="AD76" s="15" t="str">
        <f t="shared" si="23"/>
        <v>0010000000010</v>
      </c>
      <c r="AE76" s="15" t="str">
        <f t="shared" si="23"/>
        <v/>
      </c>
      <c r="AF76" s="15" t="str">
        <f t="shared" si="23"/>
        <v/>
      </c>
      <c r="AG76" s="41" t="str">
        <f t="shared" si="23"/>
        <v>0100000100000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/>
      <c r="D77" s="30" t="s">
        <v>131</v>
      </c>
      <c r="E77" s="30" t="s">
        <v>127</v>
      </c>
      <c r="F77" s="30"/>
      <c r="G77" s="30"/>
      <c r="H77" s="35" t="s">
        <v>129</v>
      </c>
      <c r="J77" s="34" t="str">
        <f t="shared" si="21"/>
        <v/>
      </c>
      <c r="K77" s="30">
        <f t="shared" si="21"/>
        <v>1</v>
      </c>
      <c r="L77" s="30">
        <f t="shared" si="21"/>
        <v>1</v>
      </c>
      <c r="M77" s="30" t="str">
        <f t="shared" si="21"/>
        <v/>
      </c>
      <c r="N77" s="30" t="str">
        <f t="shared" si="21"/>
        <v/>
      </c>
      <c r="O77" s="35">
        <f t="shared" si="21"/>
        <v>1</v>
      </c>
      <c r="AB77" s="40" t="str">
        <f t="shared" si="23"/>
        <v/>
      </c>
      <c r="AC77" s="15" t="str">
        <f t="shared" si="23"/>
        <v>0100000000100</v>
      </c>
      <c r="AD77" s="15" t="str">
        <f t="shared" si="23"/>
        <v>0010000000010</v>
      </c>
      <c r="AE77" s="15" t="str">
        <f t="shared" si="23"/>
        <v/>
      </c>
      <c r="AF77" s="15" t="str">
        <f t="shared" si="23"/>
        <v/>
      </c>
      <c r="AG77" s="41" t="str">
        <f t="shared" si="23"/>
        <v>0000000101000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 t="s">
        <v>133</v>
      </c>
      <c r="E78" s="30" t="s">
        <v>131</v>
      </c>
      <c r="F78" s="30"/>
      <c r="G78" s="30"/>
      <c r="H78" s="35" t="s">
        <v>128</v>
      </c>
      <c r="J78" s="34" t="str">
        <f t="shared" si="21"/>
        <v/>
      </c>
      <c r="K78" s="30">
        <f t="shared" si="21"/>
        <v>1</v>
      </c>
      <c r="L78" s="30">
        <f t="shared" si="21"/>
        <v>1</v>
      </c>
      <c r="M78" s="30" t="str">
        <f t="shared" si="21"/>
        <v/>
      </c>
      <c r="N78" s="30" t="str">
        <f t="shared" si="21"/>
        <v/>
      </c>
      <c r="O78" s="35">
        <f t="shared" si="21"/>
        <v>1</v>
      </c>
      <c r="AB78" s="40" t="str">
        <f t="shared" si="23"/>
        <v/>
      </c>
      <c r="AC78" s="15" t="str">
        <f t="shared" si="23"/>
        <v>0100000100000</v>
      </c>
      <c r="AD78" s="15" t="str">
        <f t="shared" si="23"/>
        <v>0110000000000</v>
      </c>
      <c r="AE78" s="15" t="str">
        <f t="shared" si="23"/>
        <v/>
      </c>
      <c r="AF78" s="15" t="str">
        <f t="shared" si="23"/>
        <v/>
      </c>
      <c r="AG78" s="41" t="str">
        <f t="shared" si="23"/>
        <v>0000001001000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 t="s">
        <v>129</v>
      </c>
      <c r="E79" s="30" t="s">
        <v>138</v>
      </c>
      <c r="F79" s="30"/>
      <c r="G79" s="30"/>
      <c r="H79" s="35" t="s">
        <v>129</v>
      </c>
      <c r="J79" s="34" t="str">
        <f t="shared" si="21"/>
        <v/>
      </c>
      <c r="K79" s="30">
        <f t="shared" si="21"/>
        <v>1</v>
      </c>
      <c r="L79" s="30">
        <f t="shared" si="21"/>
        <v>1</v>
      </c>
      <c r="M79" s="30" t="str">
        <f t="shared" si="21"/>
        <v/>
      </c>
      <c r="N79" s="30" t="str">
        <f t="shared" si="21"/>
        <v/>
      </c>
      <c r="O79" s="35">
        <f t="shared" si="21"/>
        <v>1</v>
      </c>
      <c r="AB79" s="40" t="str">
        <f t="shared" si="23"/>
        <v/>
      </c>
      <c r="AC79" s="15" t="str">
        <f t="shared" si="23"/>
        <v>0000000101000</v>
      </c>
      <c r="AD79" s="15" t="str">
        <f t="shared" si="23"/>
        <v>0100000000010</v>
      </c>
      <c r="AE79" s="15" t="str">
        <f t="shared" si="23"/>
        <v/>
      </c>
      <c r="AF79" s="15" t="str">
        <f t="shared" si="23"/>
        <v/>
      </c>
      <c r="AG79" s="41" t="str">
        <f t="shared" si="23"/>
        <v>0000001001000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 t="s">
        <v>134</v>
      </c>
      <c r="E80" s="30" t="s">
        <v>134</v>
      </c>
      <c r="F80" s="30"/>
      <c r="G80" s="30"/>
      <c r="H80" s="35" t="s">
        <v>128</v>
      </c>
      <c r="J80" s="34" t="str">
        <f t="shared" si="21"/>
        <v/>
      </c>
      <c r="K80" s="30">
        <f t="shared" si="21"/>
        <v>1</v>
      </c>
      <c r="L80" s="30">
        <f t="shared" si="21"/>
        <v>1</v>
      </c>
      <c r="M80" s="30" t="str">
        <f t="shared" si="21"/>
        <v/>
      </c>
      <c r="N80" s="30" t="str">
        <f t="shared" si="21"/>
        <v/>
      </c>
      <c r="O80" s="35">
        <f t="shared" si="21"/>
        <v>1</v>
      </c>
      <c r="AB80" s="40" t="str">
        <f t="shared" si="23"/>
        <v/>
      </c>
      <c r="AC80" s="15" t="str">
        <f t="shared" si="23"/>
        <v>0001000001000</v>
      </c>
      <c r="AD80" s="15" t="str">
        <f t="shared" si="23"/>
        <v>0001000000010</v>
      </c>
      <c r="AE80" s="15" t="str">
        <f t="shared" si="23"/>
        <v/>
      </c>
      <c r="AF80" s="15" t="str">
        <f t="shared" si="23"/>
        <v/>
      </c>
      <c r="AG80" s="41" t="str">
        <f t="shared" si="23"/>
        <v>0000001001000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4</v>
      </c>
      <c r="AL80" s="39" cm="1">
        <f t="array" ref="AL80">SUMPRODUCT(--(MID(AC$10:AC$135, SUMIF($Z$9:$Z$21, LEFT($AJ80,2), $Y$9:$Y$21), 1) = RIGHT($AJ80, 1)), K$10:K$135)</f>
        <v>36</v>
      </c>
      <c r="AM80" s="39" cm="1">
        <f t="array" ref="AM80">SUMPRODUCT(--(MID(AD$10:AD$135, SUMIF($Z$9:$Z$21, LEFT($AJ80,2), $Y$9:$Y$21), 1) = RIGHT($AJ80, 1)), L$10:L$135)</f>
        <v>14</v>
      </c>
      <c r="AN80" s="39" cm="1">
        <f t="array" ref="AN80">SUMPRODUCT(--(MID(AE$10:AE$135, SUMIF($Z$9:$Z$21, LEFT($AJ80,2), $Y$9:$Y$21), 1) = RIGHT($AJ80, 1)), M$10:M$135)</f>
        <v>10</v>
      </c>
      <c r="AO80" s="39" cm="1">
        <f t="array" ref="AO80">SUMPRODUCT(--(MID(AF$10:AF$135, SUMIF($Z$9:$Z$21, LEFT($AJ80,2), $Y$9:$Y$21), 1) = RIGHT($AJ80, 1)), N$10:N$135)</f>
        <v>12</v>
      </c>
      <c r="AP80" s="19" cm="1">
        <f t="array" ref="AP80">SUMPRODUCT(--(MID(AG$10:AG$135, SUMIF($Z$9:$Z$21, LEFT($AJ80,2), $Y$9:$Y$21), 1) = RIGHT($AJ80, 1)), O$10:O$135)</f>
        <v>26</v>
      </c>
    </row>
    <row r="81" spans="2:42">
      <c r="B81" s="34">
        <f t="shared" si="25"/>
        <v>71</v>
      </c>
      <c r="C81" s="30"/>
      <c r="D81" s="30" t="s">
        <v>127</v>
      </c>
      <c r="E81" s="30" t="s">
        <v>138</v>
      </c>
      <c r="F81" s="30"/>
      <c r="G81" s="30"/>
      <c r="H81" s="35" t="s">
        <v>129</v>
      </c>
      <c r="J81" s="34" t="str">
        <f t="shared" si="21"/>
        <v/>
      </c>
      <c r="K81" s="30">
        <f t="shared" si="21"/>
        <v>1</v>
      </c>
      <c r="L81" s="30">
        <f t="shared" si="21"/>
        <v>1</v>
      </c>
      <c r="M81" s="30" t="str">
        <f t="shared" si="21"/>
        <v/>
      </c>
      <c r="N81" s="30" t="str">
        <f t="shared" si="21"/>
        <v/>
      </c>
      <c r="O81" s="35">
        <f t="shared" si="21"/>
        <v>1</v>
      </c>
      <c r="AB81" s="40" t="str">
        <f t="shared" si="23"/>
        <v/>
      </c>
      <c r="AC81" s="15" t="str">
        <f t="shared" si="23"/>
        <v>0011000000000</v>
      </c>
      <c r="AD81" s="15" t="str">
        <f t="shared" si="23"/>
        <v>0001000000010</v>
      </c>
      <c r="AE81" s="15" t="str">
        <f t="shared" si="23"/>
        <v/>
      </c>
      <c r="AF81" s="15" t="str">
        <f t="shared" si="23"/>
        <v/>
      </c>
      <c r="AG81" s="41" t="str">
        <f t="shared" si="23"/>
        <v>0000001001000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53</v>
      </c>
      <c r="AL81" s="39" cm="1">
        <f t="array" ref="AL81">SUMPRODUCT(--(MID(AC$10:AC$135, SUMIF($Z$9:$Z$21, LEFT($AJ81,2), $Y$9:$Y$21), 1) = RIGHT($AJ81, 1)), K$10:K$135)</f>
        <v>53</v>
      </c>
      <c r="AM81" s="39" cm="1">
        <f t="array" ref="AM81">SUMPRODUCT(--(MID(AD$10:AD$135, SUMIF($Z$9:$Z$21, LEFT($AJ81,2), $Y$9:$Y$21), 1) = RIGHT($AJ81, 1)), L$10:L$135)</f>
        <v>61</v>
      </c>
      <c r="AN81" s="39" cm="1">
        <f t="array" ref="AN81">SUMPRODUCT(--(MID(AE$10:AE$135, SUMIF($Z$9:$Z$21, LEFT($AJ81,2), $Y$9:$Y$21), 1) = RIGHT($AJ81, 1)), M$10:M$135)</f>
        <v>39</v>
      </c>
      <c r="AO81" s="39" cm="1">
        <f t="array" ref="AO81">SUMPRODUCT(--(MID(AF$10:AF$135, SUMIF($Z$9:$Z$21, LEFT($AJ81,2), $Y$9:$Y$21), 1) = RIGHT($AJ81, 1)), N$10:N$135)</f>
        <v>47</v>
      </c>
      <c r="AP81" s="19" cm="1">
        <f t="array" ref="AP81">SUMPRODUCT(--(MID(AG$10:AG$135, SUMIF($Z$9:$Z$21, LEFT($AJ81,2), $Y$9:$Y$21), 1) = RIGHT($AJ81, 1)), O$10:O$135)</f>
        <v>58</v>
      </c>
    </row>
    <row r="82" spans="2:42">
      <c r="B82" s="34">
        <f t="shared" si="25"/>
        <v>72</v>
      </c>
      <c r="C82" s="30"/>
      <c r="D82" s="30" t="s">
        <v>129</v>
      </c>
      <c r="E82" s="30" t="s">
        <v>133</v>
      </c>
      <c r="F82" s="30"/>
      <c r="G82" s="30"/>
      <c r="H82" s="35" t="s">
        <v>134</v>
      </c>
      <c r="J82" s="34" t="str">
        <f t="shared" si="21"/>
        <v/>
      </c>
      <c r="K82" s="30">
        <f t="shared" si="21"/>
        <v>1</v>
      </c>
      <c r="L82" s="30">
        <f t="shared" si="21"/>
        <v>1</v>
      </c>
      <c r="M82" s="30" t="str">
        <f t="shared" si="21"/>
        <v/>
      </c>
      <c r="N82" s="30" t="str">
        <f t="shared" si="21"/>
        <v/>
      </c>
      <c r="O82" s="35">
        <f t="shared" si="21"/>
        <v>1</v>
      </c>
      <c r="AB82" s="40" t="str">
        <f t="shared" si="23"/>
        <v/>
      </c>
      <c r="AC82" s="15" t="str">
        <f t="shared" si="23"/>
        <v>0010000001000</v>
      </c>
      <c r="AD82" s="15" t="str">
        <f t="shared" si="23"/>
        <v>0000000100010</v>
      </c>
      <c r="AE82" s="15" t="str">
        <f t="shared" si="23"/>
        <v/>
      </c>
      <c r="AF82" s="15" t="str">
        <f t="shared" si="23"/>
        <v/>
      </c>
      <c r="AG82" s="41" t="str">
        <f t="shared" si="23"/>
        <v>0001000001000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 t="s">
        <v>133</v>
      </c>
      <c r="E83" s="30" t="s">
        <v>127</v>
      </c>
      <c r="F83" s="30"/>
      <c r="G83" s="30"/>
      <c r="H83" s="35" t="s">
        <v>131</v>
      </c>
      <c r="J83" s="34" t="str">
        <f t="shared" si="21"/>
        <v/>
      </c>
      <c r="K83" s="30">
        <f t="shared" si="21"/>
        <v>1</v>
      </c>
      <c r="L83" s="30">
        <f t="shared" si="21"/>
        <v>1</v>
      </c>
      <c r="M83" s="30" t="str">
        <f t="shared" si="21"/>
        <v/>
      </c>
      <c r="N83" s="30" t="str">
        <f t="shared" si="21"/>
        <v/>
      </c>
      <c r="O83" s="35">
        <f t="shared" si="21"/>
        <v>1</v>
      </c>
      <c r="AB83" s="40" t="str">
        <f t="shared" si="23"/>
        <v/>
      </c>
      <c r="AC83" s="15" t="str">
        <f t="shared" si="23"/>
        <v>0000000101000</v>
      </c>
      <c r="AD83" s="15" t="str">
        <f t="shared" si="23"/>
        <v>0010000100000</v>
      </c>
      <c r="AE83" s="15" t="str">
        <f t="shared" si="23"/>
        <v/>
      </c>
      <c r="AF83" s="15" t="str">
        <f t="shared" si="23"/>
        <v/>
      </c>
      <c r="AG83" s="41" t="str">
        <f t="shared" si="23"/>
        <v>0101000000000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 t="s">
        <v>129</v>
      </c>
      <c r="E84" s="30" t="s">
        <v>138</v>
      </c>
      <c r="F84" s="30"/>
      <c r="G84" s="30"/>
      <c r="H84" s="35" t="s">
        <v>136</v>
      </c>
      <c r="J84" s="34" t="str">
        <f t="shared" si="21"/>
        <v/>
      </c>
      <c r="K84" s="30">
        <f t="shared" si="21"/>
        <v>1</v>
      </c>
      <c r="L84" s="30">
        <f t="shared" si="21"/>
        <v>1</v>
      </c>
      <c r="M84" s="30" t="str">
        <f t="shared" si="21"/>
        <v/>
      </c>
      <c r="N84" s="30" t="str">
        <f t="shared" si="21"/>
        <v/>
      </c>
      <c r="O84" s="35">
        <f t="shared" si="21"/>
        <v>1</v>
      </c>
      <c r="AB84" s="40" t="str">
        <f t="shared" si="23"/>
        <v/>
      </c>
      <c r="AC84" s="15" t="str">
        <f t="shared" si="23"/>
        <v>0000000101000</v>
      </c>
      <c r="AD84" s="15" t="str">
        <f t="shared" si="23"/>
        <v>0010000000010</v>
      </c>
      <c r="AE84" s="15" t="str">
        <f t="shared" si="23"/>
        <v/>
      </c>
      <c r="AF84" s="15" t="str">
        <f t="shared" si="23"/>
        <v/>
      </c>
      <c r="AG84" s="41" t="str">
        <f t="shared" si="23"/>
        <v>0100100000000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 t="s">
        <v>132</v>
      </c>
      <c r="E85" s="30" t="s">
        <v>131</v>
      </c>
      <c r="F85" s="30"/>
      <c r="G85" s="30"/>
      <c r="H85" s="35" t="s">
        <v>132</v>
      </c>
      <c r="J85" s="34" t="str">
        <f t="shared" si="21"/>
        <v/>
      </c>
      <c r="K85" s="30">
        <f t="shared" si="21"/>
        <v>1</v>
      </c>
      <c r="L85" s="30">
        <f t="shared" si="21"/>
        <v>1</v>
      </c>
      <c r="M85" s="30" t="str">
        <f t="shared" si="21"/>
        <v/>
      </c>
      <c r="N85" s="30" t="str">
        <f t="shared" si="21"/>
        <v/>
      </c>
      <c r="O85" s="35">
        <f t="shared" si="21"/>
        <v>1</v>
      </c>
      <c r="AB85" s="40" t="str">
        <f t="shared" si="23"/>
        <v/>
      </c>
      <c r="AC85" s="15" t="str">
        <f t="shared" si="23"/>
        <v>0000000001100</v>
      </c>
      <c r="AD85" s="15" t="str">
        <f t="shared" si="23"/>
        <v>0100000000010</v>
      </c>
      <c r="AE85" s="15" t="str">
        <f t="shared" si="23"/>
        <v/>
      </c>
      <c r="AF85" s="15" t="str">
        <f t="shared" si="23"/>
        <v/>
      </c>
      <c r="AG85" s="41" t="str">
        <f t="shared" si="23"/>
        <v>0000100000100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 t="s">
        <v>133</v>
      </c>
      <c r="E86" s="30" t="s">
        <v>138</v>
      </c>
      <c r="F86" s="30"/>
      <c r="G86" s="30"/>
      <c r="H86" s="35" t="s">
        <v>136</v>
      </c>
      <c r="J86" s="34" t="str">
        <f t="shared" si="21"/>
        <v/>
      </c>
      <c r="K86" s="30">
        <f t="shared" si="21"/>
        <v>1</v>
      </c>
      <c r="L86" s="30">
        <f t="shared" si="21"/>
        <v>1</v>
      </c>
      <c r="M86" s="30" t="str">
        <f t="shared" si="21"/>
        <v/>
      </c>
      <c r="N86" s="30" t="str">
        <f t="shared" si="21"/>
        <v/>
      </c>
      <c r="O86" s="35">
        <f t="shared" si="21"/>
        <v>1</v>
      </c>
      <c r="AB86" s="40" t="str">
        <f t="shared" si="23"/>
        <v/>
      </c>
      <c r="AC86" s="15" t="str">
        <f t="shared" si="23"/>
        <v>0000000100100</v>
      </c>
      <c r="AD86" s="15" t="str">
        <f t="shared" si="23"/>
        <v>0100000000010</v>
      </c>
      <c r="AE86" s="15" t="str">
        <f t="shared" si="23"/>
        <v/>
      </c>
      <c r="AF86" s="15" t="str">
        <f t="shared" si="23"/>
        <v/>
      </c>
      <c r="AG86" s="41" t="str">
        <f t="shared" si="23"/>
        <v>0000100000100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 t="s">
        <v>127</v>
      </c>
      <c r="E87" s="30"/>
      <c r="F87" s="30"/>
      <c r="G87" s="30"/>
      <c r="H87" s="35" t="s">
        <v>128</v>
      </c>
      <c r="J87" s="34" t="str">
        <f t="shared" si="21"/>
        <v/>
      </c>
      <c r="K87" s="30">
        <f t="shared" si="21"/>
        <v>1</v>
      </c>
      <c r="L87" s="30" t="str">
        <f t="shared" si="21"/>
        <v/>
      </c>
      <c r="M87" s="30" t="str">
        <f t="shared" si="21"/>
        <v/>
      </c>
      <c r="N87" s="30" t="str">
        <f t="shared" si="21"/>
        <v/>
      </c>
      <c r="O87" s="35">
        <f t="shared" si="21"/>
        <v>1</v>
      </c>
      <c r="AB87" s="40" t="str">
        <f t="shared" si="23"/>
        <v/>
      </c>
      <c r="AC87" s="15" t="str">
        <f t="shared" si="23"/>
        <v>0010000100000</v>
      </c>
      <c r="AD87" s="15" t="str">
        <f t="shared" si="23"/>
        <v/>
      </c>
      <c r="AE87" s="15" t="str">
        <f t="shared" si="23"/>
        <v/>
      </c>
      <c r="AF87" s="15" t="str">
        <f t="shared" si="23"/>
        <v/>
      </c>
      <c r="AG87" s="41" t="str">
        <f t="shared" si="23"/>
        <v>0000101000000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4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 t="s">
        <v>131</v>
      </c>
      <c r="E88" s="30"/>
      <c r="F88" s="30"/>
      <c r="G88" s="30"/>
      <c r="H88" s="35" t="s">
        <v>133</v>
      </c>
      <c r="J88" s="34" t="str">
        <f t="shared" si="21"/>
        <v/>
      </c>
      <c r="K88" s="30">
        <f t="shared" si="21"/>
        <v>1</v>
      </c>
      <c r="L88" s="30" t="str">
        <f t="shared" si="21"/>
        <v/>
      </c>
      <c r="M88" s="30" t="str">
        <f t="shared" si="21"/>
        <v/>
      </c>
      <c r="N88" s="30" t="str">
        <f t="shared" si="21"/>
        <v/>
      </c>
      <c r="O88" s="35">
        <f t="shared" si="21"/>
        <v>1</v>
      </c>
      <c r="AB88" s="40" t="str">
        <f t="shared" si="23"/>
        <v/>
      </c>
      <c r="AC88" s="15" t="str">
        <f t="shared" si="23"/>
        <v>0110000000000</v>
      </c>
      <c r="AD88" s="15" t="str">
        <f t="shared" si="23"/>
        <v/>
      </c>
      <c r="AE88" s="15" t="str">
        <f t="shared" si="23"/>
        <v/>
      </c>
      <c r="AF88" s="15" t="str">
        <f t="shared" si="23"/>
        <v/>
      </c>
      <c r="AG88" s="41" t="str">
        <f t="shared" si="23"/>
        <v>0000001100000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12</v>
      </c>
      <c r="AL88" s="39" cm="1">
        <f t="array" ref="AL88">SUMPRODUCT(--(MID(AC$10:AC$135, SUMIF($Z$9:$Z$21, LEFT($AJ88,2), $Y$9:$Y$21), 1) = RIGHT($AJ88, 1)), K$10:K$135)</f>
        <v>18</v>
      </c>
      <c r="AM88" s="39" cm="1">
        <f t="array" ref="AM88">SUMPRODUCT(--(MID(AD$10:AD$135, SUMIF($Z$9:$Z$21, LEFT($AJ88,2), $Y$9:$Y$21), 1) = RIGHT($AJ88, 1)), L$10:L$135)</f>
        <v>4</v>
      </c>
      <c r="AN88" s="39" cm="1">
        <f t="array" ref="AN88">SUMPRODUCT(--(MID(AE$10:AE$135, SUMIF($Z$9:$Z$21, LEFT($AJ88,2), $Y$9:$Y$21), 1) = RIGHT($AJ88, 1)), M$10:M$135)</f>
        <v>12</v>
      </c>
      <c r="AO88" s="39" cm="1">
        <f t="array" ref="AO88">SUMPRODUCT(--(MID(AF$10:AF$135, SUMIF($Z$9:$Z$21, LEFT($AJ88,2), $Y$9:$Y$21), 1) = RIGHT($AJ88, 1)), N$10:N$135)</f>
        <v>12</v>
      </c>
      <c r="AP88" s="19" cm="1">
        <f t="array" ref="AP88">SUMPRODUCT(--(MID(AG$10:AG$135, SUMIF($Z$9:$Z$21, LEFT($AJ88,2), $Y$9:$Y$21), 1) = RIGHT($AJ88, 1)), O$10:O$135)</f>
        <v>16</v>
      </c>
    </row>
    <row r="89" spans="2:42">
      <c r="B89" s="34">
        <f t="shared" si="25"/>
        <v>79</v>
      </c>
      <c r="C89" s="30"/>
      <c r="D89" s="30" t="s">
        <v>129</v>
      </c>
      <c r="E89" s="30"/>
      <c r="F89" s="30"/>
      <c r="G89" s="30"/>
      <c r="H89" s="35" t="s">
        <v>128</v>
      </c>
      <c r="J89" s="34" t="str">
        <f t="shared" si="21"/>
        <v/>
      </c>
      <c r="K89" s="30">
        <f t="shared" si="21"/>
        <v>1</v>
      </c>
      <c r="L89" s="30" t="str">
        <f t="shared" si="21"/>
        <v/>
      </c>
      <c r="M89" s="30" t="str">
        <f t="shared" si="21"/>
        <v/>
      </c>
      <c r="N89" s="30" t="str">
        <f t="shared" si="21"/>
        <v/>
      </c>
      <c r="O89" s="35">
        <f t="shared" si="21"/>
        <v>1</v>
      </c>
      <c r="AB89" s="40" t="str">
        <f t="shared" si="23"/>
        <v/>
      </c>
      <c r="AC89" s="15" t="str">
        <f t="shared" si="23"/>
        <v>0100000001000</v>
      </c>
      <c r="AD89" s="15" t="str">
        <f t="shared" si="23"/>
        <v/>
      </c>
      <c r="AE89" s="15" t="str">
        <f t="shared" si="23"/>
        <v/>
      </c>
      <c r="AF89" s="15" t="str">
        <f t="shared" si="23"/>
        <v/>
      </c>
      <c r="AG89" s="41" t="str">
        <f t="shared" si="23"/>
        <v>0000001100000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45</v>
      </c>
      <c r="AL89" s="39" cm="1">
        <f t="array" ref="AL89">SUMPRODUCT(--(MID(AC$10:AC$135, SUMIF($Z$9:$Z$21, LEFT($AJ89,2), $Y$9:$Y$21), 1) = RIGHT($AJ89, 1)), K$10:K$135)</f>
        <v>71</v>
      </c>
      <c r="AM89" s="39" cm="1">
        <f t="array" ref="AM89">SUMPRODUCT(--(MID(AD$10:AD$135, SUMIF($Z$9:$Z$21, LEFT($AJ89,2), $Y$9:$Y$21), 1) = RIGHT($AJ89, 1)), L$10:L$135)</f>
        <v>71</v>
      </c>
      <c r="AN89" s="39" cm="1">
        <f t="array" ref="AN89">SUMPRODUCT(--(MID(AE$10:AE$135, SUMIF($Z$9:$Z$21, LEFT($AJ89,2), $Y$9:$Y$21), 1) = RIGHT($AJ89, 1)), M$10:M$135)</f>
        <v>37</v>
      </c>
      <c r="AO89" s="39" cm="1">
        <f t="array" ref="AO89">SUMPRODUCT(--(MID(AF$10:AF$135, SUMIF($Z$9:$Z$21, LEFT($AJ89,2), $Y$9:$Y$21), 1) = RIGHT($AJ89, 1)), N$10:N$135)</f>
        <v>45</v>
      </c>
      <c r="AP89" s="19" cm="1">
        <f t="array" ref="AP89">SUMPRODUCT(--(MID(AG$10:AG$135, SUMIF($Z$9:$Z$21, LEFT($AJ89,2), $Y$9:$Y$21), 1) = RIGHT($AJ89, 1)), O$10:O$135)</f>
        <v>68</v>
      </c>
    </row>
    <row r="90" spans="2:42">
      <c r="B90" s="34">
        <f t="shared" si="25"/>
        <v>80</v>
      </c>
      <c r="C90" s="30"/>
      <c r="D90" s="30" t="s">
        <v>134</v>
      </c>
      <c r="E90" s="30"/>
      <c r="F90" s="30"/>
      <c r="G90" s="30"/>
      <c r="H90" s="35" t="s">
        <v>134</v>
      </c>
      <c r="J90" s="34" t="str">
        <f t="shared" si="21"/>
        <v/>
      </c>
      <c r="K90" s="30">
        <f t="shared" si="21"/>
        <v>1</v>
      </c>
      <c r="L90" s="30" t="str">
        <f t="shared" si="21"/>
        <v/>
      </c>
      <c r="M90" s="30" t="str">
        <f t="shared" si="21"/>
        <v/>
      </c>
      <c r="N90" s="30" t="str">
        <f t="shared" si="21"/>
        <v/>
      </c>
      <c r="O90" s="35">
        <f t="shared" si="21"/>
        <v>1</v>
      </c>
      <c r="AB90" s="40" t="str">
        <f t="shared" si="23"/>
        <v/>
      </c>
      <c r="AC90" s="15" t="str">
        <f t="shared" si="23"/>
        <v>0001000001000</v>
      </c>
      <c r="AD90" s="15" t="str">
        <f t="shared" si="23"/>
        <v/>
      </c>
      <c r="AE90" s="15" t="str">
        <f t="shared" si="23"/>
        <v/>
      </c>
      <c r="AF90" s="15" t="str">
        <f t="shared" si="23"/>
        <v/>
      </c>
      <c r="AG90" s="41" t="str">
        <f t="shared" si="23"/>
        <v>0001001000000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 t="s">
        <v>127</v>
      </c>
      <c r="E91" s="30"/>
      <c r="F91" s="30"/>
      <c r="G91" s="30"/>
      <c r="H91" s="35" t="s">
        <v>129</v>
      </c>
      <c r="J91" s="34" t="str">
        <f t="shared" si="21"/>
        <v/>
      </c>
      <c r="K91" s="30">
        <f t="shared" si="21"/>
        <v>1</v>
      </c>
      <c r="L91" s="30" t="str">
        <f t="shared" si="21"/>
        <v/>
      </c>
      <c r="M91" s="30" t="str">
        <f t="shared" si="21"/>
        <v/>
      </c>
      <c r="N91" s="30" t="str">
        <f t="shared" si="21"/>
        <v/>
      </c>
      <c r="O91" s="35">
        <f t="shared" si="21"/>
        <v>1</v>
      </c>
      <c r="AB91" s="40" t="str">
        <f t="shared" si="23"/>
        <v/>
      </c>
      <c r="AC91" s="15" t="str">
        <f t="shared" si="23"/>
        <v>0011000000000</v>
      </c>
      <c r="AD91" s="15" t="str">
        <f t="shared" si="23"/>
        <v/>
      </c>
      <c r="AE91" s="15" t="str">
        <f t="shared" si="23"/>
        <v/>
      </c>
      <c r="AF91" s="15" t="str">
        <f t="shared" si="23"/>
        <v/>
      </c>
      <c r="AG91" s="41" t="str">
        <f t="shared" si="23"/>
        <v>0001000001000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 t="s">
        <v>137</v>
      </c>
      <c r="E92" s="30"/>
      <c r="F92" s="30"/>
      <c r="G92" s="30"/>
      <c r="H92" s="35" t="s">
        <v>134</v>
      </c>
      <c r="J92" s="34" t="str">
        <f t="shared" si="21"/>
        <v/>
      </c>
      <c r="K92" s="30">
        <f t="shared" si="21"/>
        <v>1</v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5">
        <f t="shared" si="21"/>
        <v>1</v>
      </c>
      <c r="AB92" s="40" t="str">
        <f t="shared" si="23"/>
        <v/>
      </c>
      <c r="AC92" s="15" t="str">
        <f t="shared" si="23"/>
        <v>0010010000000</v>
      </c>
      <c r="AD92" s="15" t="str">
        <f t="shared" si="23"/>
        <v/>
      </c>
      <c r="AE92" s="15" t="str">
        <f t="shared" si="23"/>
        <v/>
      </c>
      <c r="AF92" s="15" t="str">
        <f t="shared" si="23"/>
        <v/>
      </c>
      <c r="AG92" s="41" t="str">
        <f t="shared" si="23"/>
        <v>0001000001000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 t="s">
        <v>128</v>
      </c>
      <c r="E93" s="30"/>
      <c r="F93" s="30"/>
      <c r="G93" s="30"/>
      <c r="H93" s="35" t="s">
        <v>136</v>
      </c>
      <c r="J93" s="34" t="str">
        <f t="shared" si="21"/>
        <v/>
      </c>
      <c r="K93" s="30">
        <f t="shared" si="21"/>
        <v>1</v>
      </c>
      <c r="L93" s="30" t="str">
        <f t="shared" si="21"/>
        <v/>
      </c>
      <c r="M93" s="30" t="str">
        <f t="shared" si="21"/>
        <v/>
      </c>
      <c r="N93" s="30" t="str">
        <f t="shared" si="21"/>
        <v/>
      </c>
      <c r="O93" s="35">
        <f t="shared" si="21"/>
        <v>1</v>
      </c>
      <c r="AB93" s="40" t="str">
        <f t="shared" si="23"/>
        <v/>
      </c>
      <c r="AC93" s="15" t="str">
        <f t="shared" si="23"/>
        <v>0000011000000</v>
      </c>
      <c r="AD93" s="15" t="str">
        <f t="shared" si="23"/>
        <v/>
      </c>
      <c r="AE93" s="15" t="str">
        <f t="shared" si="23"/>
        <v/>
      </c>
      <c r="AF93" s="15" t="str">
        <f t="shared" si="23"/>
        <v/>
      </c>
      <c r="AG93" s="41" t="str">
        <f t="shared" si="23"/>
        <v>0001100000000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 t="s">
        <v>131</v>
      </c>
      <c r="E94" s="30"/>
      <c r="F94" s="30"/>
      <c r="G94" s="30"/>
      <c r="H94" s="35" t="s">
        <v>129</v>
      </c>
      <c r="J94" s="34" t="str">
        <f t="shared" si="21"/>
        <v/>
      </c>
      <c r="K94" s="30">
        <f t="shared" si="21"/>
        <v>1</v>
      </c>
      <c r="L94" s="30" t="str">
        <f t="shared" si="21"/>
        <v/>
      </c>
      <c r="M94" s="30" t="str">
        <f t="shared" si="21"/>
        <v/>
      </c>
      <c r="N94" s="30" t="str">
        <f t="shared" si="21"/>
        <v/>
      </c>
      <c r="O94" s="35">
        <f t="shared" si="21"/>
        <v>1</v>
      </c>
      <c r="AB94" s="40" t="str">
        <f t="shared" si="23"/>
        <v/>
      </c>
      <c r="AC94" s="15" t="str">
        <f t="shared" si="23"/>
        <v>0100001000000</v>
      </c>
      <c r="AD94" s="15" t="str">
        <f t="shared" si="23"/>
        <v/>
      </c>
      <c r="AE94" s="15" t="str">
        <f t="shared" si="23"/>
        <v/>
      </c>
      <c r="AF94" s="15" t="str">
        <f t="shared" si="23"/>
        <v/>
      </c>
      <c r="AG94" s="41" t="str">
        <f t="shared" si="23"/>
        <v>0000100001000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 t="s">
        <v>129</v>
      </c>
      <c r="E95" s="30"/>
      <c r="F95" s="30"/>
      <c r="G95" s="30"/>
      <c r="H95" s="35" t="s">
        <v>133</v>
      </c>
      <c r="J95" s="34" t="str">
        <f t="shared" si="21"/>
        <v/>
      </c>
      <c r="K95" s="30">
        <f t="shared" si="21"/>
        <v>1</v>
      </c>
      <c r="L95" s="30" t="str">
        <f t="shared" si="21"/>
        <v/>
      </c>
      <c r="M95" s="30" t="str">
        <f t="shared" si="21"/>
        <v/>
      </c>
      <c r="N95" s="30" t="str">
        <f t="shared" si="21"/>
        <v/>
      </c>
      <c r="O95" s="35">
        <f t="shared" si="21"/>
        <v>1</v>
      </c>
      <c r="AB95" s="40" t="str">
        <f t="shared" si="23"/>
        <v/>
      </c>
      <c r="AC95" s="15" t="str">
        <f t="shared" si="23"/>
        <v>0100000001000</v>
      </c>
      <c r="AD95" s="15" t="str">
        <f t="shared" si="23"/>
        <v/>
      </c>
      <c r="AE95" s="15" t="str">
        <f t="shared" si="23"/>
        <v/>
      </c>
      <c r="AF95" s="15" t="str">
        <f t="shared" si="23"/>
        <v/>
      </c>
      <c r="AG95" s="41" t="str">
        <f t="shared" si="23"/>
        <v>0000000101000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3</v>
      </c>
      <c r="AN95" s="39" cm="1">
        <f t="array" ref="AN95">SUMPRODUCT(--(MID(AE$10:AE$135, SUMIF($Z$9:$Z$21, LEFT($AJ95,2), $Y$9:$Y$21), 1) = RIGHT($AJ95, 1)), M$10:M$135)</f>
        <v>3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/>
      <c r="D96" s="30" t="s">
        <v>131</v>
      </c>
      <c r="E96" s="30"/>
      <c r="F96" s="30"/>
      <c r="G96" s="30"/>
      <c r="H96" s="35"/>
      <c r="J96" s="34" t="str">
        <f t="shared" si="21"/>
        <v/>
      </c>
      <c r="K96" s="30">
        <f t="shared" si="21"/>
        <v>1</v>
      </c>
      <c r="L96" s="30" t="str">
        <f t="shared" si="21"/>
        <v/>
      </c>
      <c r="M96" s="30" t="str">
        <f t="shared" si="21"/>
        <v/>
      </c>
      <c r="N96" s="30" t="str">
        <f t="shared" si="21"/>
        <v/>
      </c>
      <c r="O96" s="35" t="str">
        <f t="shared" si="21"/>
        <v/>
      </c>
      <c r="AB96" s="40" t="str">
        <f t="shared" si="23"/>
        <v/>
      </c>
      <c r="AC96" s="15" t="str">
        <f t="shared" si="23"/>
        <v>0100000001000</v>
      </c>
      <c r="AD96" s="15" t="str">
        <f t="shared" si="23"/>
        <v/>
      </c>
      <c r="AE96" s="15" t="str">
        <f t="shared" si="23"/>
        <v/>
      </c>
      <c r="AF96" s="15" t="str">
        <f t="shared" si="23"/>
        <v/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10</v>
      </c>
      <c r="AL96" s="39" cm="1">
        <f t="array" ref="AL96">SUMPRODUCT(--(MID(AC$10:AC$135, SUMIF($Z$9:$Z$21, LEFT($AJ96,2), $Y$9:$Y$21), 1) = RIGHT($AJ96, 1)), K$10:K$135)</f>
        <v>4</v>
      </c>
      <c r="AM96" s="39" cm="1">
        <f t="array" ref="AM96">SUMPRODUCT(--(MID(AD$10:AD$135, SUMIF($Z$9:$Z$21, LEFT($AJ96,2), $Y$9:$Y$21), 1) = RIGHT($AJ96, 1)), L$10:L$135)</f>
        <v>36</v>
      </c>
      <c r="AN96" s="39" cm="1">
        <f t="array" ref="AN96">SUMPRODUCT(--(MID(AE$10:AE$135, SUMIF($Z$9:$Z$21, LEFT($AJ96,2), $Y$9:$Y$21), 1) = RIGHT($AJ96, 1)), M$10:M$135)</f>
        <v>4</v>
      </c>
      <c r="AO96" s="39" cm="1">
        <f t="array" ref="AO96">SUMPRODUCT(--(MID(AF$10:AF$135, SUMIF($Z$9:$Z$21, LEFT($AJ96,2), $Y$9:$Y$21), 1) = RIGHT($AJ96, 1)), N$10:N$135)</f>
        <v>10</v>
      </c>
      <c r="AP96" s="19" cm="1">
        <f t="array" ref="AP96">SUMPRODUCT(--(MID(AG$10:AG$135, SUMIF($Z$9:$Z$21, LEFT($AJ96,2), $Y$9:$Y$21), 1) = RIGHT($AJ96, 1)), O$10:O$135)</f>
        <v>4</v>
      </c>
    </row>
    <row r="97" spans="2:44">
      <c r="B97" s="34">
        <f t="shared" si="25"/>
        <v>87</v>
      </c>
      <c r="C97" s="30"/>
      <c r="D97" s="30" t="s">
        <v>129</v>
      </c>
      <c r="E97" s="30"/>
      <c r="F97" s="30"/>
      <c r="G97" s="30"/>
      <c r="H97" s="35"/>
      <c r="J97" s="34" t="str">
        <f t="shared" si="21"/>
        <v/>
      </c>
      <c r="K97" s="30">
        <f t="shared" si="21"/>
        <v>1</v>
      </c>
      <c r="L97" s="30" t="str">
        <f t="shared" si="21"/>
        <v/>
      </c>
      <c r="M97" s="30" t="str">
        <f t="shared" si="21"/>
        <v/>
      </c>
      <c r="N97" s="30" t="str">
        <f t="shared" si="21"/>
        <v/>
      </c>
      <c r="O97" s="35" t="str">
        <f t="shared" si="21"/>
        <v/>
      </c>
      <c r="AB97" s="40" t="str">
        <f t="shared" si="23"/>
        <v/>
      </c>
      <c r="AC97" s="15" t="str">
        <f t="shared" si="23"/>
        <v>0100000001000</v>
      </c>
      <c r="AD97" s="15" t="str">
        <f t="shared" si="23"/>
        <v/>
      </c>
      <c r="AE97" s="15" t="str">
        <f t="shared" si="23"/>
        <v/>
      </c>
      <c r="AF97" s="15" t="str">
        <f t="shared" si="23"/>
        <v/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47</v>
      </c>
      <c r="AL97" s="39" cm="1">
        <f t="array" ref="AL97">SUMPRODUCT(--(MID(AC$10:AC$135, SUMIF($Z$9:$Z$21, LEFT($AJ97,2), $Y$9:$Y$21), 1) = RIGHT($AJ97, 1)), K$10:K$135)</f>
        <v>85</v>
      </c>
      <c r="AM97" s="39" cm="1">
        <f t="array" ref="AM97">SUMPRODUCT(--(MID(AD$10:AD$135, SUMIF($Z$9:$Z$21, LEFT($AJ97,2), $Y$9:$Y$21), 1) = RIGHT($AJ97, 1)), L$10:L$135)</f>
        <v>38</v>
      </c>
      <c r="AN97" s="39" cm="1">
        <f t="array" ref="AN97">SUMPRODUCT(--(MID(AE$10:AE$135, SUMIF($Z$9:$Z$21, LEFT($AJ97,2), $Y$9:$Y$21), 1) = RIGHT($AJ97, 1)), M$10:M$135)</f>
        <v>44</v>
      </c>
      <c r="AO97" s="39" cm="1">
        <f t="array" ref="AO97">SUMPRODUCT(--(MID(AF$10:AF$135, SUMIF($Z$9:$Z$21, LEFT($AJ97,2), $Y$9:$Y$21), 1) = RIGHT($AJ97, 1)), N$10:N$135)</f>
        <v>49</v>
      </c>
      <c r="AP97" s="19" cm="1">
        <f t="array" ref="AP97">SUMPRODUCT(--(MID(AG$10:AG$135, SUMIF($Z$9:$Z$21, LEFT($AJ97,2), $Y$9:$Y$21), 1) = RIGHT($AJ97, 1)), O$10:O$135)</f>
        <v>80</v>
      </c>
    </row>
    <row r="98" spans="2:44">
      <c r="B98" s="34">
        <f t="shared" si="25"/>
        <v>88</v>
      </c>
      <c r="C98" s="30"/>
      <c r="D98" s="30" t="s">
        <v>132</v>
      </c>
      <c r="E98" s="30"/>
      <c r="F98" s="30"/>
      <c r="G98" s="30"/>
      <c r="H98" s="35"/>
      <c r="J98" s="34" t="str">
        <f t="shared" si="21"/>
        <v/>
      </c>
      <c r="K98" s="30">
        <f t="shared" si="21"/>
        <v>1</v>
      </c>
      <c r="L98" s="30" t="str">
        <f t="shared" si="21"/>
        <v/>
      </c>
      <c r="M98" s="30" t="str">
        <f t="shared" si="21"/>
        <v/>
      </c>
      <c r="N98" s="30" t="str">
        <f t="shared" si="21"/>
        <v/>
      </c>
      <c r="O98" s="35" t="str">
        <f t="shared" si="21"/>
        <v/>
      </c>
      <c r="AB98" s="40" t="str">
        <f t="shared" si="23"/>
        <v/>
      </c>
      <c r="AC98" s="15" t="str">
        <f t="shared" si="23"/>
        <v>0000000001100</v>
      </c>
      <c r="AD98" s="15" t="str">
        <f t="shared" si="23"/>
        <v/>
      </c>
      <c r="AE98" s="15" t="str">
        <f t="shared" si="23"/>
        <v/>
      </c>
      <c r="AF98" s="15" t="str">
        <f t="shared" si="23"/>
        <v/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 t="s">
        <v>127</v>
      </c>
      <c r="E99" s="30"/>
      <c r="F99" s="30"/>
      <c r="G99" s="30"/>
      <c r="H99" s="35"/>
      <c r="J99" s="34" t="str">
        <f t="shared" si="21"/>
        <v/>
      </c>
      <c r="K99" s="30">
        <f t="shared" si="21"/>
        <v>1</v>
      </c>
      <c r="L99" s="30" t="str">
        <f t="shared" si="21"/>
        <v/>
      </c>
      <c r="M99" s="30" t="str">
        <f t="shared" si="21"/>
        <v/>
      </c>
      <c r="N99" s="30" t="str">
        <f t="shared" si="21"/>
        <v/>
      </c>
      <c r="O99" s="35" t="str">
        <f t="shared" si="21"/>
        <v/>
      </c>
      <c r="AB99" s="40" t="str">
        <f t="shared" si="23"/>
        <v/>
      </c>
      <c r="AC99" s="15" t="str">
        <f t="shared" si="23"/>
        <v>0010000000100</v>
      </c>
      <c r="AD99" s="15" t="str">
        <f t="shared" si="23"/>
        <v/>
      </c>
      <c r="AE99" s="15" t="str">
        <f t="shared" si="23"/>
        <v/>
      </c>
      <c r="AF99" s="15" t="str">
        <f t="shared" si="23"/>
        <v/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 t="s">
        <v>131</v>
      </c>
      <c r="E100" s="30"/>
      <c r="F100" s="30"/>
      <c r="G100" s="30"/>
      <c r="H100" s="35"/>
      <c r="J100" s="34" t="str">
        <f t="shared" si="21"/>
        <v/>
      </c>
      <c r="K100" s="30">
        <f t="shared" si="21"/>
        <v>1</v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 t="str">
        <f t="shared" si="21"/>
        <v/>
      </c>
      <c r="AB100" s="40" t="str">
        <f t="shared" si="23"/>
        <v/>
      </c>
      <c r="AC100" s="15" t="str">
        <f t="shared" si="23"/>
        <v>0110000000000</v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/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/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/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/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/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59</v>
      </c>
      <c r="AL105" s="39" cm="1">
        <f t="array" ref="AL105">SUMPRODUCT(--(MID(AC$10:AC$135, SUMIF($Z$9:$Z$21, LEFT($AJ105,2), $Y$9:$Y$21), 1) = RIGHT($AJ105, 1)), K$10:K$135)</f>
        <v>91</v>
      </c>
      <c r="AM105" s="39" cm="1">
        <f t="array" ref="AM105">SUMPRODUCT(--(MID(AD$10:AD$135, SUMIF($Z$9:$Z$21, LEFT($AJ105,2), $Y$9:$Y$21), 1) = RIGHT($AJ105, 1)), L$10:L$135)</f>
        <v>77</v>
      </c>
      <c r="AN105" s="39" cm="1">
        <f t="array" ref="AN105">SUMPRODUCT(--(MID(AE$10:AE$135, SUMIF($Z$9:$Z$21, LEFT($AJ105,2), $Y$9:$Y$21), 1) = RIGHT($AJ105, 1)), M$10:M$135)</f>
        <v>51</v>
      </c>
      <c r="AO105" s="39" cm="1">
        <f t="array" ref="AO105">SUMPRODUCT(--(MID(AF$10:AF$135, SUMIF($Z$9:$Z$21, LEFT($AJ105,2), $Y$9:$Y$21), 1) = RIGHT($AJ105, 1)), N$10:N$135)</f>
        <v>61</v>
      </c>
      <c r="AP105" s="19" cm="1">
        <f t="array" ref="AP105">SUMPRODUCT(--(MID(AG$10:AG$135, SUMIF($Z$9:$Z$21, LEFT($AJ105,2), $Y$9:$Y$21), 1) = RIGHT($AJ105, 1)), O$10:O$135)</f>
        <v>86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/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2</v>
      </c>
      <c r="AO112" s="39" cm="1">
        <f t="array" ref="AO112">SUMPRODUCT(--(MID(AF$10:AF$135, SUMIF($Z$9:$Z$21, LEFT($AJ112,2), $Y$9:$Y$21), 1) = RIGHT($AJ112, 1)), N$10:N$135)</f>
        <v>2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59</v>
      </c>
      <c r="AL113" s="17" cm="1">
        <f t="array" ref="AL113">SUMPRODUCT(--(MID(AC$10:AC$135, SUMIF($Z$9:$Z$21, LEFT($AJ113,2), $Y$9:$Y$21), 1) = RIGHT($AJ113, 1)), K$10:K$135)</f>
        <v>91</v>
      </c>
      <c r="AM113" s="17" cm="1">
        <f t="array" ref="AM113">SUMPRODUCT(--(MID(AD$10:AD$135, SUMIF($Z$9:$Z$21, LEFT($AJ113,2), $Y$9:$Y$21), 1) = RIGHT($AJ113, 1)), L$10:L$135)</f>
        <v>77</v>
      </c>
      <c r="AN113" s="17" cm="1">
        <f t="array" ref="AN113">SUMPRODUCT(--(MID(AE$10:AE$135, SUMIF($Z$9:$Z$21, LEFT($AJ113,2), $Y$9:$Y$21), 1) = RIGHT($AJ113, 1)), M$10:M$135)</f>
        <v>49</v>
      </c>
      <c r="AO113" s="17" cm="1">
        <f t="array" ref="AO113">SUMPRODUCT(--(MID(AF$10:AF$135, SUMIF($Z$9:$Z$21, LEFT($AJ113,2), $Y$9:$Y$21), 1) = RIGHT($AJ113, 1)), N$10:N$135)</f>
        <v>59</v>
      </c>
      <c r="AP113" s="16" cm="1">
        <f t="array" ref="AP113">SUMPRODUCT(--(MID(AG$10:AG$135, SUMIF($Z$9:$Z$21, LEFT($AJ113,2), $Y$9:$Y$21), 1) = RIGHT($AJ113, 1)), O$10:O$135)</f>
        <v>86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37" priority="1" operator="equal">
      <formula>"WC"</formula>
    </cfRule>
    <cfRule type="cellIs" dxfId="36" priority="2" operator="equal">
      <formula>"FG"</formula>
    </cfRule>
  </conditionalFormatting>
  <conditionalFormatting sqref="J3:O3">
    <cfRule type="cellIs" dxfId="35" priority="3" operator="equal">
      <formula>$E$24</formula>
    </cfRule>
    <cfRule type="cellIs" dxfId="34" priority="4" operator="equal">
      <formula>$C$20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9342-7FBA-42A0-A2BA-D12A3B981512}">
  <dimension ref="B2:BL135"/>
  <sheetViews>
    <sheetView topLeftCell="L7" zoomScale="83" zoomScaleNormal="84" workbookViewId="0">
      <selection activeCell="F79" sqref="F10:F79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JJ</v>
      </c>
      <c r="D4" s="32" t="str">
        <f t="shared" si="1"/>
        <v>BN</v>
      </c>
      <c r="E4" s="32" t="str">
        <f t="shared" si="1"/>
        <v>CC</v>
      </c>
      <c r="F4" s="32" t="str">
        <f t="shared" si="1"/>
        <v>AA</v>
      </c>
      <c r="G4" s="32" t="str">
        <f t="shared" si="1"/>
        <v>HH</v>
      </c>
      <c r="H4" s="33" t="str">
        <f t="shared" si="1"/>
        <v>EE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KK</v>
      </c>
      <c r="D5" s="30" t="str">
        <f t="shared" si="1"/>
        <v>AA</v>
      </c>
      <c r="E5" s="30" t="str">
        <f t="shared" si="1"/>
        <v>DD</v>
      </c>
      <c r="F5" s="30" t="str">
        <f t="shared" si="1"/>
        <v>BB</v>
      </c>
      <c r="G5" s="30" t="str">
        <f t="shared" si="1"/>
        <v>WC</v>
      </c>
      <c r="H5" s="35" t="str">
        <f t="shared" si="1"/>
        <v>LL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DD</v>
      </c>
      <c r="D6" s="30" t="str">
        <f t="shared" si="1"/>
        <v>EE</v>
      </c>
      <c r="E6" s="30" t="str">
        <f t="shared" si="1"/>
        <v>AA</v>
      </c>
      <c r="F6" s="30" t="str">
        <f t="shared" si="1"/>
        <v>GG</v>
      </c>
      <c r="G6" s="30" t="str">
        <f t="shared" si="1"/>
        <v>AA</v>
      </c>
      <c r="H6" s="35" t="str">
        <f t="shared" si="1"/>
        <v>FF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BN</v>
      </c>
      <c r="D7" s="30" t="str">
        <f t="shared" si="1"/>
        <v>KK</v>
      </c>
      <c r="E7" s="30" t="str">
        <f t="shared" si="1"/>
        <v>BB</v>
      </c>
      <c r="F7" s="30" t="str">
        <f t="shared" si="1"/>
        <v>JJ</v>
      </c>
      <c r="G7" s="30" t="str">
        <f t="shared" si="1"/>
        <v>WC</v>
      </c>
      <c r="H7" s="35" t="str">
        <f t="shared" si="1"/>
        <v>LL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DD</v>
      </c>
      <c r="D8" s="30" t="str">
        <f t="shared" si="1"/>
        <v>EE</v>
      </c>
      <c r="E8" s="30" t="str">
        <f t="shared" si="1"/>
        <v>GG</v>
      </c>
      <c r="F8" s="30" t="str">
        <f t="shared" si="1"/>
        <v>FF</v>
      </c>
      <c r="G8" s="30" t="str">
        <f t="shared" si="1"/>
        <v>EE</v>
      </c>
      <c r="H8" s="35" t="str">
        <f t="shared" si="1"/>
        <v>KK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JJ</v>
      </c>
      <c r="D9" s="37" t="str">
        <f t="shared" si="1"/>
        <v>DD</v>
      </c>
      <c r="E9" s="37" t="str">
        <f t="shared" si="1"/>
        <v>AA</v>
      </c>
      <c r="F9" s="37" t="str">
        <f t="shared" si="1"/>
        <v>AA</v>
      </c>
      <c r="G9" s="37" t="str">
        <f t="shared" si="1"/>
        <v>WC</v>
      </c>
      <c r="H9" s="38" t="str">
        <f t="shared" si="1"/>
        <v>AA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134</v>
      </c>
      <c r="D10" s="30" t="s">
        <v>134</v>
      </c>
      <c r="E10" s="30" t="s">
        <v>135</v>
      </c>
      <c r="F10" s="30" t="s">
        <v>135</v>
      </c>
      <c r="G10" s="30" t="s">
        <v>136</v>
      </c>
      <c r="H10" s="35" t="s">
        <v>133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6</v>
      </c>
      <c r="T10" s="30">
        <f t="shared" si="5"/>
        <v>1</v>
      </c>
      <c r="U10" s="30">
        <f t="shared" si="5"/>
        <v>1</v>
      </c>
      <c r="V10" s="30">
        <f t="shared" si="5"/>
        <v>17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0001000001000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0001100000000</v>
      </c>
      <c r="AD10" s="15" t="str">
        <f t="shared" si="7"/>
        <v>0100000000001</v>
      </c>
      <c r="AE10" s="15" t="str">
        <f t="shared" si="7"/>
        <v>0100000000001</v>
      </c>
      <c r="AF10" s="15" t="str">
        <f t="shared" si="7"/>
        <v>1111211111110</v>
      </c>
      <c r="AG10" s="41" t="str">
        <f t="shared" si="7"/>
        <v>0100000100000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12</v>
      </c>
      <c r="AU10" s="30" cm="1">
        <f t="array" ref="AU10">SUMPRODUCT($AI$10:$AI$113,AM$10:AM$113,IF(LEFT($AJ$10:$AJ$113,2)=$AR10,1,0))</f>
        <v>2</v>
      </c>
      <c r="AV10" s="30" cm="1">
        <f t="array" ref="AV10">SUMPRODUCT($AI$10:$AI$113,AN$10:AN$113,IF(LEFT($AJ$10:$AJ$113,2)=$AR10,1,0))</f>
        <v>2</v>
      </c>
      <c r="AW10" s="30" cm="1">
        <f t="array" ref="AW10">SUMPRODUCT($AI$10:$AI$113,AO$10:AO$113,IF(LEFT($AJ$10:$AJ$113,2)=$AR10,1,0))</f>
        <v>34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136</v>
      </c>
      <c r="D11" s="30" t="s">
        <v>129</v>
      </c>
      <c r="E11" s="30" t="s">
        <v>137</v>
      </c>
      <c r="F11" s="30" t="s">
        <v>138</v>
      </c>
      <c r="G11" s="30" t="s">
        <v>138</v>
      </c>
      <c r="H11" s="35" t="s">
        <v>135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</v>
      </c>
      <c r="S11" s="30">
        <f t="shared" si="5"/>
        <v>3</v>
      </c>
      <c r="T11" s="30">
        <f t="shared" si="5"/>
        <v>8</v>
      </c>
      <c r="U11" s="30">
        <f t="shared" si="5"/>
        <v>10</v>
      </c>
      <c r="V11" s="30">
        <f t="shared" si="5"/>
        <v>5</v>
      </c>
      <c r="W11" s="35">
        <f t="shared" si="5"/>
        <v>18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0001100000000</v>
      </c>
      <c r="AC11" s="15" t="str">
        <f t="shared" si="7"/>
        <v>0001000001000</v>
      </c>
      <c r="AD11" s="15" t="str">
        <f t="shared" si="7"/>
        <v>0000010000001</v>
      </c>
      <c r="AE11" s="15" t="str">
        <f t="shared" si="7"/>
        <v>0000000000011</v>
      </c>
      <c r="AF11" s="15" t="str">
        <f t="shared" si="7"/>
        <v>0000100000010</v>
      </c>
      <c r="AG11" s="41" t="str">
        <f t="shared" si="7"/>
        <v>0000000100001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</v>
      </c>
      <c r="AT11" s="30" cm="1">
        <f t="array" ref="AT11">SUMPRODUCT($AI$10:$AI$113,AL$10:AL$113,IF(LEFT($AJ$10:$AJ$113,2)=$AR11,1,0))</f>
        <v>18</v>
      </c>
      <c r="AU11" s="30" cm="1">
        <f t="array" ref="AU11">SUMPRODUCT($AI$10:$AI$113,AM$10:AM$113,IF(LEFT($AJ$10:$AJ$113,2)=$AR11,1,0))</f>
        <v>18</v>
      </c>
      <c r="AV11" s="30" cm="1">
        <f t="array" ref="AV11">SUMPRODUCT($AI$10:$AI$113,AN$10:AN$113,IF(LEFT($AJ$10:$AJ$113,2)=$AR11,1,0))</f>
        <v>22</v>
      </c>
      <c r="AW11" s="30" cm="1">
        <f t="array" ref="AW11">SUMPRODUCT($AI$10:$AI$113,AO$10:AO$113,IF(LEFT($AJ$10:$AJ$113,2)=$AR11,1,0))</f>
        <v>44</v>
      </c>
      <c r="AX11" s="35" cm="1">
        <f t="array" ref="AX11">SUMPRODUCT($AI$10:$AI$113,AP$10:AP$113,IF(LEFT($AJ$10:$AJ$113,2)=$AR11,1,0))</f>
        <v>36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137</v>
      </c>
      <c r="D12" s="30" t="s">
        <v>136</v>
      </c>
      <c r="E12" s="30" t="s">
        <v>130</v>
      </c>
      <c r="F12" s="30" t="s">
        <v>132</v>
      </c>
      <c r="G12" s="30" t="s">
        <v>132</v>
      </c>
      <c r="H12" s="35" t="s">
        <v>127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</v>
      </c>
      <c r="S12" s="30">
        <f t="shared" si="5"/>
        <v>1</v>
      </c>
      <c r="T12" s="30">
        <f t="shared" si="5"/>
        <v>7</v>
      </c>
      <c r="U12" s="30">
        <f t="shared" si="5"/>
        <v>3</v>
      </c>
      <c r="V12" s="30">
        <f t="shared" si="5"/>
        <v>5</v>
      </c>
      <c r="W12" s="35">
        <f t="shared" si="5"/>
        <v>1</v>
      </c>
      <c r="Y12" s="20">
        <f t="shared" si="6"/>
        <v>4</v>
      </c>
      <c r="Z12" s="23" t="s">
        <v>134</v>
      </c>
      <c r="AB12" s="40" t="str">
        <f t="shared" si="11"/>
        <v>0000110000000</v>
      </c>
      <c r="AC12" s="15" t="str">
        <f t="shared" si="7"/>
        <v>0000100001000</v>
      </c>
      <c r="AD12" s="15" t="str">
        <f t="shared" si="7"/>
        <v>0000010010000</v>
      </c>
      <c r="AE12" s="15" t="str">
        <f t="shared" si="7"/>
        <v>0000000000110</v>
      </c>
      <c r="AF12" s="15" t="str">
        <f t="shared" si="7"/>
        <v>0000000000110</v>
      </c>
      <c r="AG12" s="41" t="str">
        <f t="shared" si="7"/>
        <v>0010000000001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</v>
      </c>
      <c r="AT12" s="30" cm="1">
        <f t="array" ref="AT12">SUMPRODUCT($AI$10:$AI$113,AL$10:AL$113,IF(LEFT($AJ$10:$AJ$113,2)=$AR12,1,0))</f>
        <v>14</v>
      </c>
      <c r="AU12" s="30" cm="1">
        <f t="array" ref="AU12">SUMPRODUCT($AI$10:$AI$113,AM$10:AM$113,IF(LEFT($AJ$10:$AJ$113,2)=$AR12,1,0))</f>
        <v>16</v>
      </c>
      <c r="AV12" s="30" cm="1">
        <f t="array" ref="AV12">SUMPRODUCT($AI$10:$AI$113,AN$10:AN$113,IF(LEFT($AJ$10:$AJ$113,2)=$AR12,1,0))</f>
        <v>8</v>
      </c>
      <c r="AW12" s="30" cm="1">
        <f t="array" ref="AW12">SUMPRODUCT($AI$10:$AI$113,AO$10:AO$113,IF(LEFT($AJ$10:$AJ$113,2)=$AR12,1,0))</f>
        <v>44</v>
      </c>
      <c r="AX12" s="35" cm="1">
        <f t="array" ref="AX12">SUMPRODUCT($AI$10:$AI$113,AP$10:AP$113,IF(LEFT($AJ$10:$AJ$113,2)=$AR12,1,0))</f>
        <v>2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138</v>
      </c>
      <c r="D13" s="30" t="s">
        <v>135</v>
      </c>
      <c r="E13" s="30" t="s">
        <v>126</v>
      </c>
      <c r="F13" s="30" t="s">
        <v>130</v>
      </c>
      <c r="G13" s="30" t="s">
        <v>128</v>
      </c>
      <c r="H13" s="35" t="s">
        <v>129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</v>
      </c>
      <c r="S13" s="30">
        <f t="shared" si="5"/>
        <v>1</v>
      </c>
      <c r="T13" s="30">
        <f t="shared" si="5"/>
        <v>6</v>
      </c>
      <c r="U13" s="30">
        <f t="shared" si="5"/>
        <v>10</v>
      </c>
      <c r="V13" s="30">
        <f t="shared" si="5"/>
        <v>15</v>
      </c>
      <c r="W13" s="35">
        <f t="shared" si="5"/>
        <v>11</v>
      </c>
      <c r="Y13" s="20">
        <f t="shared" si="6"/>
        <v>5</v>
      </c>
      <c r="Z13" s="23" t="s">
        <v>136</v>
      </c>
      <c r="AB13" s="40" t="str">
        <f t="shared" si="11"/>
        <v>0000010000010</v>
      </c>
      <c r="AC13" s="15" t="str">
        <f t="shared" si="7"/>
        <v>0000100000001</v>
      </c>
      <c r="AD13" s="15" t="str">
        <f t="shared" si="7"/>
        <v>1111111121110</v>
      </c>
      <c r="AE13" s="15" t="str">
        <f t="shared" si="7"/>
        <v>0000000010100</v>
      </c>
      <c r="AF13" s="15" t="str">
        <f t="shared" si="7"/>
        <v>0000001000100</v>
      </c>
      <c r="AG13" s="41" t="str">
        <f t="shared" si="7"/>
        <v>0010000001000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</v>
      </c>
      <c r="AT13" s="30" cm="1">
        <f t="array" ref="AT13">SUMPRODUCT($AI$10:$AI$113,AL$10:AL$113,IF(LEFT($AJ$10:$AJ$113,2)=$AR13,1,0))</f>
        <v>14</v>
      </c>
      <c r="AU13" s="30" cm="1">
        <f t="array" ref="AU13">SUMPRODUCT($AI$10:$AI$113,AM$10:AM$113,IF(LEFT($AJ$10:$AJ$113,2)=$AR13,1,0))</f>
        <v>14</v>
      </c>
      <c r="AV13" s="30" cm="1">
        <f t="array" ref="AV13">SUMPRODUCT($AI$10:$AI$113,AN$10:AN$113,IF(LEFT($AJ$10:$AJ$113,2)=$AR13,1,0))</f>
        <v>22</v>
      </c>
      <c r="AW13" s="30" cm="1">
        <f t="array" ref="AW13">SUMPRODUCT($AI$10:$AI$113,AO$10:AO$113,IF(LEFT($AJ$10:$AJ$113,2)=$AR13,1,0))</f>
        <v>64</v>
      </c>
      <c r="AX13" s="35" cm="1">
        <f t="array" ref="AX13">SUMPRODUCT($AI$10:$AI$113,AP$10:AP$113,IF(LEFT($AJ$10:$AJ$113,2)=$AR13,1,0))</f>
        <v>22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130</v>
      </c>
      <c r="D14" s="30" t="s">
        <v>130</v>
      </c>
      <c r="E14" s="30" t="s">
        <v>129</v>
      </c>
      <c r="F14" s="30" t="s">
        <v>136</v>
      </c>
      <c r="G14" s="30" t="s">
        <v>129</v>
      </c>
      <c r="H14" s="35" t="s">
        <v>130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3</v>
      </c>
      <c r="S14" s="30">
        <f t="shared" si="5"/>
        <v>3</v>
      </c>
      <c r="T14" s="30">
        <f t="shared" si="5"/>
        <v>3</v>
      </c>
      <c r="U14" s="30">
        <f t="shared" si="5"/>
        <v>2</v>
      </c>
      <c r="V14" s="30">
        <f t="shared" si="5"/>
        <v>1</v>
      </c>
      <c r="W14" s="35">
        <f t="shared" si="5"/>
        <v>6</v>
      </c>
      <c r="Y14" s="20">
        <f t="shared" si="6"/>
        <v>6</v>
      </c>
      <c r="Z14" s="23" t="s">
        <v>137</v>
      </c>
      <c r="AB14" s="40" t="str">
        <f t="shared" si="11"/>
        <v>0000000010010</v>
      </c>
      <c r="AC14" s="15" t="str">
        <f t="shared" si="7"/>
        <v>0000000010001</v>
      </c>
      <c r="AD14" s="15" t="str">
        <f t="shared" si="7"/>
        <v>1111111112110</v>
      </c>
      <c r="AE14" s="15" t="str">
        <f t="shared" si="7"/>
        <v>0000100010000</v>
      </c>
      <c r="AF14" s="15" t="str">
        <f t="shared" si="7"/>
        <v>0000001001000</v>
      </c>
      <c r="AG14" s="41" t="str">
        <f t="shared" si="7"/>
        <v>0000000011000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6</v>
      </c>
      <c r="AT14" s="30" cm="1">
        <f t="array" ref="AT14">SUMPRODUCT($AI$10:$AI$113,AL$10:AL$113,IF(LEFT($AJ$10:$AJ$113,2)=$AR14,1,0))</f>
        <v>18</v>
      </c>
      <c r="AU14" s="30" cm="1">
        <f t="array" ref="AU14">SUMPRODUCT($AI$10:$AI$113,AM$10:AM$113,IF(LEFT($AJ$10:$AJ$113,2)=$AR14,1,0))</f>
        <v>8</v>
      </c>
      <c r="AV14" s="30" cm="1">
        <f t="array" ref="AV14">SUMPRODUCT($AI$10:$AI$113,AN$10:AN$113,IF(LEFT($AJ$10:$AJ$113,2)=$AR14,1,0))</f>
        <v>6</v>
      </c>
      <c r="AW14" s="30" cm="1">
        <f t="array" ref="AW14">SUMPRODUCT($AI$10:$AI$113,AO$10:AO$113,IF(LEFT($AJ$10:$AJ$113,2)=$AR14,1,0))</f>
        <v>36</v>
      </c>
      <c r="AX14" s="35" cm="1">
        <f t="array" ref="AX14">SUMPRODUCT($AI$10:$AI$113,AP$10:AP$113,IF(LEFT($AJ$10:$AJ$113,2)=$AR14,1,0))</f>
        <v>12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135</v>
      </c>
      <c r="D15" s="30" t="s">
        <v>127</v>
      </c>
      <c r="E15" s="30" t="s">
        <v>128</v>
      </c>
      <c r="F15" s="30" t="s">
        <v>137</v>
      </c>
      <c r="G15" s="30" t="s">
        <v>126</v>
      </c>
      <c r="H15" s="35" t="s">
        <v>136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5</v>
      </c>
      <c r="T15" s="30">
        <f t="shared" si="5"/>
        <v>2</v>
      </c>
      <c r="U15" s="30">
        <f t="shared" si="5"/>
        <v>4</v>
      </c>
      <c r="V15" s="30">
        <f t="shared" si="5"/>
        <v>10</v>
      </c>
      <c r="W15" s="35">
        <f t="shared" si="5"/>
        <v>13</v>
      </c>
      <c r="Y15" s="20">
        <f t="shared" si="6"/>
        <v>7</v>
      </c>
      <c r="Z15" s="23" t="s">
        <v>128</v>
      </c>
      <c r="AB15" s="40" t="str">
        <f t="shared" si="11"/>
        <v>0000000010001</v>
      </c>
      <c r="AC15" s="15" t="str">
        <f t="shared" si="7"/>
        <v>0010000010000</v>
      </c>
      <c r="AD15" s="15" t="str">
        <f t="shared" si="7"/>
        <v>0000001001000</v>
      </c>
      <c r="AE15" s="15" t="str">
        <f t="shared" si="7"/>
        <v>0000110000000</v>
      </c>
      <c r="AF15" s="15" t="str">
        <f t="shared" si="7"/>
        <v>1111111112110</v>
      </c>
      <c r="AG15" s="41" t="str">
        <f t="shared" si="7"/>
        <v>0000100010000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0</v>
      </c>
      <c r="AL15" s="39" cm="1">
        <f t="array" ref="AL15">SUMPRODUCT(--(MID(AC$10:AC$135, SUMIF($Z$9:$Z$21, LEFT($AJ15,2), $Y$9:$Y$21), 1) = RIGHT($AJ15, 1)), K$10:K$135)</f>
        <v>1</v>
      </c>
      <c r="AM15" s="39" cm="1">
        <f t="array" ref="AM15">SUMPRODUCT(--(MID(AD$10:AD$135, SUMIF($Z$9:$Z$21, LEFT($AJ15,2), $Y$9:$Y$21), 1) = RIGHT($AJ15, 1)), L$10:L$135)</f>
        <v>1</v>
      </c>
      <c r="AN15" s="39" cm="1">
        <f t="array" ref="AN15">SUMPRODUCT(--(MID(AE$10:AE$135, SUMIF($Z$9:$Z$21, LEFT($AJ15,2), $Y$9:$Y$21), 1) = RIGHT($AJ15, 1)), M$10:M$135)</f>
        <v>1</v>
      </c>
      <c r="AO15" s="39" cm="1">
        <f t="array" ref="AO15">SUMPRODUCT(--(MID(AF$10:AF$135, SUMIF($Z$9:$Z$21, LEFT($AJ15,2), $Y$9:$Y$21), 1) = RIGHT($AJ15, 1)), N$10:N$135)</f>
        <v>3</v>
      </c>
      <c r="AP15" s="19" cm="1">
        <f t="array" ref="AP15">SUMPRODUCT(--(MID(AG$10:AG$135, SUMIF($Z$9:$Z$21, LEFT($AJ15,2), $Y$9:$Y$21), 1) = RIGHT($AJ15, 1)), O$10:O$135)</f>
        <v>0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22</v>
      </c>
      <c r="AU15" s="30" cm="1">
        <f t="array" ref="AU15">SUMPRODUCT($AI$10:$AI$113,AM$10:AM$113,IF(LEFT($AJ$10:$AJ$113,2)=$AR15,1,0))</f>
        <v>6</v>
      </c>
      <c r="AV15" s="30" cm="1">
        <f t="array" ref="AV15">SUMPRODUCT($AI$10:$AI$113,AN$10:AN$113,IF(LEFT($AJ$10:$AJ$113,2)=$AR15,1,0))</f>
        <v>10</v>
      </c>
      <c r="AW15" s="30" cm="1">
        <f t="array" ref="AW15">SUMPRODUCT($AI$10:$AI$113,AO$10:AO$113,IF(LEFT($AJ$10:$AJ$113,2)=$AR15,1,0))</f>
        <v>54</v>
      </c>
      <c r="AX15" s="35" cm="1">
        <f t="array" ref="AX15">SUMPRODUCT($AI$10:$AI$113,AP$10:AP$113,IF(LEFT($AJ$10:$AJ$113,2)=$AR15,1,0))</f>
        <v>26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129</v>
      </c>
      <c r="D16" s="30" t="s">
        <v>138</v>
      </c>
      <c r="E16" s="30" t="s">
        <v>131</v>
      </c>
      <c r="F16" s="30" t="s">
        <v>134</v>
      </c>
      <c r="G16" s="30" t="s">
        <v>131</v>
      </c>
      <c r="H16" s="35" t="s">
        <v>128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1</v>
      </c>
      <c r="S16" s="30">
        <f t="shared" si="5"/>
        <v>6</v>
      </c>
      <c r="T16" s="30">
        <f t="shared" si="5"/>
        <v>1</v>
      </c>
      <c r="U16" s="30">
        <f t="shared" si="5"/>
        <v>5</v>
      </c>
      <c r="V16" s="30">
        <f t="shared" si="5"/>
        <v>10</v>
      </c>
      <c r="W16" s="35">
        <f t="shared" si="5"/>
        <v>10</v>
      </c>
      <c r="Y16" s="20">
        <f t="shared" si="6"/>
        <v>8</v>
      </c>
      <c r="Z16" s="23" t="s">
        <v>133</v>
      </c>
      <c r="AB16" s="40" t="str">
        <f t="shared" si="11"/>
        <v>0000000001001</v>
      </c>
      <c r="AC16" s="15" t="str">
        <f t="shared" si="7"/>
        <v>0010000000010</v>
      </c>
      <c r="AD16" s="15" t="str">
        <f t="shared" si="7"/>
        <v>0100001000000</v>
      </c>
      <c r="AE16" s="15" t="str">
        <f t="shared" si="7"/>
        <v>0001010000000</v>
      </c>
      <c r="AF16" s="15" t="str">
        <f t="shared" si="7"/>
        <v>1211111111110</v>
      </c>
      <c r="AG16" s="41" t="str">
        <f t="shared" si="7"/>
        <v>0000101000000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</v>
      </c>
      <c r="AL16" s="39" cm="1">
        <f t="array" ref="AL16">SUMPRODUCT(--(MID(AC$10:AC$135, SUMIF($Z$9:$Z$21, LEFT($AJ16,2), $Y$9:$Y$21), 1) = RIGHT($AJ16, 1)), K$10:K$135)</f>
        <v>16</v>
      </c>
      <c r="AM16" s="39" cm="1">
        <f t="array" ref="AM16">SUMPRODUCT(--(MID(AD$10:AD$135, SUMIF($Z$9:$Z$21, LEFT($AJ16,2), $Y$9:$Y$21), 1) = RIGHT($AJ16, 1)), L$10:L$135)</f>
        <v>16</v>
      </c>
      <c r="AN16" s="39" cm="1">
        <f t="array" ref="AN16">SUMPRODUCT(--(MID(AE$10:AE$135, SUMIF($Z$9:$Z$21, LEFT($AJ16,2), $Y$9:$Y$21), 1) = RIGHT($AJ16, 1)), M$10:M$135)</f>
        <v>20</v>
      </c>
      <c r="AO16" s="39" cm="1">
        <f t="array" ref="AO16">SUMPRODUCT(--(MID(AF$10:AF$135, SUMIF($Z$9:$Z$21, LEFT($AJ16,2), $Y$9:$Y$21), 1) = RIGHT($AJ16, 1)), N$10:N$135)</f>
        <v>38</v>
      </c>
      <c r="AP16" s="19" cm="1">
        <f t="array" ref="AP16">SUMPRODUCT(--(MID(AG$10:AG$135, SUMIF($Z$9:$Z$21, LEFT($AJ16,2), $Y$9:$Y$21), 1) = RIGHT($AJ16, 1)), O$10:O$135)</f>
        <v>36</v>
      </c>
      <c r="AR16" s="34" t="str">
        <f t="shared" si="8"/>
        <v>FF</v>
      </c>
      <c r="AS16" s="30" cm="1">
        <f t="array" ref="AS16">SUMPRODUCT($AI$10:$AI$113,AK$10:AK$113,IF(LEFT($AJ$10:$AJ$113,2)=$AR16,1,0))</f>
        <v>2</v>
      </c>
      <c r="AT16" s="30" cm="1">
        <f t="array" ref="AT16">SUMPRODUCT($AI$10:$AI$113,AL$10:AL$113,IF(LEFT($AJ$10:$AJ$113,2)=$AR16,1,0))</f>
        <v>24</v>
      </c>
      <c r="AU16" s="30" cm="1">
        <f t="array" ref="AU16">SUMPRODUCT($AI$10:$AI$113,AM$10:AM$113,IF(LEFT($AJ$10:$AJ$113,2)=$AR16,1,0))</f>
        <v>4</v>
      </c>
      <c r="AV16" s="30" cm="1">
        <f t="array" ref="AV16">SUMPRODUCT($AI$10:$AI$113,AN$10:AN$113,IF(LEFT($AJ$10:$AJ$113,2)=$AR16,1,0))</f>
        <v>12</v>
      </c>
      <c r="AW16" s="30" cm="1">
        <f t="array" ref="AW16">SUMPRODUCT($AI$10:$AI$113,AO$10:AO$113,IF(LEFT($AJ$10:$AJ$113,2)=$AR16,1,0))</f>
        <v>54</v>
      </c>
      <c r="AX16" s="35" cm="1">
        <f t="array" ref="AX16">SUMPRODUCT($AI$10:$AI$113,AP$10:AP$113,IF(LEFT($AJ$10:$AJ$113,2)=$AR16,1,0))</f>
        <v>20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132</v>
      </c>
      <c r="D17" s="30" t="s">
        <v>133</v>
      </c>
      <c r="E17" s="30" t="s">
        <v>135</v>
      </c>
      <c r="F17" s="30" t="s">
        <v>135</v>
      </c>
      <c r="G17" s="30" t="s">
        <v>127</v>
      </c>
      <c r="H17" s="35" t="s">
        <v>131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1</v>
      </c>
      <c r="S17" s="30">
        <f t="shared" si="5"/>
        <v>1</v>
      </c>
      <c r="T17" s="30">
        <f t="shared" si="5"/>
        <v>5</v>
      </c>
      <c r="U17" s="30">
        <f t="shared" si="5"/>
        <v>11</v>
      </c>
      <c r="V17" s="30">
        <f t="shared" si="5"/>
        <v>5</v>
      </c>
      <c r="W17" s="35">
        <f t="shared" si="5"/>
        <v>1</v>
      </c>
      <c r="Y17" s="20">
        <f t="shared" si="6"/>
        <v>9</v>
      </c>
      <c r="Z17" s="23" t="s">
        <v>130</v>
      </c>
      <c r="AB17" s="40" t="str">
        <f t="shared" si="11"/>
        <v>0000000001100</v>
      </c>
      <c r="AC17" s="15" t="str">
        <f t="shared" si="7"/>
        <v>0000000100010</v>
      </c>
      <c r="AD17" s="15" t="str">
        <f t="shared" si="7"/>
        <v>0100000000001</v>
      </c>
      <c r="AE17" s="15" t="str">
        <f t="shared" si="7"/>
        <v>0001000000001</v>
      </c>
      <c r="AF17" s="15" t="str">
        <f t="shared" si="7"/>
        <v>0110000000000</v>
      </c>
      <c r="AG17" s="41" t="str">
        <f t="shared" si="7"/>
        <v>0100001000000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16</v>
      </c>
      <c r="AL17" s="39" cm="1">
        <f t="array" ref="AL17">SUMPRODUCT(--(MID(AC$10:AC$135, SUMIF($Z$9:$Z$21, LEFT($AJ17,2), $Y$9:$Y$21), 1) = RIGHT($AJ17, 1)), K$10:K$135)</f>
        <v>20</v>
      </c>
      <c r="AM17" s="39" cm="1">
        <f t="array" ref="AM17">SUMPRODUCT(--(MID(AD$10:AD$135, SUMIF($Z$9:$Z$21, LEFT($AJ17,2), $Y$9:$Y$21), 1) = RIGHT($AJ17, 1)), L$10:L$135)</f>
        <v>32</v>
      </c>
      <c r="AN17" s="39" cm="1">
        <f t="array" ref="AN17">SUMPRODUCT(--(MID(AE$10:AE$135, SUMIF($Z$9:$Z$21, LEFT($AJ17,2), $Y$9:$Y$21), 1) = RIGHT($AJ17, 1)), M$10:M$135)</f>
        <v>49</v>
      </c>
      <c r="AO17" s="39" cm="1">
        <f t="array" ref="AO17">SUMPRODUCT(--(MID(AF$10:AF$135, SUMIF($Z$9:$Z$21, LEFT($AJ17,2), $Y$9:$Y$21), 1) = RIGHT($AJ17, 1)), N$10:N$135)</f>
        <v>51</v>
      </c>
      <c r="AP17" s="19" cm="1">
        <f t="array" ref="AP17">SUMPRODUCT(--(MID(AG$10:AG$135, SUMIF($Z$9:$Z$21, LEFT($AJ17,2), $Y$9:$Y$21), 1) = RIGHT($AJ17, 1)), O$10:O$135)</f>
        <v>52</v>
      </c>
      <c r="AR17" s="34" t="str">
        <f t="shared" si="8"/>
        <v>GG</v>
      </c>
      <c r="AS17" s="30" cm="1">
        <f t="array" ref="AS17">SUMPRODUCT($AI$10:$AI$113,AK$10:AK$113,IF(LEFT($AJ$10:$AJ$113,2)=$AR17,1,0))</f>
        <v>2</v>
      </c>
      <c r="AT17" s="30" cm="1">
        <f t="array" ref="AT17">SUMPRODUCT($AI$10:$AI$113,AL$10:AL$113,IF(LEFT($AJ$10:$AJ$113,2)=$AR17,1,0))</f>
        <v>14</v>
      </c>
      <c r="AU17" s="30" cm="1">
        <f t="array" ref="AU17">SUMPRODUCT($AI$10:$AI$113,AM$10:AM$113,IF(LEFT($AJ$10:$AJ$113,2)=$AR17,1,0))</f>
        <v>12</v>
      </c>
      <c r="AV17" s="30" cm="1">
        <f t="array" ref="AV17">SUMPRODUCT($AI$10:$AI$113,AN$10:AN$113,IF(LEFT($AJ$10:$AJ$113,2)=$AR17,1,0))</f>
        <v>24</v>
      </c>
      <c r="AW17" s="30" cm="1">
        <f t="array" ref="AW17">SUMPRODUCT($AI$10:$AI$113,AO$10:AO$113,IF(LEFT($AJ$10:$AJ$113,2)=$AR17,1,0))</f>
        <v>44</v>
      </c>
      <c r="AX17" s="35" cm="1">
        <f t="array" ref="AX17">SUMPRODUCT($AI$10:$AI$113,AP$10:AP$113,IF(LEFT($AJ$10:$AJ$113,2)=$AR17,1,0))</f>
        <v>2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131</v>
      </c>
      <c r="D18" s="30" t="s">
        <v>137</v>
      </c>
      <c r="E18" s="30" t="s">
        <v>127</v>
      </c>
      <c r="F18" s="30" t="s">
        <v>131</v>
      </c>
      <c r="G18" s="30" t="s">
        <v>137</v>
      </c>
      <c r="H18" s="35" t="s">
        <v>137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1</v>
      </c>
      <c r="S18" s="30">
        <f t="shared" si="5"/>
        <v>1</v>
      </c>
      <c r="T18" s="30">
        <f t="shared" si="5"/>
        <v>3</v>
      </c>
      <c r="U18" s="30">
        <f t="shared" si="5"/>
        <v>2</v>
      </c>
      <c r="V18" s="30">
        <f t="shared" si="5"/>
        <v>9</v>
      </c>
      <c r="W18" s="35">
        <f t="shared" si="5"/>
        <v>2</v>
      </c>
      <c r="Y18" s="20">
        <f t="shared" si="6"/>
        <v>10</v>
      </c>
      <c r="Z18" s="23" t="s">
        <v>129</v>
      </c>
      <c r="AB18" s="40" t="str">
        <f t="shared" si="11"/>
        <v>0100000000100</v>
      </c>
      <c r="AC18" s="15" t="str">
        <f t="shared" si="7"/>
        <v>0000010100000</v>
      </c>
      <c r="AD18" s="15" t="str">
        <f t="shared" si="7"/>
        <v>0010000000001</v>
      </c>
      <c r="AE18" s="15" t="str">
        <f t="shared" si="7"/>
        <v>0100000000001</v>
      </c>
      <c r="AF18" s="15" t="str">
        <f t="shared" si="7"/>
        <v>0010010000000</v>
      </c>
      <c r="AG18" s="41" t="str">
        <f t="shared" si="7"/>
        <v>0100010000000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2</v>
      </c>
      <c r="AT18" s="30" cm="1">
        <f t="array" ref="AT18">SUMPRODUCT($AI$10:$AI$113,AL$10:AL$113,IF(LEFT($AJ$10:$AJ$113,2)=$AR18,1,0))</f>
        <v>14</v>
      </c>
      <c r="AU18" s="30" cm="1">
        <f t="array" ref="AU18">SUMPRODUCT($AI$10:$AI$113,AM$10:AM$113,IF(LEFT($AJ$10:$AJ$113,2)=$AR18,1,0))</f>
        <v>8</v>
      </c>
      <c r="AV18" s="30" cm="1">
        <f t="array" ref="AV18">SUMPRODUCT($AI$10:$AI$113,AN$10:AN$113,IF(LEFT($AJ$10:$AJ$113,2)=$AR18,1,0))</f>
        <v>6</v>
      </c>
      <c r="AW18" s="30" cm="1">
        <f t="array" ref="AW18">SUMPRODUCT($AI$10:$AI$113,AO$10:AO$113,IF(LEFT($AJ$10:$AJ$113,2)=$AR18,1,0))</f>
        <v>52</v>
      </c>
      <c r="AX18" s="35" cm="1">
        <f t="array" ref="AX18">SUMPRODUCT($AI$10:$AI$113,AP$10:AP$113,IF(LEFT($AJ$10:$AJ$113,2)=$AR18,1,0))</f>
        <v>4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127</v>
      </c>
      <c r="D19" s="30" t="s">
        <v>128</v>
      </c>
      <c r="E19" s="30" t="s">
        <v>132</v>
      </c>
      <c r="F19" s="30" t="s">
        <v>127</v>
      </c>
      <c r="G19" s="30" t="s">
        <v>133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3</v>
      </c>
      <c r="S19" s="30">
        <f t="shared" si="5"/>
        <v>1</v>
      </c>
      <c r="T19" s="30">
        <f t="shared" si="5"/>
        <v>2</v>
      </c>
      <c r="U19" s="30">
        <f t="shared" si="5"/>
        <v>3</v>
      </c>
      <c r="V19" s="30">
        <f t="shared" si="5"/>
        <v>2</v>
      </c>
      <c r="W19" s="35">
        <f t="shared" si="5"/>
        <v>3</v>
      </c>
      <c r="Y19" s="20">
        <f t="shared" si="6"/>
        <v>11</v>
      </c>
      <c r="Z19" s="23" t="s">
        <v>132</v>
      </c>
      <c r="AA19" s="21"/>
      <c r="AB19" s="40" t="str">
        <f t="shared" si="11"/>
        <v>0110000000000</v>
      </c>
      <c r="AC19" s="15" t="str">
        <f t="shared" si="7"/>
        <v>0000011000000</v>
      </c>
      <c r="AD19" s="15" t="str">
        <f t="shared" si="7"/>
        <v>0010000000100</v>
      </c>
      <c r="AE19" s="15" t="str">
        <f t="shared" si="7"/>
        <v>0110000000000</v>
      </c>
      <c r="AF19" s="15" t="str">
        <f t="shared" si="7"/>
        <v>0000010100000</v>
      </c>
      <c r="AG19" s="41" t="str">
        <f t="shared" si="7"/>
        <v>0000010000100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6</v>
      </c>
      <c r="AT19" s="30" cm="1">
        <f t="array" ref="AT19">SUMPRODUCT($AI$10:$AI$113,AL$10:AL$113,IF(LEFT($AJ$10:$AJ$113,2)=$AR19,1,0))</f>
        <v>14</v>
      </c>
      <c r="AU19" s="30" cm="1">
        <f t="array" ref="AU19">SUMPRODUCT($AI$10:$AI$113,AM$10:AM$113,IF(LEFT($AJ$10:$AJ$113,2)=$AR19,1,0))</f>
        <v>6</v>
      </c>
      <c r="AV19" s="30" cm="1">
        <f t="array" ref="AV19">SUMPRODUCT($AI$10:$AI$113,AN$10:AN$113,IF(LEFT($AJ$10:$AJ$113,2)=$AR19,1,0))</f>
        <v>8</v>
      </c>
      <c r="AW19" s="30" cm="1">
        <f t="array" ref="AW19">SUMPRODUCT($AI$10:$AI$113,AO$10:AO$113,IF(LEFT($AJ$10:$AJ$113,2)=$AR19,1,0))</f>
        <v>38</v>
      </c>
      <c r="AX19" s="35" cm="1">
        <f t="array" ref="AX19">SUMPRODUCT($AI$10:$AI$113,AP$10:AP$113,IF(LEFT($AJ$10:$AJ$113,2)=$AR19,1,0))</f>
        <v>6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128</v>
      </c>
      <c r="D20" s="30" t="s">
        <v>131</v>
      </c>
      <c r="E20" s="30" t="s">
        <v>138</v>
      </c>
      <c r="F20" s="30" t="s">
        <v>133</v>
      </c>
      <c r="G20" s="30" t="s">
        <v>135</v>
      </c>
      <c r="H20" s="35" t="s">
        <v>138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2</v>
      </c>
      <c r="S20" s="30">
        <f t="shared" si="5"/>
        <v>4</v>
      </c>
      <c r="T20" s="30">
        <f t="shared" si="5"/>
        <v>1</v>
      </c>
      <c r="U20" s="30">
        <f t="shared" si="5"/>
        <v>5</v>
      </c>
      <c r="V20" s="30">
        <f t="shared" si="5"/>
        <v>2</v>
      </c>
      <c r="W20" s="35">
        <f t="shared" si="5"/>
        <v>4</v>
      </c>
      <c r="Y20" s="20">
        <v>12</v>
      </c>
      <c r="Z20" s="23" t="s">
        <v>138</v>
      </c>
      <c r="AA20" s="21"/>
      <c r="AB20" s="40" t="str">
        <f t="shared" si="11"/>
        <v>0010001000000</v>
      </c>
      <c r="AC20" s="15" t="str">
        <f t="shared" si="7"/>
        <v>0100001000000</v>
      </c>
      <c r="AD20" s="15" t="str">
        <f t="shared" si="7"/>
        <v>0000000000110</v>
      </c>
      <c r="AE20" s="15" t="str">
        <f t="shared" si="7"/>
        <v>0010000100000</v>
      </c>
      <c r="AF20" s="15" t="str">
        <f t="shared" si="7"/>
        <v>0000000100001</v>
      </c>
      <c r="AG20" s="41" t="str">
        <f t="shared" si="7"/>
        <v>0000000000110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4</v>
      </c>
      <c r="AT20" s="30" cm="1">
        <f t="array" ref="AT20">SUMPRODUCT($AI$10:$AI$113,AL$10:AL$113,IF(LEFT($AJ$10:$AJ$113,2)=$AR20,1,0))</f>
        <v>20</v>
      </c>
      <c r="AU20" s="30" cm="1">
        <f t="array" ref="AU20">SUMPRODUCT($AI$10:$AI$113,AM$10:AM$113,IF(LEFT($AJ$10:$AJ$113,2)=$AR20,1,0))</f>
        <v>4</v>
      </c>
      <c r="AV20" s="30" cm="1">
        <f t="array" ref="AV20">SUMPRODUCT($AI$10:$AI$113,AN$10:AN$113,IF(LEFT($AJ$10:$AJ$113,2)=$AR20,1,0))</f>
        <v>12</v>
      </c>
      <c r="AW20" s="30" cm="1">
        <f t="array" ref="AW20">SUMPRODUCT($AI$10:$AI$113,AO$10:AO$113,IF(LEFT($AJ$10:$AJ$113,2)=$AR20,1,0))</f>
        <v>38</v>
      </c>
      <c r="AX20" s="35" cm="1">
        <f t="array" ref="AX20">SUMPRODUCT($AI$10:$AI$113,AP$10:AP$113,IF(LEFT($AJ$10:$AJ$113,2)=$AR20,1,0))</f>
        <v>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133</v>
      </c>
      <c r="D21" s="30" t="s">
        <v>132</v>
      </c>
      <c r="E21" s="30" t="s">
        <v>134</v>
      </c>
      <c r="F21" s="30" t="s">
        <v>129</v>
      </c>
      <c r="G21" s="30" t="s">
        <v>130</v>
      </c>
      <c r="H21" s="35" t="s">
        <v>134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1</v>
      </c>
      <c r="S21" s="30">
        <f t="shared" si="5"/>
        <v>1</v>
      </c>
      <c r="T21" s="30">
        <f t="shared" si="5"/>
        <v>3</v>
      </c>
      <c r="U21" s="30">
        <f t="shared" si="5"/>
        <v>4</v>
      </c>
      <c r="V21" s="30">
        <f t="shared" si="5"/>
        <v>8</v>
      </c>
      <c r="W21" s="35">
        <f t="shared" si="5"/>
        <v>17</v>
      </c>
      <c r="Y21" s="18">
        <v>13</v>
      </c>
      <c r="Z21" s="22" t="s">
        <v>135</v>
      </c>
      <c r="AA21" s="21"/>
      <c r="AB21" s="40" t="str">
        <f t="shared" si="11"/>
        <v>0000001100000</v>
      </c>
      <c r="AC21" s="15" t="str">
        <f t="shared" si="7"/>
        <v>0100000000100</v>
      </c>
      <c r="AD21" s="15" t="str">
        <f t="shared" si="7"/>
        <v>0001000000010</v>
      </c>
      <c r="AE21" s="15" t="str">
        <f t="shared" si="7"/>
        <v>0000000101000</v>
      </c>
      <c r="AF21" s="15" t="str">
        <f t="shared" si="7"/>
        <v>0000000010001</v>
      </c>
      <c r="AG21" s="41" t="str">
        <f t="shared" si="7"/>
        <v>0001000000010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2</v>
      </c>
      <c r="AT21" s="30" cm="1">
        <f t="array" ref="AT21">SUMPRODUCT($AI$10:$AI$113,AL$10:AL$113,IF(LEFT($AJ$10:$AJ$113,2)=$AR21,1,0))</f>
        <v>14</v>
      </c>
      <c r="AU21" s="30" cm="1">
        <f t="array" ref="AU21">SUMPRODUCT($AI$10:$AI$113,AM$10:AM$113,IF(LEFT($AJ$10:$AJ$113,2)=$AR21,1,0))</f>
        <v>8</v>
      </c>
      <c r="AV21" s="30" cm="1">
        <f t="array" ref="AV21">SUMPRODUCT($AI$10:$AI$113,AN$10:AN$113,IF(LEFT($AJ$10:$AJ$113,2)=$AR21,1,0))</f>
        <v>10</v>
      </c>
      <c r="AW21" s="30" cm="1">
        <f t="array" ref="AW21">SUMPRODUCT($AI$10:$AI$113,AO$10:AO$113,IF(LEFT($AJ$10:$AJ$113,2)=$AR21,1,0))</f>
        <v>50</v>
      </c>
      <c r="AX21" s="35" cm="1">
        <f t="array" ref="AX21">SUMPRODUCT($AI$10:$AI$113,AP$10:AP$113,IF(LEFT($AJ$10:$AJ$113,2)=$AR21,1,0))</f>
        <v>34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129</v>
      </c>
      <c r="D22" s="30" t="s">
        <v>126</v>
      </c>
      <c r="E22" s="30" t="s">
        <v>136</v>
      </c>
      <c r="F22" s="30" t="s">
        <v>128</v>
      </c>
      <c r="G22" s="30" t="s">
        <v>134</v>
      </c>
      <c r="H22" s="35" t="s">
        <v>138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2</v>
      </c>
      <c r="S22" s="37">
        <f t="shared" si="5"/>
        <v>4</v>
      </c>
      <c r="T22" s="37">
        <f t="shared" si="5"/>
        <v>7</v>
      </c>
      <c r="U22" s="37">
        <f t="shared" si="5"/>
        <v>10</v>
      </c>
      <c r="V22" s="37">
        <f t="shared" si="5"/>
        <v>3</v>
      </c>
      <c r="W22" s="38">
        <f t="shared" si="5"/>
        <v>2</v>
      </c>
      <c r="Y22" s="21"/>
      <c r="Z22" s="21"/>
      <c r="AA22" s="21"/>
      <c r="AB22" s="40" t="str">
        <f t="shared" si="11"/>
        <v>0000000101000</v>
      </c>
      <c r="AC22" s="15" t="str">
        <f t="shared" si="7"/>
        <v>1111111111210</v>
      </c>
      <c r="AD22" s="15" t="str">
        <f t="shared" si="7"/>
        <v>0001100000000</v>
      </c>
      <c r="AE22" s="15" t="str">
        <f t="shared" si="7"/>
        <v>0000001001000</v>
      </c>
      <c r="AF22" s="15" t="str">
        <f t="shared" si="7"/>
        <v>0001000010000</v>
      </c>
      <c r="AG22" s="41" t="str">
        <f t="shared" si="7"/>
        <v>0001000000010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4</v>
      </c>
      <c r="AT22" s="30" cm="1">
        <f t="array" ref="AT22">SUMPRODUCT($AI$10:$AI$113,AL$10:AL$113,IF(LEFT($AJ$10:$AJ$113,2)=$AR22,1,0))</f>
        <v>8</v>
      </c>
      <c r="AU22" s="30" cm="1">
        <f t="array" ref="AU22">SUMPRODUCT($AI$10:$AI$113,AM$10:AM$113,IF(LEFT($AJ$10:$AJ$113,2)=$AR22,1,0))</f>
        <v>14</v>
      </c>
      <c r="AV22" s="30" cm="1">
        <f t="array" ref="AV22">SUMPRODUCT($AI$10:$AI$113,AN$10:AN$113,IF(LEFT($AJ$10:$AJ$113,2)=$AR22,1,0))</f>
        <v>20</v>
      </c>
      <c r="AW22" s="30" cm="1">
        <f t="array" ref="AW22">SUMPRODUCT($AI$10:$AI$113,AO$10:AO$113,IF(LEFT($AJ$10:$AJ$113,2)=$AR22,1,0))</f>
        <v>6</v>
      </c>
      <c r="AX22" s="35" cm="1">
        <f t="array" ref="AX22">SUMPRODUCT($AI$10:$AI$113,AP$10:AP$113,IF(LEFT($AJ$10:$AJ$113,2)=$AR22,1,0))</f>
        <v>4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132</v>
      </c>
      <c r="D23" s="30" t="s">
        <v>128</v>
      </c>
      <c r="E23" s="30" t="s">
        <v>138</v>
      </c>
      <c r="F23" s="30" t="s">
        <v>131</v>
      </c>
      <c r="G23" s="30" t="s">
        <v>137</v>
      </c>
      <c r="H23" s="35" t="s">
        <v>131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18</v>
      </c>
      <c r="S23" s="37">
        <f t="shared" ref="S23:W23" si="14">SUM(S10:S22)</f>
        <v>37</v>
      </c>
      <c r="T23" s="37">
        <f t="shared" si="14"/>
        <v>49</v>
      </c>
      <c r="U23" s="37">
        <f t="shared" si="14"/>
        <v>70</v>
      </c>
      <c r="V23" s="37">
        <f t="shared" si="14"/>
        <v>92</v>
      </c>
      <c r="W23" s="38">
        <f t="shared" si="14"/>
        <v>88</v>
      </c>
      <c r="Y23" s="21"/>
      <c r="Z23" s="21"/>
      <c r="AA23" s="21"/>
      <c r="AB23" s="40" t="str">
        <f t="shared" si="11"/>
        <v>0000000001100</v>
      </c>
      <c r="AC23" s="15" t="str">
        <f t="shared" si="7"/>
        <v>1111112111110</v>
      </c>
      <c r="AD23" s="15" t="str">
        <f t="shared" si="7"/>
        <v>0000100000010</v>
      </c>
      <c r="AE23" s="15" t="str">
        <f t="shared" si="7"/>
        <v>0100001000000</v>
      </c>
      <c r="AF23" s="15" t="str">
        <f t="shared" si="7"/>
        <v>0001010000000</v>
      </c>
      <c r="AG23" s="41" t="str">
        <f t="shared" si="7"/>
        <v>0100000000010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0</v>
      </c>
      <c r="AL23" s="39" cm="1">
        <f t="array" ref="AL23">SUMPRODUCT(--(MID(AC$10:AC$135, SUMIF($Z$9:$Z$21, LEFT($AJ23,2), $Y$9:$Y$21), 1) = RIGHT($AJ23, 1)), K$10:K$135)</f>
        <v>0</v>
      </c>
      <c r="AM23" s="39" cm="1">
        <f t="array" ref="AM23">SUMPRODUCT(--(MID(AD$10:AD$135, SUMIF($Z$9:$Z$21, LEFT($AJ23,2), $Y$9:$Y$21), 1) = RIGHT($AJ23, 1)), L$10:L$135)</f>
        <v>1</v>
      </c>
      <c r="AN23" s="39" cm="1">
        <f t="array" ref="AN23">SUMPRODUCT(--(MID(AE$10:AE$135, SUMIF($Z$9:$Z$21, LEFT($AJ23,2), $Y$9:$Y$21), 1) = RIGHT($AJ23, 1)), M$10:M$135)</f>
        <v>0</v>
      </c>
      <c r="AO23" s="39" cm="1">
        <f t="array" ref="AO23">SUMPRODUCT(--(MID(AF$10:AF$135, SUMIF($Z$9:$Z$21, LEFT($AJ23,2), $Y$9:$Y$21), 1) = RIGHT($AJ23, 1)), N$10:N$135)</f>
        <v>1</v>
      </c>
      <c r="AP23" s="19" cm="1">
        <f t="array" ref="AP23">SUMPRODUCT(--(MID(AG$10:AG$135, SUMIF($Z$9:$Z$21, LEFT($AJ23,2), $Y$9:$Y$21), 1) = RIGHT($AJ23, 1)), O$10:O$135)</f>
        <v>0</v>
      </c>
      <c r="AR23" s="34" t="str">
        <f t="shared" ref="AR23:AR35" si="15">AR10&amp;"-0"</f>
        <v>WC-0</v>
      </c>
      <c r="AS23" s="30">
        <f t="shared" ref="AS23:AX35" si="16">SUMIF($AJ$10:$AJ$113,$AR23,AK$10:AK$113)</f>
        <v>18</v>
      </c>
      <c r="AT23" s="30">
        <f t="shared" si="16"/>
        <v>25</v>
      </c>
      <c r="AU23" s="30">
        <f t="shared" si="16"/>
        <v>47</v>
      </c>
      <c r="AV23" s="30">
        <f t="shared" si="16"/>
        <v>68</v>
      </c>
      <c r="AW23" s="30">
        <f t="shared" si="16"/>
        <v>58</v>
      </c>
      <c r="AX23" s="35">
        <f t="shared" si="16"/>
        <v>88</v>
      </c>
    </row>
    <row r="24" spans="2:64">
      <c r="B24" s="34">
        <f t="shared" si="9"/>
        <v>14</v>
      </c>
      <c r="C24" s="30" t="s">
        <v>136</v>
      </c>
      <c r="D24" s="30" t="s">
        <v>135</v>
      </c>
      <c r="E24" s="30" t="s">
        <v>135</v>
      </c>
      <c r="F24" s="30" t="s">
        <v>135</v>
      </c>
      <c r="G24" s="30" t="s">
        <v>126</v>
      </c>
      <c r="H24" s="35" t="s">
        <v>138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R24" s="30">
        <f>R23/R22</f>
        <v>9</v>
      </c>
      <c r="S24" s="30">
        <f t="shared" ref="S24:W24" si="17">S23/S22</f>
        <v>9.25</v>
      </c>
      <c r="T24" s="30">
        <f t="shared" si="17"/>
        <v>7</v>
      </c>
      <c r="U24" s="30">
        <f t="shared" si="17"/>
        <v>7</v>
      </c>
      <c r="V24" s="30">
        <f t="shared" si="17"/>
        <v>30.666666666666668</v>
      </c>
      <c r="W24" s="30">
        <f t="shared" si="17"/>
        <v>44</v>
      </c>
      <c r="Y24" s="21"/>
      <c r="Z24" s="21"/>
      <c r="AA24" s="21"/>
      <c r="AB24" s="40" t="str">
        <f t="shared" si="11"/>
        <v>0000100000100</v>
      </c>
      <c r="AC24" s="15" t="str">
        <f t="shared" si="7"/>
        <v>0000001000001</v>
      </c>
      <c r="AD24" s="15" t="str">
        <f t="shared" si="7"/>
        <v>0000000000011</v>
      </c>
      <c r="AE24" s="15" t="str">
        <f t="shared" si="7"/>
        <v>0100000000001</v>
      </c>
      <c r="AF24" s="15" t="str">
        <f t="shared" si="7"/>
        <v>1111121111110</v>
      </c>
      <c r="AG24" s="41" t="str">
        <f t="shared" si="7"/>
        <v>0100000000010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2</v>
      </c>
      <c r="AL24" s="39" cm="1">
        <f t="array" ref="AL24">SUMPRODUCT(--(MID(AC$10:AC$135, SUMIF($Z$9:$Z$21, LEFT($AJ24,2), $Y$9:$Y$21), 1) = RIGHT($AJ24, 1)), K$10:K$135)</f>
        <v>14</v>
      </c>
      <c r="AM24" s="39" cm="1">
        <f t="array" ref="AM24">SUMPRODUCT(--(MID(AD$10:AD$135, SUMIF($Z$9:$Z$21, LEFT($AJ24,2), $Y$9:$Y$21), 1) = RIGHT($AJ24, 1)), L$10:L$135)</f>
        <v>14</v>
      </c>
      <c r="AN24" s="39" cm="1">
        <f t="array" ref="AN24">SUMPRODUCT(--(MID(AE$10:AE$135, SUMIF($Z$9:$Z$21, LEFT($AJ24,2), $Y$9:$Y$21), 1) = RIGHT($AJ24, 1)), M$10:M$135)</f>
        <v>8</v>
      </c>
      <c r="AO24" s="39" cm="1">
        <f t="array" ref="AO24">SUMPRODUCT(--(MID(AF$10:AF$135, SUMIF($Z$9:$Z$21, LEFT($AJ24,2), $Y$9:$Y$21), 1) = RIGHT($AJ24, 1)), N$10:N$135)</f>
        <v>42</v>
      </c>
      <c r="AP24" s="19" cm="1">
        <f t="array" ref="AP24">SUMPRODUCT(--(MID(AG$10:AG$135, SUMIF($Z$9:$Z$21, LEFT($AJ24,2), $Y$9:$Y$21), 1) = RIGHT($AJ24, 1)), O$10:O$135)</f>
        <v>2</v>
      </c>
      <c r="AR24" s="34" t="str">
        <f t="shared" si="15"/>
        <v>AA-0</v>
      </c>
      <c r="AS24" s="30">
        <f t="shared" si="16"/>
        <v>16</v>
      </c>
      <c r="AT24" s="30">
        <f t="shared" si="16"/>
        <v>20</v>
      </c>
      <c r="AU24" s="30">
        <f t="shared" si="16"/>
        <v>32</v>
      </c>
      <c r="AV24" s="30">
        <f t="shared" si="16"/>
        <v>49</v>
      </c>
      <c r="AW24" s="30">
        <f t="shared" si="16"/>
        <v>51</v>
      </c>
      <c r="AX24" s="35">
        <f t="shared" si="16"/>
        <v>52</v>
      </c>
    </row>
    <row r="25" spans="2:64">
      <c r="B25" s="34">
        <f t="shared" si="9"/>
        <v>15</v>
      </c>
      <c r="C25" s="30" t="s">
        <v>135</v>
      </c>
      <c r="D25" s="30" t="s">
        <v>126</v>
      </c>
      <c r="E25" s="30" t="s">
        <v>133</v>
      </c>
      <c r="F25" s="30" t="s">
        <v>137</v>
      </c>
      <c r="G25" s="30" t="s">
        <v>134</v>
      </c>
      <c r="H25" s="35" t="s">
        <v>134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0000100000001</v>
      </c>
      <c r="AC25" s="15" t="str">
        <f t="shared" si="7"/>
        <v>1111111111111</v>
      </c>
      <c r="AD25" s="15" t="str">
        <f t="shared" si="7"/>
        <v>0000000100001</v>
      </c>
      <c r="AE25" s="15" t="str">
        <f t="shared" si="7"/>
        <v>0000010000001</v>
      </c>
      <c r="AF25" s="15" t="str">
        <f t="shared" si="7"/>
        <v>1112111111110</v>
      </c>
      <c r="AG25" s="41" t="str">
        <f t="shared" si="7"/>
        <v>0001000000010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16</v>
      </c>
      <c r="AL25" s="39" cm="1">
        <f t="array" ref="AL25">SUMPRODUCT(--(MID(AC$10:AC$135, SUMIF($Z$9:$Z$21, LEFT($AJ25,2), $Y$9:$Y$21), 1) = RIGHT($AJ25, 1)), K$10:K$135)</f>
        <v>23</v>
      </c>
      <c r="AM25" s="39" cm="1">
        <f t="array" ref="AM25">SUMPRODUCT(--(MID(AD$10:AD$135, SUMIF($Z$9:$Z$21, LEFT($AJ25,2), $Y$9:$Y$21), 1) = RIGHT($AJ25, 1)), L$10:L$135)</f>
        <v>34</v>
      </c>
      <c r="AN25" s="39" cm="1">
        <f t="array" ref="AN25">SUMPRODUCT(--(MID(AE$10:AE$135, SUMIF($Z$9:$Z$21, LEFT($AJ25,2), $Y$9:$Y$21), 1) = RIGHT($AJ25, 1)), M$10:M$135)</f>
        <v>62</v>
      </c>
      <c r="AO25" s="39" cm="1">
        <f t="array" ref="AO25">SUMPRODUCT(--(MID(AF$10:AF$135, SUMIF($Z$9:$Z$21, LEFT($AJ25,2), $Y$9:$Y$21), 1) = RIGHT($AJ25, 1)), N$10:N$135)</f>
        <v>49</v>
      </c>
      <c r="AP25" s="19" cm="1">
        <f t="array" ref="AP25">SUMPRODUCT(--(MID(AG$10:AG$135, SUMIF($Z$9:$Z$21, LEFT($AJ25,2), $Y$9:$Y$21), 1) = RIGHT($AJ25, 1)), O$10:O$135)</f>
        <v>86</v>
      </c>
      <c r="AR25" s="34" t="str">
        <f t="shared" si="15"/>
        <v>BB-0</v>
      </c>
      <c r="AS25" s="30">
        <f t="shared" si="16"/>
        <v>16</v>
      </c>
      <c r="AT25" s="30">
        <f t="shared" si="16"/>
        <v>23</v>
      </c>
      <c r="AU25" s="30">
        <f t="shared" si="16"/>
        <v>34</v>
      </c>
      <c r="AV25" s="30">
        <f t="shared" si="16"/>
        <v>62</v>
      </c>
      <c r="AW25" s="30">
        <f t="shared" si="16"/>
        <v>49</v>
      </c>
      <c r="AX25" s="35">
        <f t="shared" si="16"/>
        <v>86</v>
      </c>
    </row>
    <row r="26" spans="2:64">
      <c r="B26" s="34">
        <f t="shared" si="9"/>
        <v>16</v>
      </c>
      <c r="C26" s="30" t="s">
        <v>136</v>
      </c>
      <c r="D26" s="30" t="s">
        <v>137</v>
      </c>
      <c r="E26" s="30" t="s">
        <v>131</v>
      </c>
      <c r="F26" s="30" t="s">
        <v>128</v>
      </c>
      <c r="G26" s="30" t="s">
        <v>130</v>
      </c>
      <c r="H26" s="35" t="s">
        <v>130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0000100000001</v>
      </c>
      <c r="AC26" s="15" t="str">
        <f t="shared" si="11"/>
        <v>1111121111110</v>
      </c>
      <c r="AD26" s="15" t="str">
        <f t="shared" si="11"/>
        <v>0100000100000</v>
      </c>
      <c r="AE26" s="15" t="str">
        <f t="shared" si="11"/>
        <v>0000011000000</v>
      </c>
      <c r="AF26" s="15" t="str">
        <f t="shared" si="11"/>
        <v>0001000010000</v>
      </c>
      <c r="AG26" s="41" t="str">
        <f t="shared" si="11"/>
        <v>0001000010000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16</v>
      </c>
      <c r="AT26" s="30">
        <f t="shared" si="16"/>
        <v>23</v>
      </c>
      <c r="AU26" s="30">
        <f t="shared" si="16"/>
        <v>35</v>
      </c>
      <c r="AV26" s="30">
        <f t="shared" si="16"/>
        <v>48</v>
      </c>
      <c r="AW26" s="30">
        <f t="shared" si="16"/>
        <v>35</v>
      </c>
      <c r="AX26" s="35">
        <f t="shared" si="16"/>
        <v>66</v>
      </c>
    </row>
    <row r="27" spans="2:64">
      <c r="B27" s="34">
        <f t="shared" si="9"/>
        <v>17</v>
      </c>
      <c r="C27" s="30" t="s">
        <v>129</v>
      </c>
      <c r="D27" s="30" t="s">
        <v>128</v>
      </c>
      <c r="E27" s="30" t="s">
        <v>131</v>
      </c>
      <c r="F27" s="30" t="s">
        <v>126</v>
      </c>
      <c r="G27" s="30" t="s">
        <v>134</v>
      </c>
      <c r="H27" s="35" t="s">
        <v>137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0000100001000</v>
      </c>
      <c r="AC27" s="15" t="str">
        <f t="shared" si="11"/>
        <v>0000011000000</v>
      </c>
      <c r="AD27" s="15" t="str">
        <f t="shared" si="11"/>
        <v>0200000000000</v>
      </c>
      <c r="AE27" s="15" t="str">
        <f t="shared" si="11"/>
        <v>1111112111110</v>
      </c>
      <c r="AF27" s="15" t="str">
        <f t="shared" si="11"/>
        <v>0001000010000</v>
      </c>
      <c r="AG27" s="41" t="str">
        <f t="shared" si="11"/>
        <v>0000010010000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12</v>
      </c>
      <c r="AT27" s="30">
        <f t="shared" si="16"/>
        <v>19</v>
      </c>
      <c r="AU27" s="30">
        <f t="shared" si="16"/>
        <v>41</v>
      </c>
      <c r="AV27" s="30">
        <f t="shared" si="16"/>
        <v>64</v>
      </c>
      <c r="AW27" s="30">
        <f t="shared" si="16"/>
        <v>57</v>
      </c>
      <c r="AX27" s="35">
        <f t="shared" si="16"/>
        <v>76</v>
      </c>
    </row>
    <row r="28" spans="2:64">
      <c r="B28" s="34">
        <f t="shared" si="9"/>
        <v>18</v>
      </c>
      <c r="C28" s="30"/>
      <c r="D28" s="30" t="s">
        <v>126</v>
      </c>
      <c r="E28" s="30" t="s">
        <v>133</v>
      </c>
      <c r="F28" s="30" t="s">
        <v>131</v>
      </c>
      <c r="G28" s="30" t="s">
        <v>133</v>
      </c>
      <c r="H28" s="35" t="s">
        <v>131</v>
      </c>
      <c r="J28" s="34" t="str">
        <f t="shared" si="3"/>
        <v/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/>
      </c>
      <c r="AC28" s="15" t="str">
        <f t="shared" si="11"/>
        <v>1111112111110</v>
      </c>
      <c r="AD28" s="15" t="str">
        <f t="shared" si="11"/>
        <v>0100000100000</v>
      </c>
      <c r="AE28" s="15" t="str">
        <f t="shared" si="11"/>
        <v>1211111111110</v>
      </c>
      <c r="AF28" s="15" t="str">
        <f t="shared" si="11"/>
        <v>0001000100000</v>
      </c>
      <c r="AG28" s="41" t="str">
        <f t="shared" si="11"/>
        <v>0100010000000</v>
      </c>
      <c r="AH28" s="15"/>
      <c r="AI28" s="21">
        <v>5</v>
      </c>
      <c r="AJ28" s="20" t="str">
        <f t="shared" ref="AJ28:AJ33" si="18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16</v>
      </c>
      <c r="AT28" s="30">
        <f t="shared" si="16"/>
        <v>18</v>
      </c>
      <c r="AU28" s="30">
        <f t="shared" si="16"/>
        <v>43</v>
      </c>
      <c r="AV28" s="30">
        <f t="shared" si="16"/>
        <v>61</v>
      </c>
      <c r="AW28" s="30">
        <f t="shared" si="16"/>
        <v>46</v>
      </c>
      <c r="AX28" s="35">
        <f t="shared" si="16"/>
        <v>62</v>
      </c>
    </row>
    <row r="29" spans="2:64">
      <c r="B29" s="34">
        <f t="shared" si="9"/>
        <v>19</v>
      </c>
      <c r="C29" s="30"/>
      <c r="D29" s="30" t="s">
        <v>137</v>
      </c>
      <c r="E29" s="30" t="s">
        <v>134</v>
      </c>
      <c r="F29" s="30" t="s">
        <v>133</v>
      </c>
      <c r="G29" s="30" t="s">
        <v>131</v>
      </c>
      <c r="H29" s="35" t="s">
        <v>137</v>
      </c>
      <c r="J29" s="34" t="str">
        <f t="shared" si="3"/>
        <v/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/>
      </c>
      <c r="AC29" s="15" t="str">
        <f t="shared" si="11"/>
        <v>1111121111110</v>
      </c>
      <c r="AD29" s="15" t="str">
        <f t="shared" si="11"/>
        <v>0001000100000</v>
      </c>
      <c r="AE29" s="15" t="str">
        <f t="shared" si="11"/>
        <v>0100000100000</v>
      </c>
      <c r="AF29" s="15" t="str">
        <f t="shared" si="11"/>
        <v>0100000100000</v>
      </c>
      <c r="AG29" s="41" t="str">
        <f t="shared" si="11"/>
        <v>0100010000000</v>
      </c>
      <c r="AH29" s="15"/>
      <c r="AI29" s="21">
        <v>4</v>
      </c>
      <c r="AJ29" s="20" t="str">
        <f t="shared" si="18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16</v>
      </c>
      <c r="AT29" s="30">
        <f t="shared" si="16"/>
        <v>17</v>
      </c>
      <c r="AU29" s="30">
        <f t="shared" si="16"/>
        <v>45</v>
      </c>
      <c r="AV29" s="30">
        <f t="shared" si="16"/>
        <v>59</v>
      </c>
      <c r="AW29" s="30">
        <f t="shared" si="16"/>
        <v>42</v>
      </c>
      <c r="AX29" s="35">
        <f t="shared" si="16"/>
        <v>68</v>
      </c>
    </row>
    <row r="30" spans="2:64">
      <c r="B30" s="34">
        <f t="shared" si="9"/>
        <v>20</v>
      </c>
      <c r="C30" s="30"/>
      <c r="D30" s="30" t="s">
        <v>126</v>
      </c>
      <c r="E30" s="30" t="s">
        <v>131</v>
      </c>
      <c r="F30" s="30" t="s">
        <v>133</v>
      </c>
      <c r="G30" s="30" t="s">
        <v>127</v>
      </c>
      <c r="H30" s="35" t="s">
        <v>131</v>
      </c>
      <c r="J30" s="34" t="str">
        <f t="shared" si="3"/>
        <v/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/>
      </c>
      <c r="AC30" s="15" t="str">
        <f t="shared" si="11"/>
        <v>1111121111110</v>
      </c>
      <c r="AD30" s="15" t="str">
        <f t="shared" si="11"/>
        <v>0101000000000</v>
      </c>
      <c r="AE30" s="15" t="str">
        <f t="shared" si="11"/>
        <v>0000000200000</v>
      </c>
      <c r="AF30" s="15" t="str">
        <f t="shared" si="11"/>
        <v>0110000000000</v>
      </c>
      <c r="AG30" s="41" t="str">
        <f t="shared" si="11"/>
        <v>0100010000000</v>
      </c>
      <c r="AH30" s="15"/>
      <c r="AI30" s="21">
        <v>3</v>
      </c>
      <c r="AJ30" s="20" t="str">
        <f t="shared" si="18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16</v>
      </c>
      <c r="AT30" s="30">
        <f t="shared" si="16"/>
        <v>23</v>
      </c>
      <c r="AU30" s="30">
        <f t="shared" si="16"/>
        <v>37</v>
      </c>
      <c r="AV30" s="30">
        <f t="shared" si="16"/>
        <v>47</v>
      </c>
      <c r="AW30" s="30">
        <f t="shared" si="16"/>
        <v>49</v>
      </c>
      <c r="AX30" s="35">
        <f t="shared" si="16"/>
        <v>86</v>
      </c>
    </row>
    <row r="31" spans="2:64">
      <c r="B31" s="34">
        <f t="shared" si="9"/>
        <v>21</v>
      </c>
      <c r="C31" s="30"/>
      <c r="D31" s="30" t="s">
        <v>128</v>
      </c>
      <c r="E31" s="30" t="s">
        <v>135</v>
      </c>
      <c r="F31" s="30" t="s">
        <v>135</v>
      </c>
      <c r="G31" s="30" t="s">
        <v>130</v>
      </c>
      <c r="H31" s="35" t="s">
        <v>134</v>
      </c>
      <c r="J31" s="34" t="str">
        <f t="shared" si="3"/>
        <v/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/>
      </c>
      <c r="AC31" s="15" t="str">
        <f t="shared" si="11"/>
        <v>1111112111110</v>
      </c>
      <c r="AD31" s="15" t="str">
        <f t="shared" si="11"/>
        <v>0100000000001</v>
      </c>
      <c r="AE31" s="15" t="str">
        <f t="shared" si="11"/>
        <v>0000000100001</v>
      </c>
      <c r="AF31" s="15" t="str">
        <f t="shared" si="11"/>
        <v>0010000010000</v>
      </c>
      <c r="AG31" s="41" t="str">
        <f t="shared" si="11"/>
        <v>0101000000000</v>
      </c>
      <c r="AH31" s="15"/>
      <c r="AI31" s="21">
        <v>2</v>
      </c>
      <c r="AJ31" s="20" t="str">
        <f t="shared" si="18"/>
        <v>CC-2</v>
      </c>
      <c r="AK31" s="39" cm="1">
        <f t="array" ref="AK31">SUMPRODUCT(--(MID(AB$10:AB$135, SUMIF($Z$9:$Z$21, LEFT($AJ31,2), $Y$9:$Y$21), 1) = RIGHT($AJ31, 1)), J$10:J$135)</f>
        <v>0</v>
      </c>
      <c r="AL31" s="39" cm="1">
        <f t="array" ref="AL31">SUMPRODUCT(--(MID(AC$10:AC$135, SUMIF($Z$9:$Z$21, LEFT($AJ31,2), $Y$9:$Y$21), 1) = RIGHT($AJ31, 1)), K$10:K$135)</f>
        <v>0</v>
      </c>
      <c r="AM31" s="39" cm="1">
        <f t="array" ref="AM31">SUMPRODUCT(--(MID(AD$10:AD$135, SUMIF($Z$9:$Z$21, LEFT($AJ31,2), $Y$9:$Y$21), 1) = RIGHT($AJ31, 1)), L$10:L$135)</f>
        <v>0</v>
      </c>
      <c r="AN31" s="39" cm="1">
        <f t="array" ref="AN31">SUMPRODUCT(--(MID(AE$10:AE$135, SUMIF($Z$9:$Z$21, LEFT($AJ31,2), $Y$9:$Y$21), 1) = RIGHT($AJ31, 1)), M$10:M$135)</f>
        <v>0</v>
      </c>
      <c r="AO31" s="39" cm="1">
        <f t="array" ref="AO31">SUMPRODUCT(--(MID(AF$10:AF$135, SUMIF($Z$9:$Z$21, LEFT($AJ31,2), $Y$9:$Y$21), 1) = RIGHT($AJ31, 1)), N$10:N$135)</f>
        <v>7</v>
      </c>
      <c r="AP31" s="19" cm="1">
        <f t="array" ref="AP31">SUMPRODUCT(--(MID(AG$10:AG$135, SUMIF($Z$9:$Z$21, LEFT($AJ31,2), $Y$9:$Y$21), 1) = RIGHT($AJ31, 1)), O$10:O$135)</f>
        <v>0</v>
      </c>
      <c r="AR31" s="34" t="str">
        <f t="shared" si="15"/>
        <v>HH-0</v>
      </c>
      <c r="AS31" s="30">
        <f t="shared" si="16"/>
        <v>16</v>
      </c>
      <c r="AT31" s="30">
        <f t="shared" si="16"/>
        <v>23</v>
      </c>
      <c r="AU31" s="30">
        <f t="shared" si="16"/>
        <v>42</v>
      </c>
      <c r="AV31" s="30">
        <f t="shared" si="16"/>
        <v>64</v>
      </c>
      <c r="AW31" s="30">
        <f t="shared" si="16"/>
        <v>43</v>
      </c>
      <c r="AX31" s="35">
        <f t="shared" si="16"/>
        <v>84</v>
      </c>
    </row>
    <row r="32" spans="2:64">
      <c r="B32" s="34">
        <f t="shared" si="9"/>
        <v>22</v>
      </c>
      <c r="C32" s="30"/>
      <c r="D32" s="30" t="s">
        <v>136</v>
      </c>
      <c r="E32" s="30" t="s">
        <v>130</v>
      </c>
      <c r="F32" s="30" t="s">
        <v>134</v>
      </c>
      <c r="G32" s="30" t="s">
        <v>137</v>
      </c>
      <c r="H32" s="35" t="s">
        <v>138</v>
      </c>
      <c r="J32" s="34" t="str">
        <f t="shared" si="3"/>
        <v/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/>
      </c>
      <c r="AC32" s="15" t="str">
        <f t="shared" si="11"/>
        <v>0000101000000</v>
      </c>
      <c r="AD32" s="15" t="str">
        <f t="shared" si="11"/>
        <v>0000000010001</v>
      </c>
      <c r="AE32" s="15" t="str">
        <f t="shared" si="11"/>
        <v>0001000000001</v>
      </c>
      <c r="AF32" s="15" t="str">
        <f t="shared" si="11"/>
        <v>0000010010000</v>
      </c>
      <c r="AG32" s="41" t="str">
        <f t="shared" si="11"/>
        <v>0001000000010</v>
      </c>
      <c r="AH32" s="15"/>
      <c r="AI32" s="21">
        <v>1</v>
      </c>
      <c r="AJ32" s="20" t="str">
        <f t="shared" si="18"/>
        <v>CC-1</v>
      </c>
      <c r="AK32" s="39" cm="1">
        <f t="array" ref="AK32">SUMPRODUCT(--(MID(AB$10:AB$135, SUMIF($Z$9:$Z$21, LEFT($AJ32,2), $Y$9:$Y$21), 1) = RIGHT($AJ32, 1)), J$10:J$135)</f>
        <v>2</v>
      </c>
      <c r="AL32" s="39" cm="1">
        <f t="array" ref="AL32">SUMPRODUCT(--(MID(AC$10:AC$135, SUMIF($Z$9:$Z$21, LEFT($AJ32,2), $Y$9:$Y$21), 1) = RIGHT($AJ32, 1)), K$10:K$135)</f>
        <v>14</v>
      </c>
      <c r="AM32" s="39" cm="1">
        <f t="array" ref="AM32">SUMPRODUCT(--(MID(AD$10:AD$135, SUMIF($Z$9:$Z$21, LEFT($AJ32,2), $Y$9:$Y$21), 1) = RIGHT($AJ32, 1)), L$10:L$135)</f>
        <v>14</v>
      </c>
      <c r="AN32" s="39" cm="1">
        <f t="array" ref="AN32">SUMPRODUCT(--(MID(AE$10:AE$135, SUMIF($Z$9:$Z$21, LEFT($AJ32,2), $Y$9:$Y$21), 1) = RIGHT($AJ32, 1)), M$10:M$135)</f>
        <v>22</v>
      </c>
      <c r="AO32" s="39" cm="1">
        <f t="array" ref="AO32">SUMPRODUCT(--(MID(AF$10:AF$135, SUMIF($Z$9:$Z$21, LEFT($AJ32,2), $Y$9:$Y$21), 1) = RIGHT($AJ32, 1)), N$10:N$135)</f>
        <v>50</v>
      </c>
      <c r="AP32" s="19" cm="1">
        <f t="array" ref="AP32">SUMPRODUCT(--(MID(AG$10:AG$135, SUMIF($Z$9:$Z$21, LEFT($AJ32,2), $Y$9:$Y$21), 1) = RIGHT($AJ32, 1)), O$10:O$135)</f>
        <v>22</v>
      </c>
      <c r="AR32" s="34" t="str">
        <f t="shared" si="15"/>
        <v>JJ-0</v>
      </c>
      <c r="AS32" s="30">
        <f t="shared" si="16"/>
        <v>12</v>
      </c>
      <c r="AT32" s="30">
        <f t="shared" si="16"/>
        <v>23</v>
      </c>
      <c r="AU32" s="30">
        <f t="shared" si="16"/>
        <v>44</v>
      </c>
      <c r="AV32" s="30">
        <f t="shared" si="16"/>
        <v>62</v>
      </c>
      <c r="AW32" s="30">
        <f t="shared" si="16"/>
        <v>56</v>
      </c>
      <c r="AX32" s="35">
        <f t="shared" si="16"/>
        <v>82</v>
      </c>
    </row>
    <row r="33" spans="2:50">
      <c r="B33" s="34">
        <f t="shared" si="9"/>
        <v>23</v>
      </c>
      <c r="C33" s="30"/>
      <c r="D33" s="30" t="s">
        <v>132</v>
      </c>
      <c r="E33" s="30" t="s">
        <v>127</v>
      </c>
      <c r="F33" s="30" t="s">
        <v>132</v>
      </c>
      <c r="G33" s="30" t="s">
        <v>134</v>
      </c>
      <c r="H33" s="35" t="s">
        <v>137</v>
      </c>
      <c r="J33" s="34" t="str">
        <f t="shared" si="3"/>
        <v/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/>
      </c>
      <c r="AC33" s="15" t="str">
        <f t="shared" si="11"/>
        <v>0000100000100</v>
      </c>
      <c r="AD33" s="15" t="str">
        <f t="shared" si="11"/>
        <v>0010000010000</v>
      </c>
      <c r="AE33" s="15" t="str">
        <f t="shared" si="11"/>
        <v>0001000000100</v>
      </c>
      <c r="AF33" s="15" t="str">
        <f t="shared" si="11"/>
        <v>0001010000000</v>
      </c>
      <c r="AG33" s="41" t="str">
        <f t="shared" si="11"/>
        <v>0000010000010</v>
      </c>
      <c r="AH33" s="15"/>
      <c r="AI33" s="21">
        <v>0</v>
      </c>
      <c r="AJ33" s="20" t="str">
        <f t="shared" si="18"/>
        <v>CC-0</v>
      </c>
      <c r="AK33" s="39" cm="1">
        <f t="array" ref="AK33">SUMPRODUCT(--(MID(AB$10:AB$135, SUMIF($Z$9:$Z$21, LEFT($AJ33,2), $Y$9:$Y$21), 1) = RIGHT($AJ33, 1)), J$10:J$135)</f>
        <v>16</v>
      </c>
      <c r="AL33" s="39" cm="1">
        <f t="array" ref="AL33">SUMPRODUCT(--(MID(AC$10:AC$135, SUMIF($Z$9:$Z$21, LEFT($AJ33,2), $Y$9:$Y$21), 1) = RIGHT($AJ33, 1)), K$10:K$135)</f>
        <v>23</v>
      </c>
      <c r="AM33" s="39" cm="1">
        <f t="array" ref="AM33">SUMPRODUCT(--(MID(AD$10:AD$135, SUMIF($Z$9:$Z$21, LEFT($AJ33,2), $Y$9:$Y$21), 1) = RIGHT($AJ33, 1)), L$10:L$135)</f>
        <v>35</v>
      </c>
      <c r="AN33" s="39" cm="1">
        <f t="array" ref="AN33">SUMPRODUCT(--(MID(AE$10:AE$135, SUMIF($Z$9:$Z$21, LEFT($AJ33,2), $Y$9:$Y$21), 1) = RIGHT($AJ33, 1)), M$10:M$135)</f>
        <v>48</v>
      </c>
      <c r="AO33" s="39" cm="1">
        <f t="array" ref="AO33">SUMPRODUCT(--(MID(AF$10:AF$135, SUMIF($Z$9:$Z$21, LEFT($AJ33,2), $Y$9:$Y$21), 1) = RIGHT($AJ33, 1)), N$10:N$135)</f>
        <v>35</v>
      </c>
      <c r="AP33" s="19" cm="1">
        <f t="array" ref="AP33">SUMPRODUCT(--(MID(AG$10:AG$135, SUMIF($Z$9:$Z$21, LEFT($AJ33,2), $Y$9:$Y$21), 1) = RIGHT($AJ33, 1)), O$10:O$135)</f>
        <v>66</v>
      </c>
      <c r="AR33" s="34" t="str">
        <f t="shared" si="15"/>
        <v>KK-0</v>
      </c>
      <c r="AS33" s="30">
        <f t="shared" si="16"/>
        <v>14</v>
      </c>
      <c r="AT33" s="30">
        <f t="shared" si="16"/>
        <v>19</v>
      </c>
      <c r="AU33" s="30">
        <f t="shared" si="16"/>
        <v>45</v>
      </c>
      <c r="AV33" s="30">
        <f t="shared" si="16"/>
        <v>58</v>
      </c>
      <c r="AW33" s="30">
        <f t="shared" si="16"/>
        <v>54</v>
      </c>
      <c r="AX33" s="35">
        <f t="shared" si="16"/>
        <v>80</v>
      </c>
    </row>
    <row r="34" spans="2:50">
      <c r="B34" s="34">
        <f t="shared" si="9"/>
        <v>24</v>
      </c>
      <c r="C34" s="30"/>
      <c r="D34" s="30" t="s">
        <v>135</v>
      </c>
      <c r="E34" s="30" t="s">
        <v>133</v>
      </c>
      <c r="F34" s="30" t="s">
        <v>138</v>
      </c>
      <c r="G34" s="30" t="s">
        <v>132</v>
      </c>
      <c r="H34" s="35" t="s">
        <v>138</v>
      </c>
      <c r="J34" s="34" t="str">
        <f t="shared" si="3"/>
        <v/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/>
      </c>
      <c r="AC34" s="15" t="str">
        <f t="shared" si="11"/>
        <v>0000000000101</v>
      </c>
      <c r="AD34" s="15" t="str">
        <f t="shared" si="11"/>
        <v>0010000100000</v>
      </c>
      <c r="AE34" s="15" t="str">
        <f t="shared" si="11"/>
        <v>0000000000110</v>
      </c>
      <c r="AF34" s="15" t="str">
        <f t="shared" si="11"/>
        <v>0001000000100</v>
      </c>
      <c r="AG34" s="41" t="str">
        <f t="shared" si="11"/>
        <v>0000010000010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16</v>
      </c>
      <c r="AT34" s="30">
        <f t="shared" si="16"/>
        <v>23</v>
      </c>
      <c r="AU34" s="30">
        <f t="shared" si="16"/>
        <v>41</v>
      </c>
      <c r="AV34" s="30">
        <f t="shared" si="16"/>
        <v>60</v>
      </c>
      <c r="AW34" s="30">
        <f t="shared" si="16"/>
        <v>45</v>
      </c>
      <c r="AX34" s="35">
        <f t="shared" si="16"/>
        <v>54</v>
      </c>
    </row>
    <row r="35" spans="2:50">
      <c r="B35" s="34">
        <f t="shared" si="9"/>
        <v>25</v>
      </c>
      <c r="C35" s="30"/>
      <c r="D35" s="30" t="s">
        <v>128</v>
      </c>
      <c r="E35" s="30" t="s">
        <v>134</v>
      </c>
      <c r="F35" s="30" t="s">
        <v>131</v>
      </c>
      <c r="G35" s="30" t="s">
        <v>138</v>
      </c>
      <c r="H35" s="35" t="s">
        <v>137</v>
      </c>
      <c r="J35" s="34" t="str">
        <f t="shared" si="3"/>
        <v/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/>
      </c>
      <c r="AC35" s="15" t="str">
        <f t="shared" si="11"/>
        <v>0000001000001</v>
      </c>
      <c r="AD35" s="15" t="str">
        <f t="shared" si="11"/>
        <v>0001000100000</v>
      </c>
      <c r="AE35" s="15" t="str">
        <f t="shared" si="11"/>
        <v>0100000000010</v>
      </c>
      <c r="AF35" s="15" t="str">
        <f t="shared" si="11"/>
        <v>0000000000110</v>
      </c>
      <c r="AG35" s="41" t="str">
        <f t="shared" si="11"/>
        <v>0000010000010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14</v>
      </c>
      <c r="AT35" s="37">
        <f t="shared" si="16"/>
        <v>29</v>
      </c>
      <c r="AU35" s="37">
        <f t="shared" si="16"/>
        <v>35</v>
      </c>
      <c r="AV35" s="37">
        <f t="shared" si="16"/>
        <v>50</v>
      </c>
      <c r="AW35" s="37">
        <f t="shared" si="16"/>
        <v>86</v>
      </c>
      <c r="AX35" s="38">
        <f t="shared" si="16"/>
        <v>84</v>
      </c>
    </row>
    <row r="36" spans="2:50">
      <c r="B36" s="34">
        <f t="shared" si="9"/>
        <v>26</v>
      </c>
      <c r="C36" s="30"/>
      <c r="D36" s="30" t="s">
        <v>131</v>
      </c>
      <c r="E36" s="30" t="s">
        <v>127</v>
      </c>
      <c r="F36" s="30" t="s">
        <v>134</v>
      </c>
      <c r="G36" s="30" t="s">
        <v>134</v>
      </c>
      <c r="H36" s="35" t="s">
        <v>128</v>
      </c>
      <c r="J36" s="34" t="str">
        <f t="shared" si="3"/>
        <v/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/>
      </c>
      <c r="AC36" s="15" t="str">
        <f t="shared" si="11"/>
        <v>0100001000000</v>
      </c>
      <c r="AD36" s="15" t="str">
        <f t="shared" si="11"/>
        <v>0011000000000</v>
      </c>
      <c r="AE36" s="15" t="str">
        <f t="shared" si="11"/>
        <v>0101000000000</v>
      </c>
      <c r="AF36" s="15" t="str">
        <f t="shared" si="11"/>
        <v>0001000000010</v>
      </c>
      <c r="AG36" s="41" t="str">
        <f t="shared" si="11"/>
        <v>0000011000000</v>
      </c>
      <c r="AH36" s="15"/>
      <c r="AI36" s="21">
        <v>5</v>
      </c>
      <c r="AJ36" s="20" t="str">
        <f t="shared" ref="AJ36:AJ41" si="19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/>
      <c r="D37" s="30" t="s">
        <v>126</v>
      </c>
      <c r="E37" s="30" t="s">
        <v>127</v>
      </c>
      <c r="F37" s="30" t="s">
        <v>133</v>
      </c>
      <c r="G37" s="30" t="s">
        <v>131</v>
      </c>
      <c r="H37" s="35" t="s">
        <v>135</v>
      </c>
      <c r="J37" s="34" t="str">
        <f t="shared" si="3"/>
        <v/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/>
      </c>
      <c r="AC37" s="15" t="str">
        <f t="shared" si="11"/>
        <v>1211111111110</v>
      </c>
      <c r="AD37" s="15" t="str">
        <f t="shared" si="11"/>
        <v>0020000000000</v>
      </c>
      <c r="AE37" s="15" t="str">
        <f t="shared" si="11"/>
        <v>0001000100000</v>
      </c>
      <c r="AF37" s="15" t="str">
        <f t="shared" si="11"/>
        <v>0101000000000</v>
      </c>
      <c r="AG37" s="41" t="str">
        <f t="shared" si="11"/>
        <v>0000001000001</v>
      </c>
      <c r="AH37" s="15"/>
      <c r="AI37" s="21">
        <v>4</v>
      </c>
      <c r="AJ37" s="20" t="str">
        <f t="shared" si="19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/>
      <c r="D38" s="30" t="s">
        <v>132</v>
      </c>
      <c r="E38" s="30" t="s">
        <v>135</v>
      </c>
      <c r="F38" s="30" t="s">
        <v>135</v>
      </c>
      <c r="G38" s="30" t="s">
        <v>133</v>
      </c>
      <c r="H38" s="35" t="s">
        <v>137</v>
      </c>
      <c r="J38" s="34" t="str">
        <f t="shared" si="3"/>
        <v/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/>
      </c>
      <c r="AC38" s="15" t="str">
        <f t="shared" si="11"/>
        <v>1111111111210</v>
      </c>
      <c r="AD38" s="15" t="str">
        <f t="shared" si="11"/>
        <v>0010000000001</v>
      </c>
      <c r="AE38" s="15" t="str">
        <f t="shared" si="11"/>
        <v>0000000100001</v>
      </c>
      <c r="AF38" s="15" t="str">
        <f t="shared" si="11"/>
        <v>0100000100000</v>
      </c>
      <c r="AG38" s="41" t="str">
        <f t="shared" si="11"/>
        <v>0000010000001</v>
      </c>
      <c r="AH38" s="15"/>
      <c r="AI38" s="21">
        <v>3</v>
      </c>
      <c r="AJ38" s="20" t="str">
        <f t="shared" si="19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/>
      <c r="D39" s="30" t="s">
        <v>128</v>
      </c>
      <c r="E39" s="30" t="s">
        <v>131</v>
      </c>
      <c r="F39" s="30" t="s">
        <v>137</v>
      </c>
      <c r="G39" s="30" t="s">
        <v>130</v>
      </c>
      <c r="H39" s="35" t="s">
        <v>131</v>
      </c>
      <c r="J39" s="34" t="str">
        <f t="shared" si="3"/>
        <v/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/>
      </c>
      <c r="AC39" s="15" t="str">
        <f t="shared" si="11"/>
        <v>0000001000100</v>
      </c>
      <c r="AD39" s="15" t="str">
        <f t="shared" si="11"/>
        <v>0100000000001</v>
      </c>
      <c r="AE39" s="15" t="str">
        <f t="shared" si="11"/>
        <v>0000010000001</v>
      </c>
      <c r="AF39" s="15" t="str">
        <f t="shared" si="11"/>
        <v>0000000110000</v>
      </c>
      <c r="AG39" s="41" t="str">
        <f t="shared" si="11"/>
        <v>0100010000000</v>
      </c>
      <c r="AH39" s="15"/>
      <c r="AI39" s="21">
        <v>2</v>
      </c>
      <c r="AJ39" s="20" t="str">
        <f t="shared" si="19"/>
        <v>DD-2</v>
      </c>
      <c r="AK39" s="39" cm="1">
        <f t="array" ref="AK39">SUMPRODUCT(--(MID(AB$10:AB$135, SUMIF($Z$9:$Z$21, LEFT($AJ39,2), $Y$9:$Y$21), 1) = RIGHT($AJ39, 1)), J$10:J$135)</f>
        <v>0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1</v>
      </c>
      <c r="AP39" s="19" cm="1">
        <f t="array" ref="AP39">SUMPRODUCT(--(MID(AG$10:AG$135, SUMIF($Z$9:$Z$21, LEFT($AJ39,2), $Y$9:$Y$21), 1) = RIGHT($AJ39, 1)), O$10:O$135)</f>
        <v>0</v>
      </c>
    </row>
    <row r="40" spans="2:50">
      <c r="B40" s="34">
        <f t="shared" si="9"/>
        <v>30</v>
      </c>
      <c r="C40" s="30"/>
      <c r="D40" s="30" t="s">
        <v>126</v>
      </c>
      <c r="E40" s="30" t="s">
        <v>127</v>
      </c>
      <c r="F40" s="30" t="s">
        <v>137</v>
      </c>
      <c r="G40" s="30" t="s">
        <v>128</v>
      </c>
      <c r="H40" s="35" t="s">
        <v>136</v>
      </c>
      <c r="J40" s="34" t="str">
        <f t="shared" si="3"/>
        <v/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/>
      </c>
      <c r="AC40" s="15" t="str">
        <f t="shared" si="11"/>
        <v>1111112111110</v>
      </c>
      <c r="AD40" s="15" t="str">
        <f t="shared" si="11"/>
        <v>0110000000000</v>
      </c>
      <c r="AE40" s="15" t="str">
        <f t="shared" si="11"/>
        <v>0000020000000</v>
      </c>
      <c r="AF40" s="15" t="str">
        <f t="shared" si="11"/>
        <v>0000001010000</v>
      </c>
      <c r="AG40" s="41" t="str">
        <f t="shared" si="11"/>
        <v>0100100000000</v>
      </c>
      <c r="AH40" s="15"/>
      <c r="AI40" s="21">
        <v>1</v>
      </c>
      <c r="AJ40" s="20" t="str">
        <f t="shared" si="19"/>
        <v>DD-1</v>
      </c>
      <c r="AK40" s="39" cm="1">
        <f t="array" ref="AK40">SUMPRODUCT(--(MID(AB$10:AB$135, SUMIF($Z$9:$Z$21, LEFT($AJ40,2), $Y$9:$Y$21), 1) = RIGHT($AJ40, 1)), J$10:J$135)</f>
        <v>6</v>
      </c>
      <c r="AL40" s="39" cm="1">
        <f t="array" ref="AL40">SUMPRODUCT(--(MID(AC$10:AC$135, SUMIF($Z$9:$Z$21, LEFT($AJ40,2), $Y$9:$Y$21), 1) = RIGHT($AJ40, 1)), K$10:K$135)</f>
        <v>18</v>
      </c>
      <c r="AM40" s="39" cm="1">
        <f t="array" ref="AM40">SUMPRODUCT(--(MID(AD$10:AD$135, SUMIF($Z$9:$Z$21, LEFT($AJ40,2), $Y$9:$Y$21), 1) = RIGHT($AJ40, 1)), L$10:L$135)</f>
        <v>8</v>
      </c>
      <c r="AN40" s="39" cm="1">
        <f t="array" ref="AN40">SUMPRODUCT(--(MID(AE$10:AE$135, SUMIF($Z$9:$Z$21, LEFT($AJ40,2), $Y$9:$Y$21), 1) = RIGHT($AJ40, 1)), M$10:M$135)</f>
        <v>6</v>
      </c>
      <c r="AO40" s="39" cm="1">
        <f t="array" ref="AO40">SUMPRODUCT(--(MID(AF$10:AF$135, SUMIF($Z$9:$Z$21, LEFT($AJ40,2), $Y$9:$Y$21), 1) = RIGHT($AJ40, 1)), N$10:N$135)</f>
        <v>34</v>
      </c>
      <c r="AP40" s="19" cm="1">
        <f t="array" ref="AP40">SUMPRODUCT(--(MID(AG$10:AG$135, SUMIF($Z$9:$Z$21, LEFT($AJ40,2), $Y$9:$Y$21), 1) = RIGHT($AJ40, 1)), O$10:O$135)</f>
        <v>12</v>
      </c>
    </row>
    <row r="41" spans="2:50">
      <c r="B41" s="34">
        <f t="shared" si="9"/>
        <v>31</v>
      </c>
      <c r="C41" s="30"/>
      <c r="D41" s="30" t="s">
        <v>135</v>
      </c>
      <c r="E41" s="30" t="s">
        <v>137</v>
      </c>
      <c r="F41" s="30" t="s">
        <v>128</v>
      </c>
      <c r="G41" s="30" t="s">
        <v>129</v>
      </c>
      <c r="H41" s="35" t="s">
        <v>131</v>
      </c>
      <c r="J41" s="34" t="str">
        <f t="shared" si="3"/>
        <v/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/>
      </c>
      <c r="AC41" s="15" t="str">
        <f t="shared" si="11"/>
        <v>1111111111111</v>
      </c>
      <c r="AD41" s="15" t="str">
        <f t="shared" si="11"/>
        <v>0010010000000</v>
      </c>
      <c r="AE41" s="15" t="str">
        <f t="shared" si="11"/>
        <v>0000011000000</v>
      </c>
      <c r="AF41" s="15" t="str">
        <f t="shared" si="11"/>
        <v>0000001001000</v>
      </c>
      <c r="AG41" s="41" t="str">
        <f t="shared" si="11"/>
        <v>0100100000000</v>
      </c>
      <c r="AH41" s="15"/>
      <c r="AI41" s="21">
        <v>0</v>
      </c>
      <c r="AJ41" s="20" t="str">
        <f t="shared" si="19"/>
        <v>DD-0</v>
      </c>
      <c r="AK41" s="39" cm="1">
        <f t="array" ref="AK41">SUMPRODUCT(--(MID(AB$10:AB$135, SUMIF($Z$9:$Z$21, LEFT($AJ41,2), $Y$9:$Y$21), 1) = RIGHT($AJ41, 1)), J$10:J$135)</f>
        <v>12</v>
      </c>
      <c r="AL41" s="39" cm="1">
        <f t="array" ref="AL41">SUMPRODUCT(--(MID(AC$10:AC$135, SUMIF($Z$9:$Z$21, LEFT($AJ41,2), $Y$9:$Y$21), 1) = RIGHT($AJ41, 1)), K$10:K$135)</f>
        <v>19</v>
      </c>
      <c r="AM41" s="39" cm="1">
        <f t="array" ref="AM41">SUMPRODUCT(--(MID(AD$10:AD$135, SUMIF($Z$9:$Z$21, LEFT($AJ41,2), $Y$9:$Y$21), 1) = RIGHT($AJ41, 1)), L$10:L$135)</f>
        <v>41</v>
      </c>
      <c r="AN41" s="39" cm="1">
        <f t="array" ref="AN41">SUMPRODUCT(--(MID(AE$10:AE$135, SUMIF($Z$9:$Z$21, LEFT($AJ41,2), $Y$9:$Y$21), 1) = RIGHT($AJ41, 1)), M$10:M$135)</f>
        <v>64</v>
      </c>
      <c r="AO41" s="39" cm="1">
        <f t="array" ref="AO41">SUMPRODUCT(--(MID(AF$10:AF$135, SUMIF($Z$9:$Z$21, LEFT($AJ41,2), $Y$9:$Y$21), 1) = RIGHT($AJ41, 1)), N$10:N$135)</f>
        <v>57</v>
      </c>
      <c r="AP41" s="19" cm="1">
        <f t="array" ref="AP41">SUMPRODUCT(--(MID(AG$10:AG$135, SUMIF($Z$9:$Z$21, LEFT($AJ41,2), $Y$9:$Y$21), 1) = RIGHT($AJ41, 1)), O$10:O$135)</f>
        <v>76</v>
      </c>
    </row>
    <row r="42" spans="2:50">
      <c r="B42" s="34">
        <f t="shared" si="9"/>
        <v>32</v>
      </c>
      <c r="C42" s="30"/>
      <c r="D42" s="30" t="s">
        <v>131</v>
      </c>
      <c r="E42" s="30" t="s">
        <v>134</v>
      </c>
      <c r="F42" s="30" t="s">
        <v>138</v>
      </c>
      <c r="G42" s="30" t="s">
        <v>126</v>
      </c>
      <c r="H42" s="35" t="s">
        <v>128</v>
      </c>
      <c r="J42" s="34" t="str">
        <f t="shared" si="3"/>
        <v/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/>
      </c>
      <c r="AC42" s="15" t="str">
        <f t="shared" si="11"/>
        <v>0100000000001</v>
      </c>
      <c r="AD42" s="15" t="str">
        <f t="shared" si="11"/>
        <v>0001010000000</v>
      </c>
      <c r="AE42" s="15" t="str">
        <f t="shared" si="11"/>
        <v>0000001000010</v>
      </c>
      <c r="AF42" s="15" t="str">
        <f t="shared" si="11"/>
        <v>1111111112110</v>
      </c>
      <c r="AG42" s="41" t="str">
        <f t="shared" si="11"/>
        <v>0100001000000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/>
      <c r="D43" s="30" t="s">
        <v>137</v>
      </c>
      <c r="E43" s="30" t="s">
        <v>129</v>
      </c>
      <c r="F43" s="30" t="s">
        <v>130</v>
      </c>
      <c r="G43" s="30" t="s">
        <v>137</v>
      </c>
      <c r="H43" s="35" t="s">
        <v>138</v>
      </c>
      <c r="J43" s="34" t="str">
        <f t="shared" si="3"/>
        <v/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/>
      </c>
      <c r="AC43" s="15" t="str">
        <f t="shared" si="11"/>
        <v>0100010000000</v>
      </c>
      <c r="AD43" s="15" t="str">
        <f t="shared" si="11"/>
        <v>0001000001000</v>
      </c>
      <c r="AE43" s="15" t="str">
        <f t="shared" si="11"/>
        <v>0000000010010</v>
      </c>
      <c r="AF43" s="15" t="str">
        <f t="shared" si="11"/>
        <v>1111121111110</v>
      </c>
      <c r="AG43" s="41" t="str">
        <f t="shared" si="11"/>
        <v>0000001000010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/>
      <c r="D44" s="30" t="s">
        <v>132</v>
      </c>
      <c r="E44" s="30" t="s">
        <v>138</v>
      </c>
      <c r="F44" s="30" t="s">
        <v>134</v>
      </c>
      <c r="G44" s="30" t="s">
        <v>128</v>
      </c>
      <c r="H44" s="35" t="s">
        <v>131</v>
      </c>
      <c r="J44" s="34" t="str">
        <f t="shared" si="3"/>
        <v/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/>
      </c>
      <c r="AC44" s="15" t="str">
        <f t="shared" si="11"/>
        <v>0000010000100</v>
      </c>
      <c r="AD44" s="15" t="str">
        <f t="shared" si="11"/>
        <v>0000000001010</v>
      </c>
      <c r="AE44" s="15" t="str">
        <f t="shared" si="11"/>
        <v>0001000010000</v>
      </c>
      <c r="AF44" s="15" t="str">
        <f t="shared" si="11"/>
        <v>0000011000000</v>
      </c>
      <c r="AG44" s="41" t="str">
        <f t="shared" si="11"/>
        <v>0100000000010</v>
      </c>
      <c r="AH44" s="15"/>
      <c r="AI44" s="21">
        <v>5</v>
      </c>
      <c r="AJ44" s="20" t="str">
        <f t="shared" ref="AJ44:AJ49" si="20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/>
      <c r="D45" s="30" t="s">
        <v>137</v>
      </c>
      <c r="E45" s="30" t="s">
        <v>135</v>
      </c>
      <c r="F45" s="30" t="s">
        <v>135</v>
      </c>
      <c r="G45" s="30" t="s">
        <v>138</v>
      </c>
      <c r="H45" s="35" t="s">
        <v>138</v>
      </c>
      <c r="J45" s="34" t="str">
        <f t="shared" si="3"/>
        <v/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/>
      </c>
      <c r="AC45" s="15" t="str">
        <f t="shared" si="11"/>
        <v>0000010000100</v>
      </c>
      <c r="AD45" s="15" t="str">
        <f t="shared" si="11"/>
        <v>0000000000011</v>
      </c>
      <c r="AE45" s="15" t="str">
        <f t="shared" si="11"/>
        <v>0001000000001</v>
      </c>
      <c r="AF45" s="15" t="str">
        <f t="shared" si="11"/>
        <v>0000001000010</v>
      </c>
      <c r="AG45" s="41" t="str">
        <f t="shared" si="11"/>
        <v>0100000000010</v>
      </c>
      <c r="AH45" s="15"/>
      <c r="AI45" s="21">
        <v>4</v>
      </c>
      <c r="AJ45" s="20" t="str">
        <f t="shared" si="20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/>
      <c r="D46" s="30" t="s">
        <v>136</v>
      </c>
      <c r="E46" s="30" t="s">
        <v>136</v>
      </c>
      <c r="F46" s="30" t="s">
        <v>133</v>
      </c>
      <c r="G46" s="30" t="s">
        <v>130</v>
      </c>
      <c r="H46" s="35" t="s">
        <v>128</v>
      </c>
      <c r="J46" s="34" t="str">
        <f t="shared" si="3"/>
        <v/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/>
      </c>
      <c r="AC46" s="15" t="str">
        <f t="shared" si="11"/>
        <v>0000110000000</v>
      </c>
      <c r="AD46" s="15" t="str">
        <f t="shared" si="11"/>
        <v>0000100000001</v>
      </c>
      <c r="AE46" s="15" t="str">
        <f t="shared" si="11"/>
        <v>0000000100001</v>
      </c>
      <c r="AF46" s="15" t="str">
        <f t="shared" si="11"/>
        <v>0000000010010</v>
      </c>
      <c r="AG46" s="41" t="str">
        <f t="shared" si="11"/>
        <v>0000001000010</v>
      </c>
      <c r="AH46" s="15"/>
      <c r="AI46" s="21">
        <v>3</v>
      </c>
      <c r="AJ46" s="20" t="str">
        <f t="shared" si="20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/>
      <c r="D47" s="30"/>
      <c r="E47" s="30" t="s">
        <v>134</v>
      </c>
      <c r="F47" s="30" t="s">
        <v>129</v>
      </c>
      <c r="G47" s="30" t="s">
        <v>134</v>
      </c>
      <c r="H47" s="35" t="s">
        <v>131</v>
      </c>
      <c r="J47" s="34" t="str">
        <f t="shared" si="3"/>
        <v/>
      </c>
      <c r="K47" s="30" t="str">
        <f t="shared" si="3"/>
        <v/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/>
      </c>
      <c r="AC47" s="15" t="str">
        <f t="shared" si="11"/>
        <v/>
      </c>
      <c r="AD47" s="15" t="str">
        <f t="shared" si="11"/>
        <v>0001100000000</v>
      </c>
      <c r="AE47" s="15" t="str">
        <f t="shared" si="11"/>
        <v>0000000101000</v>
      </c>
      <c r="AF47" s="15" t="str">
        <f t="shared" si="11"/>
        <v>0001000010000</v>
      </c>
      <c r="AG47" s="41" t="str">
        <f t="shared" si="11"/>
        <v>0100001000000</v>
      </c>
      <c r="AH47" s="15"/>
      <c r="AI47" s="21">
        <v>2</v>
      </c>
      <c r="AJ47" s="20" t="str">
        <f t="shared" si="20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3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1</v>
      </c>
      <c r="AO47" s="39" cm="1">
        <f t="array" ref="AO47">SUMPRODUCT(--(MID(AF$10:AF$135, SUMIF($Z$9:$Z$21, LEFT($AJ47,2), $Y$9:$Y$21), 1) = RIGHT($AJ47, 1)), N$10:N$135)</f>
        <v>8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/>
      <c r="D48" s="30"/>
      <c r="E48" s="30" t="s">
        <v>130</v>
      </c>
      <c r="F48" s="30" t="s">
        <v>132</v>
      </c>
      <c r="G48" s="30" t="s">
        <v>130</v>
      </c>
      <c r="H48" s="35" t="s">
        <v>138</v>
      </c>
      <c r="J48" s="34" t="str">
        <f t="shared" si="3"/>
        <v/>
      </c>
      <c r="K48" s="30" t="str">
        <f t="shared" si="3"/>
        <v/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/>
      </c>
      <c r="AC48" s="15" t="str">
        <f t="shared" si="11"/>
        <v/>
      </c>
      <c r="AD48" s="15" t="str">
        <f t="shared" si="11"/>
        <v>0001000010000</v>
      </c>
      <c r="AE48" s="15" t="str">
        <f t="shared" si="11"/>
        <v>0000000001100</v>
      </c>
      <c r="AF48" s="15" t="str">
        <f t="shared" si="11"/>
        <v>0001000010000</v>
      </c>
      <c r="AG48" s="41" t="str">
        <f t="shared" si="11"/>
        <v>0100000000010</v>
      </c>
      <c r="AH48" s="15"/>
      <c r="AI48" s="21">
        <v>1</v>
      </c>
      <c r="AJ48" s="20" t="str">
        <f t="shared" si="20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16</v>
      </c>
      <c r="AM48" s="39" cm="1">
        <f t="array" ref="AM48">SUMPRODUCT(--(MID(AD$10:AD$135, SUMIF($Z$9:$Z$21, LEFT($AJ48,2), $Y$9:$Y$21), 1) = RIGHT($AJ48, 1)), L$10:L$135)</f>
        <v>6</v>
      </c>
      <c r="AN48" s="39" cm="1">
        <f t="array" ref="AN48">SUMPRODUCT(--(MID(AE$10:AE$135, SUMIF($Z$9:$Z$21, LEFT($AJ48,2), $Y$9:$Y$21), 1) = RIGHT($AJ48, 1)), M$10:M$135)</f>
        <v>8</v>
      </c>
      <c r="AO48" s="39" cm="1">
        <f t="array" ref="AO48">SUMPRODUCT(--(MID(AF$10:AF$135, SUMIF($Z$9:$Z$21, LEFT($AJ48,2), $Y$9:$Y$21), 1) = RIGHT($AJ48, 1)), N$10:N$135)</f>
        <v>38</v>
      </c>
      <c r="AP48" s="19" cm="1">
        <f t="array" ref="AP48">SUMPRODUCT(--(MID(AG$10:AG$135, SUMIF($Z$9:$Z$21, LEFT($AJ48,2), $Y$9:$Y$21), 1) = RIGHT($AJ48, 1)), O$10:O$135)</f>
        <v>26</v>
      </c>
    </row>
    <row r="49" spans="2:42">
      <c r="B49" s="34">
        <f t="shared" si="9"/>
        <v>39</v>
      </c>
      <c r="C49" s="30"/>
      <c r="D49" s="30"/>
      <c r="E49" s="30" t="s">
        <v>127</v>
      </c>
      <c r="F49" s="30" t="s">
        <v>134</v>
      </c>
      <c r="G49" s="30" t="s">
        <v>137</v>
      </c>
      <c r="H49" s="35" t="s">
        <v>129</v>
      </c>
      <c r="J49" s="34" t="str">
        <f t="shared" si="3"/>
        <v/>
      </c>
      <c r="K49" s="30" t="str">
        <f t="shared" si="3"/>
        <v/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/>
      </c>
      <c r="AC49" s="15" t="str">
        <f t="shared" si="11"/>
        <v/>
      </c>
      <c r="AD49" s="15" t="str">
        <f t="shared" si="11"/>
        <v>0010000010000</v>
      </c>
      <c r="AE49" s="15" t="str">
        <f t="shared" si="11"/>
        <v>0001000000100</v>
      </c>
      <c r="AF49" s="15" t="str">
        <f t="shared" si="11"/>
        <v>0000010010000</v>
      </c>
      <c r="AG49" s="41" t="str">
        <f t="shared" si="11"/>
        <v>0000000001010</v>
      </c>
      <c r="AH49" s="15"/>
      <c r="AI49" s="21">
        <v>0</v>
      </c>
      <c r="AJ49" s="20" t="str">
        <f t="shared" si="20"/>
        <v>EE-0</v>
      </c>
      <c r="AK49" s="39" cm="1">
        <f t="array" ref="AK49">SUMPRODUCT(--(MID(AB$10:AB$135, SUMIF($Z$9:$Z$21, LEFT($AJ49,2), $Y$9:$Y$21), 1) = RIGHT($AJ49, 1)), J$10:J$135)</f>
        <v>16</v>
      </c>
      <c r="AL49" s="39" cm="1">
        <f t="array" ref="AL49">SUMPRODUCT(--(MID(AC$10:AC$135, SUMIF($Z$9:$Z$21, LEFT($AJ49,2), $Y$9:$Y$21), 1) = RIGHT($AJ49, 1)), K$10:K$135)</f>
        <v>18</v>
      </c>
      <c r="AM49" s="39" cm="1">
        <f t="array" ref="AM49">SUMPRODUCT(--(MID(AD$10:AD$135, SUMIF($Z$9:$Z$21, LEFT($AJ49,2), $Y$9:$Y$21), 1) = RIGHT($AJ49, 1)), L$10:L$135)</f>
        <v>43</v>
      </c>
      <c r="AN49" s="39" cm="1">
        <f t="array" ref="AN49">SUMPRODUCT(--(MID(AE$10:AE$135, SUMIF($Z$9:$Z$21, LEFT($AJ49,2), $Y$9:$Y$21), 1) = RIGHT($AJ49, 1)), M$10:M$135)</f>
        <v>61</v>
      </c>
      <c r="AO49" s="39" cm="1">
        <f t="array" ref="AO49">SUMPRODUCT(--(MID(AF$10:AF$135, SUMIF($Z$9:$Z$21, LEFT($AJ49,2), $Y$9:$Y$21), 1) = RIGHT($AJ49, 1)), N$10:N$135)</f>
        <v>46</v>
      </c>
      <c r="AP49" s="19" cm="1">
        <f t="array" ref="AP49">SUMPRODUCT(--(MID(AG$10:AG$135, SUMIF($Z$9:$Z$21, LEFT($AJ49,2), $Y$9:$Y$21), 1) = RIGHT($AJ49, 1)), O$10:O$135)</f>
        <v>62</v>
      </c>
    </row>
    <row r="50" spans="2:42">
      <c r="B50" s="34">
        <f t="shared" si="9"/>
        <v>40</v>
      </c>
      <c r="C50" s="30"/>
      <c r="D50" s="30"/>
      <c r="E50" s="30" t="s">
        <v>133</v>
      </c>
      <c r="F50" s="30" t="s">
        <v>131</v>
      </c>
      <c r="G50" s="30" t="s">
        <v>138</v>
      </c>
      <c r="H50" s="35" t="s">
        <v>138</v>
      </c>
      <c r="J50" s="34" t="str">
        <f t="shared" si="3"/>
        <v/>
      </c>
      <c r="K50" s="30" t="str">
        <f t="shared" si="3"/>
        <v/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/>
      </c>
      <c r="AC50" s="15" t="str">
        <f t="shared" si="11"/>
        <v/>
      </c>
      <c r="AD50" s="15" t="str">
        <f t="shared" si="11"/>
        <v>0010000100000</v>
      </c>
      <c r="AE50" s="15" t="str">
        <f t="shared" si="11"/>
        <v>0101000000000</v>
      </c>
      <c r="AF50" s="15" t="str">
        <f t="shared" si="11"/>
        <v>0000010000010</v>
      </c>
      <c r="AG50" s="41" t="str">
        <f t="shared" si="11"/>
        <v>0000000001010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/>
      <c r="D51" s="30"/>
      <c r="E51" s="30" t="s">
        <v>131</v>
      </c>
      <c r="F51" s="30" t="s">
        <v>133</v>
      </c>
      <c r="G51" s="30" t="s">
        <v>131</v>
      </c>
      <c r="H51" s="35" t="s">
        <v>134</v>
      </c>
      <c r="J51" s="34" t="str">
        <f t="shared" si="3"/>
        <v/>
      </c>
      <c r="K51" s="30" t="str">
        <f t="shared" si="3"/>
        <v/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/>
      </c>
      <c r="AC51" s="15" t="str">
        <f t="shared" si="11"/>
        <v/>
      </c>
      <c r="AD51" s="15" t="str">
        <f t="shared" si="11"/>
        <v>0100000100000</v>
      </c>
      <c r="AE51" s="15" t="str">
        <f t="shared" si="11"/>
        <v>0100000100000</v>
      </c>
      <c r="AF51" s="15" t="str">
        <f t="shared" si="11"/>
        <v>0100000000010</v>
      </c>
      <c r="AG51" s="41" t="str">
        <f t="shared" si="11"/>
        <v>0001000000010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/>
      <c r="D52" s="30"/>
      <c r="E52" s="30" t="s">
        <v>135</v>
      </c>
      <c r="F52" s="30" t="s">
        <v>135</v>
      </c>
      <c r="G52" s="30" t="s">
        <v>127</v>
      </c>
      <c r="H52" s="35" t="s">
        <v>138</v>
      </c>
      <c r="J52" s="34" t="str">
        <f t="shared" si="3"/>
        <v/>
      </c>
      <c r="K52" s="30" t="str">
        <f t="shared" si="3"/>
        <v/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/>
      </c>
      <c r="AC52" s="15" t="str">
        <f t="shared" si="11"/>
        <v/>
      </c>
      <c r="AD52" s="15" t="str">
        <f t="shared" si="11"/>
        <v>0100000000001</v>
      </c>
      <c r="AE52" s="15" t="str">
        <f t="shared" si="11"/>
        <v>0000000100001</v>
      </c>
      <c r="AF52" s="15" t="str">
        <f t="shared" si="11"/>
        <v>0110000000000</v>
      </c>
      <c r="AG52" s="41" t="str">
        <f t="shared" si="11"/>
        <v>0001000000010</v>
      </c>
      <c r="AH52" s="15"/>
      <c r="AI52" s="21">
        <v>5</v>
      </c>
      <c r="AJ52" s="20" t="str">
        <f t="shared" ref="AJ52:AJ57" si="21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/>
      <c r="D53" s="30"/>
      <c r="E53" s="30" t="s">
        <v>134</v>
      </c>
      <c r="F53" s="30" t="s">
        <v>133</v>
      </c>
      <c r="G53" s="30" t="s">
        <v>126</v>
      </c>
      <c r="H53" s="35" t="s">
        <v>137</v>
      </c>
      <c r="J53" s="34" t="str">
        <f t="shared" si="3"/>
        <v/>
      </c>
      <c r="K53" s="30" t="str">
        <f t="shared" si="3"/>
        <v/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/>
      </c>
      <c r="AC53" s="15" t="str">
        <f t="shared" si="11"/>
        <v/>
      </c>
      <c r="AD53" s="15" t="str">
        <f t="shared" si="11"/>
        <v>0001000000001</v>
      </c>
      <c r="AE53" s="15" t="str">
        <f t="shared" si="11"/>
        <v>0000000100001</v>
      </c>
      <c r="AF53" s="15" t="str">
        <f t="shared" si="11"/>
        <v>1121111111110</v>
      </c>
      <c r="AG53" s="41" t="str">
        <f t="shared" si="11"/>
        <v>0000010000010</v>
      </c>
      <c r="AH53" s="15"/>
      <c r="AI53" s="21">
        <v>4</v>
      </c>
      <c r="AJ53" s="20" t="str">
        <f t="shared" si="21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/>
      <c r="D54" s="30"/>
      <c r="E54" s="30" t="s">
        <v>136</v>
      </c>
      <c r="F54" s="30" t="s">
        <v>134</v>
      </c>
      <c r="G54" s="30" t="s">
        <v>137</v>
      </c>
      <c r="H54" s="35" t="s">
        <v>134</v>
      </c>
      <c r="J54" s="34" t="str">
        <f t="shared" si="3"/>
        <v/>
      </c>
      <c r="K54" s="30" t="str">
        <f t="shared" si="3"/>
        <v/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/>
      </c>
      <c r="AC54" s="15" t="str">
        <f t="shared" si="11"/>
        <v/>
      </c>
      <c r="AD54" s="15" t="str">
        <f t="shared" si="11"/>
        <v>0001100000000</v>
      </c>
      <c r="AE54" s="15" t="str">
        <f t="shared" si="11"/>
        <v>0001000100000</v>
      </c>
      <c r="AF54" s="15" t="str">
        <f t="shared" si="11"/>
        <v>1111121111110</v>
      </c>
      <c r="AG54" s="41" t="str">
        <f t="shared" si="11"/>
        <v>0001010000000</v>
      </c>
      <c r="AH54" s="15"/>
      <c r="AI54" s="21">
        <v>3</v>
      </c>
      <c r="AJ54" s="20" t="str">
        <f t="shared" si="21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/>
      <c r="D55" s="30"/>
      <c r="E55" s="30" t="s">
        <v>131</v>
      </c>
      <c r="F55" s="30" t="s">
        <v>133</v>
      </c>
      <c r="G55" s="30" t="s">
        <v>134</v>
      </c>
      <c r="H55" s="35" t="s">
        <v>136</v>
      </c>
      <c r="J55" s="34" t="str">
        <f t="shared" si="3"/>
        <v/>
      </c>
      <c r="K55" s="30" t="str">
        <f t="shared" si="3"/>
        <v/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/>
      </c>
      <c r="AC55" s="15" t="str">
        <f t="shared" si="11"/>
        <v/>
      </c>
      <c r="AD55" s="15" t="str">
        <f t="shared" si="11"/>
        <v>0100100000000</v>
      </c>
      <c r="AE55" s="15" t="str">
        <f t="shared" si="11"/>
        <v>0001000100000</v>
      </c>
      <c r="AF55" s="15" t="str">
        <f t="shared" si="11"/>
        <v>0001010000000</v>
      </c>
      <c r="AG55" s="41" t="str">
        <f t="shared" si="11"/>
        <v>0001100000000</v>
      </c>
      <c r="AH55" s="15"/>
      <c r="AI55" s="21">
        <v>2</v>
      </c>
      <c r="AJ55" s="20" t="str">
        <f t="shared" si="21"/>
        <v>FF-2</v>
      </c>
      <c r="AK55" s="39" cm="1">
        <f t="array" ref="AK55">SUMPRODUCT(--(MID(AB$10:AB$135, SUMIF($Z$9:$Z$21, LEFT($AJ55,2), $Y$9:$Y$21), 1) = RIGHT($AJ55, 1)), J$10:J$135)</f>
        <v>0</v>
      </c>
      <c r="AL55" s="39" cm="1">
        <f t="array" ref="AL55">SUMPRODUCT(--(MID(AC$10:AC$135, SUMIF($Z$9:$Z$21, LEFT($AJ55,2), $Y$9:$Y$21), 1) = RIGHT($AJ55, 1)), K$10:K$135)</f>
        <v>4</v>
      </c>
      <c r="AM55" s="39" cm="1">
        <f t="array" ref="AM55">SUMPRODUCT(--(MID(AD$10:AD$135, SUMIF($Z$9:$Z$21, LEFT($AJ55,2), $Y$9:$Y$21), 1) = RIGHT($AJ55, 1)), L$10:L$135)</f>
        <v>0</v>
      </c>
      <c r="AN55" s="39" cm="1">
        <f t="array" ref="AN55">SUMPRODUCT(--(MID(AE$10:AE$135, SUMIF($Z$9:$Z$21, LEFT($AJ55,2), $Y$9:$Y$21), 1) = RIGHT($AJ55, 1)), M$10:M$135)</f>
        <v>1</v>
      </c>
      <c r="AO55" s="39" cm="1">
        <f t="array" ref="AO55">SUMPRODUCT(--(MID(AF$10:AF$135, SUMIF($Z$9:$Z$21, LEFT($AJ55,2), $Y$9:$Y$21), 1) = RIGHT($AJ55, 1)), N$10:N$135)</f>
        <v>4</v>
      </c>
      <c r="AP55" s="19" cm="1">
        <f t="array" ref="AP55">SUMPRODUCT(--(MID(AG$10:AG$135, SUMIF($Z$9:$Z$21, LEFT($AJ55,2), $Y$9:$Y$21), 1) = RIGHT($AJ55, 1)), O$10:O$135)</f>
        <v>0</v>
      </c>
    </row>
    <row r="56" spans="2:42">
      <c r="B56" s="34">
        <f t="shared" si="9"/>
        <v>46</v>
      </c>
      <c r="C56" s="30"/>
      <c r="D56" s="30"/>
      <c r="E56" s="30" t="s">
        <v>127</v>
      </c>
      <c r="F56" s="30" t="s">
        <v>132</v>
      </c>
      <c r="G56" s="30" t="s">
        <v>130</v>
      </c>
      <c r="H56" s="35" t="s">
        <v>138</v>
      </c>
      <c r="J56" s="34" t="str">
        <f t="shared" si="3"/>
        <v/>
      </c>
      <c r="K56" s="30" t="str">
        <f t="shared" si="3"/>
        <v/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/>
      </c>
      <c r="AC56" s="15" t="str">
        <f t="shared" si="11"/>
        <v/>
      </c>
      <c r="AD56" s="15" t="str">
        <f t="shared" si="11"/>
        <v>0110000000000</v>
      </c>
      <c r="AE56" s="15" t="str">
        <f t="shared" si="11"/>
        <v>0000000100100</v>
      </c>
      <c r="AF56" s="15" t="str">
        <f t="shared" si="11"/>
        <v>0001000010000</v>
      </c>
      <c r="AG56" s="41" t="str">
        <f t="shared" si="11"/>
        <v>0000100000010</v>
      </c>
      <c r="AH56" s="15"/>
      <c r="AI56" s="21">
        <v>1</v>
      </c>
      <c r="AJ56" s="20" t="str">
        <f t="shared" si="21"/>
        <v>FF-1</v>
      </c>
      <c r="AK56" s="39" cm="1">
        <f t="array" ref="AK56">SUMPRODUCT(--(MID(AB$10:AB$135, SUMIF($Z$9:$Z$21, LEFT($AJ56,2), $Y$9:$Y$21), 1) = RIGHT($AJ56, 1)), J$10:J$135)</f>
        <v>2</v>
      </c>
      <c r="AL56" s="39" cm="1">
        <f t="array" ref="AL56">SUMPRODUCT(--(MID(AC$10:AC$135, SUMIF($Z$9:$Z$21, LEFT($AJ56,2), $Y$9:$Y$21), 1) = RIGHT($AJ56, 1)), K$10:K$135)</f>
        <v>16</v>
      </c>
      <c r="AM56" s="39" cm="1">
        <f t="array" ref="AM56">SUMPRODUCT(--(MID(AD$10:AD$135, SUMIF($Z$9:$Z$21, LEFT($AJ56,2), $Y$9:$Y$21), 1) = RIGHT($AJ56, 1)), L$10:L$135)</f>
        <v>4</v>
      </c>
      <c r="AN56" s="39" cm="1">
        <f t="array" ref="AN56">SUMPRODUCT(--(MID(AE$10:AE$135, SUMIF($Z$9:$Z$21, LEFT($AJ56,2), $Y$9:$Y$21), 1) = RIGHT($AJ56, 1)), M$10:M$135)</f>
        <v>10</v>
      </c>
      <c r="AO56" s="39" cm="1">
        <f t="array" ref="AO56">SUMPRODUCT(--(MID(AF$10:AF$135, SUMIF($Z$9:$Z$21, LEFT($AJ56,2), $Y$9:$Y$21), 1) = RIGHT($AJ56, 1)), N$10:N$135)</f>
        <v>46</v>
      </c>
      <c r="AP56" s="19" cm="1">
        <f t="array" ref="AP56">SUMPRODUCT(--(MID(AG$10:AG$135, SUMIF($Z$9:$Z$21, LEFT($AJ56,2), $Y$9:$Y$21), 1) = RIGHT($AJ56, 1)), O$10:O$135)</f>
        <v>20</v>
      </c>
    </row>
    <row r="57" spans="2:42">
      <c r="B57" s="34">
        <f t="shared" si="9"/>
        <v>47</v>
      </c>
      <c r="C57" s="30"/>
      <c r="D57" s="30"/>
      <c r="E57" s="30" t="s">
        <v>133</v>
      </c>
      <c r="F57" s="30" t="s">
        <v>128</v>
      </c>
      <c r="G57" s="30" t="s">
        <v>128</v>
      </c>
      <c r="H57" s="35" t="s">
        <v>131</v>
      </c>
      <c r="J57" s="34" t="str">
        <f t="shared" si="3"/>
        <v/>
      </c>
      <c r="K57" s="30" t="str">
        <f t="shared" si="3"/>
        <v/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/>
      </c>
      <c r="AC57" s="15" t="str">
        <f t="shared" si="11"/>
        <v/>
      </c>
      <c r="AD57" s="15" t="str">
        <f t="shared" si="11"/>
        <v>0010000100000</v>
      </c>
      <c r="AE57" s="15" t="str">
        <f t="shared" si="11"/>
        <v>0000001000100</v>
      </c>
      <c r="AF57" s="15" t="str">
        <f t="shared" si="11"/>
        <v>0000001010000</v>
      </c>
      <c r="AG57" s="41" t="str">
        <f t="shared" si="11"/>
        <v>0100000000010</v>
      </c>
      <c r="AH57" s="15"/>
      <c r="AI57" s="21">
        <v>0</v>
      </c>
      <c r="AJ57" s="20" t="str">
        <f t="shared" si="21"/>
        <v>FF-0</v>
      </c>
      <c r="AK57" s="39" cm="1">
        <f t="array" ref="AK57">SUMPRODUCT(--(MID(AB$10:AB$135, SUMIF($Z$9:$Z$21, LEFT($AJ57,2), $Y$9:$Y$21), 1) = RIGHT($AJ57, 1)), J$10:J$135)</f>
        <v>16</v>
      </c>
      <c r="AL57" s="39" cm="1">
        <f t="array" ref="AL57">SUMPRODUCT(--(MID(AC$10:AC$135, SUMIF($Z$9:$Z$21, LEFT($AJ57,2), $Y$9:$Y$21), 1) = RIGHT($AJ57, 1)), K$10:K$135)</f>
        <v>17</v>
      </c>
      <c r="AM57" s="39" cm="1">
        <f t="array" ref="AM57">SUMPRODUCT(--(MID(AD$10:AD$135, SUMIF($Z$9:$Z$21, LEFT($AJ57,2), $Y$9:$Y$21), 1) = RIGHT($AJ57, 1)), L$10:L$135)</f>
        <v>45</v>
      </c>
      <c r="AN57" s="39" cm="1">
        <f t="array" ref="AN57">SUMPRODUCT(--(MID(AE$10:AE$135, SUMIF($Z$9:$Z$21, LEFT($AJ57,2), $Y$9:$Y$21), 1) = RIGHT($AJ57, 1)), M$10:M$135)</f>
        <v>59</v>
      </c>
      <c r="AO57" s="39" cm="1">
        <f t="array" ref="AO57">SUMPRODUCT(--(MID(AF$10:AF$135, SUMIF($Z$9:$Z$21, LEFT($AJ57,2), $Y$9:$Y$21), 1) = RIGHT($AJ57, 1)), N$10:N$135)</f>
        <v>42</v>
      </c>
      <c r="AP57" s="19" cm="1">
        <f t="array" ref="AP57">SUMPRODUCT(--(MID(AG$10:AG$135, SUMIF($Z$9:$Z$21, LEFT($AJ57,2), $Y$9:$Y$21), 1) = RIGHT($AJ57, 1)), O$10:O$135)</f>
        <v>68</v>
      </c>
    </row>
    <row r="58" spans="2:42">
      <c r="B58" s="34">
        <f t="shared" si="9"/>
        <v>48</v>
      </c>
      <c r="C58" s="30"/>
      <c r="D58" s="30"/>
      <c r="E58" s="30" t="s">
        <v>131</v>
      </c>
      <c r="F58" s="30" t="s">
        <v>134</v>
      </c>
      <c r="G58" s="30" t="s">
        <v>135</v>
      </c>
      <c r="H58" s="35" t="s">
        <v>136</v>
      </c>
      <c r="J58" s="34" t="str">
        <f t="shared" si="3"/>
        <v/>
      </c>
      <c r="K58" s="30" t="str">
        <f t="shared" si="3"/>
        <v/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/>
      </c>
      <c r="AC58" s="15" t="str">
        <f t="shared" si="11"/>
        <v/>
      </c>
      <c r="AD58" s="15" t="str">
        <f t="shared" si="11"/>
        <v>0100000100000</v>
      </c>
      <c r="AE58" s="15" t="str">
        <f t="shared" si="11"/>
        <v>0001001000000</v>
      </c>
      <c r="AF58" s="15" t="str">
        <f t="shared" si="11"/>
        <v>0000001000001</v>
      </c>
      <c r="AG58" s="41" t="str">
        <f t="shared" si="11"/>
        <v>0100100000000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/>
      <c r="D59" s="30"/>
      <c r="E59" s="30"/>
      <c r="F59" s="30" t="s">
        <v>135</v>
      </c>
      <c r="G59" s="30" t="s">
        <v>137</v>
      </c>
      <c r="H59" s="35" t="s">
        <v>131</v>
      </c>
      <c r="J59" s="34" t="str">
        <f t="shared" si="3"/>
        <v/>
      </c>
      <c r="K59" s="30" t="str">
        <f t="shared" si="3"/>
        <v/>
      </c>
      <c r="L59" s="30" t="str">
        <f t="shared" si="3"/>
        <v/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/>
      </c>
      <c r="AC59" s="15" t="str">
        <f t="shared" si="11"/>
        <v/>
      </c>
      <c r="AD59" s="15" t="str">
        <f t="shared" si="11"/>
        <v/>
      </c>
      <c r="AE59" s="15" t="str">
        <f t="shared" si="11"/>
        <v>0001000000001</v>
      </c>
      <c r="AF59" s="15" t="str">
        <f t="shared" si="11"/>
        <v>0000010000001</v>
      </c>
      <c r="AG59" s="41" t="str">
        <f t="shared" si="11"/>
        <v>0100100000000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/>
      <c r="D60" s="30"/>
      <c r="E60" s="30"/>
      <c r="F60" s="30" t="s">
        <v>134</v>
      </c>
      <c r="G60" s="30" t="s">
        <v>128</v>
      </c>
      <c r="H60" s="35" t="s">
        <v>137</v>
      </c>
      <c r="J60" s="34" t="str">
        <f t="shared" ref="J60:O102" si="22">IF(C60="","",1)</f>
        <v/>
      </c>
      <c r="K60" s="30" t="str">
        <f t="shared" si="22"/>
        <v/>
      </c>
      <c r="L60" s="30" t="str">
        <f t="shared" si="22"/>
        <v/>
      </c>
      <c r="M60" s="30">
        <f t="shared" si="22"/>
        <v>1</v>
      </c>
      <c r="N60" s="30">
        <f t="shared" si="22"/>
        <v>1</v>
      </c>
      <c r="O60" s="35">
        <f t="shared" si="22"/>
        <v>1</v>
      </c>
      <c r="AA60" s="15"/>
      <c r="AB60" s="40" t="str">
        <f t="shared" si="11"/>
        <v/>
      </c>
      <c r="AC60" s="15" t="str">
        <f t="shared" si="11"/>
        <v/>
      </c>
      <c r="AD60" s="15" t="str">
        <f t="shared" si="11"/>
        <v/>
      </c>
      <c r="AE60" s="15" t="str">
        <f t="shared" si="11"/>
        <v>0001000000001</v>
      </c>
      <c r="AF60" s="15" t="str">
        <f t="shared" si="11"/>
        <v>0000011000000</v>
      </c>
      <c r="AG60" s="41" t="str">
        <f t="shared" si="11"/>
        <v>0100010000000</v>
      </c>
      <c r="AH60" s="15"/>
      <c r="AI60" s="21">
        <v>5</v>
      </c>
      <c r="AJ60" s="20" t="str">
        <f t="shared" ref="AJ60:AJ65" si="23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/>
      <c r="D61" s="30"/>
      <c r="E61" s="30"/>
      <c r="F61" s="30" t="s">
        <v>136</v>
      </c>
      <c r="G61" s="30" t="s">
        <v>126</v>
      </c>
      <c r="H61" s="35" t="s">
        <v>131</v>
      </c>
      <c r="J61" s="34" t="str">
        <f t="shared" si="22"/>
        <v/>
      </c>
      <c r="K61" s="30" t="str">
        <f t="shared" si="22"/>
        <v/>
      </c>
      <c r="L61" s="30" t="str">
        <f t="shared" si="22"/>
        <v/>
      </c>
      <c r="M61" s="30">
        <f t="shared" si="22"/>
        <v>1</v>
      </c>
      <c r="N61" s="30">
        <f t="shared" si="22"/>
        <v>1</v>
      </c>
      <c r="O61" s="35">
        <f t="shared" si="22"/>
        <v>1</v>
      </c>
      <c r="AA61" s="15"/>
      <c r="AB61" s="40" t="str">
        <f t="shared" si="11"/>
        <v/>
      </c>
      <c r="AC61" s="15" t="str">
        <f t="shared" si="11"/>
        <v/>
      </c>
      <c r="AD61" s="15" t="str">
        <f t="shared" si="11"/>
        <v/>
      </c>
      <c r="AE61" s="15" t="str">
        <f t="shared" si="11"/>
        <v>0001100000000</v>
      </c>
      <c r="AF61" s="15" t="str">
        <f t="shared" si="11"/>
        <v>1111112111110</v>
      </c>
      <c r="AG61" s="41" t="str">
        <f t="shared" si="11"/>
        <v>0100010000000</v>
      </c>
      <c r="AH61" s="15"/>
      <c r="AI61" s="21">
        <v>4</v>
      </c>
      <c r="AJ61" s="20" t="str">
        <f t="shared" si="23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/>
      <c r="D62" s="30"/>
      <c r="E62" s="30"/>
      <c r="F62" s="30" t="s">
        <v>131</v>
      </c>
      <c r="G62" s="30" t="s">
        <v>134</v>
      </c>
      <c r="H62" s="35" t="s">
        <v>128</v>
      </c>
      <c r="J62" s="34" t="str">
        <f t="shared" si="22"/>
        <v/>
      </c>
      <c r="K62" s="30" t="str">
        <f t="shared" si="22"/>
        <v/>
      </c>
      <c r="L62" s="30" t="str">
        <f t="shared" si="22"/>
        <v/>
      </c>
      <c r="M62" s="30">
        <f t="shared" si="22"/>
        <v>1</v>
      </c>
      <c r="N62" s="30">
        <f t="shared" si="22"/>
        <v>1</v>
      </c>
      <c r="O62" s="35">
        <f t="shared" si="22"/>
        <v>1</v>
      </c>
      <c r="AA62" s="15"/>
      <c r="AB62" s="40" t="str">
        <f t="shared" si="11"/>
        <v/>
      </c>
      <c r="AC62" s="15" t="str">
        <f t="shared" si="11"/>
        <v/>
      </c>
      <c r="AD62" s="15" t="str">
        <f t="shared" si="11"/>
        <v/>
      </c>
      <c r="AE62" s="15" t="str">
        <f t="shared" si="11"/>
        <v>0100100000000</v>
      </c>
      <c r="AF62" s="15" t="str">
        <f t="shared" si="11"/>
        <v>1112111111110</v>
      </c>
      <c r="AG62" s="41" t="str">
        <f t="shared" si="11"/>
        <v>0100001000000</v>
      </c>
      <c r="AH62" s="15"/>
      <c r="AI62" s="21">
        <v>3</v>
      </c>
      <c r="AJ62" s="20" t="str">
        <f t="shared" si="23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/>
      <c r="D63" s="30"/>
      <c r="E63" s="30"/>
      <c r="F63" s="30" t="s">
        <v>127</v>
      </c>
      <c r="G63" s="30" t="s">
        <v>127</v>
      </c>
      <c r="H63" s="35" t="s">
        <v>131</v>
      </c>
      <c r="J63" s="34" t="str">
        <f t="shared" si="22"/>
        <v/>
      </c>
      <c r="K63" s="30" t="str">
        <f t="shared" si="22"/>
        <v/>
      </c>
      <c r="L63" s="30" t="str">
        <f t="shared" si="22"/>
        <v/>
      </c>
      <c r="M63" s="30">
        <f t="shared" si="22"/>
        <v>1</v>
      </c>
      <c r="N63" s="30">
        <f t="shared" si="22"/>
        <v>1</v>
      </c>
      <c r="O63" s="35">
        <f t="shared" si="22"/>
        <v>1</v>
      </c>
      <c r="AA63" s="15"/>
      <c r="AB63" s="40" t="str">
        <f t="shared" si="11"/>
        <v/>
      </c>
      <c r="AC63" s="15" t="str">
        <f t="shared" si="11"/>
        <v/>
      </c>
      <c r="AD63" s="15" t="str">
        <f t="shared" si="11"/>
        <v/>
      </c>
      <c r="AE63" s="15" t="str">
        <f t="shared" si="11"/>
        <v>0110000000000</v>
      </c>
      <c r="AF63" s="15" t="str">
        <f t="shared" si="11"/>
        <v>0011000000000</v>
      </c>
      <c r="AG63" s="41" t="str">
        <f t="shared" si="11"/>
        <v>0100001000000</v>
      </c>
      <c r="AH63" s="15"/>
      <c r="AI63" s="21">
        <v>2</v>
      </c>
      <c r="AJ63" s="20" t="str">
        <f t="shared" si="23"/>
        <v>GG-2</v>
      </c>
      <c r="AK63" s="39" cm="1">
        <f t="array" ref="AK63">SUMPRODUCT(--(MID(AB$10:AB$135, SUMIF($Z$9:$Z$21, LEFT($AJ63,2), $Y$9:$Y$21), 1) = RIGHT($AJ63, 1)), J$10:J$135)</f>
        <v>0</v>
      </c>
      <c r="AL63" s="39" cm="1">
        <f t="array" ref="AL63">SUMPRODUCT(--(MID(AC$10:AC$135, SUMIF($Z$9:$Z$21, LEFT($AJ63,2), $Y$9:$Y$21), 1) = RIGHT($AJ63, 1)), K$10:K$135)</f>
        <v>0</v>
      </c>
      <c r="AM63" s="39" cm="1">
        <f t="array" ref="AM63">SUMPRODUCT(--(MID(AD$10:AD$135, SUMIF($Z$9:$Z$21, LEFT($AJ63,2), $Y$9:$Y$21), 1) = RIGHT($AJ63, 1)), L$10:L$135)</f>
        <v>0</v>
      </c>
      <c r="AN63" s="39" cm="1">
        <f t="array" ref="AN63">SUMPRODUCT(--(MID(AE$10:AE$135, SUMIF($Z$9:$Z$21, LEFT($AJ63,2), $Y$9:$Y$21), 1) = RIGHT($AJ63, 1)), M$10:M$135)</f>
        <v>1</v>
      </c>
      <c r="AO63" s="39" cm="1">
        <f t="array" ref="AO63">SUMPRODUCT(--(MID(AF$10:AF$135, SUMIF($Z$9:$Z$21, LEFT($AJ63,2), $Y$9:$Y$21), 1) = RIGHT($AJ63, 1)), N$10:N$135)</f>
        <v>1</v>
      </c>
      <c r="AP63" s="19" cm="1">
        <f t="array" ref="AP63">SUMPRODUCT(--(MID(AG$10:AG$135, SUMIF($Z$9:$Z$21, LEFT($AJ63,2), $Y$9:$Y$21), 1) = RIGHT($AJ63, 1)), O$10:O$135)</f>
        <v>0</v>
      </c>
    </row>
    <row r="64" spans="2:42">
      <c r="B64" s="34">
        <f t="shared" si="9"/>
        <v>54</v>
      </c>
      <c r="C64" s="30"/>
      <c r="D64" s="30"/>
      <c r="E64" s="30"/>
      <c r="F64" s="30" t="s">
        <v>133</v>
      </c>
      <c r="G64" s="30" t="s">
        <v>134</v>
      </c>
      <c r="H64" s="35" t="s">
        <v>128</v>
      </c>
      <c r="J64" s="34" t="str">
        <f t="shared" si="22"/>
        <v/>
      </c>
      <c r="K64" s="30" t="str">
        <f t="shared" si="22"/>
        <v/>
      </c>
      <c r="L64" s="30" t="str">
        <f t="shared" si="22"/>
        <v/>
      </c>
      <c r="M64" s="30">
        <f t="shared" si="22"/>
        <v>1</v>
      </c>
      <c r="N64" s="30">
        <f t="shared" si="22"/>
        <v>1</v>
      </c>
      <c r="O64" s="35">
        <f t="shared" si="22"/>
        <v>1</v>
      </c>
      <c r="AB64" s="40" t="str">
        <f t="shared" si="11"/>
        <v/>
      </c>
      <c r="AC64" s="15" t="str">
        <f t="shared" si="11"/>
        <v/>
      </c>
      <c r="AD64" s="15" t="str">
        <f t="shared" si="11"/>
        <v/>
      </c>
      <c r="AE64" s="15" t="str">
        <f t="shared" si="11"/>
        <v>0010000100000</v>
      </c>
      <c r="AF64" s="15" t="str">
        <f t="shared" si="11"/>
        <v>0011000000000</v>
      </c>
      <c r="AG64" s="41" t="str">
        <f t="shared" si="11"/>
        <v>0100001000000</v>
      </c>
      <c r="AH64" s="15"/>
      <c r="AI64" s="21">
        <v>1</v>
      </c>
      <c r="AJ64" s="20" t="str">
        <f t="shared" si="23"/>
        <v>GG-1</v>
      </c>
      <c r="AK64" s="39" cm="1">
        <f t="array" ref="AK64">SUMPRODUCT(--(MID(AB$10:AB$135, SUMIF($Z$9:$Z$21, LEFT($AJ64,2), $Y$9:$Y$21), 1) = RIGHT($AJ64, 1)), J$10:J$135)</f>
        <v>2</v>
      </c>
      <c r="AL64" s="39" cm="1">
        <f t="array" ref="AL64">SUMPRODUCT(--(MID(AC$10:AC$135, SUMIF($Z$9:$Z$21, LEFT($AJ64,2), $Y$9:$Y$21), 1) = RIGHT($AJ64, 1)), K$10:K$135)</f>
        <v>14</v>
      </c>
      <c r="AM64" s="39" cm="1">
        <f t="array" ref="AM64">SUMPRODUCT(--(MID(AD$10:AD$135, SUMIF($Z$9:$Z$21, LEFT($AJ64,2), $Y$9:$Y$21), 1) = RIGHT($AJ64, 1)), L$10:L$135)</f>
        <v>12</v>
      </c>
      <c r="AN64" s="39" cm="1">
        <f t="array" ref="AN64">SUMPRODUCT(--(MID(AE$10:AE$135, SUMIF($Z$9:$Z$21, LEFT($AJ64,2), $Y$9:$Y$21), 1) = RIGHT($AJ64, 1)), M$10:M$135)</f>
        <v>22</v>
      </c>
      <c r="AO64" s="39" cm="1">
        <f t="array" ref="AO64">SUMPRODUCT(--(MID(AF$10:AF$135, SUMIF($Z$9:$Z$21, LEFT($AJ64,2), $Y$9:$Y$21), 1) = RIGHT($AJ64, 1)), N$10:N$135)</f>
        <v>42</v>
      </c>
      <c r="AP64" s="19" cm="1">
        <f t="array" ref="AP64">SUMPRODUCT(--(MID(AG$10:AG$135, SUMIF($Z$9:$Z$21, LEFT($AJ64,2), $Y$9:$Y$21), 1) = RIGHT($AJ64, 1)), O$10:O$135)</f>
        <v>2</v>
      </c>
    </row>
    <row r="65" spans="2:42">
      <c r="B65" s="34">
        <f t="shared" si="9"/>
        <v>55</v>
      </c>
      <c r="C65" s="30"/>
      <c r="D65" s="30"/>
      <c r="E65" s="30"/>
      <c r="F65" s="30" t="s">
        <v>131</v>
      </c>
      <c r="G65" s="30" t="s">
        <v>126</v>
      </c>
      <c r="H65" s="35" t="s">
        <v>137</v>
      </c>
      <c r="J65" s="34" t="str">
        <f t="shared" si="22"/>
        <v/>
      </c>
      <c r="K65" s="30" t="str">
        <f t="shared" si="22"/>
        <v/>
      </c>
      <c r="L65" s="30" t="str">
        <f t="shared" si="22"/>
        <v/>
      </c>
      <c r="M65" s="30">
        <f t="shared" si="22"/>
        <v>1</v>
      </c>
      <c r="N65" s="30">
        <f t="shared" si="22"/>
        <v>1</v>
      </c>
      <c r="O65" s="35">
        <f t="shared" si="22"/>
        <v>1</v>
      </c>
      <c r="AB65" s="40" t="str">
        <f t="shared" si="11"/>
        <v/>
      </c>
      <c r="AC65" s="15" t="str">
        <f t="shared" si="11"/>
        <v/>
      </c>
      <c r="AD65" s="15" t="str">
        <f t="shared" si="11"/>
        <v/>
      </c>
      <c r="AE65" s="15" t="str">
        <f t="shared" si="11"/>
        <v>0100000100000</v>
      </c>
      <c r="AF65" s="15" t="str">
        <f t="shared" si="11"/>
        <v>1112111111110</v>
      </c>
      <c r="AG65" s="41" t="str">
        <f t="shared" si="11"/>
        <v>0000011000000</v>
      </c>
      <c r="AH65" s="15"/>
      <c r="AI65" s="21">
        <v>0</v>
      </c>
      <c r="AJ65" s="20" t="str">
        <f t="shared" si="23"/>
        <v>GG-0</v>
      </c>
      <c r="AK65" s="39" cm="1">
        <f t="array" ref="AK65">SUMPRODUCT(--(MID(AB$10:AB$135, SUMIF($Z$9:$Z$21, LEFT($AJ65,2), $Y$9:$Y$21), 1) = RIGHT($AJ65, 1)), J$10:J$135)</f>
        <v>16</v>
      </c>
      <c r="AL65" s="39" cm="1">
        <f t="array" ref="AL65">SUMPRODUCT(--(MID(AC$10:AC$135, SUMIF($Z$9:$Z$21, LEFT($AJ65,2), $Y$9:$Y$21), 1) = RIGHT($AJ65, 1)), K$10:K$135)</f>
        <v>23</v>
      </c>
      <c r="AM65" s="39" cm="1">
        <f t="array" ref="AM65">SUMPRODUCT(--(MID(AD$10:AD$135, SUMIF($Z$9:$Z$21, LEFT($AJ65,2), $Y$9:$Y$21), 1) = RIGHT($AJ65, 1)), L$10:L$135)</f>
        <v>37</v>
      </c>
      <c r="AN65" s="39" cm="1">
        <f t="array" ref="AN65">SUMPRODUCT(--(MID(AE$10:AE$135, SUMIF($Z$9:$Z$21, LEFT($AJ65,2), $Y$9:$Y$21), 1) = RIGHT($AJ65, 1)), M$10:M$135)</f>
        <v>47</v>
      </c>
      <c r="AO65" s="39" cm="1">
        <f t="array" ref="AO65">SUMPRODUCT(--(MID(AF$10:AF$135, SUMIF($Z$9:$Z$21, LEFT($AJ65,2), $Y$9:$Y$21), 1) = RIGHT($AJ65, 1)), N$10:N$135)</f>
        <v>49</v>
      </c>
      <c r="AP65" s="19" cm="1">
        <f t="array" ref="AP65">SUMPRODUCT(--(MID(AG$10:AG$135, SUMIF($Z$9:$Z$21, LEFT($AJ65,2), $Y$9:$Y$21), 1) = RIGHT($AJ65, 1)), O$10:O$135)</f>
        <v>86</v>
      </c>
    </row>
    <row r="66" spans="2:42">
      <c r="B66" s="34">
        <f t="shared" si="9"/>
        <v>56</v>
      </c>
      <c r="C66" s="30"/>
      <c r="D66" s="30"/>
      <c r="E66" s="30"/>
      <c r="F66" s="30" t="s">
        <v>135</v>
      </c>
      <c r="G66" s="30" t="s">
        <v>128</v>
      </c>
      <c r="H66" s="35" t="s">
        <v>132</v>
      </c>
      <c r="J66" s="34" t="str">
        <f t="shared" si="22"/>
        <v/>
      </c>
      <c r="K66" s="30" t="str">
        <f t="shared" si="22"/>
        <v/>
      </c>
      <c r="L66" s="30" t="str">
        <f t="shared" si="22"/>
        <v/>
      </c>
      <c r="M66" s="30">
        <f t="shared" si="22"/>
        <v>1</v>
      </c>
      <c r="N66" s="30">
        <f t="shared" si="22"/>
        <v>1</v>
      </c>
      <c r="O66" s="35">
        <f t="shared" si="22"/>
        <v>1</v>
      </c>
      <c r="AB66" s="40" t="str">
        <f t="shared" ref="AB66:AG108" si="24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/>
      </c>
      <c r="AC66" s="15" t="str">
        <f t="shared" si="24"/>
        <v/>
      </c>
      <c r="AD66" s="15" t="str">
        <f t="shared" si="24"/>
        <v/>
      </c>
      <c r="AE66" s="15" t="str">
        <f t="shared" si="24"/>
        <v>0100000000001</v>
      </c>
      <c r="AF66" s="15" t="str">
        <f t="shared" si="24"/>
        <v>1111112111110</v>
      </c>
      <c r="AG66" s="41" t="str">
        <f t="shared" si="24"/>
        <v>0000010000100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/>
      <c r="D67" s="30"/>
      <c r="E67" s="30"/>
      <c r="F67" s="30" t="s">
        <v>134</v>
      </c>
      <c r="G67" s="30" t="s">
        <v>126</v>
      </c>
      <c r="H67" s="35" t="s">
        <v>128</v>
      </c>
      <c r="J67" s="34" t="str">
        <f t="shared" si="22"/>
        <v/>
      </c>
      <c r="K67" s="30" t="str">
        <f t="shared" si="22"/>
        <v/>
      </c>
      <c r="L67" s="30" t="str">
        <f t="shared" si="22"/>
        <v/>
      </c>
      <c r="M67" s="30">
        <f t="shared" si="22"/>
        <v>1</v>
      </c>
      <c r="N67" s="30">
        <f t="shared" si="22"/>
        <v>1</v>
      </c>
      <c r="O67" s="35">
        <f t="shared" si="22"/>
        <v>1</v>
      </c>
      <c r="AB67" s="40" t="str">
        <f t="shared" si="24"/>
        <v/>
      </c>
      <c r="AC67" s="15" t="str">
        <f t="shared" si="24"/>
        <v/>
      </c>
      <c r="AD67" s="15" t="str">
        <f t="shared" si="24"/>
        <v/>
      </c>
      <c r="AE67" s="15" t="str">
        <f t="shared" si="24"/>
        <v>0001000000001</v>
      </c>
      <c r="AF67" s="15" t="str">
        <f t="shared" si="24"/>
        <v>1111112111110</v>
      </c>
      <c r="AG67" s="41" t="str">
        <f t="shared" si="24"/>
        <v>0000001000100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/>
      <c r="D68" s="30"/>
      <c r="E68" s="30"/>
      <c r="F68" s="30" t="s">
        <v>132</v>
      </c>
      <c r="G68" s="30" t="s">
        <v>134</v>
      </c>
      <c r="H68" s="35" t="s">
        <v>134</v>
      </c>
      <c r="J68" s="34" t="str">
        <f t="shared" si="22"/>
        <v/>
      </c>
      <c r="K68" s="30" t="str">
        <f t="shared" si="22"/>
        <v/>
      </c>
      <c r="L68" s="30" t="str">
        <f t="shared" si="22"/>
        <v/>
      </c>
      <c r="M68" s="30">
        <f t="shared" si="22"/>
        <v>1</v>
      </c>
      <c r="N68" s="30">
        <f t="shared" si="22"/>
        <v>1</v>
      </c>
      <c r="O68" s="35">
        <f t="shared" si="22"/>
        <v>1</v>
      </c>
      <c r="AB68" s="40" t="str">
        <f t="shared" si="24"/>
        <v/>
      </c>
      <c r="AC68" s="15" t="str">
        <f t="shared" si="24"/>
        <v/>
      </c>
      <c r="AD68" s="15" t="str">
        <f t="shared" si="24"/>
        <v/>
      </c>
      <c r="AE68" s="15" t="str">
        <f t="shared" si="24"/>
        <v>0001000000100</v>
      </c>
      <c r="AF68" s="15" t="str">
        <f t="shared" si="24"/>
        <v>1112111111110</v>
      </c>
      <c r="AG68" s="41" t="str">
        <f t="shared" si="24"/>
        <v>0001001000000</v>
      </c>
      <c r="AH68" s="15"/>
      <c r="AI68" s="21">
        <v>5</v>
      </c>
      <c r="AJ68" s="20" t="str">
        <f t="shared" ref="AJ68:AJ73" si="25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/>
      <c r="D69" s="30"/>
      <c r="E69" s="30"/>
      <c r="F69" s="30" t="s">
        <v>138</v>
      </c>
      <c r="G69" s="30" t="s">
        <v>128</v>
      </c>
      <c r="H69" s="35" t="s">
        <v>138</v>
      </c>
      <c r="J69" s="34" t="str">
        <f t="shared" si="22"/>
        <v/>
      </c>
      <c r="K69" s="30" t="str">
        <f t="shared" si="22"/>
        <v/>
      </c>
      <c r="L69" s="30" t="str">
        <f t="shared" si="22"/>
        <v/>
      </c>
      <c r="M69" s="30">
        <f t="shared" si="22"/>
        <v>1</v>
      </c>
      <c r="N69" s="30">
        <f t="shared" si="22"/>
        <v>1</v>
      </c>
      <c r="O69" s="35">
        <f t="shared" si="22"/>
        <v>1</v>
      </c>
      <c r="AB69" s="40" t="str">
        <f t="shared" si="24"/>
        <v/>
      </c>
      <c r="AC69" s="15" t="str">
        <f t="shared" si="24"/>
        <v/>
      </c>
      <c r="AD69" s="15" t="str">
        <f t="shared" si="24"/>
        <v/>
      </c>
      <c r="AE69" s="15" t="str">
        <f t="shared" si="24"/>
        <v>0000000000110</v>
      </c>
      <c r="AF69" s="15" t="str">
        <f t="shared" si="24"/>
        <v>0001001000000</v>
      </c>
      <c r="AG69" s="41" t="str">
        <f t="shared" si="24"/>
        <v>0001000000010</v>
      </c>
      <c r="AH69" s="15"/>
      <c r="AI69" s="21">
        <v>4</v>
      </c>
      <c r="AJ69" s="20" t="str">
        <f t="shared" si="25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/>
      <c r="D70" s="30"/>
      <c r="E70" s="30"/>
      <c r="F70" s="30" t="s">
        <v>131</v>
      </c>
      <c r="G70" s="30" t="s">
        <v>134</v>
      </c>
      <c r="H70" s="35" t="s">
        <v>137</v>
      </c>
      <c r="J70" s="34" t="str">
        <f t="shared" si="22"/>
        <v/>
      </c>
      <c r="K70" s="30" t="str">
        <f t="shared" si="22"/>
        <v/>
      </c>
      <c r="L70" s="30" t="str">
        <f t="shared" si="22"/>
        <v/>
      </c>
      <c r="M70" s="30">
        <f t="shared" si="22"/>
        <v>1</v>
      </c>
      <c r="N70" s="30">
        <f t="shared" si="22"/>
        <v>1</v>
      </c>
      <c r="O70" s="35">
        <f t="shared" si="22"/>
        <v>1</v>
      </c>
      <c r="AB70" s="40" t="str">
        <f t="shared" si="24"/>
        <v/>
      </c>
      <c r="AC70" s="15" t="str">
        <f t="shared" si="24"/>
        <v/>
      </c>
      <c r="AD70" s="15" t="str">
        <f t="shared" si="24"/>
        <v/>
      </c>
      <c r="AE70" s="15" t="str">
        <f t="shared" si="24"/>
        <v>0100000000010</v>
      </c>
      <c r="AF70" s="15" t="str">
        <f t="shared" si="24"/>
        <v>0001001000000</v>
      </c>
      <c r="AG70" s="41" t="str">
        <f t="shared" si="24"/>
        <v>0000010000010</v>
      </c>
      <c r="AH70" s="15"/>
      <c r="AI70" s="21">
        <v>3</v>
      </c>
      <c r="AJ70" s="20" t="str">
        <f t="shared" si="25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/>
      <c r="D71" s="30"/>
      <c r="E71" s="30"/>
      <c r="F71" s="30" t="s">
        <v>134</v>
      </c>
      <c r="G71" s="30" t="s">
        <v>126</v>
      </c>
      <c r="H71" s="35" t="s">
        <v>131</v>
      </c>
      <c r="J71" s="34" t="str">
        <f t="shared" si="22"/>
        <v/>
      </c>
      <c r="K71" s="30" t="str">
        <f t="shared" si="22"/>
        <v/>
      </c>
      <c r="L71" s="30" t="str">
        <f t="shared" si="22"/>
        <v/>
      </c>
      <c r="M71" s="30">
        <f t="shared" si="22"/>
        <v>1</v>
      </c>
      <c r="N71" s="30">
        <f t="shared" si="22"/>
        <v>1</v>
      </c>
      <c r="O71" s="35">
        <f t="shared" si="22"/>
        <v>1</v>
      </c>
      <c r="AB71" s="40" t="str">
        <f t="shared" si="24"/>
        <v/>
      </c>
      <c r="AC71" s="15" t="str">
        <f t="shared" si="24"/>
        <v/>
      </c>
      <c r="AD71" s="15" t="str">
        <f t="shared" si="24"/>
        <v/>
      </c>
      <c r="AE71" s="15" t="str">
        <f t="shared" si="24"/>
        <v>0101000000000</v>
      </c>
      <c r="AF71" s="15" t="str">
        <f t="shared" si="24"/>
        <v>1112111111110</v>
      </c>
      <c r="AG71" s="41" t="str">
        <f t="shared" si="24"/>
        <v>0100010000000</v>
      </c>
      <c r="AH71" s="15"/>
      <c r="AI71" s="21">
        <v>2</v>
      </c>
      <c r="AJ71" s="20" t="str">
        <f t="shared" si="25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1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3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/>
      <c r="D72" s="30"/>
      <c r="E72" s="30"/>
      <c r="F72" s="30" t="s">
        <v>133</v>
      </c>
      <c r="G72" s="30" t="s">
        <v>130</v>
      </c>
      <c r="H72" s="35" t="s">
        <v>128</v>
      </c>
      <c r="J72" s="34" t="str">
        <f t="shared" si="22"/>
        <v/>
      </c>
      <c r="K72" s="30" t="str">
        <f t="shared" si="22"/>
        <v/>
      </c>
      <c r="L72" s="30" t="str">
        <f t="shared" si="22"/>
        <v/>
      </c>
      <c r="M72" s="30">
        <f t="shared" si="22"/>
        <v>1</v>
      </c>
      <c r="N72" s="30">
        <f t="shared" si="22"/>
        <v>1</v>
      </c>
      <c r="O72" s="35">
        <f t="shared" si="22"/>
        <v>1</v>
      </c>
      <c r="AB72" s="40" t="str">
        <f t="shared" si="24"/>
        <v/>
      </c>
      <c r="AC72" s="15" t="str">
        <f t="shared" si="24"/>
        <v/>
      </c>
      <c r="AD72" s="15" t="str">
        <f t="shared" si="24"/>
        <v/>
      </c>
      <c r="AE72" s="15" t="str">
        <f t="shared" si="24"/>
        <v>0001000100000</v>
      </c>
      <c r="AF72" s="15" t="str">
        <f t="shared" si="24"/>
        <v>1111111121110</v>
      </c>
      <c r="AG72" s="41" t="str">
        <f t="shared" si="24"/>
        <v>0100001000000</v>
      </c>
      <c r="AH72" s="15"/>
      <c r="AI72" s="21">
        <v>1</v>
      </c>
      <c r="AJ72" s="20" t="str">
        <f t="shared" si="25"/>
        <v>HH-1</v>
      </c>
      <c r="AK72" s="39" cm="1">
        <f t="array" ref="AK72">SUMPRODUCT(--(MID(AB$10:AB$135, SUMIF($Z$9:$Z$21, LEFT($AJ72,2), $Y$9:$Y$21), 1) = RIGHT($AJ72, 1)), J$10:J$135)</f>
        <v>2</v>
      </c>
      <c r="AL72" s="39" cm="1">
        <f t="array" ref="AL72">SUMPRODUCT(--(MID(AC$10:AC$135, SUMIF($Z$9:$Z$21, LEFT($AJ72,2), $Y$9:$Y$21), 1) = RIGHT($AJ72, 1)), K$10:K$135)</f>
        <v>14</v>
      </c>
      <c r="AM72" s="39" cm="1">
        <f t="array" ref="AM72">SUMPRODUCT(--(MID(AD$10:AD$135, SUMIF($Z$9:$Z$21, LEFT($AJ72,2), $Y$9:$Y$21), 1) = RIGHT($AJ72, 1)), L$10:L$135)</f>
        <v>6</v>
      </c>
      <c r="AN72" s="39" cm="1">
        <f t="array" ref="AN72">SUMPRODUCT(--(MID(AE$10:AE$135, SUMIF($Z$9:$Z$21, LEFT($AJ72,2), $Y$9:$Y$21), 1) = RIGHT($AJ72, 1)), M$10:M$135)</f>
        <v>6</v>
      </c>
      <c r="AO72" s="39" cm="1">
        <f t="array" ref="AO72">SUMPRODUCT(--(MID(AF$10:AF$135, SUMIF($Z$9:$Z$21, LEFT($AJ72,2), $Y$9:$Y$21), 1) = RIGHT($AJ72, 1)), N$10:N$135)</f>
        <v>46</v>
      </c>
      <c r="AP72" s="19" cm="1">
        <f t="array" ref="AP72">SUMPRODUCT(--(MID(AG$10:AG$135, SUMIF($Z$9:$Z$21, LEFT($AJ72,2), $Y$9:$Y$21), 1) = RIGHT($AJ72, 1)), O$10:O$135)</f>
        <v>4</v>
      </c>
    </row>
    <row r="73" spans="2:42">
      <c r="B73" s="34">
        <f t="shared" si="9"/>
        <v>63</v>
      </c>
      <c r="C73" s="30"/>
      <c r="D73" s="30"/>
      <c r="E73" s="30"/>
      <c r="F73" s="30" t="s">
        <v>135</v>
      </c>
      <c r="G73" s="30" t="s">
        <v>126</v>
      </c>
      <c r="H73" s="35" t="s">
        <v>138</v>
      </c>
      <c r="J73" s="34" t="str">
        <f t="shared" si="22"/>
        <v/>
      </c>
      <c r="K73" s="30" t="str">
        <f t="shared" si="22"/>
        <v/>
      </c>
      <c r="L73" s="30" t="str">
        <f t="shared" si="22"/>
        <v/>
      </c>
      <c r="M73" s="30">
        <f t="shared" si="22"/>
        <v>1</v>
      </c>
      <c r="N73" s="30">
        <f t="shared" si="22"/>
        <v>1</v>
      </c>
      <c r="O73" s="35">
        <f t="shared" si="22"/>
        <v>1</v>
      </c>
      <c r="AB73" s="40" t="str">
        <f t="shared" si="24"/>
        <v/>
      </c>
      <c r="AC73" s="15" t="str">
        <f t="shared" si="24"/>
        <v/>
      </c>
      <c r="AD73" s="15" t="str">
        <f t="shared" si="24"/>
        <v/>
      </c>
      <c r="AE73" s="15" t="str">
        <f t="shared" si="24"/>
        <v>0000000100001</v>
      </c>
      <c r="AF73" s="15" t="str">
        <f t="shared" si="24"/>
        <v>1111111121110</v>
      </c>
      <c r="AG73" s="41" t="str">
        <f t="shared" si="24"/>
        <v>0000001000010</v>
      </c>
      <c r="AH73" s="15"/>
      <c r="AI73" s="21">
        <v>0</v>
      </c>
      <c r="AJ73" s="20" t="str">
        <f t="shared" si="25"/>
        <v>HH-0</v>
      </c>
      <c r="AK73" s="39" cm="1">
        <f t="array" ref="AK73">SUMPRODUCT(--(MID(AB$10:AB$135, SUMIF($Z$9:$Z$21, LEFT($AJ73,2), $Y$9:$Y$21), 1) = RIGHT($AJ73, 1)), J$10:J$135)</f>
        <v>16</v>
      </c>
      <c r="AL73" s="39" cm="1">
        <f t="array" ref="AL73">SUMPRODUCT(--(MID(AC$10:AC$135, SUMIF($Z$9:$Z$21, LEFT($AJ73,2), $Y$9:$Y$21), 1) = RIGHT($AJ73, 1)), K$10:K$135)</f>
        <v>23</v>
      </c>
      <c r="AM73" s="39" cm="1">
        <f t="array" ref="AM73">SUMPRODUCT(--(MID(AD$10:AD$135, SUMIF($Z$9:$Z$21, LEFT($AJ73,2), $Y$9:$Y$21), 1) = RIGHT($AJ73, 1)), L$10:L$135)</f>
        <v>42</v>
      </c>
      <c r="AN73" s="39" cm="1">
        <f t="array" ref="AN73">SUMPRODUCT(--(MID(AE$10:AE$135, SUMIF($Z$9:$Z$21, LEFT($AJ73,2), $Y$9:$Y$21), 1) = RIGHT($AJ73, 1)), M$10:M$135)</f>
        <v>64</v>
      </c>
      <c r="AO73" s="39" cm="1">
        <f t="array" ref="AO73">SUMPRODUCT(--(MID(AF$10:AF$135, SUMIF($Z$9:$Z$21, LEFT($AJ73,2), $Y$9:$Y$21), 1) = RIGHT($AJ73, 1)), N$10:N$135)</f>
        <v>43</v>
      </c>
      <c r="AP73" s="19" cm="1">
        <f t="array" ref="AP73">SUMPRODUCT(--(MID(AG$10:AG$135, SUMIF($Z$9:$Z$21, LEFT($AJ73,2), $Y$9:$Y$21), 1) = RIGHT($AJ73, 1)), O$10:O$135)</f>
        <v>84</v>
      </c>
    </row>
    <row r="74" spans="2:42">
      <c r="B74" s="34">
        <f t="shared" si="9"/>
        <v>64</v>
      </c>
      <c r="C74" s="30"/>
      <c r="D74" s="30"/>
      <c r="E74" s="30"/>
      <c r="F74" s="30" t="s">
        <v>131</v>
      </c>
      <c r="G74" s="30" t="s">
        <v>137</v>
      </c>
      <c r="H74" s="35" t="s">
        <v>137</v>
      </c>
      <c r="J74" s="34" t="str">
        <f t="shared" si="22"/>
        <v/>
      </c>
      <c r="K74" s="30" t="str">
        <f t="shared" si="22"/>
        <v/>
      </c>
      <c r="L74" s="30" t="str">
        <f t="shared" si="22"/>
        <v/>
      </c>
      <c r="M74" s="30">
        <f t="shared" si="22"/>
        <v>1</v>
      </c>
      <c r="N74" s="30">
        <f t="shared" si="22"/>
        <v>1</v>
      </c>
      <c r="O74" s="35">
        <f t="shared" si="22"/>
        <v>1</v>
      </c>
      <c r="AB74" s="40" t="str">
        <f t="shared" si="24"/>
        <v/>
      </c>
      <c r="AC74" s="15" t="str">
        <f t="shared" si="24"/>
        <v/>
      </c>
      <c r="AD74" s="15" t="str">
        <f t="shared" si="24"/>
        <v/>
      </c>
      <c r="AE74" s="15" t="str">
        <f t="shared" si="24"/>
        <v>0100000000001</v>
      </c>
      <c r="AF74" s="15" t="str">
        <f t="shared" si="24"/>
        <v>1111121111110</v>
      </c>
      <c r="AG74" s="41" t="str">
        <f t="shared" si="24"/>
        <v>0000010000010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6">B74+1</f>
        <v>65</v>
      </c>
      <c r="C75" s="30"/>
      <c r="D75" s="30"/>
      <c r="E75" s="30"/>
      <c r="F75" s="30" t="s">
        <v>127</v>
      </c>
      <c r="G75" s="30" t="s">
        <v>126</v>
      </c>
      <c r="H75" s="35" t="s">
        <v>134</v>
      </c>
      <c r="J75" s="34" t="str">
        <f t="shared" si="22"/>
        <v/>
      </c>
      <c r="K75" s="30" t="str">
        <f t="shared" si="22"/>
        <v/>
      </c>
      <c r="L75" s="30" t="str">
        <f t="shared" si="22"/>
        <v/>
      </c>
      <c r="M75" s="30">
        <f t="shared" si="22"/>
        <v>1</v>
      </c>
      <c r="N75" s="30">
        <f t="shared" si="22"/>
        <v>1</v>
      </c>
      <c r="O75" s="35">
        <f t="shared" si="22"/>
        <v>1</v>
      </c>
      <c r="AB75" s="40" t="str">
        <f t="shared" si="24"/>
        <v/>
      </c>
      <c r="AC75" s="15" t="str">
        <f t="shared" si="24"/>
        <v/>
      </c>
      <c r="AD75" s="15" t="str">
        <f t="shared" si="24"/>
        <v/>
      </c>
      <c r="AE75" s="15" t="str">
        <f t="shared" si="24"/>
        <v>0110000000000</v>
      </c>
      <c r="AF75" s="15" t="str">
        <f t="shared" si="24"/>
        <v>1111121111110</v>
      </c>
      <c r="AG75" s="41" t="str">
        <f t="shared" si="24"/>
        <v>0001010000000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6"/>
        <v>66</v>
      </c>
      <c r="C76" s="30"/>
      <c r="D76" s="30"/>
      <c r="E76" s="30"/>
      <c r="F76" s="30" t="s">
        <v>133</v>
      </c>
      <c r="G76" s="30" t="s">
        <v>128</v>
      </c>
      <c r="H76" s="35" t="s">
        <v>138</v>
      </c>
      <c r="J76" s="34" t="str">
        <f t="shared" si="22"/>
        <v/>
      </c>
      <c r="K76" s="30" t="str">
        <f t="shared" si="22"/>
        <v/>
      </c>
      <c r="L76" s="30" t="str">
        <f t="shared" si="22"/>
        <v/>
      </c>
      <c r="M76" s="30">
        <f t="shared" si="22"/>
        <v>1</v>
      </c>
      <c r="N76" s="30">
        <f t="shared" si="22"/>
        <v>1</v>
      </c>
      <c r="O76" s="35">
        <f t="shared" si="22"/>
        <v>1</v>
      </c>
      <c r="AB76" s="40" t="str">
        <f t="shared" si="24"/>
        <v/>
      </c>
      <c r="AC76" s="15" t="str">
        <f t="shared" si="24"/>
        <v/>
      </c>
      <c r="AD76" s="15" t="str">
        <f t="shared" si="24"/>
        <v/>
      </c>
      <c r="AE76" s="15" t="str">
        <f t="shared" si="24"/>
        <v>0010000100000</v>
      </c>
      <c r="AF76" s="15" t="str">
        <f t="shared" si="24"/>
        <v>1111112111110</v>
      </c>
      <c r="AG76" s="41" t="str">
        <f t="shared" si="24"/>
        <v>0001000000010</v>
      </c>
      <c r="AH76" s="15"/>
      <c r="AI76" s="21">
        <v>5</v>
      </c>
      <c r="AJ76" s="20" t="str">
        <f t="shared" ref="AJ76:AJ81" si="27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6"/>
        <v>67</v>
      </c>
      <c r="C77" s="30"/>
      <c r="D77" s="30"/>
      <c r="E77" s="30"/>
      <c r="F77" s="30" t="s">
        <v>129</v>
      </c>
      <c r="G77" s="30" t="s">
        <v>134</v>
      </c>
      <c r="H77" s="35" t="s">
        <v>134</v>
      </c>
      <c r="J77" s="34" t="str">
        <f t="shared" si="22"/>
        <v/>
      </c>
      <c r="K77" s="30" t="str">
        <f t="shared" si="22"/>
        <v/>
      </c>
      <c r="L77" s="30" t="str">
        <f t="shared" si="22"/>
        <v/>
      </c>
      <c r="M77" s="30">
        <f t="shared" si="22"/>
        <v>1</v>
      </c>
      <c r="N77" s="30">
        <f t="shared" si="22"/>
        <v>1</v>
      </c>
      <c r="O77" s="35">
        <f t="shared" si="22"/>
        <v>1</v>
      </c>
      <c r="AB77" s="40" t="str">
        <f t="shared" si="24"/>
        <v/>
      </c>
      <c r="AC77" s="15" t="str">
        <f t="shared" si="24"/>
        <v/>
      </c>
      <c r="AD77" s="15" t="str">
        <f t="shared" si="24"/>
        <v/>
      </c>
      <c r="AE77" s="15" t="str">
        <f t="shared" si="24"/>
        <v>0000000101000</v>
      </c>
      <c r="AF77" s="15" t="str">
        <f t="shared" si="24"/>
        <v>0001001000000</v>
      </c>
      <c r="AG77" s="41" t="str">
        <f t="shared" si="24"/>
        <v>0001000000010</v>
      </c>
      <c r="AH77" s="15"/>
      <c r="AI77" s="21">
        <v>4</v>
      </c>
      <c r="AJ77" s="20" t="str">
        <f t="shared" si="27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6"/>
        <v>68</v>
      </c>
      <c r="C78" s="30"/>
      <c r="D78" s="30"/>
      <c r="E78" s="30"/>
      <c r="F78" s="30" t="s">
        <v>128</v>
      </c>
      <c r="G78" s="30" t="s">
        <v>126</v>
      </c>
      <c r="H78" s="35" t="s">
        <v>138</v>
      </c>
      <c r="J78" s="34" t="str">
        <f t="shared" si="22"/>
        <v/>
      </c>
      <c r="K78" s="30" t="str">
        <f t="shared" si="22"/>
        <v/>
      </c>
      <c r="L78" s="30" t="str">
        <f t="shared" si="22"/>
        <v/>
      </c>
      <c r="M78" s="30">
        <f t="shared" si="22"/>
        <v>1</v>
      </c>
      <c r="N78" s="30">
        <f t="shared" si="22"/>
        <v>1</v>
      </c>
      <c r="O78" s="35">
        <f t="shared" si="22"/>
        <v>1</v>
      </c>
      <c r="AB78" s="40" t="str">
        <f t="shared" si="24"/>
        <v/>
      </c>
      <c r="AC78" s="15" t="str">
        <f t="shared" si="24"/>
        <v/>
      </c>
      <c r="AD78" s="15" t="str">
        <f t="shared" si="24"/>
        <v/>
      </c>
      <c r="AE78" s="15" t="str">
        <f t="shared" si="24"/>
        <v>0000001001000</v>
      </c>
      <c r="AF78" s="15" t="str">
        <f t="shared" si="24"/>
        <v>1112111111110</v>
      </c>
      <c r="AG78" s="41" t="str">
        <f t="shared" si="24"/>
        <v>0001000000010</v>
      </c>
      <c r="AH78" s="15"/>
      <c r="AI78" s="21">
        <v>3</v>
      </c>
      <c r="AJ78" s="20" t="str">
        <f t="shared" si="27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6"/>
        <v>69</v>
      </c>
      <c r="C79" s="30"/>
      <c r="D79" s="30"/>
      <c r="E79" s="30"/>
      <c r="F79" s="30" t="s">
        <v>131</v>
      </c>
      <c r="G79" s="30" t="s">
        <v>137</v>
      </c>
      <c r="H79" s="35" t="s">
        <v>132</v>
      </c>
      <c r="J79" s="34" t="str">
        <f t="shared" si="22"/>
        <v/>
      </c>
      <c r="K79" s="30" t="str">
        <f t="shared" si="22"/>
        <v/>
      </c>
      <c r="L79" s="30" t="str">
        <f t="shared" si="22"/>
        <v/>
      </c>
      <c r="M79" s="30">
        <f t="shared" si="22"/>
        <v>1</v>
      </c>
      <c r="N79" s="30">
        <f t="shared" si="22"/>
        <v>1</v>
      </c>
      <c r="O79" s="35">
        <f t="shared" si="22"/>
        <v>1</v>
      </c>
      <c r="AB79" s="40" t="str">
        <f t="shared" si="24"/>
        <v/>
      </c>
      <c r="AC79" s="15" t="str">
        <f t="shared" si="24"/>
        <v/>
      </c>
      <c r="AD79" s="15" t="str">
        <f t="shared" si="24"/>
        <v/>
      </c>
      <c r="AE79" s="15" t="str">
        <f t="shared" si="24"/>
        <v>0100001000000</v>
      </c>
      <c r="AF79" s="15" t="str">
        <f t="shared" si="24"/>
        <v>1111121111110</v>
      </c>
      <c r="AG79" s="41" t="str">
        <f t="shared" si="24"/>
        <v>0000000000110</v>
      </c>
      <c r="AH79" s="15"/>
      <c r="AI79" s="21">
        <v>2</v>
      </c>
      <c r="AJ79" s="20" t="str">
        <f t="shared" si="27"/>
        <v>JJ-2</v>
      </c>
      <c r="AK79" s="39" cm="1">
        <f t="array" ref="AK79">SUMPRODUCT(--(MID(AB$10:AB$135, SUMIF($Z$9:$Z$21, LEFT($AJ79,2), $Y$9:$Y$21), 1) = RIGHT($AJ79, 1)), J$10:J$135)</f>
        <v>0</v>
      </c>
      <c r="AL79" s="39" cm="1">
        <f t="array" ref="AL79">SUMPRODUCT(--(MID(AC$10:AC$135, SUMIF($Z$9:$Z$21, LEFT($AJ79,2), $Y$9:$Y$21), 1) = RIGHT($AJ79, 1)), K$10:K$135)</f>
        <v>0</v>
      </c>
      <c r="AM79" s="39" cm="1">
        <f t="array" ref="AM79">SUMPRODUCT(--(MID(AD$10:AD$135, SUMIF($Z$9:$Z$21, LEFT($AJ79,2), $Y$9:$Y$21), 1) = RIGHT($AJ79, 1)), L$10:L$135)</f>
        <v>1</v>
      </c>
      <c r="AN79" s="39" cm="1">
        <f t="array" ref="AN79">SUMPRODUCT(--(MID(AE$10:AE$135, SUMIF($Z$9:$Z$21, LEFT($AJ79,2), $Y$9:$Y$21), 1) = RIGHT($AJ79, 1)), M$10:M$135)</f>
        <v>0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0</v>
      </c>
    </row>
    <row r="80" spans="2:42">
      <c r="B80" s="34">
        <f t="shared" si="26"/>
        <v>70</v>
      </c>
      <c r="C80" s="30"/>
      <c r="D80" s="30"/>
      <c r="E80" s="30"/>
      <c r="F80" s="30"/>
      <c r="G80" s="30" t="s">
        <v>134</v>
      </c>
      <c r="H80" s="35" t="s">
        <v>131</v>
      </c>
      <c r="J80" s="34" t="str">
        <f t="shared" si="22"/>
        <v/>
      </c>
      <c r="K80" s="30" t="str">
        <f t="shared" si="22"/>
        <v/>
      </c>
      <c r="L80" s="30" t="str">
        <f t="shared" si="22"/>
        <v/>
      </c>
      <c r="M80" s="30" t="str">
        <f t="shared" si="22"/>
        <v/>
      </c>
      <c r="N80" s="30">
        <f t="shared" si="22"/>
        <v>1</v>
      </c>
      <c r="O80" s="35">
        <f t="shared" si="22"/>
        <v>1</v>
      </c>
      <c r="AB80" s="40" t="str">
        <f t="shared" si="24"/>
        <v/>
      </c>
      <c r="AC80" s="15" t="str">
        <f t="shared" si="24"/>
        <v/>
      </c>
      <c r="AD80" s="15" t="str">
        <f t="shared" si="24"/>
        <v/>
      </c>
      <c r="AE80" s="15" t="str">
        <f t="shared" si="24"/>
        <v/>
      </c>
      <c r="AF80" s="15" t="str">
        <f t="shared" si="24"/>
        <v>0001010000000</v>
      </c>
      <c r="AG80" s="41" t="str">
        <f t="shared" si="24"/>
        <v>0100000000100</v>
      </c>
      <c r="AH80" s="15"/>
      <c r="AI80" s="21">
        <v>1</v>
      </c>
      <c r="AJ80" s="20" t="str">
        <f t="shared" si="27"/>
        <v>JJ-1</v>
      </c>
      <c r="AK80" s="39" cm="1">
        <f t="array" ref="AK80">SUMPRODUCT(--(MID(AB$10:AB$135, SUMIF($Z$9:$Z$21, LEFT($AJ80,2), $Y$9:$Y$21), 1) = RIGHT($AJ80, 1)), J$10:J$135)</f>
        <v>6</v>
      </c>
      <c r="AL80" s="39" cm="1">
        <f t="array" ref="AL80">SUMPRODUCT(--(MID(AC$10:AC$135, SUMIF($Z$9:$Z$21, LEFT($AJ80,2), $Y$9:$Y$21), 1) = RIGHT($AJ80, 1)), K$10:K$135)</f>
        <v>14</v>
      </c>
      <c r="AM80" s="39" cm="1">
        <f t="array" ref="AM80">SUMPRODUCT(--(MID(AD$10:AD$135, SUMIF($Z$9:$Z$21, LEFT($AJ80,2), $Y$9:$Y$21), 1) = RIGHT($AJ80, 1)), L$10:L$135)</f>
        <v>4</v>
      </c>
      <c r="AN80" s="39" cm="1">
        <f t="array" ref="AN80">SUMPRODUCT(--(MID(AE$10:AE$135, SUMIF($Z$9:$Z$21, LEFT($AJ80,2), $Y$9:$Y$21), 1) = RIGHT($AJ80, 1)), M$10:M$135)</f>
        <v>8</v>
      </c>
      <c r="AO80" s="39" cm="1">
        <f t="array" ref="AO80">SUMPRODUCT(--(MID(AF$10:AF$135, SUMIF($Z$9:$Z$21, LEFT($AJ80,2), $Y$9:$Y$21), 1) = RIGHT($AJ80, 1)), N$10:N$135)</f>
        <v>34</v>
      </c>
      <c r="AP80" s="19" cm="1">
        <f t="array" ref="AP80">SUMPRODUCT(--(MID(AG$10:AG$135, SUMIF($Z$9:$Z$21, LEFT($AJ80,2), $Y$9:$Y$21), 1) = RIGHT($AJ80, 1)), O$10:O$135)</f>
        <v>6</v>
      </c>
    </row>
    <row r="81" spans="2:42">
      <c r="B81" s="34">
        <f t="shared" si="26"/>
        <v>71</v>
      </c>
      <c r="C81" s="30"/>
      <c r="D81" s="30"/>
      <c r="E81" s="30"/>
      <c r="F81" s="30"/>
      <c r="G81" s="30" t="s">
        <v>128</v>
      </c>
      <c r="H81" s="35" t="s">
        <v>128</v>
      </c>
      <c r="J81" s="34" t="str">
        <f t="shared" si="22"/>
        <v/>
      </c>
      <c r="K81" s="30" t="str">
        <f t="shared" si="22"/>
        <v/>
      </c>
      <c r="L81" s="30" t="str">
        <f t="shared" si="22"/>
        <v/>
      </c>
      <c r="M81" s="30" t="str">
        <f t="shared" si="22"/>
        <v/>
      </c>
      <c r="N81" s="30">
        <f t="shared" si="22"/>
        <v>1</v>
      </c>
      <c r="O81" s="35">
        <f t="shared" si="22"/>
        <v>1</v>
      </c>
      <c r="AB81" s="40" t="str">
        <f t="shared" si="24"/>
        <v/>
      </c>
      <c r="AC81" s="15" t="str">
        <f t="shared" si="24"/>
        <v/>
      </c>
      <c r="AD81" s="15" t="str">
        <f t="shared" si="24"/>
        <v/>
      </c>
      <c r="AE81" s="15" t="str">
        <f t="shared" si="24"/>
        <v/>
      </c>
      <c r="AF81" s="15" t="str">
        <f t="shared" si="24"/>
        <v>0001001000000</v>
      </c>
      <c r="AG81" s="41" t="str">
        <f t="shared" si="24"/>
        <v>0100001000000</v>
      </c>
      <c r="AH81" s="15"/>
      <c r="AI81" s="21">
        <v>0</v>
      </c>
      <c r="AJ81" s="20" t="str">
        <f t="shared" si="27"/>
        <v>JJ-0</v>
      </c>
      <c r="AK81" s="39" cm="1">
        <f t="array" ref="AK81">SUMPRODUCT(--(MID(AB$10:AB$135, SUMIF($Z$9:$Z$21, LEFT($AJ81,2), $Y$9:$Y$21), 1) = RIGHT($AJ81, 1)), J$10:J$135)</f>
        <v>12</v>
      </c>
      <c r="AL81" s="39" cm="1">
        <f t="array" ref="AL81">SUMPRODUCT(--(MID(AC$10:AC$135, SUMIF($Z$9:$Z$21, LEFT($AJ81,2), $Y$9:$Y$21), 1) = RIGHT($AJ81, 1)), K$10:K$135)</f>
        <v>23</v>
      </c>
      <c r="AM81" s="39" cm="1">
        <f t="array" ref="AM81">SUMPRODUCT(--(MID(AD$10:AD$135, SUMIF($Z$9:$Z$21, LEFT($AJ81,2), $Y$9:$Y$21), 1) = RIGHT($AJ81, 1)), L$10:L$135)</f>
        <v>44</v>
      </c>
      <c r="AN81" s="39" cm="1">
        <f t="array" ref="AN81">SUMPRODUCT(--(MID(AE$10:AE$135, SUMIF($Z$9:$Z$21, LEFT($AJ81,2), $Y$9:$Y$21), 1) = RIGHT($AJ81, 1)), M$10:M$135)</f>
        <v>62</v>
      </c>
      <c r="AO81" s="39" cm="1">
        <f t="array" ref="AO81">SUMPRODUCT(--(MID(AF$10:AF$135, SUMIF($Z$9:$Z$21, LEFT($AJ81,2), $Y$9:$Y$21), 1) = RIGHT($AJ81, 1)), N$10:N$135)</f>
        <v>56</v>
      </c>
      <c r="AP81" s="19" cm="1">
        <f t="array" ref="AP81">SUMPRODUCT(--(MID(AG$10:AG$135, SUMIF($Z$9:$Z$21, LEFT($AJ81,2), $Y$9:$Y$21), 1) = RIGHT($AJ81, 1)), O$10:O$135)</f>
        <v>82</v>
      </c>
    </row>
    <row r="82" spans="2:42">
      <c r="B82" s="34">
        <f t="shared" si="26"/>
        <v>72</v>
      </c>
      <c r="C82" s="30"/>
      <c r="D82" s="30"/>
      <c r="E82" s="30"/>
      <c r="F82" s="30"/>
      <c r="G82" s="30" t="s">
        <v>138</v>
      </c>
      <c r="H82" s="35" t="s">
        <v>134</v>
      </c>
      <c r="J82" s="34" t="str">
        <f t="shared" si="22"/>
        <v/>
      </c>
      <c r="K82" s="30" t="str">
        <f t="shared" si="22"/>
        <v/>
      </c>
      <c r="L82" s="30" t="str">
        <f t="shared" si="22"/>
        <v/>
      </c>
      <c r="M82" s="30" t="str">
        <f t="shared" si="22"/>
        <v/>
      </c>
      <c r="N82" s="30">
        <f t="shared" si="22"/>
        <v>1</v>
      </c>
      <c r="O82" s="35">
        <f t="shared" si="22"/>
        <v>1</v>
      </c>
      <c r="AB82" s="40" t="str">
        <f t="shared" si="24"/>
        <v/>
      </c>
      <c r="AC82" s="15" t="str">
        <f t="shared" si="24"/>
        <v/>
      </c>
      <c r="AD82" s="15" t="str">
        <f t="shared" si="24"/>
        <v/>
      </c>
      <c r="AE82" s="15" t="str">
        <f t="shared" si="24"/>
        <v/>
      </c>
      <c r="AF82" s="15" t="str">
        <f t="shared" si="24"/>
        <v>0000001000010</v>
      </c>
      <c r="AG82" s="41" t="str">
        <f t="shared" si="24"/>
        <v>0001001000000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6"/>
        <v>73</v>
      </c>
      <c r="C83" s="30"/>
      <c r="D83" s="30"/>
      <c r="E83" s="30"/>
      <c r="F83" s="30"/>
      <c r="G83" s="30" t="s">
        <v>128</v>
      </c>
      <c r="H83" s="35" t="s">
        <v>131</v>
      </c>
      <c r="J83" s="34" t="str">
        <f t="shared" si="22"/>
        <v/>
      </c>
      <c r="K83" s="30" t="str">
        <f t="shared" si="22"/>
        <v/>
      </c>
      <c r="L83" s="30" t="str">
        <f t="shared" si="22"/>
        <v/>
      </c>
      <c r="M83" s="30" t="str">
        <f t="shared" si="22"/>
        <v/>
      </c>
      <c r="N83" s="30">
        <f t="shared" si="22"/>
        <v>1</v>
      </c>
      <c r="O83" s="35">
        <f t="shared" si="22"/>
        <v>1</v>
      </c>
      <c r="AB83" s="40" t="str">
        <f t="shared" si="24"/>
        <v/>
      </c>
      <c r="AC83" s="15" t="str">
        <f t="shared" si="24"/>
        <v/>
      </c>
      <c r="AD83" s="15" t="str">
        <f t="shared" si="24"/>
        <v/>
      </c>
      <c r="AE83" s="15" t="str">
        <f t="shared" si="24"/>
        <v/>
      </c>
      <c r="AF83" s="15" t="str">
        <f t="shared" si="24"/>
        <v>0000001000010</v>
      </c>
      <c r="AG83" s="41" t="str">
        <f t="shared" si="24"/>
        <v>0101000000000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6"/>
        <v>74</v>
      </c>
      <c r="C84" s="30"/>
      <c r="D84" s="30"/>
      <c r="E84" s="30"/>
      <c r="F84" s="30"/>
      <c r="G84" s="30" t="s">
        <v>134</v>
      </c>
      <c r="H84" s="35" t="s">
        <v>134</v>
      </c>
      <c r="J84" s="34" t="str">
        <f t="shared" si="22"/>
        <v/>
      </c>
      <c r="K84" s="30" t="str">
        <f t="shared" si="22"/>
        <v/>
      </c>
      <c r="L84" s="30" t="str">
        <f t="shared" si="22"/>
        <v/>
      </c>
      <c r="M84" s="30" t="str">
        <f t="shared" si="22"/>
        <v/>
      </c>
      <c r="N84" s="30">
        <f t="shared" si="22"/>
        <v>1</v>
      </c>
      <c r="O84" s="35">
        <f t="shared" si="22"/>
        <v>1</v>
      </c>
      <c r="AB84" s="40" t="str">
        <f t="shared" si="24"/>
        <v/>
      </c>
      <c r="AC84" s="15" t="str">
        <f t="shared" si="24"/>
        <v/>
      </c>
      <c r="AD84" s="15" t="str">
        <f t="shared" si="24"/>
        <v/>
      </c>
      <c r="AE84" s="15" t="str">
        <f t="shared" si="24"/>
        <v/>
      </c>
      <c r="AF84" s="15" t="str">
        <f t="shared" si="24"/>
        <v>0001001000000</v>
      </c>
      <c r="AG84" s="41" t="str">
        <f t="shared" si="24"/>
        <v>0101000000000</v>
      </c>
      <c r="AH84" s="15"/>
      <c r="AI84" s="21">
        <v>5</v>
      </c>
      <c r="AJ84" s="20" t="str">
        <f t="shared" ref="AJ84:AJ89" si="28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6"/>
        <v>75</v>
      </c>
      <c r="C85" s="30"/>
      <c r="D85" s="30"/>
      <c r="E85" s="30"/>
      <c r="F85" s="30"/>
      <c r="G85" s="30" t="s">
        <v>138</v>
      </c>
      <c r="H85" s="35" t="s">
        <v>131</v>
      </c>
      <c r="J85" s="34" t="str">
        <f t="shared" si="22"/>
        <v/>
      </c>
      <c r="K85" s="30" t="str">
        <f t="shared" si="22"/>
        <v/>
      </c>
      <c r="L85" s="30" t="str">
        <f t="shared" si="22"/>
        <v/>
      </c>
      <c r="M85" s="30" t="str">
        <f t="shared" si="22"/>
        <v/>
      </c>
      <c r="N85" s="30">
        <f t="shared" si="22"/>
        <v>1</v>
      </c>
      <c r="O85" s="35">
        <f t="shared" si="22"/>
        <v>1</v>
      </c>
      <c r="AB85" s="40" t="str">
        <f t="shared" si="24"/>
        <v/>
      </c>
      <c r="AC85" s="15" t="str">
        <f t="shared" si="24"/>
        <v/>
      </c>
      <c r="AD85" s="15" t="str">
        <f t="shared" si="24"/>
        <v/>
      </c>
      <c r="AE85" s="15" t="str">
        <f t="shared" si="24"/>
        <v/>
      </c>
      <c r="AF85" s="15" t="str">
        <f t="shared" si="24"/>
        <v>0001000000010</v>
      </c>
      <c r="AG85" s="41" t="str">
        <f t="shared" si="24"/>
        <v>0101000000000</v>
      </c>
      <c r="AH85" s="15"/>
      <c r="AI85" s="21">
        <v>4</v>
      </c>
      <c r="AJ85" s="20" t="str">
        <f t="shared" si="28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6"/>
        <v>76</v>
      </c>
      <c r="C86" s="30"/>
      <c r="D86" s="30"/>
      <c r="E86" s="30"/>
      <c r="F86" s="30"/>
      <c r="G86" s="30" t="s">
        <v>126</v>
      </c>
      <c r="H86" s="35" t="s">
        <v>137</v>
      </c>
      <c r="J86" s="34" t="str">
        <f t="shared" si="22"/>
        <v/>
      </c>
      <c r="K86" s="30" t="str">
        <f t="shared" si="22"/>
        <v/>
      </c>
      <c r="L86" s="30" t="str">
        <f t="shared" si="22"/>
        <v/>
      </c>
      <c r="M86" s="30" t="str">
        <f t="shared" si="22"/>
        <v/>
      </c>
      <c r="N86" s="30">
        <f t="shared" si="22"/>
        <v>1</v>
      </c>
      <c r="O86" s="35">
        <f t="shared" si="22"/>
        <v>1</v>
      </c>
      <c r="AB86" s="40" t="str">
        <f t="shared" si="24"/>
        <v/>
      </c>
      <c r="AC86" s="15" t="str">
        <f t="shared" si="24"/>
        <v/>
      </c>
      <c r="AD86" s="15" t="str">
        <f t="shared" si="24"/>
        <v/>
      </c>
      <c r="AE86" s="15" t="str">
        <f t="shared" si="24"/>
        <v/>
      </c>
      <c r="AF86" s="15" t="str">
        <f t="shared" si="24"/>
        <v>1111111111120</v>
      </c>
      <c r="AG86" s="41" t="str">
        <f t="shared" si="24"/>
        <v>0100010000000</v>
      </c>
      <c r="AH86" s="15"/>
      <c r="AI86" s="21">
        <v>3</v>
      </c>
      <c r="AJ86" s="20" t="str">
        <f t="shared" si="28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6"/>
        <v>77</v>
      </c>
      <c r="C87" s="30"/>
      <c r="D87" s="30"/>
      <c r="E87" s="30"/>
      <c r="F87" s="30"/>
      <c r="G87" s="30" t="s">
        <v>134</v>
      </c>
      <c r="H87" s="35" t="s">
        <v>136</v>
      </c>
      <c r="J87" s="34" t="str">
        <f t="shared" si="22"/>
        <v/>
      </c>
      <c r="K87" s="30" t="str">
        <f t="shared" si="22"/>
        <v/>
      </c>
      <c r="L87" s="30" t="str">
        <f t="shared" si="22"/>
        <v/>
      </c>
      <c r="M87" s="30" t="str">
        <f t="shared" si="22"/>
        <v/>
      </c>
      <c r="N87" s="30">
        <f t="shared" si="22"/>
        <v>1</v>
      </c>
      <c r="O87" s="35">
        <f t="shared" si="22"/>
        <v>1</v>
      </c>
      <c r="AB87" s="40" t="str">
        <f t="shared" si="24"/>
        <v/>
      </c>
      <c r="AC87" s="15" t="str">
        <f t="shared" si="24"/>
        <v/>
      </c>
      <c r="AD87" s="15" t="str">
        <f t="shared" si="24"/>
        <v/>
      </c>
      <c r="AE87" s="15" t="str">
        <f t="shared" si="24"/>
        <v/>
      </c>
      <c r="AF87" s="15" t="str">
        <f t="shared" si="24"/>
        <v>1112111111110</v>
      </c>
      <c r="AG87" s="41" t="str">
        <f t="shared" si="24"/>
        <v>0000110000000</v>
      </c>
      <c r="AH87" s="15"/>
      <c r="AI87" s="21">
        <v>2</v>
      </c>
      <c r="AJ87" s="20" t="str">
        <f t="shared" si="28"/>
        <v>KK-2</v>
      </c>
      <c r="AK87" s="39" cm="1">
        <f t="array" ref="AK87">SUMPRODUCT(--(MID(AB$10:AB$135, SUMIF($Z$9:$Z$21, LEFT($AJ87,2), $Y$9:$Y$21), 1) = RIGHT($AJ87, 1)), J$10:J$135)</f>
        <v>0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0</v>
      </c>
      <c r="AN87" s="39" cm="1">
        <f t="array" ref="AN87">SUMPRODUCT(--(MID(AE$10:AE$135, SUMIF($Z$9:$Z$21, LEFT($AJ87,2), $Y$9:$Y$21), 1) = RIGHT($AJ87, 1)), M$10:M$135)</f>
        <v>0</v>
      </c>
      <c r="AO87" s="39" cm="1">
        <f t="array" ref="AO87">SUMPRODUCT(--(MID(AF$10:AF$135, SUMIF($Z$9:$Z$21, LEFT($AJ87,2), $Y$9:$Y$21), 1) = RIGHT($AJ87, 1)), N$10:N$135)</f>
        <v>0</v>
      </c>
      <c r="AP87" s="19" cm="1">
        <f t="array" ref="AP87">SUMPRODUCT(--(MID(AG$10:AG$135, SUMIF($Z$9:$Z$21, LEFT($AJ87,2), $Y$9:$Y$21), 1) = RIGHT($AJ87, 1)), O$10:O$135)</f>
        <v>0</v>
      </c>
    </row>
    <row r="88" spans="2:42">
      <c r="B88" s="34">
        <f t="shared" si="26"/>
        <v>78</v>
      </c>
      <c r="C88" s="30"/>
      <c r="D88" s="30"/>
      <c r="E88" s="30"/>
      <c r="F88" s="30"/>
      <c r="G88" s="30" t="s">
        <v>133</v>
      </c>
      <c r="H88" s="35" t="s">
        <v>129</v>
      </c>
      <c r="J88" s="34" t="str">
        <f t="shared" si="22"/>
        <v/>
      </c>
      <c r="K88" s="30" t="str">
        <f t="shared" si="22"/>
        <v/>
      </c>
      <c r="L88" s="30" t="str">
        <f t="shared" si="22"/>
        <v/>
      </c>
      <c r="M88" s="30" t="str">
        <f t="shared" si="22"/>
        <v/>
      </c>
      <c r="N88" s="30">
        <f t="shared" si="22"/>
        <v>1</v>
      </c>
      <c r="O88" s="35">
        <f t="shared" si="22"/>
        <v>1</v>
      </c>
      <c r="AB88" s="40" t="str">
        <f t="shared" si="24"/>
        <v/>
      </c>
      <c r="AC88" s="15" t="str">
        <f t="shared" si="24"/>
        <v/>
      </c>
      <c r="AD88" s="15" t="str">
        <f t="shared" si="24"/>
        <v/>
      </c>
      <c r="AE88" s="15" t="str">
        <f t="shared" si="24"/>
        <v/>
      </c>
      <c r="AF88" s="15" t="str">
        <f t="shared" si="24"/>
        <v>0001000100000</v>
      </c>
      <c r="AG88" s="41" t="str">
        <f t="shared" si="24"/>
        <v>0000100001000</v>
      </c>
      <c r="AH88" s="15"/>
      <c r="AI88" s="21">
        <v>1</v>
      </c>
      <c r="AJ88" s="20" t="str">
        <f t="shared" si="28"/>
        <v>KK-1</v>
      </c>
      <c r="AK88" s="39" cm="1">
        <f t="array" ref="AK88">SUMPRODUCT(--(MID(AB$10:AB$135, SUMIF($Z$9:$Z$21, LEFT($AJ88,2), $Y$9:$Y$21), 1) = RIGHT($AJ88, 1)), J$10:J$135)</f>
        <v>4</v>
      </c>
      <c r="AL88" s="39" cm="1">
        <f t="array" ref="AL88">SUMPRODUCT(--(MID(AC$10:AC$135, SUMIF($Z$9:$Z$21, LEFT($AJ88,2), $Y$9:$Y$21), 1) = RIGHT($AJ88, 1)), K$10:K$135)</f>
        <v>16</v>
      </c>
      <c r="AM88" s="39" cm="1">
        <f t="array" ref="AM88">SUMPRODUCT(--(MID(AD$10:AD$135, SUMIF($Z$9:$Z$21, LEFT($AJ88,2), $Y$9:$Y$21), 1) = RIGHT($AJ88, 1)), L$10:L$135)</f>
        <v>4</v>
      </c>
      <c r="AN88" s="39" cm="1">
        <f t="array" ref="AN88">SUMPRODUCT(--(MID(AE$10:AE$135, SUMIF($Z$9:$Z$21, LEFT($AJ88,2), $Y$9:$Y$21), 1) = RIGHT($AJ88, 1)), M$10:M$135)</f>
        <v>12</v>
      </c>
      <c r="AO88" s="39" cm="1">
        <f t="array" ref="AO88">SUMPRODUCT(--(MID(AF$10:AF$135, SUMIF($Z$9:$Z$21, LEFT($AJ88,2), $Y$9:$Y$21), 1) = RIGHT($AJ88, 1)), N$10:N$135)</f>
        <v>38</v>
      </c>
      <c r="AP88" s="19" cm="1">
        <f t="array" ref="AP88">SUMPRODUCT(--(MID(AG$10:AG$135, SUMIF($Z$9:$Z$21, LEFT($AJ88,2), $Y$9:$Y$21), 1) = RIGHT($AJ88, 1)), O$10:O$135)</f>
        <v>8</v>
      </c>
    </row>
    <row r="89" spans="2:42">
      <c r="B89" s="34">
        <f t="shared" si="26"/>
        <v>79</v>
      </c>
      <c r="C89" s="30"/>
      <c r="D89" s="30"/>
      <c r="E89" s="30"/>
      <c r="F89" s="30"/>
      <c r="G89" s="30" t="s">
        <v>126</v>
      </c>
      <c r="H89" s="35" t="s">
        <v>136</v>
      </c>
      <c r="J89" s="34" t="str">
        <f t="shared" si="22"/>
        <v/>
      </c>
      <c r="K89" s="30" t="str">
        <f t="shared" si="22"/>
        <v/>
      </c>
      <c r="L89" s="30" t="str">
        <f t="shared" si="22"/>
        <v/>
      </c>
      <c r="M89" s="30" t="str">
        <f t="shared" si="22"/>
        <v/>
      </c>
      <c r="N89" s="30">
        <f t="shared" si="22"/>
        <v>1</v>
      </c>
      <c r="O89" s="35">
        <f t="shared" si="22"/>
        <v>1</v>
      </c>
      <c r="AB89" s="40" t="str">
        <f t="shared" si="24"/>
        <v/>
      </c>
      <c r="AC89" s="15" t="str">
        <f t="shared" si="24"/>
        <v/>
      </c>
      <c r="AD89" s="15" t="str">
        <f t="shared" si="24"/>
        <v/>
      </c>
      <c r="AE89" s="15" t="str">
        <f t="shared" si="24"/>
        <v/>
      </c>
      <c r="AF89" s="15" t="str">
        <f t="shared" si="24"/>
        <v>1111111211110</v>
      </c>
      <c r="AG89" s="41" t="str">
        <f t="shared" si="24"/>
        <v>0000100001000</v>
      </c>
      <c r="AH89" s="15"/>
      <c r="AI89" s="21">
        <v>0</v>
      </c>
      <c r="AJ89" s="20" t="str">
        <f t="shared" si="28"/>
        <v>KK-0</v>
      </c>
      <c r="AK89" s="39" cm="1">
        <f t="array" ref="AK89">SUMPRODUCT(--(MID(AB$10:AB$135, SUMIF($Z$9:$Z$21, LEFT($AJ89,2), $Y$9:$Y$21), 1) = RIGHT($AJ89, 1)), J$10:J$135)</f>
        <v>14</v>
      </c>
      <c r="AL89" s="39" cm="1">
        <f t="array" ref="AL89">SUMPRODUCT(--(MID(AC$10:AC$135, SUMIF($Z$9:$Z$21, LEFT($AJ89,2), $Y$9:$Y$21), 1) = RIGHT($AJ89, 1)), K$10:K$135)</f>
        <v>19</v>
      </c>
      <c r="AM89" s="39" cm="1">
        <f t="array" ref="AM89">SUMPRODUCT(--(MID(AD$10:AD$135, SUMIF($Z$9:$Z$21, LEFT($AJ89,2), $Y$9:$Y$21), 1) = RIGHT($AJ89, 1)), L$10:L$135)</f>
        <v>45</v>
      </c>
      <c r="AN89" s="39" cm="1">
        <f t="array" ref="AN89">SUMPRODUCT(--(MID(AE$10:AE$135, SUMIF($Z$9:$Z$21, LEFT($AJ89,2), $Y$9:$Y$21), 1) = RIGHT($AJ89, 1)), M$10:M$135)</f>
        <v>58</v>
      </c>
      <c r="AO89" s="39" cm="1">
        <f t="array" ref="AO89">SUMPRODUCT(--(MID(AF$10:AF$135, SUMIF($Z$9:$Z$21, LEFT($AJ89,2), $Y$9:$Y$21), 1) = RIGHT($AJ89, 1)), N$10:N$135)</f>
        <v>54</v>
      </c>
      <c r="AP89" s="19" cm="1">
        <f t="array" ref="AP89">SUMPRODUCT(--(MID(AG$10:AG$135, SUMIF($Z$9:$Z$21, LEFT($AJ89,2), $Y$9:$Y$21), 1) = RIGHT($AJ89, 1)), O$10:O$135)</f>
        <v>80</v>
      </c>
    </row>
    <row r="90" spans="2:42">
      <c r="B90" s="34">
        <f t="shared" si="26"/>
        <v>80</v>
      </c>
      <c r="C90" s="30"/>
      <c r="D90" s="30"/>
      <c r="E90" s="30"/>
      <c r="F90" s="30"/>
      <c r="G90" s="30" t="s">
        <v>138</v>
      </c>
      <c r="H90" s="35" t="s">
        <v>131</v>
      </c>
      <c r="J90" s="34" t="str">
        <f t="shared" si="22"/>
        <v/>
      </c>
      <c r="K90" s="30" t="str">
        <f t="shared" si="22"/>
        <v/>
      </c>
      <c r="L90" s="30" t="str">
        <f t="shared" si="22"/>
        <v/>
      </c>
      <c r="M90" s="30" t="str">
        <f t="shared" si="22"/>
        <v/>
      </c>
      <c r="N90" s="30">
        <f t="shared" si="22"/>
        <v>1</v>
      </c>
      <c r="O90" s="35">
        <f t="shared" si="22"/>
        <v>1</v>
      </c>
      <c r="AB90" s="40" t="str">
        <f t="shared" si="24"/>
        <v/>
      </c>
      <c r="AC90" s="15" t="str">
        <f t="shared" si="24"/>
        <v/>
      </c>
      <c r="AD90" s="15" t="str">
        <f t="shared" si="24"/>
        <v/>
      </c>
      <c r="AE90" s="15" t="str">
        <f t="shared" si="24"/>
        <v/>
      </c>
      <c r="AF90" s="15" t="str">
        <f t="shared" si="24"/>
        <v>1111111111120</v>
      </c>
      <c r="AG90" s="41" t="str">
        <f t="shared" si="24"/>
        <v>0100100000000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6"/>
        <v>81</v>
      </c>
      <c r="C91" s="30"/>
      <c r="D91" s="30"/>
      <c r="E91" s="30"/>
      <c r="F91" s="30"/>
      <c r="G91" s="30" t="s">
        <v>126</v>
      </c>
      <c r="H91" s="35" t="s">
        <v>134</v>
      </c>
      <c r="J91" s="34" t="str">
        <f t="shared" si="22"/>
        <v/>
      </c>
      <c r="K91" s="30" t="str">
        <f t="shared" si="22"/>
        <v/>
      </c>
      <c r="L91" s="30" t="str">
        <f t="shared" si="22"/>
        <v/>
      </c>
      <c r="M91" s="30" t="str">
        <f t="shared" si="22"/>
        <v/>
      </c>
      <c r="N91" s="30">
        <f t="shared" si="22"/>
        <v>1</v>
      </c>
      <c r="O91" s="35">
        <f t="shared" si="22"/>
        <v>1</v>
      </c>
      <c r="AB91" s="40" t="str">
        <f t="shared" si="24"/>
        <v/>
      </c>
      <c r="AC91" s="15" t="str">
        <f t="shared" si="24"/>
        <v/>
      </c>
      <c r="AD91" s="15" t="str">
        <f t="shared" si="24"/>
        <v/>
      </c>
      <c r="AE91" s="15" t="str">
        <f t="shared" si="24"/>
        <v/>
      </c>
      <c r="AF91" s="15" t="str">
        <f t="shared" si="24"/>
        <v>1111111111120</v>
      </c>
      <c r="AG91" s="41" t="str">
        <f t="shared" si="24"/>
        <v>0101000000000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6"/>
        <v>82</v>
      </c>
      <c r="C92" s="30"/>
      <c r="D92" s="30"/>
      <c r="E92" s="30"/>
      <c r="F92" s="30"/>
      <c r="G92" s="30" t="s">
        <v>135</v>
      </c>
      <c r="H92" s="35" t="s">
        <v>137</v>
      </c>
      <c r="J92" s="34" t="str">
        <f t="shared" si="22"/>
        <v/>
      </c>
      <c r="K92" s="30" t="str">
        <f t="shared" si="22"/>
        <v/>
      </c>
      <c r="L92" s="30" t="str">
        <f t="shared" si="22"/>
        <v/>
      </c>
      <c r="M92" s="30" t="str">
        <f t="shared" si="22"/>
        <v/>
      </c>
      <c r="N92" s="30">
        <f t="shared" si="22"/>
        <v>1</v>
      </c>
      <c r="O92" s="35">
        <f t="shared" si="22"/>
        <v>1</v>
      </c>
      <c r="AB92" s="40" t="str">
        <f t="shared" si="24"/>
        <v/>
      </c>
      <c r="AC92" s="15" t="str">
        <f t="shared" si="24"/>
        <v/>
      </c>
      <c r="AD92" s="15" t="str">
        <f t="shared" si="24"/>
        <v/>
      </c>
      <c r="AE92" s="15" t="str">
        <f t="shared" si="24"/>
        <v/>
      </c>
      <c r="AF92" s="15" t="str">
        <f t="shared" si="24"/>
        <v>1111111111111</v>
      </c>
      <c r="AG92" s="41" t="str">
        <f t="shared" si="24"/>
        <v>0001010000000</v>
      </c>
      <c r="AH92" s="15"/>
      <c r="AI92" s="21">
        <v>5</v>
      </c>
      <c r="AJ92" s="20" t="str">
        <f t="shared" ref="AJ92:AJ97" si="29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6"/>
        <v>83</v>
      </c>
      <c r="C93" s="30"/>
      <c r="D93" s="30"/>
      <c r="E93" s="30"/>
      <c r="F93" s="30"/>
      <c r="G93" s="30" t="s">
        <v>138</v>
      </c>
      <c r="H93" s="35" t="s">
        <v>138</v>
      </c>
      <c r="J93" s="34" t="str">
        <f t="shared" si="22"/>
        <v/>
      </c>
      <c r="K93" s="30" t="str">
        <f t="shared" si="22"/>
        <v/>
      </c>
      <c r="L93" s="30" t="str">
        <f t="shared" si="22"/>
        <v/>
      </c>
      <c r="M93" s="30" t="str">
        <f t="shared" si="22"/>
        <v/>
      </c>
      <c r="N93" s="30">
        <f t="shared" si="22"/>
        <v>1</v>
      </c>
      <c r="O93" s="35">
        <f t="shared" si="22"/>
        <v>1</v>
      </c>
      <c r="AB93" s="40" t="str">
        <f t="shared" si="24"/>
        <v/>
      </c>
      <c r="AC93" s="15" t="str">
        <f t="shared" si="24"/>
        <v/>
      </c>
      <c r="AD93" s="15" t="str">
        <f t="shared" si="24"/>
        <v/>
      </c>
      <c r="AE93" s="15" t="str">
        <f t="shared" si="24"/>
        <v/>
      </c>
      <c r="AF93" s="15" t="str">
        <f t="shared" si="24"/>
        <v>0000000000011</v>
      </c>
      <c r="AG93" s="41" t="str">
        <f t="shared" si="24"/>
        <v>0000010000010</v>
      </c>
      <c r="AH93" s="15"/>
      <c r="AI93" s="21">
        <v>4</v>
      </c>
      <c r="AJ93" s="20" t="str">
        <f t="shared" si="29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6"/>
        <v>84</v>
      </c>
      <c r="C94" s="30"/>
      <c r="D94" s="30"/>
      <c r="E94" s="30"/>
      <c r="F94" s="30"/>
      <c r="G94" s="30" t="s">
        <v>133</v>
      </c>
      <c r="H94" s="35" t="s">
        <v>128</v>
      </c>
      <c r="J94" s="34" t="str">
        <f t="shared" si="22"/>
        <v/>
      </c>
      <c r="K94" s="30" t="str">
        <f t="shared" si="22"/>
        <v/>
      </c>
      <c r="L94" s="30" t="str">
        <f t="shared" si="22"/>
        <v/>
      </c>
      <c r="M94" s="30" t="str">
        <f t="shared" si="22"/>
        <v/>
      </c>
      <c r="N94" s="30">
        <f t="shared" si="22"/>
        <v>1</v>
      </c>
      <c r="O94" s="35">
        <f t="shared" si="22"/>
        <v>1</v>
      </c>
      <c r="AB94" s="40" t="str">
        <f t="shared" si="24"/>
        <v/>
      </c>
      <c r="AC94" s="15" t="str">
        <f t="shared" si="24"/>
        <v/>
      </c>
      <c r="AD94" s="15" t="str">
        <f t="shared" si="24"/>
        <v/>
      </c>
      <c r="AE94" s="15" t="str">
        <f t="shared" si="24"/>
        <v/>
      </c>
      <c r="AF94" s="15" t="str">
        <f t="shared" si="24"/>
        <v>0000000100010</v>
      </c>
      <c r="AG94" s="41" t="str">
        <f t="shared" si="24"/>
        <v>0000001000010</v>
      </c>
      <c r="AH94" s="15"/>
      <c r="AI94" s="21">
        <v>3</v>
      </c>
      <c r="AJ94" s="20" t="str">
        <f t="shared" si="29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6"/>
        <v>85</v>
      </c>
      <c r="C95" s="30"/>
      <c r="D95" s="30"/>
      <c r="E95" s="30"/>
      <c r="F95" s="30"/>
      <c r="G95" s="30" t="s">
        <v>127</v>
      </c>
      <c r="H95" s="35" t="s">
        <v>138</v>
      </c>
      <c r="J95" s="34" t="str">
        <f t="shared" si="22"/>
        <v/>
      </c>
      <c r="K95" s="30" t="str">
        <f t="shared" si="22"/>
        <v/>
      </c>
      <c r="L95" s="30" t="str">
        <f t="shared" si="22"/>
        <v/>
      </c>
      <c r="M95" s="30" t="str">
        <f t="shared" si="22"/>
        <v/>
      </c>
      <c r="N95" s="30">
        <f t="shared" si="22"/>
        <v>1</v>
      </c>
      <c r="O95" s="35">
        <f t="shared" si="22"/>
        <v>1</v>
      </c>
      <c r="AB95" s="40" t="str">
        <f t="shared" si="24"/>
        <v/>
      </c>
      <c r="AC95" s="15" t="str">
        <f t="shared" si="24"/>
        <v/>
      </c>
      <c r="AD95" s="15" t="str">
        <f t="shared" si="24"/>
        <v/>
      </c>
      <c r="AE95" s="15" t="str">
        <f t="shared" si="24"/>
        <v/>
      </c>
      <c r="AF95" s="15" t="str">
        <f t="shared" si="24"/>
        <v>0010000100000</v>
      </c>
      <c r="AG95" s="41" t="str">
        <f t="shared" si="24"/>
        <v>0000001000010</v>
      </c>
      <c r="AH95" s="15"/>
      <c r="AI95" s="21">
        <v>2</v>
      </c>
      <c r="AJ95" s="20" t="str">
        <f t="shared" si="29"/>
        <v>LL-2</v>
      </c>
      <c r="AK95" s="39" cm="1">
        <f t="array" ref="AK95">SUMPRODUCT(--(MID(AB$10:AB$135, SUMIF($Z$9:$Z$21, LEFT($AJ95,2), $Y$9:$Y$21), 1) = RIGHT($AJ95, 1)), J$10:J$135)</f>
        <v>0</v>
      </c>
      <c r="AL95" s="39" cm="1">
        <f t="array" ref="AL95">SUMPRODUCT(--(MID(AC$10:AC$135, SUMIF($Z$9:$Z$21, LEFT($AJ95,2), $Y$9:$Y$21), 1) = RIGHT($AJ95, 1)), K$10:K$135)</f>
        <v>0</v>
      </c>
      <c r="AM95" s="39" cm="1">
        <f t="array" ref="AM95">SUMPRODUCT(--(MID(AD$10:AD$135, SUMIF($Z$9:$Z$21, LEFT($AJ95,2), $Y$9:$Y$21), 1) = RIGHT($AJ95, 1)), L$10:L$135)</f>
        <v>0</v>
      </c>
      <c r="AN95" s="39" cm="1">
        <f t="array" ref="AN95">SUMPRODUCT(--(MID(AE$10:AE$135, SUMIF($Z$9:$Z$21, LEFT($AJ95,2), $Y$9:$Y$21), 1) = RIGHT($AJ95, 1)), M$10:M$135)</f>
        <v>0</v>
      </c>
      <c r="AO95" s="39" cm="1">
        <f t="array" ref="AO95">SUMPRODUCT(--(MID(AF$10:AF$135, SUMIF($Z$9:$Z$21, LEFT($AJ95,2), $Y$9:$Y$21), 1) = RIGHT($AJ95, 1)), N$10:N$135)</f>
        <v>3</v>
      </c>
      <c r="AP95" s="19" cm="1">
        <f t="array" ref="AP95">SUMPRODUCT(--(MID(AG$10:AG$135, SUMIF($Z$9:$Z$21, LEFT($AJ95,2), $Y$9:$Y$21), 1) = RIGHT($AJ95, 1)), O$10:O$135)</f>
        <v>0</v>
      </c>
    </row>
    <row r="96" spans="2:42">
      <c r="B96" s="34">
        <f t="shared" si="26"/>
        <v>86</v>
      </c>
      <c r="C96" s="30"/>
      <c r="D96" s="30"/>
      <c r="E96" s="30"/>
      <c r="F96" s="30"/>
      <c r="G96" s="30" t="s">
        <v>130</v>
      </c>
      <c r="H96" s="35" t="s">
        <v>132</v>
      </c>
      <c r="J96" s="34" t="str">
        <f t="shared" si="22"/>
        <v/>
      </c>
      <c r="K96" s="30" t="str">
        <f t="shared" si="22"/>
        <v/>
      </c>
      <c r="L96" s="30" t="str">
        <f t="shared" si="22"/>
        <v/>
      </c>
      <c r="M96" s="30" t="str">
        <f t="shared" si="22"/>
        <v/>
      </c>
      <c r="N96" s="30">
        <f t="shared" si="22"/>
        <v>1</v>
      </c>
      <c r="O96" s="35">
        <f t="shared" si="22"/>
        <v>1</v>
      </c>
      <c r="AB96" s="40" t="str">
        <f t="shared" si="24"/>
        <v/>
      </c>
      <c r="AC96" s="15" t="str">
        <f t="shared" si="24"/>
        <v/>
      </c>
      <c r="AD96" s="15" t="str">
        <f t="shared" si="24"/>
        <v/>
      </c>
      <c r="AE96" s="15" t="str">
        <f t="shared" si="24"/>
        <v/>
      </c>
      <c r="AF96" s="15" t="str">
        <f t="shared" si="24"/>
        <v>0010000010000</v>
      </c>
      <c r="AG96" s="41" t="str">
        <f t="shared" si="24"/>
        <v>0000000000110</v>
      </c>
      <c r="AH96" s="15"/>
      <c r="AI96" s="21">
        <v>1</v>
      </c>
      <c r="AJ96" s="20" t="str">
        <f t="shared" si="29"/>
        <v>LL-1</v>
      </c>
      <c r="AK96" s="39" cm="1">
        <f t="array" ref="AK96">SUMPRODUCT(--(MID(AB$10:AB$135, SUMIF($Z$9:$Z$21, LEFT($AJ96,2), $Y$9:$Y$21), 1) = RIGHT($AJ96, 1)), J$10:J$135)</f>
        <v>2</v>
      </c>
      <c r="AL96" s="39" cm="1">
        <f t="array" ref="AL96">SUMPRODUCT(--(MID(AC$10:AC$135, SUMIF($Z$9:$Z$21, LEFT($AJ96,2), $Y$9:$Y$21), 1) = RIGHT($AJ96, 1)), K$10:K$135)</f>
        <v>14</v>
      </c>
      <c r="AM96" s="39" cm="1">
        <f t="array" ref="AM96">SUMPRODUCT(--(MID(AD$10:AD$135, SUMIF($Z$9:$Z$21, LEFT($AJ96,2), $Y$9:$Y$21), 1) = RIGHT($AJ96, 1)), L$10:L$135)</f>
        <v>8</v>
      </c>
      <c r="AN96" s="39" cm="1">
        <f t="array" ref="AN96">SUMPRODUCT(--(MID(AE$10:AE$135, SUMIF($Z$9:$Z$21, LEFT($AJ96,2), $Y$9:$Y$21), 1) = RIGHT($AJ96, 1)), M$10:M$135)</f>
        <v>10</v>
      </c>
      <c r="AO96" s="39" cm="1">
        <f t="array" ref="AO96">SUMPRODUCT(--(MID(AF$10:AF$135, SUMIF($Z$9:$Z$21, LEFT($AJ96,2), $Y$9:$Y$21), 1) = RIGHT($AJ96, 1)), N$10:N$135)</f>
        <v>44</v>
      </c>
      <c r="AP96" s="19" cm="1">
        <f t="array" ref="AP96">SUMPRODUCT(--(MID(AG$10:AG$135, SUMIF($Z$9:$Z$21, LEFT($AJ96,2), $Y$9:$Y$21), 1) = RIGHT($AJ96, 1)), O$10:O$135)</f>
        <v>34</v>
      </c>
    </row>
    <row r="97" spans="2:44">
      <c r="B97" s="34">
        <f t="shared" si="26"/>
        <v>87</v>
      </c>
      <c r="C97" s="30"/>
      <c r="D97" s="30"/>
      <c r="E97" s="30"/>
      <c r="F97" s="30"/>
      <c r="G97" s="30" t="s">
        <v>126</v>
      </c>
      <c r="H97" s="35" t="s">
        <v>131</v>
      </c>
      <c r="J97" s="34" t="str">
        <f t="shared" si="22"/>
        <v/>
      </c>
      <c r="K97" s="30" t="str">
        <f t="shared" si="22"/>
        <v/>
      </c>
      <c r="L97" s="30" t="str">
        <f t="shared" si="22"/>
        <v/>
      </c>
      <c r="M97" s="30" t="str">
        <f t="shared" si="22"/>
        <v/>
      </c>
      <c r="N97" s="30">
        <f t="shared" si="22"/>
        <v>1</v>
      </c>
      <c r="O97" s="35">
        <f t="shared" si="22"/>
        <v>1</v>
      </c>
      <c r="AB97" s="40" t="str">
        <f t="shared" si="24"/>
        <v/>
      </c>
      <c r="AC97" s="15" t="str">
        <f t="shared" si="24"/>
        <v/>
      </c>
      <c r="AD97" s="15" t="str">
        <f t="shared" si="24"/>
        <v/>
      </c>
      <c r="AE97" s="15" t="str">
        <f t="shared" si="24"/>
        <v/>
      </c>
      <c r="AF97" s="15" t="str">
        <f t="shared" si="24"/>
        <v>1111111121110</v>
      </c>
      <c r="AG97" s="41" t="str">
        <f t="shared" si="24"/>
        <v>0100000000100</v>
      </c>
      <c r="AH97" s="15"/>
      <c r="AI97" s="21">
        <v>0</v>
      </c>
      <c r="AJ97" s="20" t="str">
        <f t="shared" si="29"/>
        <v>LL-0</v>
      </c>
      <c r="AK97" s="39" cm="1">
        <f t="array" ref="AK97">SUMPRODUCT(--(MID(AB$10:AB$135, SUMIF($Z$9:$Z$21, LEFT($AJ97,2), $Y$9:$Y$21), 1) = RIGHT($AJ97, 1)), J$10:J$135)</f>
        <v>16</v>
      </c>
      <c r="AL97" s="39" cm="1">
        <f t="array" ref="AL97">SUMPRODUCT(--(MID(AC$10:AC$135, SUMIF($Z$9:$Z$21, LEFT($AJ97,2), $Y$9:$Y$21), 1) = RIGHT($AJ97, 1)), K$10:K$135)</f>
        <v>23</v>
      </c>
      <c r="AM97" s="39" cm="1">
        <f t="array" ref="AM97">SUMPRODUCT(--(MID(AD$10:AD$135, SUMIF($Z$9:$Z$21, LEFT($AJ97,2), $Y$9:$Y$21), 1) = RIGHT($AJ97, 1)), L$10:L$135)</f>
        <v>41</v>
      </c>
      <c r="AN97" s="39" cm="1">
        <f t="array" ref="AN97">SUMPRODUCT(--(MID(AE$10:AE$135, SUMIF($Z$9:$Z$21, LEFT($AJ97,2), $Y$9:$Y$21), 1) = RIGHT($AJ97, 1)), M$10:M$135)</f>
        <v>60</v>
      </c>
      <c r="AO97" s="39" cm="1">
        <f t="array" ref="AO97">SUMPRODUCT(--(MID(AF$10:AF$135, SUMIF($Z$9:$Z$21, LEFT($AJ97,2), $Y$9:$Y$21), 1) = RIGHT($AJ97, 1)), N$10:N$135)</f>
        <v>45</v>
      </c>
      <c r="AP97" s="19" cm="1">
        <f t="array" ref="AP97">SUMPRODUCT(--(MID(AG$10:AG$135, SUMIF($Z$9:$Z$21, LEFT($AJ97,2), $Y$9:$Y$21), 1) = RIGHT($AJ97, 1)), O$10:O$135)</f>
        <v>54</v>
      </c>
    </row>
    <row r="98" spans="2:44">
      <c r="B98" s="34">
        <f t="shared" si="26"/>
        <v>88</v>
      </c>
      <c r="C98" s="30"/>
      <c r="D98" s="30"/>
      <c r="E98" s="30"/>
      <c r="F98" s="30"/>
      <c r="G98" s="30" t="s">
        <v>131</v>
      </c>
      <c r="H98" s="35"/>
      <c r="J98" s="34" t="str">
        <f t="shared" si="22"/>
        <v/>
      </c>
      <c r="K98" s="30" t="str">
        <f t="shared" si="22"/>
        <v/>
      </c>
      <c r="L98" s="30" t="str">
        <f t="shared" si="22"/>
        <v/>
      </c>
      <c r="M98" s="30" t="str">
        <f t="shared" si="22"/>
        <v/>
      </c>
      <c r="N98" s="30">
        <f t="shared" si="22"/>
        <v>1</v>
      </c>
      <c r="O98" s="35" t="str">
        <f t="shared" si="22"/>
        <v/>
      </c>
      <c r="AB98" s="40" t="str">
        <f t="shared" si="24"/>
        <v/>
      </c>
      <c r="AC98" s="15" t="str">
        <f t="shared" si="24"/>
        <v/>
      </c>
      <c r="AD98" s="15" t="str">
        <f t="shared" si="24"/>
        <v/>
      </c>
      <c r="AE98" s="15" t="str">
        <f t="shared" si="24"/>
        <v/>
      </c>
      <c r="AF98" s="15" t="str">
        <f t="shared" si="24"/>
        <v>1211111111110</v>
      </c>
      <c r="AG98" s="41" t="str">
        <f t="shared" si="24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6"/>
        <v>89</v>
      </c>
      <c r="C99" s="30"/>
      <c r="D99" s="30"/>
      <c r="E99" s="30"/>
      <c r="F99" s="30"/>
      <c r="G99" s="30" t="s">
        <v>126</v>
      </c>
      <c r="H99" s="35"/>
      <c r="J99" s="34" t="str">
        <f t="shared" si="22"/>
        <v/>
      </c>
      <c r="K99" s="30" t="str">
        <f t="shared" si="22"/>
        <v/>
      </c>
      <c r="L99" s="30" t="str">
        <f t="shared" si="22"/>
        <v/>
      </c>
      <c r="M99" s="30" t="str">
        <f t="shared" si="22"/>
        <v/>
      </c>
      <c r="N99" s="30">
        <f t="shared" si="22"/>
        <v>1</v>
      </c>
      <c r="O99" s="35" t="str">
        <f t="shared" si="22"/>
        <v/>
      </c>
      <c r="AB99" s="40" t="str">
        <f t="shared" si="24"/>
        <v/>
      </c>
      <c r="AC99" s="15" t="str">
        <f t="shared" si="24"/>
        <v/>
      </c>
      <c r="AD99" s="15" t="str">
        <f t="shared" si="24"/>
        <v/>
      </c>
      <c r="AE99" s="15" t="str">
        <f t="shared" si="24"/>
        <v/>
      </c>
      <c r="AF99" s="15" t="str">
        <f t="shared" si="24"/>
        <v>1211111111110</v>
      </c>
      <c r="AG99" s="41" t="str">
        <f t="shared" si="24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6"/>
        <v>90</v>
      </c>
      <c r="C100" s="30"/>
      <c r="D100" s="30"/>
      <c r="E100" s="30"/>
      <c r="F100" s="30"/>
      <c r="G100" s="30" t="s">
        <v>137</v>
      </c>
      <c r="H100" s="35"/>
      <c r="J100" s="34" t="str">
        <f t="shared" si="22"/>
        <v/>
      </c>
      <c r="K100" s="30" t="str">
        <f t="shared" si="22"/>
        <v/>
      </c>
      <c r="L100" s="30" t="str">
        <f t="shared" si="22"/>
        <v/>
      </c>
      <c r="M100" s="30" t="str">
        <f t="shared" si="22"/>
        <v/>
      </c>
      <c r="N100" s="30">
        <f t="shared" si="22"/>
        <v>1</v>
      </c>
      <c r="O100" s="35" t="str">
        <f t="shared" si="22"/>
        <v/>
      </c>
      <c r="AB100" s="40" t="str">
        <f t="shared" si="24"/>
        <v/>
      </c>
      <c r="AC100" s="15" t="str">
        <f t="shared" si="24"/>
        <v/>
      </c>
      <c r="AD100" s="15" t="str">
        <f t="shared" si="24"/>
        <v/>
      </c>
      <c r="AE100" s="15" t="str">
        <f t="shared" si="24"/>
        <v/>
      </c>
      <c r="AF100" s="15" t="str">
        <f t="shared" si="24"/>
        <v>1111121111110</v>
      </c>
      <c r="AG100" s="41" t="str">
        <f t="shared" si="24"/>
        <v/>
      </c>
      <c r="AH100" s="15"/>
      <c r="AI100" s="21">
        <v>5</v>
      </c>
      <c r="AJ100" s="20" t="str">
        <f t="shared" ref="AJ100:AJ105" si="30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6"/>
        <v>91</v>
      </c>
      <c r="C101" s="30"/>
      <c r="D101" s="30"/>
      <c r="E101" s="30"/>
      <c r="F101" s="30"/>
      <c r="G101" s="30" t="s">
        <v>126</v>
      </c>
      <c r="H101" s="35"/>
      <c r="J101" s="34" t="str">
        <f t="shared" si="22"/>
        <v/>
      </c>
      <c r="K101" s="30" t="str">
        <f t="shared" si="22"/>
        <v/>
      </c>
      <c r="L101" s="30" t="str">
        <f t="shared" si="22"/>
        <v/>
      </c>
      <c r="M101" s="30" t="str">
        <f t="shared" si="22"/>
        <v/>
      </c>
      <c r="N101" s="30">
        <f t="shared" si="22"/>
        <v>1</v>
      </c>
      <c r="O101" s="35" t="str">
        <f t="shared" si="22"/>
        <v/>
      </c>
      <c r="AB101" s="40" t="str">
        <f t="shared" si="24"/>
        <v/>
      </c>
      <c r="AC101" s="15" t="str">
        <f t="shared" si="24"/>
        <v/>
      </c>
      <c r="AD101" s="15" t="str">
        <f t="shared" si="24"/>
        <v/>
      </c>
      <c r="AE101" s="15" t="str">
        <f t="shared" si="24"/>
        <v/>
      </c>
      <c r="AF101" s="15" t="str">
        <f t="shared" si="24"/>
        <v>1111121111110</v>
      </c>
      <c r="AG101" s="41" t="str">
        <f t="shared" si="24"/>
        <v/>
      </c>
      <c r="AH101" s="15"/>
      <c r="AI101" s="21">
        <v>4</v>
      </c>
      <c r="AJ101" s="20" t="str">
        <f t="shared" si="30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6"/>
        <v>92</v>
      </c>
      <c r="C102" s="30"/>
      <c r="D102" s="30"/>
      <c r="E102" s="30"/>
      <c r="F102" s="30"/>
      <c r="G102" s="30"/>
      <c r="H102" s="35"/>
      <c r="J102" s="34" t="str">
        <f t="shared" si="22"/>
        <v/>
      </c>
      <c r="K102" s="30" t="str">
        <f t="shared" si="22"/>
        <v/>
      </c>
      <c r="L102" s="30" t="str">
        <f t="shared" si="22"/>
        <v/>
      </c>
      <c r="M102" s="30" t="str">
        <f t="shared" ref="M102:O135" si="31">IF(F102="","",1)</f>
        <v/>
      </c>
      <c r="N102" s="30" t="str">
        <f t="shared" si="31"/>
        <v/>
      </c>
      <c r="O102" s="35" t="str">
        <f t="shared" si="31"/>
        <v/>
      </c>
      <c r="AB102" s="40" t="str">
        <f t="shared" si="24"/>
        <v/>
      </c>
      <c r="AC102" s="15" t="str">
        <f t="shared" si="24"/>
        <v/>
      </c>
      <c r="AD102" s="15" t="str">
        <f t="shared" si="24"/>
        <v/>
      </c>
      <c r="AE102" s="15" t="str">
        <f t="shared" si="24"/>
        <v/>
      </c>
      <c r="AF102" s="15" t="str">
        <f t="shared" si="24"/>
        <v/>
      </c>
      <c r="AG102" s="41" t="str">
        <f t="shared" si="24"/>
        <v/>
      </c>
      <c r="AH102" s="15"/>
      <c r="AI102" s="21">
        <v>3</v>
      </c>
      <c r="AJ102" s="20" t="str">
        <f t="shared" si="30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6"/>
        <v>93</v>
      </c>
      <c r="C103" s="30"/>
      <c r="D103" s="30"/>
      <c r="E103" s="30"/>
      <c r="F103" s="30"/>
      <c r="G103" s="30"/>
      <c r="H103" s="35"/>
      <c r="J103" s="34" t="str">
        <f t="shared" ref="J103:L135" si="32">IF(C103="","",1)</f>
        <v/>
      </c>
      <c r="K103" s="30" t="str">
        <f t="shared" si="32"/>
        <v/>
      </c>
      <c r="L103" s="30" t="str">
        <f t="shared" si="32"/>
        <v/>
      </c>
      <c r="M103" s="30" t="str">
        <f t="shared" si="31"/>
        <v/>
      </c>
      <c r="N103" s="30" t="str">
        <f t="shared" si="31"/>
        <v/>
      </c>
      <c r="O103" s="35" t="str">
        <f t="shared" si="31"/>
        <v/>
      </c>
      <c r="AB103" s="40" t="str">
        <f t="shared" si="24"/>
        <v/>
      </c>
      <c r="AC103" s="15" t="str">
        <f t="shared" si="24"/>
        <v/>
      </c>
      <c r="AD103" s="15" t="str">
        <f t="shared" si="24"/>
        <v/>
      </c>
      <c r="AE103" s="15" t="str">
        <f t="shared" si="24"/>
        <v/>
      </c>
      <c r="AF103" s="15" t="str">
        <f t="shared" si="24"/>
        <v/>
      </c>
      <c r="AG103" s="41" t="str">
        <f t="shared" si="24"/>
        <v/>
      </c>
      <c r="AH103" s="15"/>
      <c r="AI103" s="21">
        <v>2</v>
      </c>
      <c r="AJ103" s="20" t="str">
        <f t="shared" si="30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6"/>
        <v>94</v>
      </c>
      <c r="C104" s="30"/>
      <c r="D104" s="30"/>
      <c r="E104" s="30"/>
      <c r="F104" s="30"/>
      <c r="G104" s="30"/>
      <c r="H104" s="35"/>
      <c r="J104" s="34" t="str">
        <f t="shared" si="32"/>
        <v/>
      </c>
      <c r="K104" s="30" t="str">
        <f t="shared" si="32"/>
        <v/>
      </c>
      <c r="L104" s="30" t="str">
        <f t="shared" si="32"/>
        <v/>
      </c>
      <c r="M104" s="30" t="str">
        <f t="shared" si="31"/>
        <v/>
      </c>
      <c r="N104" s="30" t="str">
        <f t="shared" si="31"/>
        <v/>
      </c>
      <c r="O104" s="35" t="str">
        <f t="shared" si="31"/>
        <v/>
      </c>
      <c r="AB104" s="40" t="str">
        <f t="shared" si="24"/>
        <v/>
      </c>
      <c r="AC104" s="15" t="str">
        <f t="shared" si="24"/>
        <v/>
      </c>
      <c r="AD104" s="15" t="str">
        <f t="shared" si="24"/>
        <v/>
      </c>
      <c r="AE104" s="15" t="str">
        <f t="shared" si="24"/>
        <v/>
      </c>
      <c r="AF104" s="15" t="str">
        <f t="shared" si="24"/>
        <v/>
      </c>
      <c r="AG104" s="41" t="str">
        <f t="shared" si="24"/>
        <v/>
      </c>
      <c r="AH104" s="15"/>
      <c r="AI104" s="21">
        <v>1</v>
      </c>
      <c r="AJ104" s="20" t="str">
        <f t="shared" si="30"/>
        <v>BN-1</v>
      </c>
      <c r="AK104" s="39" cm="1">
        <f t="array" ref="AK104">SUMPRODUCT(--(MID(AB$10:AB$135, SUMIF($Z$9:$Z$21, LEFT($AJ104,2), $Y$9:$Y$21), 1) = RIGHT($AJ104, 1)), J$10:J$135)</f>
        <v>4</v>
      </c>
      <c r="AL104" s="39" cm="1">
        <f t="array" ref="AL104">SUMPRODUCT(--(MID(AC$10:AC$135, SUMIF($Z$9:$Z$21, LEFT($AJ104,2), $Y$9:$Y$21), 1) = RIGHT($AJ104, 1)), K$10:K$135)</f>
        <v>8</v>
      </c>
      <c r="AM104" s="39" cm="1">
        <f t="array" ref="AM104">SUMPRODUCT(--(MID(AD$10:AD$135, SUMIF($Z$9:$Z$21, LEFT($AJ104,2), $Y$9:$Y$21), 1) = RIGHT($AJ104, 1)), L$10:L$135)</f>
        <v>14</v>
      </c>
      <c r="AN104" s="39" cm="1">
        <f t="array" ref="AN104">SUMPRODUCT(--(MID(AE$10:AE$135, SUMIF($Z$9:$Z$21, LEFT($AJ104,2), $Y$9:$Y$21), 1) = RIGHT($AJ104, 1)), M$10:M$135)</f>
        <v>20</v>
      </c>
      <c r="AO104" s="39" cm="1">
        <f t="array" ref="AO104">SUMPRODUCT(--(MID(AF$10:AF$135, SUMIF($Z$9:$Z$21, LEFT($AJ104,2), $Y$9:$Y$21), 1) = RIGHT($AJ104, 1)), N$10:N$135)</f>
        <v>6</v>
      </c>
      <c r="AP104" s="19" cm="1">
        <f t="array" ref="AP104">SUMPRODUCT(--(MID(AG$10:AG$135, SUMIF($Z$9:$Z$21, LEFT($AJ104,2), $Y$9:$Y$21), 1) = RIGHT($AJ104, 1)), O$10:O$135)</f>
        <v>4</v>
      </c>
    </row>
    <row r="105" spans="2:44">
      <c r="B105" s="34">
        <f t="shared" si="26"/>
        <v>95</v>
      </c>
      <c r="C105" s="30"/>
      <c r="D105" s="30"/>
      <c r="E105" s="30"/>
      <c r="F105" s="30"/>
      <c r="G105" s="30"/>
      <c r="H105" s="35"/>
      <c r="J105" s="34" t="str">
        <f t="shared" si="32"/>
        <v/>
      </c>
      <c r="K105" s="30" t="str">
        <f t="shared" si="32"/>
        <v/>
      </c>
      <c r="L105" s="30" t="str">
        <f t="shared" si="32"/>
        <v/>
      </c>
      <c r="M105" s="30" t="str">
        <f t="shared" si="31"/>
        <v/>
      </c>
      <c r="N105" s="30" t="str">
        <f t="shared" si="31"/>
        <v/>
      </c>
      <c r="O105" s="35" t="str">
        <f t="shared" si="31"/>
        <v/>
      </c>
      <c r="AB105" s="40" t="str">
        <f t="shared" si="24"/>
        <v/>
      </c>
      <c r="AC105" s="15" t="str">
        <f t="shared" si="24"/>
        <v/>
      </c>
      <c r="AD105" s="15" t="str">
        <f t="shared" si="24"/>
        <v/>
      </c>
      <c r="AE105" s="15" t="str">
        <f t="shared" si="24"/>
        <v/>
      </c>
      <c r="AF105" s="15" t="str">
        <f t="shared" si="24"/>
        <v/>
      </c>
      <c r="AG105" s="41" t="str">
        <f t="shared" si="24"/>
        <v/>
      </c>
      <c r="AH105" s="15"/>
      <c r="AI105" s="21">
        <v>0</v>
      </c>
      <c r="AJ105" s="20" t="str">
        <f t="shared" si="30"/>
        <v>BN-0</v>
      </c>
      <c r="AK105" s="39" cm="1">
        <f t="array" ref="AK105">SUMPRODUCT(--(MID(AB$10:AB$135, SUMIF($Z$9:$Z$21, LEFT($AJ105,2), $Y$9:$Y$21), 1) = RIGHT($AJ105, 1)), J$10:J$135)</f>
        <v>14</v>
      </c>
      <c r="AL105" s="39" cm="1">
        <f t="array" ref="AL105">SUMPRODUCT(--(MID(AC$10:AC$135, SUMIF($Z$9:$Z$21, LEFT($AJ105,2), $Y$9:$Y$21), 1) = RIGHT($AJ105, 1)), K$10:K$135)</f>
        <v>29</v>
      </c>
      <c r="AM105" s="39" cm="1">
        <f t="array" ref="AM105">SUMPRODUCT(--(MID(AD$10:AD$135, SUMIF($Z$9:$Z$21, LEFT($AJ105,2), $Y$9:$Y$21), 1) = RIGHT($AJ105, 1)), L$10:L$135)</f>
        <v>35</v>
      </c>
      <c r="AN105" s="39" cm="1">
        <f t="array" ref="AN105">SUMPRODUCT(--(MID(AE$10:AE$135, SUMIF($Z$9:$Z$21, LEFT($AJ105,2), $Y$9:$Y$21), 1) = RIGHT($AJ105, 1)), M$10:M$135)</f>
        <v>50</v>
      </c>
      <c r="AO105" s="39" cm="1">
        <f t="array" ref="AO105">SUMPRODUCT(--(MID(AF$10:AF$135, SUMIF($Z$9:$Z$21, LEFT($AJ105,2), $Y$9:$Y$21), 1) = RIGHT($AJ105, 1)), N$10:N$135)</f>
        <v>86</v>
      </c>
      <c r="AP105" s="19" cm="1">
        <f t="array" ref="AP105">SUMPRODUCT(--(MID(AG$10:AG$135, SUMIF($Z$9:$Z$21, LEFT($AJ105,2), $Y$9:$Y$21), 1) = RIGHT($AJ105, 1)), O$10:O$135)</f>
        <v>84</v>
      </c>
      <c r="AR105" s="39"/>
    </row>
    <row r="106" spans="2:44">
      <c r="B106" s="34">
        <f t="shared" si="26"/>
        <v>96</v>
      </c>
      <c r="C106" s="30"/>
      <c r="D106" s="30"/>
      <c r="E106" s="30"/>
      <c r="F106" s="30"/>
      <c r="G106" s="30"/>
      <c r="H106" s="35"/>
      <c r="J106" s="34" t="str">
        <f t="shared" si="32"/>
        <v/>
      </c>
      <c r="K106" s="30" t="str">
        <f t="shared" si="32"/>
        <v/>
      </c>
      <c r="L106" s="30" t="str">
        <f t="shared" si="32"/>
        <v/>
      </c>
      <c r="M106" s="30" t="str">
        <f t="shared" si="31"/>
        <v/>
      </c>
      <c r="N106" s="30" t="str">
        <f t="shared" si="31"/>
        <v/>
      </c>
      <c r="O106" s="35" t="str">
        <f t="shared" si="31"/>
        <v/>
      </c>
      <c r="AB106" s="40" t="str">
        <f t="shared" si="24"/>
        <v/>
      </c>
      <c r="AC106" s="15" t="str">
        <f t="shared" si="24"/>
        <v/>
      </c>
      <c r="AD106" s="15" t="str">
        <f t="shared" si="24"/>
        <v/>
      </c>
      <c r="AE106" s="15" t="str">
        <f t="shared" si="24"/>
        <v/>
      </c>
      <c r="AF106" s="15" t="str">
        <f t="shared" si="24"/>
        <v/>
      </c>
      <c r="AG106" s="41" t="str">
        <f t="shared" si="24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6"/>
        <v>97</v>
      </c>
      <c r="C107" s="30"/>
      <c r="D107" s="30"/>
      <c r="E107" s="30"/>
      <c r="F107" s="30"/>
      <c r="G107" s="30"/>
      <c r="H107" s="35"/>
      <c r="J107" s="34" t="str">
        <f t="shared" si="32"/>
        <v/>
      </c>
      <c r="K107" s="30" t="str">
        <f t="shared" si="32"/>
        <v/>
      </c>
      <c r="L107" s="30" t="str">
        <f t="shared" si="32"/>
        <v/>
      </c>
      <c r="M107" s="30" t="str">
        <f t="shared" si="31"/>
        <v/>
      </c>
      <c r="N107" s="30" t="str">
        <f t="shared" si="31"/>
        <v/>
      </c>
      <c r="O107" s="35" t="str">
        <f t="shared" si="31"/>
        <v/>
      </c>
      <c r="AB107" s="40" t="str">
        <f t="shared" si="24"/>
        <v/>
      </c>
      <c r="AC107" s="15" t="str">
        <f t="shared" si="24"/>
        <v/>
      </c>
      <c r="AD107" s="15" t="str">
        <f t="shared" si="24"/>
        <v/>
      </c>
      <c r="AE107" s="15" t="str">
        <f t="shared" si="24"/>
        <v/>
      </c>
      <c r="AF107" s="15" t="str">
        <f t="shared" si="24"/>
        <v/>
      </c>
      <c r="AG107" s="41" t="str">
        <f t="shared" si="24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6"/>
        <v>98</v>
      </c>
      <c r="C108" s="30"/>
      <c r="D108" s="30"/>
      <c r="E108" s="30"/>
      <c r="F108" s="30"/>
      <c r="G108" s="30"/>
      <c r="H108" s="35"/>
      <c r="J108" s="34" t="str">
        <f t="shared" si="32"/>
        <v/>
      </c>
      <c r="K108" s="30" t="str">
        <f t="shared" si="32"/>
        <v/>
      </c>
      <c r="L108" s="30" t="str">
        <f t="shared" si="32"/>
        <v/>
      </c>
      <c r="M108" s="30" t="str">
        <f t="shared" si="31"/>
        <v/>
      </c>
      <c r="N108" s="30" t="str">
        <f t="shared" si="31"/>
        <v/>
      </c>
      <c r="O108" s="35" t="str">
        <f t="shared" si="31"/>
        <v/>
      </c>
      <c r="AB108" s="40" t="str">
        <f t="shared" si="24"/>
        <v/>
      </c>
      <c r="AC108" s="15" t="str">
        <f t="shared" si="24"/>
        <v/>
      </c>
      <c r="AD108" s="15" t="str">
        <f t="shared" si="24"/>
        <v/>
      </c>
      <c r="AE108" s="15" t="str">
        <f t="shared" ref="AE108:AG135" si="33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3"/>
        <v/>
      </c>
      <c r="AG108" s="41" t="str">
        <f t="shared" si="33"/>
        <v/>
      </c>
      <c r="AH108" s="15"/>
      <c r="AI108" s="21">
        <v>5</v>
      </c>
      <c r="AJ108" s="20" t="str">
        <f t="shared" ref="AJ108:AJ113" si="34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6"/>
        <v>99</v>
      </c>
      <c r="C109" s="30"/>
      <c r="D109" s="30"/>
      <c r="E109" s="30"/>
      <c r="F109" s="30"/>
      <c r="G109" s="30"/>
      <c r="H109" s="35"/>
      <c r="J109" s="34" t="str">
        <f t="shared" si="32"/>
        <v/>
      </c>
      <c r="K109" s="30" t="str">
        <f t="shared" si="32"/>
        <v/>
      </c>
      <c r="L109" s="30" t="str">
        <f t="shared" si="32"/>
        <v/>
      </c>
      <c r="M109" s="30" t="str">
        <f t="shared" si="31"/>
        <v/>
      </c>
      <c r="N109" s="30" t="str">
        <f t="shared" si="31"/>
        <v/>
      </c>
      <c r="O109" s="35" t="str">
        <f t="shared" si="31"/>
        <v/>
      </c>
      <c r="AB109" s="40" t="str">
        <f t="shared" ref="AB109:AD135" si="35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5"/>
        <v/>
      </c>
      <c r="AD109" s="15" t="str">
        <f t="shared" si="35"/>
        <v/>
      </c>
      <c r="AE109" s="15" t="str">
        <f t="shared" si="33"/>
        <v/>
      </c>
      <c r="AF109" s="15" t="str">
        <f t="shared" si="33"/>
        <v/>
      </c>
      <c r="AG109" s="41" t="str">
        <f t="shared" si="33"/>
        <v/>
      </c>
      <c r="AH109" s="15"/>
      <c r="AI109" s="21">
        <v>4</v>
      </c>
      <c r="AJ109" s="20" t="str">
        <f t="shared" si="34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6"/>
        <v>100</v>
      </c>
      <c r="C110" s="30"/>
      <c r="D110" s="30"/>
      <c r="E110" s="30"/>
      <c r="F110" s="30"/>
      <c r="G110" s="30"/>
      <c r="H110" s="35"/>
      <c r="J110" s="34" t="str">
        <f t="shared" si="32"/>
        <v/>
      </c>
      <c r="K110" s="30" t="str">
        <f t="shared" si="32"/>
        <v/>
      </c>
      <c r="L110" s="30" t="str">
        <f t="shared" si="32"/>
        <v/>
      </c>
      <c r="M110" s="30" t="str">
        <f t="shared" si="31"/>
        <v/>
      </c>
      <c r="N110" s="30" t="str">
        <f t="shared" si="31"/>
        <v/>
      </c>
      <c r="O110" s="35" t="str">
        <f t="shared" si="31"/>
        <v/>
      </c>
      <c r="AB110" s="40" t="str">
        <f t="shared" si="35"/>
        <v/>
      </c>
      <c r="AC110" s="15" t="str">
        <f t="shared" si="35"/>
        <v/>
      </c>
      <c r="AD110" s="15" t="str">
        <f t="shared" si="35"/>
        <v/>
      </c>
      <c r="AE110" s="15" t="str">
        <f t="shared" si="33"/>
        <v/>
      </c>
      <c r="AF110" s="15" t="str">
        <f t="shared" si="33"/>
        <v/>
      </c>
      <c r="AG110" s="41" t="str">
        <f t="shared" si="33"/>
        <v/>
      </c>
      <c r="AH110" s="15"/>
      <c r="AI110" s="21">
        <v>3</v>
      </c>
      <c r="AJ110" s="20" t="str">
        <f t="shared" si="34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6"/>
        <v>101</v>
      </c>
      <c r="C111" s="30"/>
      <c r="D111" s="30"/>
      <c r="E111" s="30"/>
      <c r="F111" s="30"/>
      <c r="G111" s="30"/>
      <c r="H111" s="35"/>
      <c r="J111" s="34" t="str">
        <f t="shared" si="32"/>
        <v/>
      </c>
      <c r="K111" s="30" t="str">
        <f t="shared" si="32"/>
        <v/>
      </c>
      <c r="L111" s="30" t="str">
        <f t="shared" si="32"/>
        <v/>
      </c>
      <c r="M111" s="30" t="str">
        <f t="shared" si="31"/>
        <v/>
      </c>
      <c r="N111" s="30" t="str">
        <f t="shared" si="31"/>
        <v/>
      </c>
      <c r="O111" s="35" t="str">
        <f t="shared" si="31"/>
        <v/>
      </c>
      <c r="AB111" s="40" t="str">
        <f t="shared" si="35"/>
        <v/>
      </c>
      <c r="AC111" s="15" t="str">
        <f t="shared" si="35"/>
        <v/>
      </c>
      <c r="AD111" s="15" t="str">
        <f t="shared" si="35"/>
        <v/>
      </c>
      <c r="AE111" s="15" t="str">
        <f t="shared" si="33"/>
        <v/>
      </c>
      <c r="AF111" s="15" t="str">
        <f t="shared" si="33"/>
        <v/>
      </c>
      <c r="AG111" s="41" t="str">
        <f t="shared" si="33"/>
        <v/>
      </c>
      <c r="AH111" s="15"/>
      <c r="AI111" s="21">
        <v>2</v>
      </c>
      <c r="AJ111" s="20" t="str">
        <f t="shared" si="34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6"/>
        <v>102</v>
      </c>
      <c r="C112" s="30"/>
      <c r="D112" s="30"/>
      <c r="E112" s="30"/>
      <c r="F112" s="30"/>
      <c r="G112" s="30"/>
      <c r="H112" s="35"/>
      <c r="J112" s="34" t="str">
        <f t="shared" si="32"/>
        <v/>
      </c>
      <c r="K112" s="30" t="str">
        <f t="shared" si="32"/>
        <v/>
      </c>
      <c r="L112" s="30" t="str">
        <f t="shared" si="32"/>
        <v/>
      </c>
      <c r="M112" s="30" t="str">
        <f t="shared" si="31"/>
        <v/>
      </c>
      <c r="N112" s="30" t="str">
        <f t="shared" si="31"/>
        <v/>
      </c>
      <c r="O112" s="35" t="str">
        <f t="shared" si="31"/>
        <v/>
      </c>
      <c r="AB112" s="40" t="str">
        <f t="shared" si="35"/>
        <v/>
      </c>
      <c r="AC112" s="15" t="str">
        <f t="shared" si="35"/>
        <v/>
      </c>
      <c r="AD112" s="15" t="str">
        <f t="shared" si="35"/>
        <v/>
      </c>
      <c r="AE112" s="15" t="str">
        <f t="shared" si="33"/>
        <v/>
      </c>
      <c r="AF112" s="15" t="str">
        <f t="shared" si="33"/>
        <v/>
      </c>
      <c r="AG112" s="41" t="str">
        <f t="shared" si="33"/>
        <v/>
      </c>
      <c r="AH112" s="15"/>
      <c r="AI112" s="21">
        <v>1</v>
      </c>
      <c r="AJ112" s="20" t="str">
        <f t="shared" si="34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12</v>
      </c>
      <c r="AM112" s="39" cm="1">
        <f t="array" ref="AM112">SUMPRODUCT(--(MID(AD$10:AD$135, SUMIF($Z$9:$Z$21, LEFT($AJ112,2), $Y$9:$Y$21), 1) = RIGHT($AJ112, 1)), L$10:L$135)</f>
        <v>2</v>
      </c>
      <c r="AN112" s="39" cm="1">
        <f t="array" ref="AN112">SUMPRODUCT(--(MID(AE$10:AE$135, SUMIF($Z$9:$Z$21, LEFT($AJ112,2), $Y$9:$Y$21), 1) = RIGHT($AJ112, 1)), M$10:M$135)</f>
        <v>2</v>
      </c>
      <c r="AO112" s="39" cm="1">
        <f t="array" ref="AO112">SUMPRODUCT(--(MID(AF$10:AF$135, SUMIF($Z$9:$Z$21, LEFT($AJ112,2), $Y$9:$Y$21), 1) = RIGHT($AJ112, 1)), N$10:N$135)</f>
        <v>34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6"/>
        <v>103</v>
      </c>
      <c r="C113" s="30"/>
      <c r="D113" s="30"/>
      <c r="E113" s="30"/>
      <c r="F113" s="30"/>
      <c r="G113" s="30"/>
      <c r="H113" s="35"/>
      <c r="J113" s="34" t="str">
        <f t="shared" si="32"/>
        <v/>
      </c>
      <c r="K113" s="30" t="str">
        <f t="shared" si="32"/>
        <v/>
      </c>
      <c r="L113" s="30" t="str">
        <f t="shared" si="32"/>
        <v/>
      </c>
      <c r="M113" s="30" t="str">
        <f t="shared" si="31"/>
        <v/>
      </c>
      <c r="N113" s="30" t="str">
        <f t="shared" si="31"/>
        <v/>
      </c>
      <c r="O113" s="35" t="str">
        <f t="shared" si="31"/>
        <v/>
      </c>
      <c r="AB113" s="40" t="str">
        <f t="shared" si="35"/>
        <v/>
      </c>
      <c r="AC113" s="15" t="str">
        <f t="shared" si="35"/>
        <v/>
      </c>
      <c r="AD113" s="15" t="str">
        <f t="shared" si="35"/>
        <v/>
      </c>
      <c r="AE113" s="15" t="str">
        <f t="shared" si="33"/>
        <v/>
      </c>
      <c r="AF113" s="15" t="str">
        <f t="shared" si="33"/>
        <v/>
      </c>
      <c r="AG113" s="41" t="str">
        <f t="shared" si="33"/>
        <v/>
      </c>
      <c r="AH113" s="15"/>
      <c r="AI113" s="21">
        <v>0</v>
      </c>
      <c r="AJ113" s="18" t="str">
        <f t="shared" si="34"/>
        <v>WC-0</v>
      </c>
      <c r="AK113" s="17" cm="1">
        <f t="array" ref="AK113">SUMPRODUCT(--(MID(AB$10:AB$135, SUMIF($Z$9:$Z$21, LEFT($AJ113,2), $Y$9:$Y$21), 1) = RIGHT($AJ113, 1)), J$10:J$135)</f>
        <v>18</v>
      </c>
      <c r="AL113" s="17" cm="1">
        <f t="array" ref="AL113">SUMPRODUCT(--(MID(AC$10:AC$135, SUMIF($Z$9:$Z$21, LEFT($AJ113,2), $Y$9:$Y$21), 1) = RIGHT($AJ113, 1)), K$10:K$135)</f>
        <v>25</v>
      </c>
      <c r="AM113" s="17" cm="1">
        <f t="array" ref="AM113">SUMPRODUCT(--(MID(AD$10:AD$135, SUMIF($Z$9:$Z$21, LEFT($AJ113,2), $Y$9:$Y$21), 1) = RIGHT($AJ113, 1)), L$10:L$135)</f>
        <v>47</v>
      </c>
      <c r="AN113" s="17" cm="1">
        <f t="array" ref="AN113">SUMPRODUCT(--(MID(AE$10:AE$135, SUMIF($Z$9:$Z$21, LEFT($AJ113,2), $Y$9:$Y$21), 1) = RIGHT($AJ113, 1)), M$10:M$135)</f>
        <v>68</v>
      </c>
      <c r="AO113" s="17" cm="1">
        <f t="array" ref="AO113">SUMPRODUCT(--(MID(AF$10:AF$135, SUMIF($Z$9:$Z$21, LEFT($AJ113,2), $Y$9:$Y$21), 1) = RIGHT($AJ113, 1)), N$10:N$135)</f>
        <v>58</v>
      </c>
      <c r="AP113" s="16" cm="1">
        <f t="array" ref="AP113">SUMPRODUCT(--(MID(AG$10:AG$135, SUMIF($Z$9:$Z$21, LEFT($AJ113,2), $Y$9:$Y$21), 1) = RIGHT($AJ113, 1)), O$10:O$135)</f>
        <v>88</v>
      </c>
    </row>
    <row r="114" spans="2:42">
      <c r="B114" s="34">
        <f t="shared" si="26"/>
        <v>104</v>
      </c>
      <c r="C114" s="30"/>
      <c r="D114" s="30"/>
      <c r="E114" s="30"/>
      <c r="F114" s="30"/>
      <c r="G114" s="30"/>
      <c r="H114" s="35"/>
      <c r="J114" s="34" t="str">
        <f t="shared" si="32"/>
        <v/>
      </c>
      <c r="K114" s="30" t="str">
        <f t="shared" si="32"/>
        <v/>
      </c>
      <c r="L114" s="30" t="str">
        <f t="shared" si="32"/>
        <v/>
      </c>
      <c r="M114" s="30" t="str">
        <f t="shared" si="31"/>
        <v/>
      </c>
      <c r="N114" s="30" t="str">
        <f t="shared" si="31"/>
        <v/>
      </c>
      <c r="O114" s="35" t="str">
        <f t="shared" si="31"/>
        <v/>
      </c>
      <c r="AB114" s="40" t="str">
        <f t="shared" si="35"/>
        <v/>
      </c>
      <c r="AC114" s="15" t="str">
        <f t="shared" si="35"/>
        <v/>
      </c>
      <c r="AD114" s="15" t="str">
        <f t="shared" si="35"/>
        <v/>
      </c>
      <c r="AE114" s="15" t="str">
        <f t="shared" si="33"/>
        <v/>
      </c>
      <c r="AF114" s="15" t="str">
        <f t="shared" si="33"/>
        <v/>
      </c>
      <c r="AG114" s="41" t="str">
        <f t="shared" si="33"/>
        <v/>
      </c>
      <c r="AH114" s="15"/>
    </row>
    <row r="115" spans="2:42">
      <c r="B115" s="34">
        <f t="shared" si="26"/>
        <v>105</v>
      </c>
      <c r="C115" s="30"/>
      <c r="D115" s="30"/>
      <c r="E115" s="30"/>
      <c r="F115" s="30"/>
      <c r="G115" s="30"/>
      <c r="H115" s="35"/>
      <c r="J115" s="34" t="str">
        <f t="shared" si="32"/>
        <v/>
      </c>
      <c r="K115" s="30" t="str">
        <f t="shared" si="32"/>
        <v/>
      </c>
      <c r="L115" s="30" t="str">
        <f t="shared" si="32"/>
        <v/>
      </c>
      <c r="M115" s="30" t="str">
        <f t="shared" si="31"/>
        <v/>
      </c>
      <c r="N115" s="30" t="str">
        <f t="shared" si="31"/>
        <v/>
      </c>
      <c r="O115" s="35" t="str">
        <f t="shared" si="31"/>
        <v/>
      </c>
      <c r="AB115" s="40" t="str">
        <f t="shared" si="35"/>
        <v/>
      </c>
      <c r="AC115" s="15" t="str">
        <f t="shared" si="35"/>
        <v/>
      </c>
      <c r="AD115" s="15" t="str">
        <f t="shared" si="35"/>
        <v/>
      </c>
      <c r="AE115" s="15" t="str">
        <f t="shared" si="33"/>
        <v/>
      </c>
      <c r="AF115" s="15" t="str">
        <f t="shared" si="33"/>
        <v/>
      </c>
      <c r="AG115" s="41" t="str">
        <f t="shared" si="33"/>
        <v/>
      </c>
      <c r="AH115" s="15"/>
    </row>
    <row r="116" spans="2:42">
      <c r="B116" s="34">
        <f t="shared" si="26"/>
        <v>106</v>
      </c>
      <c r="C116" s="30"/>
      <c r="D116" s="30"/>
      <c r="E116" s="30"/>
      <c r="F116" s="30"/>
      <c r="G116" s="30"/>
      <c r="H116" s="35"/>
      <c r="J116" s="34" t="str">
        <f t="shared" si="32"/>
        <v/>
      </c>
      <c r="K116" s="30" t="str">
        <f t="shared" si="32"/>
        <v/>
      </c>
      <c r="L116" s="30" t="str">
        <f t="shared" si="32"/>
        <v/>
      </c>
      <c r="M116" s="30" t="str">
        <f t="shared" si="31"/>
        <v/>
      </c>
      <c r="N116" s="30" t="str">
        <f t="shared" si="31"/>
        <v/>
      </c>
      <c r="O116" s="35" t="str">
        <f t="shared" si="31"/>
        <v/>
      </c>
      <c r="AB116" s="40" t="str">
        <f t="shared" si="35"/>
        <v/>
      </c>
      <c r="AC116" s="15" t="str">
        <f t="shared" si="35"/>
        <v/>
      </c>
      <c r="AD116" s="15" t="str">
        <f t="shared" si="35"/>
        <v/>
      </c>
      <c r="AE116" s="15" t="str">
        <f t="shared" si="33"/>
        <v/>
      </c>
      <c r="AF116" s="15" t="str">
        <f t="shared" si="33"/>
        <v/>
      </c>
      <c r="AG116" s="41" t="str">
        <f t="shared" si="33"/>
        <v/>
      </c>
      <c r="AH116" s="15"/>
    </row>
    <row r="117" spans="2:42">
      <c r="B117" s="34">
        <f t="shared" si="26"/>
        <v>107</v>
      </c>
      <c r="C117" s="30"/>
      <c r="D117" s="30"/>
      <c r="E117" s="30"/>
      <c r="F117" s="30"/>
      <c r="G117" s="30"/>
      <c r="H117" s="35"/>
      <c r="J117" s="34" t="str">
        <f t="shared" si="32"/>
        <v/>
      </c>
      <c r="K117" s="30" t="str">
        <f t="shared" si="32"/>
        <v/>
      </c>
      <c r="L117" s="30" t="str">
        <f t="shared" si="32"/>
        <v/>
      </c>
      <c r="M117" s="30" t="str">
        <f t="shared" si="31"/>
        <v/>
      </c>
      <c r="N117" s="30" t="str">
        <f t="shared" si="31"/>
        <v/>
      </c>
      <c r="O117" s="35" t="str">
        <f t="shared" si="31"/>
        <v/>
      </c>
      <c r="AB117" s="40" t="str">
        <f t="shared" si="35"/>
        <v/>
      </c>
      <c r="AC117" s="15" t="str">
        <f t="shared" si="35"/>
        <v/>
      </c>
      <c r="AD117" s="15" t="str">
        <f t="shared" si="35"/>
        <v/>
      </c>
      <c r="AE117" s="15" t="str">
        <f t="shared" si="33"/>
        <v/>
      </c>
      <c r="AF117" s="15" t="str">
        <f t="shared" si="33"/>
        <v/>
      </c>
      <c r="AG117" s="41" t="str">
        <f t="shared" si="33"/>
        <v/>
      </c>
      <c r="AH117" s="15"/>
    </row>
    <row r="118" spans="2:42">
      <c r="B118" s="34">
        <f t="shared" si="26"/>
        <v>108</v>
      </c>
      <c r="C118" s="30"/>
      <c r="D118" s="30"/>
      <c r="E118" s="30"/>
      <c r="F118" s="30"/>
      <c r="G118" s="30"/>
      <c r="H118" s="35"/>
      <c r="J118" s="34" t="str">
        <f t="shared" si="32"/>
        <v/>
      </c>
      <c r="K118" s="30" t="str">
        <f t="shared" si="32"/>
        <v/>
      </c>
      <c r="L118" s="30" t="str">
        <f t="shared" si="32"/>
        <v/>
      </c>
      <c r="M118" s="30" t="str">
        <f t="shared" si="31"/>
        <v/>
      </c>
      <c r="N118" s="30" t="str">
        <f t="shared" si="31"/>
        <v/>
      </c>
      <c r="O118" s="35" t="str">
        <f t="shared" si="31"/>
        <v/>
      </c>
      <c r="AB118" s="40" t="str">
        <f t="shared" si="35"/>
        <v/>
      </c>
      <c r="AC118" s="15" t="str">
        <f t="shared" si="35"/>
        <v/>
      </c>
      <c r="AD118" s="15" t="str">
        <f t="shared" si="35"/>
        <v/>
      </c>
      <c r="AE118" s="15" t="str">
        <f t="shared" si="33"/>
        <v/>
      </c>
      <c r="AF118" s="15" t="str">
        <f t="shared" si="33"/>
        <v/>
      </c>
      <c r="AG118" s="41" t="str">
        <f t="shared" si="33"/>
        <v/>
      </c>
      <c r="AH118" s="15"/>
    </row>
    <row r="119" spans="2:42">
      <c r="B119" s="34">
        <f t="shared" si="26"/>
        <v>109</v>
      </c>
      <c r="C119" s="30"/>
      <c r="D119" s="30"/>
      <c r="E119" s="30"/>
      <c r="F119" s="30"/>
      <c r="G119" s="30"/>
      <c r="H119" s="35"/>
      <c r="J119" s="34" t="str">
        <f t="shared" si="32"/>
        <v/>
      </c>
      <c r="K119" s="30" t="str">
        <f t="shared" si="32"/>
        <v/>
      </c>
      <c r="L119" s="30" t="str">
        <f t="shared" si="32"/>
        <v/>
      </c>
      <c r="M119" s="30" t="str">
        <f t="shared" si="31"/>
        <v/>
      </c>
      <c r="N119" s="30" t="str">
        <f t="shared" si="31"/>
        <v/>
      </c>
      <c r="O119" s="35" t="str">
        <f t="shared" si="31"/>
        <v/>
      </c>
      <c r="AB119" s="40" t="str">
        <f t="shared" si="35"/>
        <v/>
      </c>
      <c r="AC119" s="15" t="str">
        <f t="shared" si="35"/>
        <v/>
      </c>
      <c r="AD119" s="15" t="str">
        <f t="shared" si="35"/>
        <v/>
      </c>
      <c r="AE119" s="15" t="str">
        <f t="shared" si="33"/>
        <v/>
      </c>
      <c r="AF119" s="15" t="str">
        <f t="shared" si="33"/>
        <v/>
      </c>
      <c r="AG119" s="41" t="str">
        <f t="shared" si="33"/>
        <v/>
      </c>
      <c r="AH119" s="15"/>
    </row>
    <row r="120" spans="2:42">
      <c r="B120" s="34">
        <f t="shared" si="26"/>
        <v>110</v>
      </c>
      <c r="C120" s="30"/>
      <c r="D120" s="30"/>
      <c r="E120" s="30"/>
      <c r="F120" s="30"/>
      <c r="G120" s="30"/>
      <c r="H120" s="35"/>
      <c r="J120" s="34" t="str">
        <f t="shared" si="32"/>
        <v/>
      </c>
      <c r="K120" s="30" t="str">
        <f t="shared" si="32"/>
        <v/>
      </c>
      <c r="L120" s="30" t="str">
        <f t="shared" si="32"/>
        <v/>
      </c>
      <c r="M120" s="30" t="str">
        <f t="shared" si="31"/>
        <v/>
      </c>
      <c r="N120" s="30" t="str">
        <f t="shared" si="31"/>
        <v/>
      </c>
      <c r="O120" s="35" t="str">
        <f t="shared" si="31"/>
        <v/>
      </c>
      <c r="AB120" s="40" t="str">
        <f t="shared" si="35"/>
        <v/>
      </c>
      <c r="AC120" s="15" t="str">
        <f t="shared" si="35"/>
        <v/>
      </c>
      <c r="AD120" s="15" t="str">
        <f t="shared" si="35"/>
        <v/>
      </c>
      <c r="AE120" s="15" t="str">
        <f t="shared" si="33"/>
        <v/>
      </c>
      <c r="AF120" s="15" t="str">
        <f t="shared" si="33"/>
        <v/>
      </c>
      <c r="AG120" s="41" t="str">
        <f t="shared" si="33"/>
        <v/>
      </c>
      <c r="AH120" s="15"/>
    </row>
    <row r="121" spans="2:42">
      <c r="B121" s="34">
        <f t="shared" si="26"/>
        <v>111</v>
      </c>
      <c r="C121" s="30"/>
      <c r="D121" s="30"/>
      <c r="E121" s="30"/>
      <c r="F121" s="30"/>
      <c r="G121" s="30"/>
      <c r="H121" s="35"/>
      <c r="J121" s="34" t="str">
        <f t="shared" si="32"/>
        <v/>
      </c>
      <c r="K121" s="30" t="str">
        <f t="shared" si="32"/>
        <v/>
      </c>
      <c r="L121" s="30" t="str">
        <f t="shared" si="32"/>
        <v/>
      </c>
      <c r="M121" s="30" t="str">
        <f t="shared" si="31"/>
        <v/>
      </c>
      <c r="N121" s="30" t="str">
        <f t="shared" si="31"/>
        <v/>
      </c>
      <c r="O121" s="35" t="str">
        <f t="shared" si="31"/>
        <v/>
      </c>
      <c r="AB121" s="40" t="str">
        <f t="shared" si="35"/>
        <v/>
      </c>
      <c r="AC121" s="15" t="str">
        <f t="shared" si="35"/>
        <v/>
      </c>
      <c r="AD121" s="15" t="str">
        <f t="shared" si="35"/>
        <v/>
      </c>
      <c r="AE121" s="15" t="str">
        <f t="shared" si="33"/>
        <v/>
      </c>
      <c r="AF121" s="15" t="str">
        <f t="shared" si="33"/>
        <v/>
      </c>
      <c r="AG121" s="41" t="str">
        <f t="shared" si="33"/>
        <v/>
      </c>
      <c r="AH121" s="15"/>
    </row>
    <row r="122" spans="2:42">
      <c r="B122" s="34">
        <f t="shared" si="26"/>
        <v>112</v>
      </c>
      <c r="C122" s="30"/>
      <c r="D122" s="30"/>
      <c r="E122" s="30"/>
      <c r="F122" s="30"/>
      <c r="G122" s="30"/>
      <c r="H122" s="35"/>
      <c r="J122" s="34" t="str">
        <f t="shared" si="32"/>
        <v/>
      </c>
      <c r="K122" s="30" t="str">
        <f t="shared" si="32"/>
        <v/>
      </c>
      <c r="L122" s="30" t="str">
        <f t="shared" si="32"/>
        <v/>
      </c>
      <c r="M122" s="30" t="str">
        <f t="shared" si="31"/>
        <v/>
      </c>
      <c r="N122" s="30" t="str">
        <f t="shared" si="31"/>
        <v/>
      </c>
      <c r="O122" s="35" t="str">
        <f t="shared" si="31"/>
        <v/>
      </c>
      <c r="AB122" s="40" t="str">
        <f t="shared" si="35"/>
        <v/>
      </c>
      <c r="AC122" s="15" t="str">
        <f t="shared" si="35"/>
        <v/>
      </c>
      <c r="AD122" s="15" t="str">
        <f t="shared" si="35"/>
        <v/>
      </c>
      <c r="AE122" s="15" t="str">
        <f t="shared" si="33"/>
        <v/>
      </c>
      <c r="AF122" s="15" t="str">
        <f t="shared" si="33"/>
        <v/>
      </c>
      <c r="AG122" s="41" t="str">
        <f t="shared" si="33"/>
        <v/>
      </c>
      <c r="AH122" s="15"/>
    </row>
    <row r="123" spans="2:42">
      <c r="B123" s="34">
        <f t="shared" si="26"/>
        <v>113</v>
      </c>
      <c r="C123" s="30"/>
      <c r="D123" s="30"/>
      <c r="E123" s="30"/>
      <c r="F123" s="30"/>
      <c r="G123" s="30"/>
      <c r="H123" s="35"/>
      <c r="J123" s="34" t="str">
        <f t="shared" si="32"/>
        <v/>
      </c>
      <c r="K123" s="30" t="str">
        <f t="shared" si="32"/>
        <v/>
      </c>
      <c r="L123" s="30" t="str">
        <f t="shared" si="32"/>
        <v/>
      </c>
      <c r="M123" s="30" t="str">
        <f t="shared" si="31"/>
        <v/>
      </c>
      <c r="N123" s="30" t="str">
        <f t="shared" si="31"/>
        <v/>
      </c>
      <c r="O123" s="35" t="str">
        <f t="shared" si="31"/>
        <v/>
      </c>
      <c r="AB123" s="40" t="str">
        <f t="shared" si="35"/>
        <v/>
      </c>
      <c r="AC123" s="15" t="str">
        <f t="shared" si="35"/>
        <v/>
      </c>
      <c r="AD123" s="15" t="str">
        <f t="shared" si="35"/>
        <v/>
      </c>
      <c r="AE123" s="15" t="str">
        <f t="shared" si="33"/>
        <v/>
      </c>
      <c r="AF123" s="15" t="str">
        <f t="shared" si="33"/>
        <v/>
      </c>
      <c r="AG123" s="41" t="str">
        <f t="shared" si="33"/>
        <v/>
      </c>
      <c r="AH123" s="15"/>
    </row>
    <row r="124" spans="2:42">
      <c r="B124" s="34">
        <f t="shared" si="26"/>
        <v>114</v>
      </c>
      <c r="C124" s="30"/>
      <c r="D124" s="30"/>
      <c r="E124" s="30"/>
      <c r="F124" s="30"/>
      <c r="G124" s="30"/>
      <c r="H124" s="35"/>
      <c r="J124" s="34" t="str">
        <f t="shared" si="32"/>
        <v/>
      </c>
      <c r="K124" s="30" t="str">
        <f t="shared" si="32"/>
        <v/>
      </c>
      <c r="L124" s="30" t="str">
        <f t="shared" si="32"/>
        <v/>
      </c>
      <c r="M124" s="30" t="str">
        <f t="shared" si="31"/>
        <v/>
      </c>
      <c r="N124" s="30" t="str">
        <f t="shared" si="31"/>
        <v/>
      </c>
      <c r="O124" s="35" t="str">
        <f t="shared" si="31"/>
        <v/>
      </c>
      <c r="AB124" s="40" t="str">
        <f t="shared" si="35"/>
        <v/>
      </c>
      <c r="AC124" s="15" t="str">
        <f t="shared" si="35"/>
        <v/>
      </c>
      <c r="AD124" s="15" t="str">
        <f t="shared" si="35"/>
        <v/>
      </c>
      <c r="AE124" s="15" t="str">
        <f t="shared" si="33"/>
        <v/>
      </c>
      <c r="AF124" s="15" t="str">
        <f t="shared" si="33"/>
        <v/>
      </c>
      <c r="AG124" s="41" t="str">
        <f t="shared" si="33"/>
        <v/>
      </c>
      <c r="AH124" s="15"/>
    </row>
    <row r="125" spans="2:42">
      <c r="B125" s="34">
        <f t="shared" si="26"/>
        <v>115</v>
      </c>
      <c r="C125" s="30"/>
      <c r="D125" s="30"/>
      <c r="E125" s="30"/>
      <c r="F125" s="30"/>
      <c r="G125" s="30"/>
      <c r="H125" s="35"/>
      <c r="J125" s="34" t="str">
        <f t="shared" si="32"/>
        <v/>
      </c>
      <c r="K125" s="30" t="str">
        <f t="shared" si="32"/>
        <v/>
      </c>
      <c r="L125" s="30" t="str">
        <f t="shared" si="32"/>
        <v/>
      </c>
      <c r="M125" s="30" t="str">
        <f t="shared" si="31"/>
        <v/>
      </c>
      <c r="N125" s="30" t="str">
        <f t="shared" si="31"/>
        <v/>
      </c>
      <c r="O125" s="35" t="str">
        <f t="shared" si="31"/>
        <v/>
      </c>
      <c r="AB125" s="40" t="str">
        <f t="shared" si="35"/>
        <v/>
      </c>
      <c r="AC125" s="15" t="str">
        <f t="shared" si="35"/>
        <v/>
      </c>
      <c r="AD125" s="15" t="str">
        <f t="shared" si="35"/>
        <v/>
      </c>
      <c r="AE125" s="15" t="str">
        <f t="shared" si="33"/>
        <v/>
      </c>
      <c r="AF125" s="15" t="str">
        <f t="shared" si="33"/>
        <v/>
      </c>
      <c r="AG125" s="41" t="str">
        <f t="shared" si="33"/>
        <v/>
      </c>
      <c r="AH125" s="15"/>
    </row>
    <row r="126" spans="2:42">
      <c r="B126" s="34">
        <f t="shared" si="26"/>
        <v>116</v>
      </c>
      <c r="C126" s="30"/>
      <c r="D126" s="30"/>
      <c r="E126" s="30"/>
      <c r="F126" s="30"/>
      <c r="G126" s="30"/>
      <c r="H126" s="35"/>
      <c r="J126" s="34" t="str">
        <f t="shared" si="32"/>
        <v/>
      </c>
      <c r="K126" s="30" t="str">
        <f t="shared" si="32"/>
        <v/>
      </c>
      <c r="L126" s="30" t="str">
        <f t="shared" si="32"/>
        <v/>
      </c>
      <c r="M126" s="30" t="str">
        <f t="shared" si="31"/>
        <v/>
      </c>
      <c r="N126" s="30" t="str">
        <f t="shared" si="31"/>
        <v/>
      </c>
      <c r="O126" s="35" t="str">
        <f t="shared" si="31"/>
        <v/>
      </c>
      <c r="AB126" s="40" t="str">
        <f t="shared" si="35"/>
        <v/>
      </c>
      <c r="AC126" s="15" t="str">
        <f t="shared" si="35"/>
        <v/>
      </c>
      <c r="AD126" s="15" t="str">
        <f t="shared" si="35"/>
        <v/>
      </c>
      <c r="AE126" s="15" t="str">
        <f t="shared" si="33"/>
        <v/>
      </c>
      <c r="AF126" s="15" t="str">
        <f t="shared" si="33"/>
        <v/>
      </c>
      <c r="AG126" s="41" t="str">
        <f t="shared" si="33"/>
        <v/>
      </c>
      <c r="AH126" s="15"/>
    </row>
    <row r="127" spans="2:42">
      <c r="B127" s="34">
        <f t="shared" si="26"/>
        <v>117</v>
      </c>
      <c r="C127" s="30"/>
      <c r="D127" s="30"/>
      <c r="E127" s="30"/>
      <c r="F127" s="30"/>
      <c r="G127" s="30"/>
      <c r="H127" s="35"/>
      <c r="J127" s="34" t="str">
        <f t="shared" si="32"/>
        <v/>
      </c>
      <c r="K127" s="30" t="str">
        <f t="shared" si="32"/>
        <v/>
      </c>
      <c r="L127" s="30" t="str">
        <f t="shared" si="32"/>
        <v/>
      </c>
      <c r="M127" s="30" t="str">
        <f t="shared" si="31"/>
        <v/>
      </c>
      <c r="N127" s="30" t="str">
        <f t="shared" si="31"/>
        <v/>
      </c>
      <c r="O127" s="35" t="str">
        <f t="shared" si="31"/>
        <v/>
      </c>
      <c r="AB127" s="40" t="str">
        <f t="shared" si="35"/>
        <v/>
      </c>
      <c r="AC127" s="15" t="str">
        <f t="shared" si="35"/>
        <v/>
      </c>
      <c r="AD127" s="15" t="str">
        <f t="shared" si="35"/>
        <v/>
      </c>
      <c r="AE127" s="15" t="str">
        <f t="shared" si="33"/>
        <v/>
      </c>
      <c r="AF127" s="15" t="str">
        <f t="shared" si="33"/>
        <v/>
      </c>
      <c r="AG127" s="41" t="str">
        <f t="shared" si="33"/>
        <v/>
      </c>
      <c r="AH127" s="15"/>
    </row>
    <row r="128" spans="2:42">
      <c r="B128" s="34">
        <f t="shared" si="26"/>
        <v>118</v>
      </c>
      <c r="C128" s="30"/>
      <c r="D128" s="30"/>
      <c r="E128" s="30"/>
      <c r="F128" s="30"/>
      <c r="G128" s="30"/>
      <c r="H128" s="35"/>
      <c r="J128" s="34" t="str">
        <f t="shared" si="32"/>
        <v/>
      </c>
      <c r="K128" s="30" t="str">
        <f t="shared" si="32"/>
        <v/>
      </c>
      <c r="L128" s="30" t="str">
        <f t="shared" si="32"/>
        <v/>
      </c>
      <c r="M128" s="30" t="str">
        <f t="shared" si="31"/>
        <v/>
      </c>
      <c r="N128" s="30" t="str">
        <f t="shared" si="31"/>
        <v/>
      </c>
      <c r="O128" s="35" t="str">
        <f t="shared" si="31"/>
        <v/>
      </c>
      <c r="AB128" s="40" t="str">
        <f t="shared" si="35"/>
        <v/>
      </c>
      <c r="AC128" s="15" t="str">
        <f t="shared" si="35"/>
        <v/>
      </c>
      <c r="AD128" s="15" t="str">
        <f t="shared" si="35"/>
        <v/>
      </c>
      <c r="AE128" s="15" t="str">
        <f t="shared" si="33"/>
        <v/>
      </c>
      <c r="AF128" s="15" t="str">
        <f t="shared" si="33"/>
        <v/>
      </c>
      <c r="AG128" s="41" t="str">
        <f t="shared" si="33"/>
        <v/>
      </c>
      <c r="AH128" s="15"/>
    </row>
    <row r="129" spans="2:34">
      <c r="B129" s="34">
        <f t="shared" si="26"/>
        <v>119</v>
      </c>
      <c r="C129" s="30"/>
      <c r="D129" s="30"/>
      <c r="E129" s="30"/>
      <c r="F129" s="30"/>
      <c r="G129" s="30"/>
      <c r="H129" s="35"/>
      <c r="J129" s="34" t="str">
        <f t="shared" si="32"/>
        <v/>
      </c>
      <c r="K129" s="30" t="str">
        <f t="shared" si="32"/>
        <v/>
      </c>
      <c r="L129" s="30" t="str">
        <f t="shared" si="32"/>
        <v/>
      </c>
      <c r="M129" s="30" t="str">
        <f t="shared" si="31"/>
        <v/>
      </c>
      <c r="N129" s="30" t="str">
        <f t="shared" si="31"/>
        <v/>
      </c>
      <c r="O129" s="35" t="str">
        <f t="shared" si="31"/>
        <v/>
      </c>
      <c r="AB129" s="40" t="str">
        <f t="shared" si="35"/>
        <v/>
      </c>
      <c r="AC129" s="15" t="str">
        <f t="shared" si="35"/>
        <v/>
      </c>
      <c r="AD129" s="15" t="str">
        <f t="shared" si="35"/>
        <v/>
      </c>
      <c r="AE129" s="15" t="str">
        <f t="shared" si="33"/>
        <v/>
      </c>
      <c r="AF129" s="15" t="str">
        <f t="shared" si="33"/>
        <v/>
      </c>
      <c r="AG129" s="41" t="str">
        <f t="shared" si="33"/>
        <v/>
      </c>
      <c r="AH129" s="15"/>
    </row>
    <row r="130" spans="2:34">
      <c r="B130" s="34">
        <f t="shared" si="26"/>
        <v>120</v>
      </c>
      <c r="C130" s="30"/>
      <c r="D130" s="30"/>
      <c r="E130" s="30"/>
      <c r="F130" s="30"/>
      <c r="G130" s="30"/>
      <c r="H130" s="35"/>
      <c r="J130" s="34" t="str">
        <f t="shared" si="32"/>
        <v/>
      </c>
      <c r="K130" s="30" t="str">
        <f t="shared" si="32"/>
        <v/>
      </c>
      <c r="L130" s="30" t="str">
        <f t="shared" si="32"/>
        <v/>
      </c>
      <c r="M130" s="30" t="str">
        <f t="shared" si="31"/>
        <v/>
      </c>
      <c r="N130" s="30" t="str">
        <f t="shared" si="31"/>
        <v/>
      </c>
      <c r="O130" s="35" t="str">
        <f t="shared" si="31"/>
        <v/>
      </c>
      <c r="AB130" s="40" t="str">
        <f t="shared" si="35"/>
        <v/>
      </c>
      <c r="AC130" s="15" t="str">
        <f t="shared" si="35"/>
        <v/>
      </c>
      <c r="AD130" s="15" t="str">
        <f t="shared" si="35"/>
        <v/>
      </c>
      <c r="AE130" s="15" t="str">
        <f t="shared" si="33"/>
        <v/>
      </c>
      <c r="AF130" s="15" t="str">
        <f t="shared" si="33"/>
        <v/>
      </c>
      <c r="AG130" s="41" t="str">
        <f t="shared" si="33"/>
        <v/>
      </c>
      <c r="AH130" s="15"/>
    </row>
    <row r="131" spans="2:34">
      <c r="B131" s="34">
        <f t="shared" si="26"/>
        <v>121</v>
      </c>
      <c r="C131" s="30"/>
      <c r="D131" s="30"/>
      <c r="E131" s="30"/>
      <c r="F131" s="30"/>
      <c r="G131" s="30"/>
      <c r="H131" s="35"/>
      <c r="J131" s="34" t="str">
        <f t="shared" si="32"/>
        <v/>
      </c>
      <c r="K131" s="30" t="str">
        <f t="shared" si="32"/>
        <v/>
      </c>
      <c r="L131" s="30" t="str">
        <f t="shared" si="32"/>
        <v/>
      </c>
      <c r="M131" s="30" t="str">
        <f t="shared" si="31"/>
        <v/>
      </c>
      <c r="N131" s="30" t="str">
        <f t="shared" si="31"/>
        <v/>
      </c>
      <c r="O131" s="35" t="str">
        <f t="shared" si="31"/>
        <v/>
      </c>
      <c r="AB131" s="40" t="str">
        <f t="shared" si="35"/>
        <v/>
      </c>
      <c r="AC131" s="15" t="str">
        <f t="shared" si="35"/>
        <v/>
      </c>
      <c r="AD131" s="15" t="str">
        <f t="shared" si="35"/>
        <v/>
      </c>
      <c r="AE131" s="15" t="str">
        <f t="shared" si="33"/>
        <v/>
      </c>
      <c r="AF131" s="15" t="str">
        <f t="shared" si="33"/>
        <v/>
      </c>
      <c r="AG131" s="41" t="str">
        <f t="shared" si="33"/>
        <v/>
      </c>
      <c r="AH131" s="15"/>
    </row>
    <row r="132" spans="2:34">
      <c r="B132" s="34">
        <f t="shared" si="26"/>
        <v>122</v>
      </c>
      <c r="C132" s="30"/>
      <c r="D132" s="30"/>
      <c r="E132" s="30"/>
      <c r="F132" s="30"/>
      <c r="G132" s="30"/>
      <c r="H132" s="35"/>
      <c r="J132" s="34" t="str">
        <f t="shared" si="32"/>
        <v/>
      </c>
      <c r="K132" s="30" t="str">
        <f t="shared" si="32"/>
        <v/>
      </c>
      <c r="L132" s="30" t="str">
        <f t="shared" si="32"/>
        <v/>
      </c>
      <c r="M132" s="30" t="str">
        <f t="shared" si="31"/>
        <v/>
      </c>
      <c r="N132" s="30" t="str">
        <f t="shared" si="31"/>
        <v/>
      </c>
      <c r="O132" s="35" t="str">
        <f t="shared" si="31"/>
        <v/>
      </c>
      <c r="AB132" s="40" t="str">
        <f t="shared" si="35"/>
        <v/>
      </c>
      <c r="AC132" s="15" t="str">
        <f t="shared" si="35"/>
        <v/>
      </c>
      <c r="AD132" s="15" t="str">
        <f t="shared" si="35"/>
        <v/>
      </c>
      <c r="AE132" s="15" t="str">
        <f t="shared" si="33"/>
        <v/>
      </c>
      <c r="AF132" s="15" t="str">
        <f t="shared" si="33"/>
        <v/>
      </c>
      <c r="AG132" s="41" t="str">
        <f t="shared" si="33"/>
        <v/>
      </c>
      <c r="AH132" s="15"/>
    </row>
    <row r="133" spans="2:34">
      <c r="B133" s="34">
        <f t="shared" si="26"/>
        <v>123</v>
      </c>
      <c r="C133" s="30"/>
      <c r="D133" s="30"/>
      <c r="E133" s="30"/>
      <c r="F133" s="30"/>
      <c r="G133" s="30"/>
      <c r="H133" s="35"/>
      <c r="J133" s="34" t="str">
        <f t="shared" si="32"/>
        <v/>
      </c>
      <c r="K133" s="30" t="str">
        <f t="shared" si="32"/>
        <v/>
      </c>
      <c r="L133" s="30" t="str">
        <f t="shared" si="32"/>
        <v/>
      </c>
      <c r="M133" s="30" t="str">
        <f t="shared" si="31"/>
        <v/>
      </c>
      <c r="N133" s="30" t="str">
        <f t="shared" si="31"/>
        <v/>
      </c>
      <c r="O133" s="35" t="str">
        <f t="shared" si="31"/>
        <v/>
      </c>
      <c r="AB133" s="40" t="str">
        <f t="shared" si="35"/>
        <v/>
      </c>
      <c r="AC133" s="15" t="str">
        <f t="shared" si="35"/>
        <v/>
      </c>
      <c r="AD133" s="15" t="str">
        <f t="shared" si="35"/>
        <v/>
      </c>
      <c r="AE133" s="15" t="str">
        <f t="shared" si="33"/>
        <v/>
      </c>
      <c r="AF133" s="15" t="str">
        <f t="shared" si="33"/>
        <v/>
      </c>
      <c r="AG133" s="41" t="str">
        <f t="shared" si="33"/>
        <v/>
      </c>
      <c r="AH133" s="15"/>
    </row>
    <row r="134" spans="2:34">
      <c r="B134" s="34">
        <f t="shared" si="26"/>
        <v>124</v>
      </c>
      <c r="C134" s="30"/>
      <c r="D134" s="30"/>
      <c r="E134" s="30"/>
      <c r="F134" s="30"/>
      <c r="G134" s="30"/>
      <c r="H134" s="35"/>
      <c r="J134" s="34" t="str">
        <f t="shared" si="32"/>
        <v/>
      </c>
      <c r="K134" s="30" t="str">
        <f t="shared" si="32"/>
        <v/>
      </c>
      <c r="L134" s="30" t="str">
        <f t="shared" si="32"/>
        <v/>
      </c>
      <c r="M134" s="30" t="str">
        <f t="shared" si="31"/>
        <v/>
      </c>
      <c r="N134" s="30" t="str">
        <f t="shared" si="31"/>
        <v/>
      </c>
      <c r="O134" s="35" t="str">
        <f t="shared" si="31"/>
        <v/>
      </c>
      <c r="AB134" s="40" t="str">
        <f t="shared" si="35"/>
        <v/>
      </c>
      <c r="AC134" s="15" t="str">
        <f t="shared" si="35"/>
        <v/>
      </c>
      <c r="AD134" s="15" t="str">
        <f t="shared" si="35"/>
        <v/>
      </c>
      <c r="AE134" s="15" t="str">
        <f t="shared" si="33"/>
        <v/>
      </c>
      <c r="AF134" s="15" t="str">
        <f t="shared" si="33"/>
        <v/>
      </c>
      <c r="AG134" s="41" t="str">
        <f t="shared" si="33"/>
        <v/>
      </c>
      <c r="AH134" s="15"/>
    </row>
    <row r="135" spans="2:34">
      <c r="B135" s="36">
        <f t="shared" si="26"/>
        <v>125</v>
      </c>
      <c r="C135" s="37"/>
      <c r="D135" s="37"/>
      <c r="E135" s="37"/>
      <c r="F135" s="37"/>
      <c r="G135" s="37"/>
      <c r="H135" s="38"/>
      <c r="J135" s="36" t="str">
        <f t="shared" si="32"/>
        <v/>
      </c>
      <c r="K135" s="37" t="str">
        <f t="shared" si="32"/>
        <v/>
      </c>
      <c r="L135" s="37" t="str">
        <f t="shared" si="32"/>
        <v/>
      </c>
      <c r="M135" s="37" t="str">
        <f t="shared" si="31"/>
        <v/>
      </c>
      <c r="N135" s="37" t="str">
        <f t="shared" si="31"/>
        <v/>
      </c>
      <c r="O135" s="38" t="str">
        <f t="shared" si="31"/>
        <v/>
      </c>
      <c r="AB135" s="42" t="str">
        <f t="shared" si="35"/>
        <v/>
      </c>
      <c r="AC135" s="43" t="str">
        <f t="shared" si="35"/>
        <v/>
      </c>
      <c r="AD135" s="43" t="str">
        <f t="shared" si="35"/>
        <v/>
      </c>
      <c r="AE135" s="43" t="str">
        <f t="shared" si="33"/>
        <v/>
      </c>
      <c r="AF135" s="43" t="str">
        <f t="shared" si="33"/>
        <v/>
      </c>
      <c r="AG135" s="44" t="str">
        <f t="shared" si="33"/>
        <v/>
      </c>
      <c r="AH135" s="15"/>
    </row>
  </sheetData>
  <conditionalFormatting sqref="C3:H223">
    <cfRule type="cellIs" dxfId="33" priority="1" operator="equal">
      <formula>"WC"</formula>
    </cfRule>
    <cfRule type="cellIs" dxfId="32" priority="2" operator="equal">
      <formula>"BN"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3FF3B-2611-458F-9342-CA6988C3B3E9}">
  <dimension ref="B2:BL135"/>
  <sheetViews>
    <sheetView topLeftCell="K1" zoomScale="91" zoomScaleNormal="84" workbookViewId="0">
      <selection activeCell="H10" sqref="H10:H79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HH</v>
      </c>
      <c r="D4" s="32" t="str">
        <f t="shared" si="1"/>
        <v>WC</v>
      </c>
      <c r="E4" s="32" t="str">
        <f t="shared" si="1"/>
        <v>AA</v>
      </c>
      <c r="F4" s="32" t="str">
        <f t="shared" si="1"/>
        <v>CC</v>
      </c>
      <c r="G4" s="32" t="str">
        <f t="shared" si="1"/>
        <v>HH</v>
      </c>
      <c r="H4" s="33" t="str">
        <f t="shared" si="1"/>
        <v>HH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LL</v>
      </c>
      <c r="D5" s="30" t="str">
        <f t="shared" si="1"/>
        <v>AA</v>
      </c>
      <c r="E5" s="30" t="str">
        <f t="shared" si="1"/>
        <v>JJ</v>
      </c>
      <c r="F5" s="30" t="str">
        <f t="shared" si="1"/>
        <v>BB</v>
      </c>
      <c r="G5" s="30" t="str">
        <f t="shared" si="1"/>
        <v>JJ</v>
      </c>
      <c r="H5" s="35" t="str">
        <f t="shared" si="1"/>
        <v>KK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BB</v>
      </c>
      <c r="D6" s="30" t="str">
        <f t="shared" si="1"/>
        <v>FF</v>
      </c>
      <c r="E6" s="30" t="str">
        <f t="shared" si="1"/>
        <v>DD</v>
      </c>
      <c r="F6" s="30" t="str">
        <f t="shared" si="1"/>
        <v>WC</v>
      </c>
      <c r="G6" s="30" t="str">
        <f t="shared" si="1"/>
        <v>LL</v>
      </c>
      <c r="H6" s="35" t="str">
        <f t="shared" si="1"/>
        <v>AA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HH</v>
      </c>
      <c r="D7" s="30" t="str">
        <f t="shared" si="1"/>
        <v>WC</v>
      </c>
      <c r="E7" s="30" t="str">
        <f t="shared" si="1"/>
        <v>KK</v>
      </c>
      <c r="F7" s="30" t="str">
        <f t="shared" si="1"/>
        <v>BB</v>
      </c>
      <c r="G7" s="30" t="str">
        <f t="shared" si="1"/>
        <v>FF</v>
      </c>
      <c r="H7" s="35" t="str">
        <f t="shared" si="1"/>
        <v>CC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GG</v>
      </c>
      <c r="D8" s="30" t="str">
        <f t="shared" si="1"/>
        <v>AA</v>
      </c>
      <c r="E8" s="30" t="str">
        <f t="shared" si="1"/>
        <v>LL</v>
      </c>
      <c r="F8" s="30" t="str">
        <f t="shared" si="1"/>
        <v>HH</v>
      </c>
      <c r="G8" s="30" t="str">
        <f t="shared" si="1"/>
        <v>GG</v>
      </c>
      <c r="H8" s="35" t="str">
        <f t="shared" si="1"/>
        <v>DD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DD</v>
      </c>
      <c r="D9" s="37" t="str">
        <f t="shared" si="1"/>
        <v>JJ</v>
      </c>
      <c r="E9" s="37" t="str">
        <f t="shared" si="1"/>
        <v>KK</v>
      </c>
      <c r="F9" s="37" t="str">
        <f t="shared" si="1"/>
        <v>KK</v>
      </c>
      <c r="G9" s="37" t="str">
        <f t="shared" si="1"/>
        <v>LL</v>
      </c>
      <c r="H9" s="38" t="str">
        <f t="shared" si="1"/>
        <v>GG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129</v>
      </c>
      <c r="D10" s="30" t="s">
        <v>127</v>
      </c>
      <c r="E10" s="30" t="s">
        <v>137</v>
      </c>
      <c r="F10" s="30" t="s">
        <v>136</v>
      </c>
      <c r="G10" s="30" t="s">
        <v>132</v>
      </c>
      <c r="H10" s="35" t="s">
        <v>128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7</v>
      </c>
      <c r="T10" s="30">
        <f t="shared" si="5"/>
        <v>1</v>
      </c>
      <c r="U10" s="30">
        <f t="shared" si="5"/>
        <v>5</v>
      </c>
      <c r="V10" s="30">
        <f t="shared" si="5"/>
        <v>5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0000100001000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0010000001000</v>
      </c>
      <c r="AD10" s="15" t="str">
        <f t="shared" si="7"/>
        <v>0000010000100</v>
      </c>
      <c r="AE10" s="15" t="str">
        <f t="shared" si="7"/>
        <v>0000100000100</v>
      </c>
      <c r="AF10" s="15" t="str">
        <f t="shared" si="7"/>
        <v>0000000000110</v>
      </c>
      <c r="AG10" s="41" t="str">
        <f t="shared" si="7"/>
        <v>0000001100000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14</v>
      </c>
      <c r="AU10" s="30" cm="1">
        <f t="array" ref="AU10">SUMPRODUCT($AI$10:$AI$113,AM$10:AM$113,IF(LEFT($AJ$10:$AJ$113,2)=$AR10,1,0))</f>
        <v>2</v>
      </c>
      <c r="AV10" s="30" cm="1">
        <f t="array" ref="AV10">SUMPRODUCT($AI$10:$AI$113,AN$10:AN$113,IF(LEFT($AJ$10:$AJ$113,2)=$AR10,1,0))</f>
        <v>10</v>
      </c>
      <c r="AW10" s="30" cm="1">
        <f t="array" ref="AW10">SUMPRODUCT($AI$10:$AI$113,AO$10:AO$113,IF(LEFT($AJ$10:$AJ$113,2)=$AR10,1,0))</f>
        <v>10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131</v>
      </c>
      <c r="D11" s="30" t="s">
        <v>138</v>
      </c>
      <c r="E11" s="30" t="s">
        <v>132</v>
      </c>
      <c r="F11" s="30" t="s">
        <v>130</v>
      </c>
      <c r="G11" s="30" t="s">
        <v>129</v>
      </c>
      <c r="H11" s="35" t="s">
        <v>131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</v>
      </c>
      <c r="S11" s="30">
        <f t="shared" si="5"/>
        <v>7</v>
      </c>
      <c r="T11" s="30">
        <f t="shared" si="5"/>
        <v>10</v>
      </c>
      <c r="U11" s="30">
        <f t="shared" si="5"/>
        <v>2</v>
      </c>
      <c r="V11" s="30">
        <f t="shared" si="5"/>
        <v>6</v>
      </c>
      <c r="W11" s="35">
        <f t="shared" si="5"/>
        <v>8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0100000001000</v>
      </c>
      <c r="AC11" s="15" t="str">
        <f t="shared" si="7"/>
        <v>0010000000010</v>
      </c>
      <c r="AD11" s="15" t="str">
        <f t="shared" si="7"/>
        <v>0000010000100</v>
      </c>
      <c r="AE11" s="15" t="str">
        <f t="shared" si="7"/>
        <v>0000100010000</v>
      </c>
      <c r="AF11" s="15" t="str">
        <f t="shared" si="7"/>
        <v>0000000001100</v>
      </c>
      <c r="AG11" s="41" t="str">
        <f t="shared" si="7"/>
        <v>0100001000000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</v>
      </c>
      <c r="AT11" s="30" cm="1">
        <f t="array" ref="AT11">SUMPRODUCT($AI$10:$AI$113,AL$10:AL$113,IF(LEFT($AJ$10:$AJ$113,2)=$AR11,1,0))</f>
        <v>28</v>
      </c>
      <c r="AU11" s="30" cm="1">
        <f t="array" ref="AU11">SUMPRODUCT($AI$10:$AI$113,AM$10:AM$113,IF(LEFT($AJ$10:$AJ$113,2)=$AR11,1,0))</f>
        <v>22</v>
      </c>
      <c r="AV11" s="30" cm="1">
        <f t="array" ref="AV11">SUMPRODUCT($AI$10:$AI$113,AN$10:AN$113,IF(LEFT($AJ$10:$AJ$113,2)=$AR11,1,0))</f>
        <v>14</v>
      </c>
      <c r="AW11" s="30" cm="1">
        <f t="array" ref="AW11">SUMPRODUCT($AI$10:$AI$113,AO$10:AO$113,IF(LEFT($AJ$10:$AJ$113,2)=$AR11,1,0))</f>
        <v>22</v>
      </c>
      <c r="AX11" s="35" cm="1">
        <f t="array" ref="AX11">SUMPRODUCT($AI$10:$AI$113,AP$10:AP$113,IF(LEFT($AJ$10:$AJ$113,2)=$AR11,1,0))</f>
        <v>16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130</v>
      </c>
      <c r="D12" s="30" t="s">
        <v>133</v>
      </c>
      <c r="E12" s="30" t="s">
        <v>128</v>
      </c>
      <c r="F12" s="30" t="s">
        <v>129</v>
      </c>
      <c r="G12" s="30" t="s">
        <v>133</v>
      </c>
      <c r="H12" s="35" t="s">
        <v>136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15</v>
      </c>
      <c r="S12" s="30">
        <f t="shared" si="5"/>
        <v>1</v>
      </c>
      <c r="T12" s="30">
        <f t="shared" si="5"/>
        <v>8</v>
      </c>
      <c r="U12" s="30">
        <f t="shared" si="5"/>
        <v>8</v>
      </c>
      <c r="V12" s="30">
        <f t="shared" si="5"/>
        <v>1</v>
      </c>
      <c r="W12" s="35">
        <f t="shared" si="5"/>
        <v>1</v>
      </c>
      <c r="Y12" s="20">
        <f t="shared" si="6"/>
        <v>4</v>
      </c>
      <c r="Z12" s="23" t="s">
        <v>134</v>
      </c>
      <c r="AB12" s="40" t="str">
        <f t="shared" si="11"/>
        <v>0100000010000</v>
      </c>
      <c r="AC12" s="15" t="str">
        <f t="shared" si="7"/>
        <v>0000000100010</v>
      </c>
      <c r="AD12" s="15" t="str">
        <f t="shared" si="7"/>
        <v>0000001000100</v>
      </c>
      <c r="AE12" s="15" t="str">
        <f t="shared" si="7"/>
        <v>0000000011000</v>
      </c>
      <c r="AF12" s="15" t="str">
        <f t="shared" si="7"/>
        <v>0000000101000</v>
      </c>
      <c r="AG12" s="41" t="str">
        <f t="shared" si="7"/>
        <v>0100100000000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30</v>
      </c>
      <c r="AT12" s="30" cm="1">
        <f t="array" ref="AT12">SUMPRODUCT($AI$10:$AI$113,AL$10:AL$113,IF(LEFT($AJ$10:$AJ$113,2)=$AR12,1,0))</f>
        <v>16</v>
      </c>
      <c r="AU12" s="30" cm="1">
        <f t="array" ref="AU12">SUMPRODUCT($AI$10:$AI$113,AM$10:AM$113,IF(LEFT($AJ$10:$AJ$113,2)=$AR12,1,0))</f>
        <v>18</v>
      </c>
      <c r="AV12" s="30" cm="1">
        <f t="array" ref="AV12">SUMPRODUCT($AI$10:$AI$113,AN$10:AN$113,IF(LEFT($AJ$10:$AJ$113,2)=$AR12,1,0))</f>
        <v>26</v>
      </c>
      <c r="AW12" s="30" cm="1">
        <f t="array" ref="AW12">SUMPRODUCT($AI$10:$AI$113,AO$10:AO$113,IF(LEFT($AJ$10:$AJ$113,2)=$AR12,1,0))</f>
        <v>12</v>
      </c>
      <c r="AX12" s="35" cm="1">
        <f t="array" ref="AX12">SUMPRODUCT($AI$10:$AI$113,AP$10:AP$113,IF(LEFT($AJ$10:$AJ$113,2)=$AR12,1,0))</f>
        <v>2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138</v>
      </c>
      <c r="D13" s="30" t="s">
        <v>126</v>
      </c>
      <c r="E13" s="30" t="s">
        <v>130</v>
      </c>
      <c r="F13" s="30" t="s">
        <v>128</v>
      </c>
      <c r="G13" s="30" t="s">
        <v>137</v>
      </c>
      <c r="H13" s="35" t="s">
        <v>138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12</v>
      </c>
      <c r="S13" s="30">
        <f t="shared" si="5"/>
        <v>5</v>
      </c>
      <c r="T13" s="30">
        <f t="shared" si="5"/>
        <v>9</v>
      </c>
      <c r="U13" s="30">
        <f t="shared" si="5"/>
        <v>5</v>
      </c>
      <c r="V13" s="30">
        <f t="shared" si="5"/>
        <v>3</v>
      </c>
      <c r="W13" s="35">
        <f t="shared" si="5"/>
        <v>8</v>
      </c>
      <c r="Y13" s="20">
        <f t="shared" si="6"/>
        <v>5</v>
      </c>
      <c r="Z13" s="23" t="s">
        <v>136</v>
      </c>
      <c r="AB13" s="40" t="str">
        <f t="shared" si="11"/>
        <v>0000000010010</v>
      </c>
      <c r="AC13" s="15" t="str">
        <f t="shared" si="7"/>
        <v>1111111211110</v>
      </c>
      <c r="AD13" s="15" t="str">
        <f t="shared" si="7"/>
        <v>0000001010000</v>
      </c>
      <c r="AE13" s="15" t="str">
        <f t="shared" si="7"/>
        <v>0000001001000</v>
      </c>
      <c r="AF13" s="15" t="str">
        <f t="shared" si="7"/>
        <v>0000010100000</v>
      </c>
      <c r="AG13" s="41" t="str">
        <f t="shared" si="7"/>
        <v>0000100000010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24</v>
      </c>
      <c r="AT13" s="30" cm="1">
        <f t="array" ref="AT13">SUMPRODUCT($AI$10:$AI$113,AL$10:AL$113,IF(LEFT($AJ$10:$AJ$113,2)=$AR13,1,0))</f>
        <v>24</v>
      </c>
      <c r="AU13" s="30" cm="1">
        <f t="array" ref="AU13">SUMPRODUCT($AI$10:$AI$113,AM$10:AM$113,IF(LEFT($AJ$10:$AJ$113,2)=$AR13,1,0))</f>
        <v>20</v>
      </c>
      <c r="AV13" s="30" cm="1">
        <f t="array" ref="AV13">SUMPRODUCT($AI$10:$AI$113,AN$10:AN$113,IF(LEFT($AJ$10:$AJ$113,2)=$AR13,1,0))</f>
        <v>20</v>
      </c>
      <c r="AW13" s="30" cm="1">
        <f t="array" ref="AW13">SUMPRODUCT($AI$10:$AI$113,AO$10:AO$113,IF(LEFT($AJ$10:$AJ$113,2)=$AR13,1,0))</f>
        <v>16</v>
      </c>
      <c r="AX13" s="35" cm="1">
        <f t="array" ref="AX13">SUMPRODUCT($AI$10:$AI$113,AP$10:AP$113,IF(LEFT($AJ$10:$AJ$113,2)=$AR13,1,0))</f>
        <v>16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134</v>
      </c>
      <c r="D14" s="30" t="s">
        <v>129</v>
      </c>
      <c r="E14" s="30" t="s">
        <v>126</v>
      </c>
      <c r="F14" s="30" t="s">
        <v>133</v>
      </c>
      <c r="G14" s="30" t="s">
        <v>134</v>
      </c>
      <c r="H14" s="35" t="s">
        <v>129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11</v>
      </c>
      <c r="S14" s="30">
        <f t="shared" si="5"/>
        <v>7</v>
      </c>
      <c r="T14" s="30">
        <f t="shared" si="5"/>
        <v>9</v>
      </c>
      <c r="U14" s="30">
        <f t="shared" si="5"/>
        <v>1</v>
      </c>
      <c r="V14" s="30">
        <f t="shared" si="5"/>
        <v>3</v>
      </c>
      <c r="W14" s="35">
        <f t="shared" si="5"/>
        <v>10</v>
      </c>
      <c r="Y14" s="20">
        <f t="shared" si="6"/>
        <v>6</v>
      </c>
      <c r="Z14" s="23" t="s">
        <v>137</v>
      </c>
      <c r="AB14" s="40" t="str">
        <f t="shared" si="11"/>
        <v>0001000000010</v>
      </c>
      <c r="AC14" s="15" t="str">
        <f t="shared" si="7"/>
        <v>1111111112110</v>
      </c>
      <c r="AD14" s="15" t="str">
        <f t="shared" si="7"/>
        <v>1111111121110</v>
      </c>
      <c r="AE14" s="15" t="str">
        <f t="shared" si="7"/>
        <v>0000001100000</v>
      </c>
      <c r="AF14" s="15" t="str">
        <f t="shared" si="7"/>
        <v>0001010000000</v>
      </c>
      <c r="AG14" s="41" t="str">
        <f t="shared" si="7"/>
        <v>0000000001010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22</v>
      </c>
      <c r="AT14" s="30" cm="1">
        <f t="array" ref="AT14">SUMPRODUCT($AI$10:$AI$113,AL$10:AL$113,IF(LEFT($AJ$10:$AJ$113,2)=$AR14,1,0))</f>
        <v>28</v>
      </c>
      <c r="AU14" s="30" cm="1">
        <f t="array" ref="AU14">SUMPRODUCT($AI$10:$AI$113,AM$10:AM$113,IF(LEFT($AJ$10:$AJ$113,2)=$AR14,1,0))</f>
        <v>20</v>
      </c>
      <c r="AV14" s="30" cm="1">
        <f t="array" ref="AV14">SUMPRODUCT($AI$10:$AI$113,AN$10:AN$113,IF(LEFT($AJ$10:$AJ$113,2)=$AR14,1,0))</f>
        <v>12</v>
      </c>
      <c r="AW14" s="30" cm="1">
        <f t="array" ref="AW14">SUMPRODUCT($AI$10:$AI$113,AO$10:AO$113,IF(LEFT($AJ$10:$AJ$113,2)=$AR14,1,0))</f>
        <v>16</v>
      </c>
      <c r="AX14" s="35" cm="1">
        <f t="array" ref="AX14">SUMPRODUCT($AI$10:$AI$113,AP$10:AP$113,IF(LEFT($AJ$10:$AJ$113,2)=$AR14,1,0))</f>
        <v>20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127</v>
      </c>
      <c r="D15" s="30" t="s">
        <v>136</v>
      </c>
      <c r="E15" s="30" t="s">
        <v>133</v>
      </c>
      <c r="F15" s="30" t="s">
        <v>132</v>
      </c>
      <c r="G15" s="30" t="s">
        <v>126</v>
      </c>
      <c r="H15" s="35" t="s">
        <v>132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12</v>
      </c>
      <c r="S15" s="30">
        <f t="shared" si="5"/>
        <v>9</v>
      </c>
      <c r="T15" s="30">
        <f t="shared" si="5"/>
        <v>1</v>
      </c>
      <c r="U15" s="30">
        <f t="shared" si="5"/>
        <v>4</v>
      </c>
      <c r="V15" s="30">
        <f t="shared" si="5"/>
        <v>5</v>
      </c>
      <c r="W15" s="35">
        <f t="shared" si="5"/>
        <v>11</v>
      </c>
      <c r="Y15" s="20">
        <f t="shared" si="6"/>
        <v>7</v>
      </c>
      <c r="Z15" s="23" t="s">
        <v>128</v>
      </c>
      <c r="AB15" s="40" t="str">
        <f t="shared" si="11"/>
        <v>0011000000000</v>
      </c>
      <c r="AC15" s="15" t="str">
        <f t="shared" si="7"/>
        <v>0000100001000</v>
      </c>
      <c r="AD15" s="15" t="str">
        <f t="shared" si="7"/>
        <v>1111111211110</v>
      </c>
      <c r="AE15" s="15" t="str">
        <f t="shared" si="7"/>
        <v>0000000100100</v>
      </c>
      <c r="AF15" s="15" t="str">
        <f t="shared" si="7"/>
        <v>1112111111110</v>
      </c>
      <c r="AG15" s="41" t="str">
        <f t="shared" si="7"/>
        <v>0000000001100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0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0</v>
      </c>
      <c r="AN15" s="39" cm="1">
        <f t="array" ref="AN15">SUMPRODUCT(--(MID(AE$10:AE$135, SUMIF($Z$9:$Z$21, LEFT($AJ15,2), $Y$9:$Y$21), 1) = RIGHT($AJ15, 1)), M$10:M$135)</f>
        <v>0</v>
      </c>
      <c r="AO15" s="39" cm="1">
        <f t="array" ref="AO15">SUMPRODUCT(--(MID(AF$10:AF$135, SUMIF($Z$9:$Z$21, LEFT($AJ15,2), $Y$9:$Y$21), 1) = RIGHT($AJ15, 1)), N$10:N$135)</f>
        <v>0</v>
      </c>
      <c r="AP15" s="19" cm="1">
        <f t="array" ref="AP15">SUMPRODUCT(--(MID(AG$10:AG$135, SUMIF($Z$9:$Z$21, LEFT($AJ15,2), $Y$9:$Y$21), 1) = RIGHT($AJ15, 1)), O$10:O$135)</f>
        <v>0</v>
      </c>
      <c r="AR15" s="34" t="str">
        <f t="shared" si="8"/>
        <v>EE</v>
      </c>
      <c r="AS15" s="30" cm="1">
        <f t="array" ref="AS15">SUMPRODUCT($AI$10:$AI$113,AK$10:AK$113,IF(LEFT($AJ$10:$AJ$113,2)=$AR15,1,0))</f>
        <v>24</v>
      </c>
      <c r="AT15" s="30" cm="1">
        <f t="array" ref="AT15">SUMPRODUCT($AI$10:$AI$113,AL$10:AL$113,IF(LEFT($AJ$10:$AJ$113,2)=$AR15,1,0))</f>
        <v>32</v>
      </c>
      <c r="AU15" s="30" cm="1">
        <f t="array" ref="AU15">SUMPRODUCT($AI$10:$AI$113,AM$10:AM$113,IF(LEFT($AJ$10:$AJ$113,2)=$AR15,1,0))</f>
        <v>4</v>
      </c>
      <c r="AV15" s="30" cm="1">
        <f t="array" ref="AV15">SUMPRODUCT($AI$10:$AI$113,AN$10:AN$113,IF(LEFT($AJ$10:$AJ$113,2)=$AR15,1,0))</f>
        <v>18</v>
      </c>
      <c r="AW15" s="30" cm="1">
        <f t="array" ref="AW15">SUMPRODUCT($AI$10:$AI$113,AO$10:AO$113,IF(LEFT($AJ$10:$AJ$113,2)=$AR15,1,0))</f>
        <v>20</v>
      </c>
      <c r="AX15" s="35" cm="1">
        <f t="array" ref="AX15">SUMPRODUCT($AI$10:$AI$113,AP$10:AP$113,IF(LEFT($AJ$10:$AJ$113,2)=$AR15,1,0))</f>
        <v>22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128</v>
      </c>
      <c r="D16" s="30" t="s">
        <v>128</v>
      </c>
      <c r="E16" s="30" t="s">
        <v>127</v>
      </c>
      <c r="F16" s="30" t="s">
        <v>126</v>
      </c>
      <c r="G16" s="30" t="s">
        <v>138</v>
      </c>
      <c r="H16" s="35" t="s">
        <v>127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1</v>
      </c>
      <c r="S16" s="30">
        <f t="shared" si="5"/>
        <v>8</v>
      </c>
      <c r="T16" s="30">
        <f t="shared" si="5"/>
        <v>10</v>
      </c>
      <c r="U16" s="30">
        <f t="shared" si="5"/>
        <v>1</v>
      </c>
      <c r="V16" s="30">
        <f t="shared" si="5"/>
        <v>11</v>
      </c>
      <c r="W16" s="35">
        <f t="shared" si="5"/>
        <v>1</v>
      </c>
      <c r="Y16" s="20">
        <f t="shared" si="6"/>
        <v>8</v>
      </c>
      <c r="Z16" s="23" t="s">
        <v>133</v>
      </c>
      <c r="AB16" s="40" t="str">
        <f t="shared" si="11"/>
        <v>0010001000000</v>
      </c>
      <c r="AC16" s="15" t="str">
        <f t="shared" si="7"/>
        <v>0000101000000</v>
      </c>
      <c r="AD16" s="15" t="str">
        <f t="shared" si="7"/>
        <v>0010000100000</v>
      </c>
      <c r="AE16" s="15" t="str">
        <f t="shared" si="7"/>
        <v>1111111111210</v>
      </c>
      <c r="AF16" s="15" t="str">
        <f t="shared" si="7"/>
        <v>1111111111120</v>
      </c>
      <c r="AG16" s="41" t="str">
        <f t="shared" si="7"/>
        <v>0010000000100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</v>
      </c>
      <c r="AL16" s="39" cm="1">
        <f t="array" ref="AL16">SUMPRODUCT(--(MID(AC$10:AC$135, SUMIF($Z$9:$Z$21, LEFT($AJ16,2), $Y$9:$Y$21), 1) = RIGHT($AJ16, 1)), K$10:K$135)</f>
        <v>24</v>
      </c>
      <c r="AM16" s="39" cm="1">
        <f t="array" ref="AM16">SUMPRODUCT(--(MID(AD$10:AD$135, SUMIF($Z$9:$Z$21, LEFT($AJ16,2), $Y$9:$Y$21), 1) = RIGHT($AJ16, 1)), L$10:L$135)</f>
        <v>22</v>
      </c>
      <c r="AN16" s="39" cm="1">
        <f t="array" ref="AN16">SUMPRODUCT(--(MID(AE$10:AE$135, SUMIF($Z$9:$Z$21, LEFT($AJ16,2), $Y$9:$Y$21), 1) = RIGHT($AJ16, 1)), M$10:M$135)</f>
        <v>14</v>
      </c>
      <c r="AO16" s="39" cm="1">
        <f t="array" ref="AO16">SUMPRODUCT(--(MID(AF$10:AF$135, SUMIF($Z$9:$Z$21, LEFT($AJ16,2), $Y$9:$Y$21), 1) = RIGHT($AJ16, 1)), N$10:N$135)</f>
        <v>22</v>
      </c>
      <c r="AP16" s="19" cm="1">
        <f t="array" ref="AP16">SUMPRODUCT(--(MID(AG$10:AG$135, SUMIF($Z$9:$Z$21, LEFT($AJ16,2), $Y$9:$Y$21), 1) = RIGHT($AJ16, 1)), O$10:O$135)</f>
        <v>16</v>
      </c>
      <c r="AR16" s="34" t="str">
        <f t="shared" si="8"/>
        <v>FF</v>
      </c>
      <c r="AS16" s="30" cm="1">
        <f t="array" ref="AS16">SUMPRODUCT($AI$10:$AI$113,AK$10:AK$113,IF(LEFT($AJ$10:$AJ$113,2)=$AR16,1,0))</f>
        <v>2</v>
      </c>
      <c r="AT16" s="30" cm="1">
        <f t="array" ref="AT16">SUMPRODUCT($AI$10:$AI$113,AL$10:AL$113,IF(LEFT($AJ$10:$AJ$113,2)=$AR16,1,0))</f>
        <v>30</v>
      </c>
      <c r="AU16" s="30" cm="1">
        <f t="array" ref="AU16">SUMPRODUCT($AI$10:$AI$113,AM$10:AM$113,IF(LEFT($AJ$10:$AJ$113,2)=$AR16,1,0))</f>
        <v>22</v>
      </c>
      <c r="AV16" s="30" cm="1">
        <f t="array" ref="AV16">SUMPRODUCT($AI$10:$AI$113,AN$10:AN$113,IF(LEFT($AJ$10:$AJ$113,2)=$AR16,1,0))</f>
        <v>12</v>
      </c>
      <c r="AW16" s="30" cm="1">
        <f t="array" ref="AW16">SUMPRODUCT($AI$10:$AI$113,AO$10:AO$113,IF(LEFT($AJ$10:$AJ$113,2)=$AR16,1,0))</f>
        <v>32</v>
      </c>
      <c r="AX16" s="35" cm="1">
        <f t="array" ref="AX16">SUMPRODUCT($AI$10:$AI$113,AP$10:AP$113,IF(LEFT($AJ$10:$AJ$113,2)=$AR16,1,0))</f>
        <v>2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136</v>
      </c>
      <c r="D17" s="30" t="s">
        <v>130</v>
      </c>
      <c r="E17" s="30" t="s">
        <v>134</v>
      </c>
      <c r="F17" s="30" t="s">
        <v>137</v>
      </c>
      <c r="G17" s="30" t="s">
        <v>127</v>
      </c>
      <c r="H17" s="35" t="s">
        <v>134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11</v>
      </c>
      <c r="S17" s="30">
        <f t="shared" si="5"/>
        <v>1</v>
      </c>
      <c r="T17" s="30">
        <f t="shared" si="5"/>
        <v>2</v>
      </c>
      <c r="U17" s="30">
        <f t="shared" si="5"/>
        <v>2</v>
      </c>
      <c r="V17" s="30">
        <f t="shared" si="5"/>
        <v>4</v>
      </c>
      <c r="W17" s="35">
        <f t="shared" si="5"/>
        <v>9</v>
      </c>
      <c r="Y17" s="20">
        <f t="shared" si="6"/>
        <v>9</v>
      </c>
      <c r="Z17" s="23" t="s">
        <v>130</v>
      </c>
      <c r="AB17" s="40" t="str">
        <f t="shared" si="11"/>
        <v>0000101000000</v>
      </c>
      <c r="AC17" s="15" t="str">
        <f t="shared" si="7"/>
        <v>0000001010000</v>
      </c>
      <c r="AD17" s="15" t="str">
        <f t="shared" si="7"/>
        <v>0011000000000</v>
      </c>
      <c r="AE17" s="15" t="str">
        <f t="shared" si="7"/>
        <v>1111121111110</v>
      </c>
      <c r="AF17" s="15" t="str">
        <f t="shared" si="7"/>
        <v>0010000000010</v>
      </c>
      <c r="AG17" s="41" t="str">
        <f t="shared" si="7"/>
        <v>0011000000000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79</v>
      </c>
      <c r="AL17" s="39" cm="1">
        <f t="array" ref="AL17">SUMPRODUCT(--(MID(AC$10:AC$135, SUMIF($Z$9:$Z$21, LEFT($AJ17,2), $Y$9:$Y$21), 1) = RIGHT($AJ17, 1)), K$10:K$135)</f>
        <v>31</v>
      </c>
      <c r="AM17" s="39" cm="1">
        <f t="array" ref="AM17">SUMPRODUCT(--(MID(AD$10:AD$135, SUMIF($Z$9:$Z$21, LEFT($AJ17,2), $Y$9:$Y$21), 1) = RIGHT($AJ17, 1)), L$10:L$135)</f>
        <v>58</v>
      </c>
      <c r="AN17" s="39" cm="1">
        <f t="array" ref="AN17">SUMPRODUCT(--(MID(AE$10:AE$135, SUMIF($Z$9:$Z$21, LEFT($AJ17,2), $Y$9:$Y$21), 1) = RIGHT($AJ17, 1)), M$10:M$135)</f>
        <v>24</v>
      </c>
      <c r="AO17" s="39" cm="1">
        <f t="array" ref="AO17">SUMPRODUCT(--(MID(AF$10:AF$135, SUMIF($Z$9:$Z$21, LEFT($AJ17,2), $Y$9:$Y$21), 1) = RIGHT($AJ17, 1)), N$10:N$135)</f>
        <v>51</v>
      </c>
      <c r="AP17" s="19" cm="1">
        <f t="array" ref="AP17">SUMPRODUCT(--(MID(AG$10:AG$135, SUMIF($Z$9:$Z$21, LEFT($AJ17,2), $Y$9:$Y$21), 1) = RIGHT($AJ17, 1)), O$10:O$135)</f>
        <v>54</v>
      </c>
      <c r="AR17" s="34" t="str">
        <f t="shared" si="8"/>
        <v>GG</v>
      </c>
      <c r="AS17" s="30" cm="1">
        <f t="array" ref="AS17">SUMPRODUCT($AI$10:$AI$113,AK$10:AK$113,IF(LEFT($AJ$10:$AJ$113,2)=$AR17,1,0))</f>
        <v>22</v>
      </c>
      <c r="AT17" s="30" cm="1">
        <f t="array" ref="AT17">SUMPRODUCT($AI$10:$AI$113,AL$10:AL$113,IF(LEFT($AJ$10:$AJ$113,2)=$AR17,1,0))</f>
        <v>16</v>
      </c>
      <c r="AU17" s="30" cm="1">
        <f t="array" ref="AU17">SUMPRODUCT($AI$10:$AI$113,AM$10:AM$113,IF(LEFT($AJ$10:$AJ$113,2)=$AR17,1,0))</f>
        <v>6</v>
      </c>
      <c r="AV17" s="30" cm="1">
        <f t="array" ref="AV17">SUMPRODUCT($AI$10:$AI$113,AN$10:AN$113,IF(LEFT($AJ$10:$AJ$113,2)=$AR17,1,0))</f>
        <v>14</v>
      </c>
      <c r="AW17" s="30" cm="1">
        <f t="array" ref="AW17">SUMPRODUCT($AI$10:$AI$113,AO$10:AO$113,IF(LEFT($AJ$10:$AJ$113,2)=$AR17,1,0))</f>
        <v>18</v>
      </c>
      <c r="AX17" s="35" cm="1">
        <f t="array" ref="AX17">SUMPRODUCT($AI$10:$AI$113,AP$10:AP$113,IF(LEFT($AJ$10:$AJ$113,2)=$AR17,1,0))</f>
        <v>18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133</v>
      </c>
      <c r="D18" s="30" t="s">
        <v>132</v>
      </c>
      <c r="E18" s="30" t="s">
        <v>129</v>
      </c>
      <c r="F18" s="30" t="s">
        <v>127</v>
      </c>
      <c r="G18" s="30" t="s">
        <v>136</v>
      </c>
      <c r="H18" s="35" t="s">
        <v>130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11</v>
      </c>
      <c r="S18" s="30">
        <f t="shared" si="5"/>
        <v>1</v>
      </c>
      <c r="T18" s="30">
        <f t="shared" si="5"/>
        <v>5</v>
      </c>
      <c r="U18" s="30">
        <f t="shared" si="5"/>
        <v>2</v>
      </c>
      <c r="V18" s="30">
        <f t="shared" si="5"/>
        <v>4</v>
      </c>
      <c r="W18" s="35">
        <f t="shared" si="5"/>
        <v>8</v>
      </c>
      <c r="Y18" s="20">
        <f t="shared" si="6"/>
        <v>10</v>
      </c>
      <c r="Z18" s="23" t="s">
        <v>129</v>
      </c>
      <c r="AB18" s="40" t="str">
        <f t="shared" si="11"/>
        <v>0000100100000</v>
      </c>
      <c r="AC18" s="15" t="str">
        <f t="shared" si="7"/>
        <v>0000000010100</v>
      </c>
      <c r="AD18" s="15" t="str">
        <f t="shared" si="7"/>
        <v>0001000001000</v>
      </c>
      <c r="AE18" s="15" t="str">
        <f t="shared" si="7"/>
        <v>0010010000000</v>
      </c>
      <c r="AF18" s="15" t="str">
        <f t="shared" si="7"/>
        <v>0010100000000</v>
      </c>
      <c r="AG18" s="41" t="str">
        <f t="shared" si="7"/>
        <v>0001000010000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22</v>
      </c>
      <c r="AT18" s="30" cm="1">
        <f t="array" ref="AT18">SUMPRODUCT($AI$10:$AI$113,AL$10:AL$113,IF(LEFT($AJ$10:$AJ$113,2)=$AR18,1,0))</f>
        <v>16</v>
      </c>
      <c r="AU18" s="30" cm="1">
        <f t="array" ref="AU18">SUMPRODUCT($AI$10:$AI$113,AM$10:AM$113,IF(LEFT($AJ$10:$AJ$113,2)=$AR18,1,0))</f>
        <v>12</v>
      </c>
      <c r="AV18" s="30" cm="1">
        <f t="array" ref="AV18">SUMPRODUCT($AI$10:$AI$113,AN$10:AN$113,IF(LEFT($AJ$10:$AJ$113,2)=$AR18,1,0))</f>
        <v>14</v>
      </c>
      <c r="AW18" s="30" cm="1">
        <f t="array" ref="AW18">SUMPRODUCT($AI$10:$AI$113,AO$10:AO$113,IF(LEFT($AJ$10:$AJ$113,2)=$AR18,1,0))</f>
        <v>18</v>
      </c>
      <c r="AX18" s="35" cm="1">
        <f t="array" ref="AX18">SUMPRODUCT($AI$10:$AI$113,AP$10:AP$113,IF(LEFT($AJ$10:$AJ$113,2)=$AR18,1,0))</f>
        <v>16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132</v>
      </c>
      <c r="D19" s="30" t="s">
        <v>137</v>
      </c>
      <c r="E19" s="30" t="s">
        <v>136</v>
      </c>
      <c r="F19" s="30" t="s">
        <v>131</v>
      </c>
      <c r="G19" s="30" t="s">
        <v>128</v>
      </c>
      <c r="H19" s="35" t="s">
        <v>133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1</v>
      </c>
      <c r="S19" s="30">
        <f t="shared" si="5"/>
        <v>8</v>
      </c>
      <c r="T19" s="30">
        <f t="shared" si="5"/>
        <v>8</v>
      </c>
      <c r="U19" s="30">
        <f t="shared" si="5"/>
        <v>2</v>
      </c>
      <c r="V19" s="30">
        <f t="shared" si="5"/>
        <v>18</v>
      </c>
      <c r="W19" s="35">
        <f t="shared" si="5"/>
        <v>1</v>
      </c>
      <c r="Y19" s="20">
        <f t="shared" si="6"/>
        <v>11</v>
      </c>
      <c r="Z19" s="23" t="s">
        <v>132</v>
      </c>
      <c r="AA19" s="21"/>
      <c r="AB19" s="40" t="str">
        <f t="shared" si="11"/>
        <v>0000000100100</v>
      </c>
      <c r="AC19" s="15" t="str">
        <f t="shared" si="7"/>
        <v>0000010000100</v>
      </c>
      <c r="AD19" s="15" t="str">
        <f t="shared" si="7"/>
        <v>0000100001000</v>
      </c>
      <c r="AE19" s="15" t="str">
        <f t="shared" si="7"/>
        <v>0110000000000</v>
      </c>
      <c r="AF19" s="15" t="str">
        <f t="shared" si="7"/>
        <v>0000101000000</v>
      </c>
      <c r="AG19" s="41" t="str">
        <f t="shared" si="7"/>
        <v>0000000110000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2</v>
      </c>
      <c r="AT19" s="30" cm="1">
        <f t="array" ref="AT19">SUMPRODUCT($AI$10:$AI$113,AL$10:AL$113,IF(LEFT($AJ$10:$AJ$113,2)=$AR19,1,0))</f>
        <v>30</v>
      </c>
      <c r="AU19" s="30" cm="1">
        <f t="array" ref="AU19">SUMPRODUCT($AI$10:$AI$113,AM$10:AM$113,IF(LEFT($AJ$10:$AJ$113,2)=$AR19,1,0))</f>
        <v>18</v>
      </c>
      <c r="AV19" s="30" cm="1">
        <f t="array" ref="AV19">SUMPRODUCT($AI$10:$AI$113,AN$10:AN$113,IF(LEFT($AJ$10:$AJ$113,2)=$AR19,1,0))</f>
        <v>14</v>
      </c>
      <c r="AW19" s="30" cm="1">
        <f t="array" ref="AW19">SUMPRODUCT($AI$10:$AI$113,AO$10:AO$113,IF(LEFT($AJ$10:$AJ$113,2)=$AR19,1,0))</f>
        <v>46</v>
      </c>
      <c r="AX19" s="35" cm="1">
        <f t="array" ref="AX19">SUMPRODUCT($AI$10:$AI$113,AP$10:AP$113,IF(LEFT($AJ$10:$AJ$113,2)=$AR19,1,0))</f>
        <v>2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137</v>
      </c>
      <c r="D20" s="30" t="s">
        <v>134</v>
      </c>
      <c r="E20" s="30" t="s">
        <v>138</v>
      </c>
      <c r="F20" s="30" t="s">
        <v>138</v>
      </c>
      <c r="G20" s="30" t="s">
        <v>130</v>
      </c>
      <c r="H20" s="35" t="s">
        <v>137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2</v>
      </c>
      <c r="S20" s="30">
        <f t="shared" si="5"/>
        <v>2</v>
      </c>
      <c r="T20" s="30">
        <f t="shared" si="5"/>
        <v>13</v>
      </c>
      <c r="U20" s="30">
        <f t="shared" si="5"/>
        <v>3</v>
      </c>
      <c r="V20" s="30">
        <f t="shared" si="5"/>
        <v>1</v>
      </c>
      <c r="W20" s="35">
        <f t="shared" si="5"/>
        <v>8</v>
      </c>
      <c r="Y20" s="20">
        <v>12</v>
      </c>
      <c r="Z20" s="23" t="s">
        <v>138</v>
      </c>
      <c r="AA20" s="21"/>
      <c r="AB20" s="40" t="str">
        <f t="shared" si="11"/>
        <v>0000010000100</v>
      </c>
      <c r="AC20" s="15" t="str">
        <f t="shared" si="7"/>
        <v>0001010000000</v>
      </c>
      <c r="AD20" s="15" t="str">
        <f t="shared" si="7"/>
        <v>0000100000010</v>
      </c>
      <c r="AE20" s="15" t="str">
        <f t="shared" si="7"/>
        <v>0100000000010</v>
      </c>
      <c r="AF20" s="15" t="str">
        <f t="shared" si="7"/>
        <v>0000001010000</v>
      </c>
      <c r="AG20" s="41" t="str">
        <f t="shared" si="7"/>
        <v>0000010100000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4</v>
      </c>
      <c r="AT20" s="30" cm="1">
        <f t="array" ref="AT20">SUMPRODUCT($AI$10:$AI$113,AL$10:AL$113,IF(LEFT($AJ$10:$AJ$113,2)=$AR20,1,0))</f>
        <v>18</v>
      </c>
      <c r="AU20" s="30" cm="1">
        <f t="array" ref="AU20">SUMPRODUCT($AI$10:$AI$113,AM$10:AM$113,IF(LEFT($AJ$10:$AJ$113,2)=$AR20,1,0))</f>
        <v>28</v>
      </c>
      <c r="AV20" s="30" cm="1">
        <f t="array" ref="AV20">SUMPRODUCT($AI$10:$AI$113,AN$10:AN$113,IF(LEFT($AJ$10:$AJ$113,2)=$AR20,1,0))</f>
        <v>16</v>
      </c>
      <c r="AW20" s="30" cm="1">
        <f t="array" ref="AW20">SUMPRODUCT($AI$10:$AI$113,AO$10:AO$113,IF(LEFT($AJ$10:$AJ$113,2)=$AR20,1,0))</f>
        <v>12</v>
      </c>
      <c r="AX20" s="35" cm="1">
        <f t="array" ref="AX20">SUMPRODUCT($AI$10:$AI$113,AP$10:AP$113,IF(LEFT($AJ$10:$AJ$113,2)=$AR20,1,0))</f>
        <v>16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130</v>
      </c>
      <c r="D21" s="30" t="s">
        <v>131</v>
      </c>
      <c r="E21" s="30" t="s">
        <v>131</v>
      </c>
      <c r="F21" s="30" t="s">
        <v>134</v>
      </c>
      <c r="G21" s="30" t="s">
        <v>131</v>
      </c>
      <c r="H21" s="35" t="s">
        <v>133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4</v>
      </c>
      <c r="S21" s="30">
        <f t="shared" si="5"/>
        <v>1</v>
      </c>
      <c r="T21" s="30">
        <f t="shared" si="5"/>
        <v>4</v>
      </c>
      <c r="U21" s="30">
        <f t="shared" si="5"/>
        <v>3</v>
      </c>
      <c r="V21" s="30">
        <f t="shared" si="5"/>
        <v>12</v>
      </c>
      <c r="W21" s="35">
        <f t="shared" si="5"/>
        <v>5</v>
      </c>
      <c r="Y21" s="18">
        <v>13</v>
      </c>
      <c r="Z21" s="22" t="s">
        <v>135</v>
      </c>
      <c r="AA21" s="21"/>
      <c r="AB21" s="40" t="str">
        <f t="shared" si="11"/>
        <v>0000010010000</v>
      </c>
      <c r="AC21" s="15" t="str">
        <f t="shared" si="7"/>
        <v>0101000000000</v>
      </c>
      <c r="AD21" s="15" t="str">
        <f t="shared" si="7"/>
        <v>0100000000010</v>
      </c>
      <c r="AE21" s="15" t="str">
        <f t="shared" si="7"/>
        <v>0001000000010</v>
      </c>
      <c r="AF21" s="15" t="str">
        <f t="shared" si="7"/>
        <v>0100000010000</v>
      </c>
      <c r="AG21" s="41" t="str">
        <f t="shared" si="7"/>
        <v>0000010100000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8</v>
      </c>
      <c r="AT21" s="30" cm="1">
        <f t="array" ref="AT21">SUMPRODUCT($AI$10:$AI$113,AL$10:AL$113,IF(LEFT($AJ$10:$AJ$113,2)=$AR21,1,0))</f>
        <v>16</v>
      </c>
      <c r="AU21" s="30" cm="1">
        <f t="array" ref="AU21">SUMPRODUCT($AI$10:$AI$113,AM$10:AM$113,IF(LEFT($AJ$10:$AJ$113,2)=$AR21,1,0))</f>
        <v>10</v>
      </c>
      <c r="AV21" s="30" cm="1">
        <f t="array" ref="AV21">SUMPRODUCT($AI$10:$AI$113,AN$10:AN$113,IF(LEFT($AJ$10:$AJ$113,2)=$AR21,1,0))</f>
        <v>16</v>
      </c>
      <c r="AW21" s="30" cm="1">
        <f t="array" ref="AW21">SUMPRODUCT($AI$10:$AI$113,AO$10:AO$113,IF(LEFT($AJ$10:$AJ$113,2)=$AR21,1,0))</f>
        <v>34</v>
      </c>
      <c r="AX21" s="35" cm="1">
        <f t="array" ref="AX21">SUMPRODUCT($AI$10:$AI$113,AP$10:AP$113,IF(LEFT($AJ$10:$AJ$113,2)=$AR21,1,0))</f>
        <v>10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132</v>
      </c>
      <c r="D22" s="30" t="s">
        <v>137</v>
      </c>
      <c r="E22" s="30" t="s">
        <v>129</v>
      </c>
      <c r="F22" s="30" t="s">
        <v>127</v>
      </c>
      <c r="G22" s="30" t="s">
        <v>129</v>
      </c>
      <c r="H22" s="35" t="s">
        <v>137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0000000010100</v>
      </c>
      <c r="AC22" s="15" t="str">
        <f t="shared" si="7"/>
        <v>0100010000000</v>
      </c>
      <c r="AD22" s="15" t="str">
        <f t="shared" si="7"/>
        <v>0100000001000</v>
      </c>
      <c r="AE22" s="15" t="str">
        <f t="shared" si="7"/>
        <v>0011000000000</v>
      </c>
      <c r="AF22" s="15" t="str">
        <f t="shared" si="7"/>
        <v>0100000001000</v>
      </c>
      <c r="AG22" s="41" t="str">
        <f t="shared" si="7"/>
        <v>0000010100000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133</v>
      </c>
      <c r="D23" s="30" t="s">
        <v>136</v>
      </c>
      <c r="E23" s="30" t="s">
        <v>131</v>
      </c>
      <c r="F23" s="30" t="s">
        <v>129</v>
      </c>
      <c r="G23" s="30" t="s">
        <v>134</v>
      </c>
      <c r="H23" s="35" t="s">
        <v>131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81</v>
      </c>
      <c r="S23" s="37">
        <f t="shared" ref="S23:W23" si="14">SUM(S10:S22)</f>
        <v>57</v>
      </c>
      <c r="T23" s="37">
        <f t="shared" si="14"/>
        <v>80</v>
      </c>
      <c r="U23" s="37">
        <f t="shared" si="14"/>
        <v>38</v>
      </c>
      <c r="V23" s="37">
        <f t="shared" si="14"/>
        <v>73</v>
      </c>
      <c r="W23" s="38">
        <f t="shared" si="14"/>
        <v>70</v>
      </c>
      <c r="Y23" s="21"/>
      <c r="Z23" s="21"/>
      <c r="AA23" s="21"/>
      <c r="AB23" s="40" t="str">
        <f t="shared" si="11"/>
        <v>0000000100100</v>
      </c>
      <c r="AC23" s="15" t="str">
        <f t="shared" si="7"/>
        <v>0000110000000</v>
      </c>
      <c r="AD23" s="15" t="str">
        <f t="shared" si="7"/>
        <v>0100000001000</v>
      </c>
      <c r="AE23" s="15" t="str">
        <f t="shared" si="7"/>
        <v>0010000001000</v>
      </c>
      <c r="AF23" s="15" t="str">
        <f t="shared" si="7"/>
        <v>0001000001000</v>
      </c>
      <c r="AG23" s="41" t="str">
        <f t="shared" si="7"/>
        <v>0100010000000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0</v>
      </c>
      <c r="AL23" s="39" cm="1">
        <f t="array" ref="AL23">SUMPRODUCT(--(MID(AC$10:AC$135, SUMIF($Z$9:$Z$21, LEFT($AJ23,2), $Y$9:$Y$21), 1) = RIGHT($AJ23, 1)), K$10:K$135)</f>
        <v>0</v>
      </c>
      <c r="AM23" s="39" cm="1">
        <f t="array" ref="AM23">SUMPRODUCT(--(MID(AD$10:AD$135, SUMIF($Z$9:$Z$21, LEFT($AJ23,2), $Y$9:$Y$21), 1) = RIGHT($AJ23, 1)), L$10:L$135)</f>
        <v>0</v>
      </c>
      <c r="AN23" s="39" cm="1">
        <f t="array" ref="AN23">SUMPRODUCT(--(MID(AE$10:AE$135, SUMIF($Z$9:$Z$21, LEFT($AJ23,2), $Y$9:$Y$21), 1) = RIGHT($AJ23, 1)), M$10:M$135)</f>
        <v>5</v>
      </c>
      <c r="AO23" s="39" cm="1">
        <f t="array" ref="AO23">SUMPRODUCT(--(MID(AF$10:AF$135, SUMIF($Z$9:$Z$21, LEFT($AJ23,2), $Y$9:$Y$21), 1) = RIGHT($AJ23, 1)), N$10:N$135)</f>
        <v>0</v>
      </c>
      <c r="AP23" s="19" cm="1">
        <f t="array" ref="AP23">SUMPRODUCT(--(MID(AG$10:AG$135, SUMIF($Z$9:$Z$21, LEFT($AJ23,2), $Y$9:$Y$21), 1) = RIGHT($AJ23, 1)), O$10:O$135)</f>
        <v>0</v>
      </c>
      <c r="AR23" s="34" t="str">
        <f t="shared" ref="AR23:AR35" si="15">AR10&amp;"-0"</f>
        <v>WC-0</v>
      </c>
      <c r="AS23" s="30">
        <f t="shared" ref="AS23:AX35" si="16">SUMIF($AJ$10:$AJ$113,$AR23,AK$10:AK$113)</f>
        <v>81</v>
      </c>
      <c r="AT23" s="30">
        <f t="shared" si="16"/>
        <v>43</v>
      </c>
      <c r="AU23" s="30">
        <f t="shared" si="16"/>
        <v>78</v>
      </c>
      <c r="AV23" s="30">
        <f t="shared" si="16"/>
        <v>28</v>
      </c>
      <c r="AW23" s="30">
        <f t="shared" si="16"/>
        <v>63</v>
      </c>
      <c r="AX23" s="35">
        <f t="shared" si="16"/>
        <v>70</v>
      </c>
    </row>
    <row r="24" spans="2:64">
      <c r="B24" s="34">
        <f t="shared" si="9"/>
        <v>14</v>
      </c>
      <c r="C24" s="30" t="s">
        <v>130</v>
      </c>
      <c r="D24" s="30" t="s">
        <v>137</v>
      </c>
      <c r="E24" s="30" t="s">
        <v>136</v>
      </c>
      <c r="F24" s="30" t="s">
        <v>131</v>
      </c>
      <c r="G24" s="30" t="s">
        <v>131</v>
      </c>
      <c r="H24" s="35" t="s">
        <v>134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0000000110000</v>
      </c>
      <c r="AC24" s="15" t="str">
        <f t="shared" si="7"/>
        <v>0000110000000</v>
      </c>
      <c r="AD24" s="15" t="str">
        <f t="shared" si="7"/>
        <v>0100100000000</v>
      </c>
      <c r="AE24" s="15" t="str">
        <f t="shared" si="7"/>
        <v>0100000001000</v>
      </c>
      <c r="AF24" s="15" t="str">
        <f t="shared" si="7"/>
        <v>0101000000000</v>
      </c>
      <c r="AG24" s="41" t="str">
        <f t="shared" si="7"/>
        <v>0101000000000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30</v>
      </c>
      <c r="AL24" s="39" cm="1">
        <f t="array" ref="AL24">SUMPRODUCT(--(MID(AC$10:AC$135, SUMIF($Z$9:$Z$21, LEFT($AJ24,2), $Y$9:$Y$21), 1) = RIGHT($AJ24, 1)), K$10:K$135)</f>
        <v>16</v>
      </c>
      <c r="AM24" s="39" cm="1">
        <f t="array" ref="AM24">SUMPRODUCT(--(MID(AD$10:AD$135, SUMIF($Z$9:$Z$21, LEFT($AJ24,2), $Y$9:$Y$21), 1) = RIGHT($AJ24, 1)), L$10:L$135)</f>
        <v>18</v>
      </c>
      <c r="AN24" s="39" cm="1">
        <f t="array" ref="AN24">SUMPRODUCT(--(MID(AE$10:AE$135, SUMIF($Z$9:$Z$21, LEFT($AJ24,2), $Y$9:$Y$21), 1) = RIGHT($AJ24, 1)), M$10:M$135)</f>
        <v>16</v>
      </c>
      <c r="AO24" s="39" cm="1">
        <f t="array" ref="AO24">SUMPRODUCT(--(MID(AF$10:AF$135, SUMIF($Z$9:$Z$21, LEFT($AJ24,2), $Y$9:$Y$21), 1) = RIGHT($AJ24, 1)), N$10:N$135)</f>
        <v>12</v>
      </c>
      <c r="AP24" s="19" cm="1">
        <f t="array" ref="AP24">SUMPRODUCT(--(MID(AG$10:AG$135, SUMIF($Z$9:$Z$21, LEFT($AJ24,2), $Y$9:$Y$21), 1) = RIGHT($AJ24, 1)), O$10:O$135)</f>
        <v>2</v>
      </c>
      <c r="AR24" s="34" t="str">
        <f t="shared" si="15"/>
        <v>AA-0</v>
      </c>
      <c r="AS24" s="30">
        <f t="shared" si="16"/>
        <v>79</v>
      </c>
      <c r="AT24" s="30">
        <f t="shared" si="16"/>
        <v>31</v>
      </c>
      <c r="AU24" s="30">
        <f t="shared" si="16"/>
        <v>58</v>
      </c>
      <c r="AV24" s="30">
        <f t="shared" si="16"/>
        <v>24</v>
      </c>
      <c r="AW24" s="30">
        <f t="shared" si="16"/>
        <v>51</v>
      </c>
      <c r="AX24" s="35">
        <f t="shared" si="16"/>
        <v>54</v>
      </c>
    </row>
    <row r="25" spans="2:64">
      <c r="B25" s="34">
        <f t="shared" si="9"/>
        <v>15</v>
      </c>
      <c r="C25" s="30" t="s">
        <v>127</v>
      </c>
      <c r="D25" s="30" t="s">
        <v>129</v>
      </c>
      <c r="E25" s="30" t="s">
        <v>132</v>
      </c>
      <c r="F25" s="30" t="s">
        <v>138</v>
      </c>
      <c r="G25" s="30" t="s">
        <v>138</v>
      </c>
      <c r="H25" s="35" t="s">
        <v>132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0010000010000</v>
      </c>
      <c r="AC25" s="15" t="str">
        <f t="shared" si="7"/>
        <v>0000010001000</v>
      </c>
      <c r="AD25" s="15" t="str">
        <f t="shared" si="7"/>
        <v>0000100000100</v>
      </c>
      <c r="AE25" s="15" t="str">
        <f t="shared" si="7"/>
        <v>0100000000010</v>
      </c>
      <c r="AF25" s="15" t="str">
        <f t="shared" si="7"/>
        <v>0100000000010</v>
      </c>
      <c r="AG25" s="41" t="str">
        <f t="shared" si="7"/>
        <v>0001000000100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51</v>
      </c>
      <c r="AL25" s="39" cm="1">
        <f t="array" ref="AL25">SUMPRODUCT(--(MID(AC$10:AC$135, SUMIF($Z$9:$Z$21, LEFT($AJ25,2), $Y$9:$Y$21), 1) = RIGHT($AJ25, 1)), K$10:K$135)</f>
        <v>41</v>
      </c>
      <c r="AM25" s="39" cm="1">
        <f t="array" ref="AM25">SUMPRODUCT(--(MID(AD$10:AD$135, SUMIF($Z$9:$Z$21, LEFT($AJ25,2), $Y$9:$Y$21), 1) = RIGHT($AJ25, 1)), L$10:L$135)</f>
        <v>62</v>
      </c>
      <c r="AN25" s="39" cm="1">
        <f t="array" ref="AN25">SUMPRODUCT(--(MID(AE$10:AE$135, SUMIF($Z$9:$Z$21, LEFT($AJ25,2), $Y$9:$Y$21), 1) = RIGHT($AJ25, 1)), M$10:M$135)</f>
        <v>17</v>
      </c>
      <c r="AO25" s="39" cm="1">
        <f t="array" ref="AO25">SUMPRODUCT(--(MID(AF$10:AF$135, SUMIF($Z$9:$Z$21, LEFT($AJ25,2), $Y$9:$Y$21), 1) = RIGHT($AJ25, 1)), N$10:N$135)</f>
        <v>61</v>
      </c>
      <c r="AP25" s="19" cm="1">
        <f t="array" ref="AP25">SUMPRODUCT(--(MID(AG$10:AG$135, SUMIF($Z$9:$Z$21, LEFT($AJ25,2), $Y$9:$Y$21), 1) = RIGHT($AJ25, 1)), O$10:O$135)</f>
        <v>68</v>
      </c>
      <c r="AR25" s="34" t="str">
        <f t="shared" si="15"/>
        <v>BB-0</v>
      </c>
      <c r="AS25" s="30">
        <f t="shared" si="16"/>
        <v>51</v>
      </c>
      <c r="AT25" s="30">
        <f t="shared" si="16"/>
        <v>41</v>
      </c>
      <c r="AU25" s="30">
        <f t="shared" si="16"/>
        <v>62</v>
      </c>
      <c r="AV25" s="30">
        <f t="shared" si="16"/>
        <v>17</v>
      </c>
      <c r="AW25" s="30">
        <f t="shared" si="16"/>
        <v>61</v>
      </c>
      <c r="AX25" s="35">
        <f t="shared" si="16"/>
        <v>68</v>
      </c>
    </row>
    <row r="26" spans="2:64">
      <c r="B26" s="34">
        <f t="shared" si="9"/>
        <v>16</v>
      </c>
      <c r="C26" s="30" t="s">
        <v>134</v>
      </c>
      <c r="D26" s="30" t="s">
        <v>126</v>
      </c>
      <c r="E26" s="30" t="s">
        <v>138</v>
      </c>
      <c r="F26" s="30" t="s">
        <v>137</v>
      </c>
      <c r="G26" s="30" t="s">
        <v>137</v>
      </c>
      <c r="H26" s="35" t="s">
        <v>134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0011000000000</v>
      </c>
      <c r="AC26" s="15" t="str">
        <f t="shared" si="11"/>
        <v>1111111112110</v>
      </c>
      <c r="AD26" s="15" t="str">
        <f t="shared" si="11"/>
        <v>0000000000110</v>
      </c>
      <c r="AE26" s="15" t="str">
        <f t="shared" si="11"/>
        <v>0000010000010</v>
      </c>
      <c r="AF26" s="15" t="str">
        <f t="shared" si="11"/>
        <v>0000010000010</v>
      </c>
      <c r="AG26" s="41" t="str">
        <f t="shared" si="11"/>
        <v>0001000000100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57</v>
      </c>
      <c r="AT26" s="30">
        <f t="shared" si="16"/>
        <v>34</v>
      </c>
      <c r="AU26" s="30">
        <f t="shared" si="16"/>
        <v>60</v>
      </c>
      <c r="AV26" s="30">
        <f t="shared" si="16"/>
        <v>19</v>
      </c>
      <c r="AW26" s="30">
        <f t="shared" si="16"/>
        <v>58</v>
      </c>
      <c r="AX26" s="35">
        <f t="shared" si="16"/>
        <v>54</v>
      </c>
    </row>
    <row r="27" spans="2:64">
      <c r="B27" s="34">
        <f t="shared" si="9"/>
        <v>17</v>
      </c>
      <c r="C27" s="30" t="s">
        <v>137</v>
      </c>
      <c r="D27" s="30" t="s">
        <v>136</v>
      </c>
      <c r="E27" s="30" t="s">
        <v>131</v>
      </c>
      <c r="F27" s="30" t="s">
        <v>126</v>
      </c>
      <c r="G27" s="30" t="s">
        <v>126</v>
      </c>
      <c r="H27" s="35" t="s">
        <v>136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0001010000000</v>
      </c>
      <c r="AC27" s="15" t="str">
        <f t="shared" si="11"/>
        <v>1111211111110</v>
      </c>
      <c r="AD27" s="15" t="str">
        <f t="shared" si="11"/>
        <v>0100000000010</v>
      </c>
      <c r="AE27" s="15" t="str">
        <f t="shared" si="11"/>
        <v>1111121111110</v>
      </c>
      <c r="AF27" s="15" t="str">
        <f t="shared" si="11"/>
        <v>1111121111110</v>
      </c>
      <c r="AG27" s="41" t="str">
        <f t="shared" si="11"/>
        <v>0001100000000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59</v>
      </c>
      <c r="AT27" s="30">
        <f t="shared" si="16"/>
        <v>31</v>
      </c>
      <c r="AU27" s="30">
        <f t="shared" si="16"/>
        <v>60</v>
      </c>
      <c r="AV27" s="30">
        <f t="shared" si="16"/>
        <v>26</v>
      </c>
      <c r="AW27" s="30">
        <f t="shared" si="16"/>
        <v>57</v>
      </c>
      <c r="AX27" s="35">
        <f t="shared" si="16"/>
        <v>50</v>
      </c>
    </row>
    <row r="28" spans="2:64">
      <c r="B28" s="34">
        <f t="shared" si="9"/>
        <v>18</v>
      </c>
      <c r="C28" s="30" t="s">
        <v>138</v>
      </c>
      <c r="D28" s="30" t="s">
        <v>126</v>
      </c>
      <c r="E28" s="30" t="s">
        <v>127</v>
      </c>
      <c r="F28" s="30" t="s">
        <v>134</v>
      </c>
      <c r="G28" s="30" t="s">
        <v>129</v>
      </c>
      <c r="H28" s="35" t="s">
        <v>130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0000010000010</v>
      </c>
      <c r="AC28" s="15" t="str">
        <f t="shared" si="11"/>
        <v>1111211111110</v>
      </c>
      <c r="AD28" s="15" t="str">
        <f t="shared" si="11"/>
        <v>0110000000000</v>
      </c>
      <c r="AE28" s="15" t="str">
        <f t="shared" si="11"/>
        <v>1112111111110</v>
      </c>
      <c r="AF28" s="15" t="str">
        <f t="shared" si="11"/>
        <v>1111111112110</v>
      </c>
      <c r="AG28" s="41" t="str">
        <f t="shared" si="11"/>
        <v>0000100010000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57</v>
      </c>
      <c r="AT28" s="30">
        <f t="shared" si="16"/>
        <v>26</v>
      </c>
      <c r="AU28" s="30">
        <f t="shared" si="16"/>
        <v>76</v>
      </c>
      <c r="AV28" s="30">
        <f t="shared" si="16"/>
        <v>22</v>
      </c>
      <c r="AW28" s="30">
        <f t="shared" si="16"/>
        <v>54</v>
      </c>
      <c r="AX28" s="35">
        <f t="shared" si="16"/>
        <v>48</v>
      </c>
    </row>
    <row r="29" spans="2:64">
      <c r="B29" s="34">
        <f t="shared" si="9"/>
        <v>19</v>
      </c>
      <c r="C29" s="30" t="s">
        <v>137</v>
      </c>
      <c r="D29" s="30" t="s">
        <v>128</v>
      </c>
      <c r="E29" s="30" t="s">
        <v>136</v>
      </c>
      <c r="F29" s="30" t="s">
        <v>137</v>
      </c>
      <c r="G29" s="30" t="s">
        <v>128</v>
      </c>
      <c r="H29" s="35" t="s">
        <v>136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0000010000010</v>
      </c>
      <c r="AC29" s="15" t="str">
        <f t="shared" si="11"/>
        <v>1111112111110</v>
      </c>
      <c r="AD29" s="15" t="str">
        <f t="shared" si="11"/>
        <v>0010100000000</v>
      </c>
      <c r="AE29" s="15" t="str">
        <f t="shared" si="11"/>
        <v>0001010000000</v>
      </c>
      <c r="AF29" s="15" t="str">
        <f t="shared" si="11"/>
        <v>0000001001000</v>
      </c>
      <c r="AG29" s="41" t="str">
        <f t="shared" si="11"/>
        <v>0000100010000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79</v>
      </c>
      <c r="AT29" s="30">
        <f t="shared" si="16"/>
        <v>30</v>
      </c>
      <c r="AU29" s="30">
        <f t="shared" si="16"/>
        <v>58</v>
      </c>
      <c r="AV29" s="30">
        <f t="shared" si="16"/>
        <v>26</v>
      </c>
      <c r="AW29" s="30">
        <f t="shared" si="16"/>
        <v>43</v>
      </c>
      <c r="AX29" s="35">
        <f t="shared" si="16"/>
        <v>68</v>
      </c>
    </row>
    <row r="30" spans="2:64">
      <c r="B30" s="34">
        <f t="shared" si="9"/>
        <v>20</v>
      </c>
      <c r="C30" s="30" t="s">
        <v>136</v>
      </c>
      <c r="D30" s="30" t="s">
        <v>137</v>
      </c>
      <c r="E30" s="30" t="s">
        <v>130</v>
      </c>
      <c r="F30" s="30" t="s">
        <v>134</v>
      </c>
      <c r="G30" s="30" t="s">
        <v>129</v>
      </c>
      <c r="H30" s="35" t="s">
        <v>130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0000110000000</v>
      </c>
      <c r="AC30" s="15" t="str">
        <f t="shared" si="11"/>
        <v>0000011000000</v>
      </c>
      <c r="AD30" s="15" t="str">
        <f t="shared" si="11"/>
        <v>0000100010000</v>
      </c>
      <c r="AE30" s="15" t="str">
        <f t="shared" si="11"/>
        <v>0001010000000</v>
      </c>
      <c r="AF30" s="15" t="str">
        <f t="shared" si="11"/>
        <v>0000001001000</v>
      </c>
      <c r="AG30" s="41" t="str">
        <f t="shared" si="11"/>
        <v>0000100010000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59</v>
      </c>
      <c r="AT30" s="30">
        <f t="shared" si="16"/>
        <v>42</v>
      </c>
      <c r="AU30" s="30">
        <f t="shared" si="16"/>
        <v>75</v>
      </c>
      <c r="AV30" s="30">
        <f t="shared" si="16"/>
        <v>24</v>
      </c>
      <c r="AW30" s="30">
        <f t="shared" si="16"/>
        <v>55</v>
      </c>
      <c r="AX30" s="35">
        <f t="shared" si="16"/>
        <v>52</v>
      </c>
    </row>
    <row r="31" spans="2:64">
      <c r="B31" s="34">
        <f t="shared" si="9"/>
        <v>21</v>
      </c>
      <c r="C31" s="30" t="s">
        <v>127</v>
      </c>
      <c r="D31" s="30" t="s">
        <v>128</v>
      </c>
      <c r="E31" s="30" t="s">
        <v>129</v>
      </c>
      <c r="F31" s="30" t="s">
        <v>127</v>
      </c>
      <c r="G31" s="30" t="s">
        <v>130</v>
      </c>
      <c r="H31" s="35" t="s">
        <v>136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0010100000000</v>
      </c>
      <c r="AC31" s="15" t="str">
        <f t="shared" si="11"/>
        <v>0000011000000</v>
      </c>
      <c r="AD31" s="15" t="str">
        <f t="shared" si="11"/>
        <v>0000000011000</v>
      </c>
      <c r="AE31" s="15" t="str">
        <f t="shared" si="11"/>
        <v>0011000000000</v>
      </c>
      <c r="AF31" s="15" t="str">
        <f t="shared" si="11"/>
        <v>0000000011000</v>
      </c>
      <c r="AG31" s="41" t="str">
        <f t="shared" si="11"/>
        <v>0000100010000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0</v>
      </c>
      <c r="AL31" s="39" cm="1">
        <f t="array" ref="AL31">SUMPRODUCT(--(MID(AC$10:AC$135, SUMIF($Z$9:$Z$21, LEFT($AJ31,2), $Y$9:$Y$21), 1) = RIGHT($AJ31, 1)), K$10:K$135)</f>
        <v>1</v>
      </c>
      <c r="AM31" s="39" cm="1">
        <f t="array" ref="AM31">SUMPRODUCT(--(MID(AD$10:AD$135, SUMIF($Z$9:$Z$21, LEFT($AJ31,2), $Y$9:$Y$21), 1) = RIGHT($AJ31, 1)), L$10:L$135)</f>
        <v>0</v>
      </c>
      <c r="AN31" s="39" cm="1">
        <f t="array" ref="AN31">SUMPRODUCT(--(MID(AE$10:AE$135, SUMIF($Z$9:$Z$21, LEFT($AJ31,2), $Y$9:$Y$21), 1) = RIGHT($AJ31, 1)), M$10:M$135)</f>
        <v>1</v>
      </c>
      <c r="AO31" s="39" cm="1">
        <f t="array" ref="AO31">SUMPRODUCT(--(MID(AF$10:AF$135, SUMIF($Z$9:$Z$21, LEFT($AJ31,2), $Y$9:$Y$21), 1) = RIGHT($AJ31, 1)), N$10:N$135)</f>
        <v>1</v>
      </c>
      <c r="AP31" s="19" cm="1">
        <f t="array" ref="AP31">SUMPRODUCT(--(MID(AG$10:AG$135, SUMIF($Z$9:$Z$21, LEFT($AJ31,2), $Y$9:$Y$21), 1) = RIGHT($AJ31, 1)), O$10:O$135)</f>
        <v>0</v>
      </c>
      <c r="AR31" s="34" t="str">
        <f t="shared" si="15"/>
        <v>HH-0</v>
      </c>
      <c r="AS31" s="30">
        <f t="shared" si="16"/>
        <v>59</v>
      </c>
      <c r="AT31" s="30">
        <f t="shared" si="16"/>
        <v>41</v>
      </c>
      <c r="AU31" s="30">
        <f t="shared" si="16"/>
        <v>69</v>
      </c>
      <c r="AV31" s="30">
        <f t="shared" si="16"/>
        <v>24</v>
      </c>
      <c r="AW31" s="30">
        <f t="shared" si="16"/>
        <v>55</v>
      </c>
      <c r="AX31" s="35">
        <f t="shared" si="16"/>
        <v>54</v>
      </c>
    </row>
    <row r="32" spans="2:64">
      <c r="B32" s="34">
        <f t="shared" si="9"/>
        <v>22</v>
      </c>
      <c r="C32" s="30" t="s">
        <v>130</v>
      </c>
      <c r="D32" s="30" t="s">
        <v>137</v>
      </c>
      <c r="E32" s="30" t="s">
        <v>138</v>
      </c>
      <c r="F32" s="30" t="s">
        <v>132</v>
      </c>
      <c r="G32" s="30" t="s">
        <v>128</v>
      </c>
      <c r="H32" s="35" t="s">
        <v>138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0010000010000</v>
      </c>
      <c r="AC32" s="15" t="str">
        <f t="shared" si="11"/>
        <v>0000011000000</v>
      </c>
      <c r="AD32" s="15" t="str">
        <f t="shared" si="11"/>
        <v>0000000001010</v>
      </c>
      <c r="AE32" s="15" t="str">
        <f t="shared" si="11"/>
        <v>0010000000100</v>
      </c>
      <c r="AF32" s="15" t="str">
        <f t="shared" si="11"/>
        <v>0000001010000</v>
      </c>
      <c r="AG32" s="41" t="str">
        <f t="shared" si="11"/>
        <v>0000100000010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24</v>
      </c>
      <c r="AL32" s="39" cm="1">
        <f t="array" ref="AL32">SUMPRODUCT(--(MID(AC$10:AC$135, SUMIF($Z$9:$Z$21, LEFT($AJ32,2), $Y$9:$Y$21), 1) = RIGHT($AJ32, 1)), K$10:K$135)</f>
        <v>22</v>
      </c>
      <c r="AM32" s="39" cm="1">
        <f t="array" ref="AM32">SUMPRODUCT(--(MID(AD$10:AD$135, SUMIF($Z$9:$Z$21, LEFT($AJ32,2), $Y$9:$Y$21), 1) = RIGHT($AJ32, 1)), L$10:L$135)</f>
        <v>20</v>
      </c>
      <c r="AN32" s="39" cm="1">
        <f t="array" ref="AN32">SUMPRODUCT(--(MID(AE$10:AE$135, SUMIF($Z$9:$Z$21, LEFT($AJ32,2), $Y$9:$Y$21), 1) = RIGHT($AJ32, 1)), M$10:M$135)</f>
        <v>18</v>
      </c>
      <c r="AO32" s="39" cm="1">
        <f t="array" ref="AO32">SUMPRODUCT(--(MID(AF$10:AF$135, SUMIF($Z$9:$Z$21, LEFT($AJ32,2), $Y$9:$Y$21), 1) = RIGHT($AJ32, 1)), N$10:N$135)</f>
        <v>14</v>
      </c>
      <c r="AP32" s="19" cm="1">
        <f t="array" ref="AP32">SUMPRODUCT(--(MID(AG$10:AG$135, SUMIF($Z$9:$Z$21, LEFT($AJ32,2), $Y$9:$Y$21), 1) = RIGHT($AJ32, 1)), O$10:O$135)</f>
        <v>16</v>
      </c>
      <c r="AR32" s="34" t="str">
        <f t="shared" si="15"/>
        <v>JJ-0</v>
      </c>
      <c r="AS32" s="30">
        <f t="shared" si="16"/>
        <v>79</v>
      </c>
      <c r="AT32" s="30">
        <f t="shared" si="16"/>
        <v>31</v>
      </c>
      <c r="AU32" s="30">
        <f t="shared" si="16"/>
        <v>62</v>
      </c>
      <c r="AV32" s="30">
        <f t="shared" si="16"/>
        <v>24</v>
      </c>
      <c r="AW32" s="30">
        <f t="shared" si="16"/>
        <v>30</v>
      </c>
      <c r="AX32" s="35">
        <f t="shared" si="16"/>
        <v>68</v>
      </c>
    </row>
    <row r="33" spans="2:50">
      <c r="B33" s="34">
        <f t="shared" si="9"/>
        <v>23</v>
      </c>
      <c r="C33" s="30" t="s">
        <v>137</v>
      </c>
      <c r="D33" s="30" t="s">
        <v>129</v>
      </c>
      <c r="E33" s="30" t="s">
        <v>129</v>
      </c>
      <c r="F33" s="30" t="s">
        <v>127</v>
      </c>
      <c r="G33" s="30" t="s">
        <v>129</v>
      </c>
      <c r="H33" s="35" t="s">
        <v>132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0000010010000</v>
      </c>
      <c r="AC33" s="15" t="str">
        <f t="shared" si="11"/>
        <v>0000010001000</v>
      </c>
      <c r="AD33" s="15" t="str">
        <f t="shared" si="11"/>
        <v>0000000001010</v>
      </c>
      <c r="AE33" s="15" t="str">
        <f t="shared" si="11"/>
        <v>0010000000100</v>
      </c>
      <c r="AF33" s="15" t="str">
        <f t="shared" si="11"/>
        <v>0000001001000</v>
      </c>
      <c r="AG33" s="41" t="str">
        <f t="shared" si="11"/>
        <v>0000000000110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57</v>
      </c>
      <c r="AL33" s="39" cm="1">
        <f t="array" ref="AL33">SUMPRODUCT(--(MID(AC$10:AC$135, SUMIF($Z$9:$Z$21, LEFT($AJ33,2), $Y$9:$Y$21), 1) = RIGHT($AJ33, 1)), K$10:K$135)</f>
        <v>34</v>
      </c>
      <c r="AM33" s="39" cm="1">
        <f t="array" ref="AM33">SUMPRODUCT(--(MID(AD$10:AD$135, SUMIF($Z$9:$Z$21, LEFT($AJ33,2), $Y$9:$Y$21), 1) = RIGHT($AJ33, 1)), L$10:L$135)</f>
        <v>60</v>
      </c>
      <c r="AN33" s="39" cm="1">
        <f t="array" ref="AN33">SUMPRODUCT(--(MID(AE$10:AE$135, SUMIF($Z$9:$Z$21, LEFT($AJ33,2), $Y$9:$Y$21), 1) = RIGHT($AJ33, 1)), M$10:M$135)</f>
        <v>19</v>
      </c>
      <c r="AO33" s="39" cm="1">
        <f t="array" ref="AO33">SUMPRODUCT(--(MID(AF$10:AF$135, SUMIF($Z$9:$Z$21, LEFT($AJ33,2), $Y$9:$Y$21), 1) = RIGHT($AJ33, 1)), N$10:N$135)</f>
        <v>58</v>
      </c>
      <c r="AP33" s="19" cm="1">
        <f t="array" ref="AP33">SUMPRODUCT(--(MID(AG$10:AG$135, SUMIF($Z$9:$Z$21, LEFT($AJ33,2), $Y$9:$Y$21), 1) = RIGHT($AJ33, 1)), O$10:O$135)</f>
        <v>54</v>
      </c>
      <c r="AR33" s="34" t="str">
        <f t="shared" si="15"/>
        <v>KK-0</v>
      </c>
      <c r="AS33" s="30">
        <f t="shared" si="16"/>
        <v>77</v>
      </c>
      <c r="AT33" s="30">
        <f t="shared" si="16"/>
        <v>39</v>
      </c>
      <c r="AU33" s="30">
        <f t="shared" si="16"/>
        <v>52</v>
      </c>
      <c r="AV33" s="30">
        <f t="shared" si="16"/>
        <v>23</v>
      </c>
      <c r="AW33" s="30">
        <f t="shared" si="16"/>
        <v>61</v>
      </c>
      <c r="AX33" s="35">
        <f t="shared" si="16"/>
        <v>54</v>
      </c>
    </row>
    <row r="34" spans="2:50">
      <c r="B34" s="34">
        <f t="shared" si="9"/>
        <v>24</v>
      </c>
      <c r="C34" s="30" t="s">
        <v>133</v>
      </c>
      <c r="D34" s="30" t="s">
        <v>134</v>
      </c>
      <c r="E34" s="30" t="s">
        <v>136</v>
      </c>
      <c r="F34" s="30" t="s">
        <v>137</v>
      </c>
      <c r="G34" s="30" t="s">
        <v>126</v>
      </c>
      <c r="H34" s="35" t="s">
        <v>131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0000010100000</v>
      </c>
      <c r="AC34" s="15" t="str">
        <f t="shared" si="11"/>
        <v>0001000001000</v>
      </c>
      <c r="AD34" s="15" t="str">
        <f t="shared" si="11"/>
        <v>0000100001000</v>
      </c>
      <c r="AE34" s="15" t="str">
        <f t="shared" si="11"/>
        <v>0010010000000</v>
      </c>
      <c r="AF34" s="15" t="str">
        <f t="shared" si="11"/>
        <v>1111111112110</v>
      </c>
      <c r="AG34" s="41" t="str">
        <f t="shared" si="11"/>
        <v>0100000000100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73</v>
      </c>
      <c r="AT34" s="30">
        <f t="shared" si="16"/>
        <v>41</v>
      </c>
      <c r="AU34" s="30">
        <f t="shared" si="16"/>
        <v>70</v>
      </c>
      <c r="AV34" s="30">
        <f t="shared" si="16"/>
        <v>23</v>
      </c>
      <c r="AW34" s="30">
        <f t="shared" si="16"/>
        <v>42</v>
      </c>
      <c r="AX34" s="35">
        <f t="shared" si="16"/>
        <v>60</v>
      </c>
    </row>
    <row r="35" spans="2:50">
      <c r="B35" s="34">
        <f t="shared" si="9"/>
        <v>25</v>
      </c>
      <c r="C35" s="30" t="s">
        <v>136</v>
      </c>
      <c r="D35" s="30" t="s">
        <v>129</v>
      </c>
      <c r="E35" s="30" t="s">
        <v>132</v>
      </c>
      <c r="F35" s="30" t="s">
        <v>134</v>
      </c>
      <c r="G35" s="30" t="s">
        <v>128</v>
      </c>
      <c r="H35" s="35" t="s">
        <v>134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0000100100000</v>
      </c>
      <c r="AC35" s="15" t="str">
        <f t="shared" si="11"/>
        <v>0001000001000</v>
      </c>
      <c r="AD35" s="15" t="str">
        <f t="shared" si="11"/>
        <v>0000100000100</v>
      </c>
      <c r="AE35" s="15" t="str">
        <f t="shared" si="11"/>
        <v>0001010000000</v>
      </c>
      <c r="AF35" s="15" t="str">
        <f t="shared" si="11"/>
        <v>1111112111110</v>
      </c>
      <c r="AG35" s="41" t="str">
        <f t="shared" si="11"/>
        <v>0101000000000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81</v>
      </c>
      <c r="AT35" s="37">
        <f t="shared" si="16"/>
        <v>57</v>
      </c>
      <c r="AU35" s="37">
        <f t="shared" si="16"/>
        <v>80</v>
      </c>
      <c r="AV35" s="37">
        <f t="shared" si="16"/>
        <v>38</v>
      </c>
      <c r="AW35" s="37">
        <f t="shared" si="16"/>
        <v>73</v>
      </c>
      <c r="AX35" s="38">
        <f t="shared" si="16"/>
        <v>70</v>
      </c>
    </row>
    <row r="36" spans="2:50">
      <c r="B36" s="34">
        <f t="shared" si="9"/>
        <v>26</v>
      </c>
      <c r="C36" s="30" t="s">
        <v>127</v>
      </c>
      <c r="D36" s="30" t="s">
        <v>126</v>
      </c>
      <c r="E36" s="30" t="s">
        <v>128</v>
      </c>
      <c r="F36" s="30" t="s">
        <v>133</v>
      </c>
      <c r="G36" s="30" t="s">
        <v>129</v>
      </c>
      <c r="H36" s="35" t="s">
        <v>137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0010100000000</v>
      </c>
      <c r="AC36" s="15" t="str">
        <f t="shared" si="11"/>
        <v>1111111112110</v>
      </c>
      <c r="AD36" s="15" t="str">
        <f t="shared" si="11"/>
        <v>0000001000100</v>
      </c>
      <c r="AE36" s="15" t="str">
        <f t="shared" si="11"/>
        <v>0001000100000</v>
      </c>
      <c r="AF36" s="15" t="str">
        <f t="shared" si="11"/>
        <v>0000001001000</v>
      </c>
      <c r="AG36" s="41" t="str">
        <f t="shared" si="11"/>
        <v>0001010000000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134</v>
      </c>
      <c r="D37" s="30" t="s">
        <v>137</v>
      </c>
      <c r="E37" s="30" t="s">
        <v>134</v>
      </c>
      <c r="F37" s="30" t="s">
        <v>138</v>
      </c>
      <c r="G37" s="30" t="s">
        <v>130</v>
      </c>
      <c r="H37" s="35" t="s">
        <v>130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0011000000000</v>
      </c>
      <c r="AC37" s="15" t="str">
        <f t="shared" si="11"/>
        <v>1111121111110</v>
      </c>
      <c r="AD37" s="15" t="str">
        <f t="shared" si="11"/>
        <v>0001001000000</v>
      </c>
      <c r="AE37" s="15" t="str">
        <f t="shared" si="11"/>
        <v>0000000100010</v>
      </c>
      <c r="AF37" s="15" t="str">
        <f t="shared" si="11"/>
        <v>0000000011000</v>
      </c>
      <c r="AG37" s="41" t="str">
        <f t="shared" si="11"/>
        <v>0000010010000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130</v>
      </c>
      <c r="D38" s="30" t="s">
        <v>131</v>
      </c>
      <c r="E38" s="30" t="s">
        <v>132</v>
      </c>
      <c r="F38" s="30" t="s">
        <v>126</v>
      </c>
      <c r="G38" s="30" t="s">
        <v>129</v>
      </c>
      <c r="H38" s="35" t="s">
        <v>137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0001000010000</v>
      </c>
      <c r="AC38" s="15" t="str">
        <f t="shared" si="11"/>
        <v>0100010000000</v>
      </c>
      <c r="AD38" s="15" t="str">
        <f t="shared" si="11"/>
        <v>0001000000100</v>
      </c>
      <c r="AE38" s="15" t="str">
        <f t="shared" si="11"/>
        <v>1111111111120</v>
      </c>
      <c r="AF38" s="15" t="str">
        <f t="shared" si="11"/>
        <v>0000000011000</v>
      </c>
      <c r="AG38" s="41" t="str">
        <f t="shared" si="11"/>
        <v>0000010010000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127</v>
      </c>
      <c r="D39" s="30" t="s">
        <v>137</v>
      </c>
      <c r="E39" s="30" t="s">
        <v>136</v>
      </c>
      <c r="F39" s="30" t="s">
        <v>127</v>
      </c>
      <c r="G39" s="30" t="s">
        <v>131</v>
      </c>
      <c r="H39" s="35" t="s">
        <v>133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0010000010000</v>
      </c>
      <c r="AC39" s="15" t="str">
        <f t="shared" si="11"/>
        <v>0100010000000</v>
      </c>
      <c r="AD39" s="15" t="str">
        <f t="shared" si="11"/>
        <v>0000100000100</v>
      </c>
      <c r="AE39" s="15" t="str">
        <f t="shared" si="11"/>
        <v>1121111111110</v>
      </c>
      <c r="AF39" s="15" t="str">
        <f t="shared" si="11"/>
        <v>0100000001000</v>
      </c>
      <c r="AG39" s="41" t="str">
        <f t="shared" si="11"/>
        <v>0000010100000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0</v>
      </c>
      <c r="AL39" s="39" cm="1">
        <f t="array" ref="AL39">SUMPRODUCT(--(MID(AC$10:AC$135, SUMIF($Z$9:$Z$21, LEFT($AJ39,2), $Y$9:$Y$21), 1) = RIGHT($AJ39, 1)), K$10:K$135)</f>
        <v>2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0</v>
      </c>
    </row>
    <row r="40" spans="2:50">
      <c r="B40" s="34">
        <f t="shared" si="9"/>
        <v>30</v>
      </c>
      <c r="C40" s="30" t="s">
        <v>137</v>
      </c>
      <c r="D40" s="30" t="s">
        <v>131</v>
      </c>
      <c r="E40" s="30" t="s">
        <v>131</v>
      </c>
      <c r="F40" s="30" t="s">
        <v>126</v>
      </c>
      <c r="G40" s="30" t="s">
        <v>129</v>
      </c>
      <c r="H40" s="35" t="s">
        <v>138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0010010000000</v>
      </c>
      <c r="AC40" s="15" t="str">
        <f t="shared" si="11"/>
        <v>0100010000000</v>
      </c>
      <c r="AD40" s="15" t="str">
        <f t="shared" si="11"/>
        <v>0100100000000</v>
      </c>
      <c r="AE40" s="15" t="str">
        <f t="shared" si="11"/>
        <v>1121111111110</v>
      </c>
      <c r="AF40" s="15" t="str">
        <f t="shared" si="11"/>
        <v>0100000001000</v>
      </c>
      <c r="AG40" s="41" t="str">
        <f t="shared" si="11"/>
        <v>0000000100010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22</v>
      </c>
      <c r="AL40" s="39" cm="1">
        <f t="array" ref="AL40">SUMPRODUCT(--(MID(AC$10:AC$135, SUMIF($Z$9:$Z$21, LEFT($AJ40,2), $Y$9:$Y$21), 1) = RIGHT($AJ40, 1)), K$10:K$135)</f>
        <v>24</v>
      </c>
      <c r="AM40" s="39" cm="1">
        <f t="array" ref="AM40">SUMPRODUCT(--(MID(AD$10:AD$135, SUMIF($Z$9:$Z$21, LEFT($AJ40,2), $Y$9:$Y$21), 1) = RIGHT($AJ40, 1)), L$10:L$135)</f>
        <v>20</v>
      </c>
      <c r="AN40" s="39" cm="1">
        <f t="array" ref="AN40">SUMPRODUCT(--(MID(AE$10:AE$135, SUMIF($Z$9:$Z$21, LEFT($AJ40,2), $Y$9:$Y$21), 1) = RIGHT($AJ40, 1)), M$10:M$135)</f>
        <v>12</v>
      </c>
      <c r="AO40" s="39" cm="1">
        <f t="array" ref="AO40">SUMPRODUCT(--(MID(AF$10:AF$135, SUMIF($Z$9:$Z$21, LEFT($AJ40,2), $Y$9:$Y$21), 1) = RIGHT($AJ40, 1)), N$10:N$135)</f>
        <v>16</v>
      </c>
      <c r="AP40" s="19" cm="1">
        <f t="array" ref="AP40">SUMPRODUCT(--(MID(AG$10:AG$135, SUMIF($Z$9:$Z$21, LEFT($AJ40,2), $Y$9:$Y$21), 1) = RIGHT($AJ40, 1)), O$10:O$135)</f>
        <v>20</v>
      </c>
    </row>
    <row r="41" spans="2:50">
      <c r="B41" s="34">
        <f t="shared" si="9"/>
        <v>31</v>
      </c>
      <c r="C41" s="30" t="s">
        <v>127</v>
      </c>
      <c r="D41" s="30" t="s">
        <v>129</v>
      </c>
      <c r="E41" s="30" t="s">
        <v>134</v>
      </c>
      <c r="F41" s="30" t="s">
        <v>127</v>
      </c>
      <c r="G41" s="30" t="s">
        <v>136</v>
      </c>
      <c r="H41" s="35" t="s">
        <v>137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0010010000000</v>
      </c>
      <c r="AC41" s="15" t="str">
        <f t="shared" si="11"/>
        <v>0100000001000</v>
      </c>
      <c r="AD41" s="15" t="str">
        <f t="shared" si="11"/>
        <v>0101000000000</v>
      </c>
      <c r="AE41" s="15" t="str">
        <f t="shared" si="11"/>
        <v>1121111111110</v>
      </c>
      <c r="AF41" s="15" t="str">
        <f t="shared" si="11"/>
        <v>0000100001000</v>
      </c>
      <c r="AG41" s="41" t="str">
        <f t="shared" si="11"/>
        <v>0000010000010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59</v>
      </c>
      <c r="AL41" s="39" cm="1">
        <f t="array" ref="AL41">SUMPRODUCT(--(MID(AC$10:AC$135, SUMIF($Z$9:$Z$21, LEFT($AJ41,2), $Y$9:$Y$21), 1) = RIGHT($AJ41, 1)), K$10:K$135)</f>
        <v>31</v>
      </c>
      <c r="AM41" s="39" cm="1">
        <f t="array" ref="AM41">SUMPRODUCT(--(MID(AD$10:AD$135, SUMIF($Z$9:$Z$21, LEFT($AJ41,2), $Y$9:$Y$21), 1) = RIGHT($AJ41, 1)), L$10:L$135)</f>
        <v>60</v>
      </c>
      <c r="AN41" s="39" cm="1">
        <f t="array" ref="AN41">SUMPRODUCT(--(MID(AE$10:AE$135, SUMIF($Z$9:$Z$21, LEFT($AJ41,2), $Y$9:$Y$21), 1) = RIGHT($AJ41, 1)), M$10:M$135)</f>
        <v>26</v>
      </c>
      <c r="AO41" s="39" cm="1">
        <f t="array" ref="AO41">SUMPRODUCT(--(MID(AF$10:AF$135, SUMIF($Z$9:$Z$21, LEFT($AJ41,2), $Y$9:$Y$21), 1) = RIGHT($AJ41, 1)), N$10:N$135)</f>
        <v>57</v>
      </c>
      <c r="AP41" s="19" cm="1">
        <f t="array" ref="AP41">SUMPRODUCT(--(MID(AG$10:AG$135, SUMIF($Z$9:$Z$21, LEFT($AJ41,2), $Y$9:$Y$21), 1) = RIGHT($AJ41, 1)), O$10:O$135)</f>
        <v>50</v>
      </c>
    </row>
    <row r="42" spans="2:50">
      <c r="B42" s="34">
        <f t="shared" si="9"/>
        <v>32</v>
      </c>
      <c r="C42" s="30" t="s">
        <v>133</v>
      </c>
      <c r="D42" s="30" t="s">
        <v>131</v>
      </c>
      <c r="E42" s="30" t="s">
        <v>130</v>
      </c>
      <c r="F42" s="30" t="s">
        <v>134</v>
      </c>
      <c r="G42" s="30" t="s">
        <v>128</v>
      </c>
      <c r="H42" s="35" t="s">
        <v>131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0010000100000</v>
      </c>
      <c r="AC42" s="15" t="str">
        <f t="shared" si="11"/>
        <v>0100000001000</v>
      </c>
      <c r="AD42" s="15" t="str">
        <f t="shared" si="11"/>
        <v>0001000010000</v>
      </c>
      <c r="AE42" s="15" t="str">
        <f t="shared" si="11"/>
        <v>0011000000000</v>
      </c>
      <c r="AF42" s="15" t="str">
        <f t="shared" si="11"/>
        <v>0000101000000</v>
      </c>
      <c r="AG42" s="41" t="str">
        <f t="shared" si="11"/>
        <v>0100010000000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130</v>
      </c>
      <c r="D43" s="30" t="s">
        <v>136</v>
      </c>
      <c r="E43" s="30" t="s">
        <v>134</v>
      </c>
      <c r="F43" s="30" t="s">
        <v>127</v>
      </c>
      <c r="G43" s="30" t="s">
        <v>138</v>
      </c>
      <c r="H43" s="35" t="s">
        <v>134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0000000110000</v>
      </c>
      <c r="AC43" s="15" t="str">
        <f t="shared" si="11"/>
        <v>0100100000000</v>
      </c>
      <c r="AD43" s="15" t="str">
        <f t="shared" si="11"/>
        <v>0001000010000</v>
      </c>
      <c r="AE43" s="15" t="str">
        <f t="shared" si="11"/>
        <v>0011000000000</v>
      </c>
      <c r="AF43" s="15" t="str">
        <f t="shared" si="11"/>
        <v>0000001000010</v>
      </c>
      <c r="AG43" s="41" t="str">
        <f t="shared" si="11"/>
        <v>0101000000000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133</v>
      </c>
      <c r="D44" s="30" t="s">
        <v>134</v>
      </c>
      <c r="E44" s="30" t="s">
        <v>131</v>
      </c>
      <c r="F44" s="30" t="s">
        <v>126</v>
      </c>
      <c r="G44" s="30" t="s">
        <v>137</v>
      </c>
      <c r="H44" s="35" t="s">
        <v>130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0000000110000</v>
      </c>
      <c r="AC44" s="15" t="str">
        <f t="shared" si="11"/>
        <v>0001100000000</v>
      </c>
      <c r="AD44" s="15" t="str">
        <f t="shared" si="11"/>
        <v>0101000000000</v>
      </c>
      <c r="AE44" s="15" t="str">
        <f t="shared" si="11"/>
        <v>1121111111110</v>
      </c>
      <c r="AF44" s="15" t="str">
        <f t="shared" si="11"/>
        <v>0000010000010</v>
      </c>
      <c r="AG44" s="41" t="str">
        <f t="shared" si="11"/>
        <v>0001000010000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136</v>
      </c>
      <c r="D45" s="30" t="s">
        <v>136</v>
      </c>
      <c r="E45" s="30" t="s">
        <v>132</v>
      </c>
      <c r="F45" s="30" t="s">
        <v>127</v>
      </c>
      <c r="G45" s="30" t="s">
        <v>131</v>
      </c>
      <c r="H45" s="35" t="s">
        <v>133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0000100100000</v>
      </c>
      <c r="AC45" s="15" t="str">
        <f t="shared" si="11"/>
        <v>0001100000000</v>
      </c>
      <c r="AD45" s="15" t="str">
        <f t="shared" si="11"/>
        <v>0100000000100</v>
      </c>
      <c r="AE45" s="15" t="str">
        <f t="shared" si="11"/>
        <v>1121111111110</v>
      </c>
      <c r="AF45" s="15" t="str">
        <f t="shared" si="11"/>
        <v>0100010000000</v>
      </c>
      <c r="AG45" s="41" t="str">
        <f t="shared" si="11"/>
        <v>0000000110000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134</v>
      </c>
      <c r="D46" s="30" t="s">
        <v>128</v>
      </c>
      <c r="E46" s="30" t="s">
        <v>128</v>
      </c>
      <c r="F46" s="30" t="s">
        <v>130</v>
      </c>
      <c r="G46" s="30" t="s">
        <v>137</v>
      </c>
      <c r="H46" s="35" t="s">
        <v>136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0001100000000</v>
      </c>
      <c r="AC46" s="15" t="str">
        <f t="shared" si="11"/>
        <v>0000101000000</v>
      </c>
      <c r="AD46" s="15" t="str">
        <f t="shared" si="11"/>
        <v>0000001000100</v>
      </c>
      <c r="AE46" s="15" t="str">
        <f t="shared" si="11"/>
        <v>0010000010000</v>
      </c>
      <c r="AF46" s="15" t="str">
        <f t="shared" si="11"/>
        <v>0100010000000</v>
      </c>
      <c r="AG46" s="41" t="str">
        <f t="shared" si="11"/>
        <v>0000100100000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136</v>
      </c>
      <c r="D47" s="30" t="s">
        <v>129</v>
      </c>
      <c r="E47" s="30" t="s">
        <v>134</v>
      </c>
      <c r="F47" s="30" t="s">
        <v>132</v>
      </c>
      <c r="G47" s="30" t="s">
        <v>129</v>
      </c>
      <c r="H47" s="35" t="s">
        <v>131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0001100000000</v>
      </c>
      <c r="AC47" s="15" t="str">
        <f t="shared" si="11"/>
        <v>0000001001000</v>
      </c>
      <c r="AD47" s="15" t="str">
        <f t="shared" si="11"/>
        <v>0001001000000</v>
      </c>
      <c r="AE47" s="15" t="str">
        <f t="shared" si="11"/>
        <v>0000000010100</v>
      </c>
      <c r="AF47" s="15" t="str">
        <f t="shared" si="11"/>
        <v>0000010001000</v>
      </c>
      <c r="AG47" s="41" t="str">
        <f t="shared" si="11"/>
        <v>0100100000000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1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2</v>
      </c>
      <c r="AO47" s="39" cm="1">
        <f t="array" ref="AO47">SUMPRODUCT(--(MID(AF$10:AF$135, SUMIF($Z$9:$Z$21, LEFT($AJ47,2), $Y$9:$Y$21), 1) = RIGHT($AJ47, 1)), N$10:N$135)</f>
        <v>1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130</v>
      </c>
      <c r="D48" s="30" t="s">
        <v>126</v>
      </c>
      <c r="E48" s="30" t="s">
        <v>132</v>
      </c>
      <c r="F48" s="30"/>
      <c r="G48" s="30" t="s">
        <v>138</v>
      </c>
      <c r="H48" s="35" t="s">
        <v>132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 t="str">
        <f t="shared" si="3"/>
        <v/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0000100010000</v>
      </c>
      <c r="AC48" s="15" t="str">
        <f t="shared" si="11"/>
        <v>1111111112110</v>
      </c>
      <c r="AD48" s="15" t="str">
        <f t="shared" si="11"/>
        <v>0001000000100</v>
      </c>
      <c r="AE48" s="15" t="str">
        <f t="shared" si="11"/>
        <v/>
      </c>
      <c r="AF48" s="15" t="str">
        <f t="shared" si="11"/>
        <v>0000000001010</v>
      </c>
      <c r="AG48" s="41" t="str">
        <f t="shared" si="11"/>
        <v>0100000000100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24</v>
      </c>
      <c r="AL48" s="39" cm="1">
        <f t="array" ref="AL48">SUMPRODUCT(--(MID(AC$10:AC$135, SUMIF($Z$9:$Z$21, LEFT($AJ48,2), $Y$9:$Y$21), 1) = RIGHT($AJ48, 1)), K$10:K$135)</f>
        <v>30</v>
      </c>
      <c r="AM48" s="39" cm="1">
        <f t="array" ref="AM48">SUMPRODUCT(--(MID(AD$10:AD$135, SUMIF($Z$9:$Z$21, LEFT($AJ48,2), $Y$9:$Y$21), 1) = RIGHT($AJ48, 1)), L$10:L$135)</f>
        <v>4</v>
      </c>
      <c r="AN48" s="39" cm="1">
        <f t="array" ref="AN48">SUMPRODUCT(--(MID(AE$10:AE$135, SUMIF($Z$9:$Z$21, LEFT($AJ48,2), $Y$9:$Y$21), 1) = RIGHT($AJ48, 1)), M$10:M$135)</f>
        <v>14</v>
      </c>
      <c r="AO48" s="39" cm="1">
        <f t="array" ref="AO48">SUMPRODUCT(--(MID(AF$10:AF$135, SUMIF($Z$9:$Z$21, LEFT($AJ48,2), $Y$9:$Y$21), 1) = RIGHT($AJ48, 1)), N$10:N$135)</f>
        <v>18</v>
      </c>
      <c r="AP48" s="19" cm="1">
        <f t="array" ref="AP48">SUMPRODUCT(--(MID(AG$10:AG$135, SUMIF($Z$9:$Z$21, LEFT($AJ48,2), $Y$9:$Y$21), 1) = RIGHT($AJ48, 1)), O$10:O$135)</f>
        <v>22</v>
      </c>
    </row>
    <row r="49" spans="2:42">
      <c r="B49" s="34">
        <f t="shared" si="9"/>
        <v>39</v>
      </c>
      <c r="C49" s="30" t="s">
        <v>134</v>
      </c>
      <c r="D49" s="30" t="s">
        <v>128</v>
      </c>
      <c r="E49" s="30" t="s">
        <v>133</v>
      </c>
      <c r="F49" s="30"/>
      <c r="G49" s="30" t="s">
        <v>126</v>
      </c>
      <c r="H49" s="35" t="s">
        <v>136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 t="str">
        <f t="shared" si="3"/>
        <v/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0001000010000</v>
      </c>
      <c r="AC49" s="15" t="str">
        <f t="shared" si="11"/>
        <v>1111112111110</v>
      </c>
      <c r="AD49" s="15" t="str">
        <f t="shared" si="11"/>
        <v>0000000100100</v>
      </c>
      <c r="AE49" s="15" t="str">
        <f t="shared" si="11"/>
        <v/>
      </c>
      <c r="AF49" s="15" t="str">
        <f t="shared" si="11"/>
        <v>1111111111120</v>
      </c>
      <c r="AG49" s="41" t="str">
        <f t="shared" si="11"/>
        <v>0000100000100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57</v>
      </c>
      <c r="AL49" s="39" cm="1">
        <f t="array" ref="AL49">SUMPRODUCT(--(MID(AC$10:AC$135, SUMIF($Z$9:$Z$21, LEFT($AJ49,2), $Y$9:$Y$21), 1) = RIGHT($AJ49, 1)), K$10:K$135)</f>
        <v>26</v>
      </c>
      <c r="AM49" s="39" cm="1">
        <f t="array" ref="AM49">SUMPRODUCT(--(MID(AD$10:AD$135, SUMIF($Z$9:$Z$21, LEFT($AJ49,2), $Y$9:$Y$21), 1) = RIGHT($AJ49, 1)), L$10:L$135)</f>
        <v>76</v>
      </c>
      <c r="AN49" s="39" cm="1">
        <f t="array" ref="AN49">SUMPRODUCT(--(MID(AE$10:AE$135, SUMIF($Z$9:$Z$21, LEFT($AJ49,2), $Y$9:$Y$21), 1) = RIGHT($AJ49, 1)), M$10:M$135)</f>
        <v>22</v>
      </c>
      <c r="AO49" s="39" cm="1">
        <f t="array" ref="AO49">SUMPRODUCT(--(MID(AF$10:AF$135, SUMIF($Z$9:$Z$21, LEFT($AJ49,2), $Y$9:$Y$21), 1) = RIGHT($AJ49, 1)), N$10:N$135)</f>
        <v>54</v>
      </c>
      <c r="AP49" s="19" cm="1">
        <f t="array" ref="AP49">SUMPRODUCT(--(MID(AG$10:AG$135, SUMIF($Z$9:$Z$21, LEFT($AJ49,2), $Y$9:$Y$21), 1) = RIGHT($AJ49, 1)), O$10:O$135)</f>
        <v>48</v>
      </c>
    </row>
    <row r="50" spans="2:42">
      <c r="B50" s="34">
        <f t="shared" si="9"/>
        <v>40</v>
      </c>
      <c r="C50" s="30" t="s">
        <v>127</v>
      </c>
      <c r="D50" s="30" t="s">
        <v>131</v>
      </c>
      <c r="E50" s="30" t="s">
        <v>127</v>
      </c>
      <c r="F50" s="30"/>
      <c r="G50" s="30" t="s">
        <v>138</v>
      </c>
      <c r="H50" s="35" t="s">
        <v>137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 t="str">
        <f t="shared" si="3"/>
        <v/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0011000000000</v>
      </c>
      <c r="AC50" s="15" t="str">
        <f t="shared" si="11"/>
        <v>0100001000000</v>
      </c>
      <c r="AD50" s="15" t="str">
        <f t="shared" si="11"/>
        <v>0010000100000</v>
      </c>
      <c r="AE50" s="15" t="str">
        <f t="shared" si="11"/>
        <v/>
      </c>
      <c r="AF50" s="15" t="str">
        <f t="shared" si="11"/>
        <v>1111111111120</v>
      </c>
      <c r="AG50" s="41" t="str">
        <f t="shared" si="11"/>
        <v>0000110000000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134</v>
      </c>
      <c r="D51" s="30" t="s">
        <v>136</v>
      </c>
      <c r="E51" s="30" t="s">
        <v>129</v>
      </c>
      <c r="F51" s="30"/>
      <c r="G51" s="30" t="s">
        <v>128</v>
      </c>
      <c r="H51" s="35" t="s">
        <v>138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 t="str">
        <f t="shared" si="3"/>
        <v/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0011000000000</v>
      </c>
      <c r="AC51" s="15" t="str">
        <f t="shared" si="11"/>
        <v>0100100000000</v>
      </c>
      <c r="AD51" s="15" t="str">
        <f t="shared" si="11"/>
        <v>0010000001000</v>
      </c>
      <c r="AE51" s="15" t="str">
        <f t="shared" si="11"/>
        <v/>
      </c>
      <c r="AF51" s="15" t="str">
        <f t="shared" si="11"/>
        <v>0000001000010</v>
      </c>
      <c r="AG51" s="41" t="str">
        <f t="shared" si="11"/>
        <v>0000010000010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136</v>
      </c>
      <c r="D52" s="30" t="s">
        <v>132</v>
      </c>
      <c r="E52" s="30" t="s">
        <v>132</v>
      </c>
      <c r="F52" s="30"/>
      <c r="G52" s="30" t="s">
        <v>129</v>
      </c>
      <c r="H52" s="35" t="s">
        <v>136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 t="str">
        <f t="shared" si="3"/>
        <v/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0001100000000</v>
      </c>
      <c r="AC52" s="15" t="str">
        <f t="shared" si="11"/>
        <v>0000100000100</v>
      </c>
      <c r="AD52" s="15" t="str">
        <f t="shared" si="11"/>
        <v>0000000001100</v>
      </c>
      <c r="AE52" s="15" t="str">
        <f t="shared" si="11"/>
        <v/>
      </c>
      <c r="AF52" s="15" t="str">
        <f t="shared" si="11"/>
        <v>0000001001000</v>
      </c>
      <c r="AG52" s="41" t="str">
        <f t="shared" si="11"/>
        <v>0000100000010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127</v>
      </c>
      <c r="D53" s="30" t="s">
        <v>134</v>
      </c>
      <c r="E53" s="30" t="s">
        <v>128</v>
      </c>
      <c r="F53" s="30"/>
      <c r="G53" s="30" t="s">
        <v>133</v>
      </c>
      <c r="H53" s="35" t="s">
        <v>131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 t="str">
        <f t="shared" si="3"/>
        <v/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0010100000000</v>
      </c>
      <c r="AC53" s="15" t="str">
        <f t="shared" si="11"/>
        <v>0001000000100</v>
      </c>
      <c r="AD53" s="15" t="str">
        <f t="shared" si="11"/>
        <v>0000001000100</v>
      </c>
      <c r="AE53" s="15" t="str">
        <f t="shared" si="11"/>
        <v/>
      </c>
      <c r="AF53" s="15" t="str">
        <f t="shared" si="11"/>
        <v>0000000101000</v>
      </c>
      <c r="AG53" s="41" t="str">
        <f t="shared" si="11"/>
        <v>0100100000000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134</v>
      </c>
      <c r="D54" s="30" t="s">
        <v>129</v>
      </c>
      <c r="E54" s="30" t="s">
        <v>131</v>
      </c>
      <c r="F54" s="30"/>
      <c r="G54" s="30" t="s">
        <v>138</v>
      </c>
      <c r="H54" s="35" t="s">
        <v>137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 t="str">
        <f t="shared" si="3"/>
        <v/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0011000000000</v>
      </c>
      <c r="AC54" s="15" t="str">
        <f t="shared" si="11"/>
        <v>0001000001000</v>
      </c>
      <c r="AD54" s="15" t="str">
        <f t="shared" si="11"/>
        <v>0100001000000</v>
      </c>
      <c r="AE54" s="15" t="str">
        <f t="shared" si="11"/>
        <v/>
      </c>
      <c r="AF54" s="15" t="str">
        <f t="shared" si="11"/>
        <v>0000000100010</v>
      </c>
      <c r="AG54" s="41" t="str">
        <f t="shared" si="11"/>
        <v>0100010000000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130</v>
      </c>
      <c r="D55" s="30" t="s">
        <v>136</v>
      </c>
      <c r="E55" s="30" t="s">
        <v>127</v>
      </c>
      <c r="F55" s="30"/>
      <c r="G55" s="30" t="s">
        <v>131</v>
      </c>
      <c r="H55" s="35" t="s">
        <v>130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 t="str">
        <f t="shared" si="3"/>
        <v/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0001000010000</v>
      </c>
      <c r="AC55" s="15" t="str">
        <f t="shared" si="11"/>
        <v>0000100001000</v>
      </c>
      <c r="AD55" s="15" t="str">
        <f t="shared" si="11"/>
        <v>0110000000000</v>
      </c>
      <c r="AE55" s="15" t="str">
        <f t="shared" si="11"/>
        <v/>
      </c>
      <c r="AF55" s="15" t="str">
        <f t="shared" si="11"/>
        <v>0100000000010</v>
      </c>
      <c r="AG55" s="41" t="str">
        <f t="shared" si="11"/>
        <v>0000010010000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0</v>
      </c>
      <c r="AL55" s="39" cm="1">
        <f t="array" ref="AL55">SUMPRODUCT(--(MID(AC$10:AC$135, SUMIF($Z$9:$Z$21, LEFT($AJ55,2), $Y$9:$Y$21), 1) = RIGHT($AJ55, 1)), K$10:K$135)</f>
        <v>3</v>
      </c>
      <c r="AM55" s="39" cm="1">
        <f t="array" ref="AM55">SUMPRODUCT(--(MID(AD$10:AD$135, SUMIF($Z$9:$Z$21, LEFT($AJ55,2), $Y$9:$Y$21), 1) = RIGHT($AJ55, 1)), L$10:L$135)</f>
        <v>0</v>
      </c>
      <c r="AN55" s="39" cm="1">
        <f t="array" ref="AN55">SUMPRODUCT(--(MID(AE$10:AE$135, SUMIF($Z$9:$Z$21, LEFT($AJ55,2), $Y$9:$Y$21), 1) = RIGHT($AJ55, 1)), M$10:M$135)</f>
        <v>0</v>
      </c>
      <c r="AO55" s="39" cm="1">
        <f t="array" ref="AO55">SUMPRODUCT(--(MID(AF$10:AF$135, SUMIF($Z$9:$Z$21, LEFT($AJ55,2), $Y$9:$Y$21), 1) = RIGHT($AJ55, 1)), N$10:N$135)</f>
        <v>2</v>
      </c>
      <c r="AP55" s="19" cm="1">
        <f t="array" ref="AP55">SUMPRODUCT(--(MID(AG$10:AG$135, SUMIF($Z$9:$Z$21, LEFT($AJ55,2), $Y$9:$Y$21), 1) = RIGHT($AJ55, 1)), O$10:O$135)</f>
        <v>0</v>
      </c>
    </row>
    <row r="56" spans="2:42">
      <c r="B56" s="34">
        <f t="shared" si="9"/>
        <v>46</v>
      </c>
      <c r="C56" s="30" t="s">
        <v>134</v>
      </c>
      <c r="D56" s="30" t="s">
        <v>137</v>
      </c>
      <c r="E56" s="30" t="s">
        <v>131</v>
      </c>
      <c r="F56" s="30"/>
      <c r="G56" s="30" t="s">
        <v>129</v>
      </c>
      <c r="H56" s="35" t="s">
        <v>138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 t="str">
        <f t="shared" si="3"/>
        <v/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0001000010000</v>
      </c>
      <c r="AC56" s="15" t="str">
        <f t="shared" si="11"/>
        <v>0000110000000</v>
      </c>
      <c r="AD56" s="15" t="str">
        <f t="shared" si="11"/>
        <v>0110000000000</v>
      </c>
      <c r="AE56" s="15" t="str">
        <f t="shared" si="11"/>
        <v/>
      </c>
      <c r="AF56" s="15" t="str">
        <f t="shared" si="11"/>
        <v>0100000001000</v>
      </c>
      <c r="AG56" s="41" t="str">
        <f t="shared" si="11"/>
        <v>0000000010010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2</v>
      </c>
      <c r="AL56" s="39" cm="1">
        <f t="array" ref="AL56">SUMPRODUCT(--(MID(AC$10:AC$135, SUMIF($Z$9:$Z$21, LEFT($AJ56,2), $Y$9:$Y$21), 1) = RIGHT($AJ56, 1)), K$10:K$135)</f>
        <v>24</v>
      </c>
      <c r="AM56" s="39" cm="1">
        <f t="array" ref="AM56">SUMPRODUCT(--(MID(AD$10:AD$135, SUMIF($Z$9:$Z$21, LEFT($AJ56,2), $Y$9:$Y$21), 1) = RIGHT($AJ56, 1)), L$10:L$135)</f>
        <v>22</v>
      </c>
      <c r="AN56" s="39" cm="1">
        <f t="array" ref="AN56">SUMPRODUCT(--(MID(AE$10:AE$135, SUMIF($Z$9:$Z$21, LEFT($AJ56,2), $Y$9:$Y$21), 1) = RIGHT($AJ56, 1)), M$10:M$135)</f>
        <v>12</v>
      </c>
      <c r="AO56" s="39" cm="1">
        <f t="array" ref="AO56">SUMPRODUCT(--(MID(AF$10:AF$135, SUMIF($Z$9:$Z$21, LEFT($AJ56,2), $Y$9:$Y$21), 1) = RIGHT($AJ56, 1)), N$10:N$135)</f>
        <v>28</v>
      </c>
      <c r="AP56" s="19" cm="1">
        <f t="array" ref="AP56">SUMPRODUCT(--(MID(AG$10:AG$135, SUMIF($Z$9:$Z$21, LEFT($AJ56,2), $Y$9:$Y$21), 1) = RIGHT($AJ56, 1)), O$10:O$135)</f>
        <v>2</v>
      </c>
    </row>
    <row r="57" spans="2:42">
      <c r="B57" s="34">
        <f t="shared" si="9"/>
        <v>47</v>
      </c>
      <c r="C57" s="30" t="s">
        <v>136</v>
      </c>
      <c r="D57" s="30" t="s">
        <v>128</v>
      </c>
      <c r="E57" s="30" t="s">
        <v>132</v>
      </c>
      <c r="F57" s="30"/>
      <c r="G57" s="30" t="s">
        <v>136</v>
      </c>
      <c r="H57" s="35" t="s">
        <v>133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 t="str">
        <f t="shared" si="3"/>
        <v/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0001100000000</v>
      </c>
      <c r="AC57" s="15" t="str">
        <f t="shared" si="11"/>
        <v>0000011000000</v>
      </c>
      <c r="AD57" s="15" t="str">
        <f t="shared" si="11"/>
        <v>0100000000100</v>
      </c>
      <c r="AE57" s="15" t="str">
        <f t="shared" si="11"/>
        <v/>
      </c>
      <c r="AF57" s="15" t="str">
        <f t="shared" si="11"/>
        <v>0000100001000</v>
      </c>
      <c r="AG57" s="41" t="str">
        <f t="shared" si="11"/>
        <v>0000000100010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79</v>
      </c>
      <c r="AL57" s="39" cm="1">
        <f t="array" ref="AL57">SUMPRODUCT(--(MID(AC$10:AC$135, SUMIF($Z$9:$Z$21, LEFT($AJ57,2), $Y$9:$Y$21), 1) = RIGHT($AJ57, 1)), K$10:K$135)</f>
        <v>30</v>
      </c>
      <c r="AM57" s="39" cm="1">
        <f t="array" ref="AM57">SUMPRODUCT(--(MID(AD$10:AD$135, SUMIF($Z$9:$Z$21, LEFT($AJ57,2), $Y$9:$Y$21), 1) = RIGHT($AJ57, 1)), L$10:L$135)</f>
        <v>58</v>
      </c>
      <c r="AN57" s="39" cm="1">
        <f t="array" ref="AN57">SUMPRODUCT(--(MID(AE$10:AE$135, SUMIF($Z$9:$Z$21, LEFT($AJ57,2), $Y$9:$Y$21), 1) = RIGHT($AJ57, 1)), M$10:M$135)</f>
        <v>26</v>
      </c>
      <c r="AO57" s="39" cm="1">
        <f t="array" ref="AO57">SUMPRODUCT(--(MID(AF$10:AF$135, SUMIF($Z$9:$Z$21, LEFT($AJ57,2), $Y$9:$Y$21), 1) = RIGHT($AJ57, 1)), N$10:N$135)</f>
        <v>43</v>
      </c>
      <c r="AP57" s="19" cm="1">
        <f t="array" ref="AP57">SUMPRODUCT(--(MID(AG$10:AG$135, SUMIF($Z$9:$Z$21, LEFT($AJ57,2), $Y$9:$Y$21), 1) = RIGHT($AJ57, 1)), O$10:O$135)</f>
        <v>68</v>
      </c>
    </row>
    <row r="58" spans="2:42">
      <c r="B58" s="34">
        <f t="shared" si="9"/>
        <v>48</v>
      </c>
      <c r="C58" s="30" t="s">
        <v>134</v>
      </c>
      <c r="D58" s="30" t="s">
        <v>137</v>
      </c>
      <c r="E58" s="30" t="s">
        <v>127</v>
      </c>
      <c r="F58" s="30"/>
      <c r="G58" s="30" t="s">
        <v>129</v>
      </c>
      <c r="H58" s="35" t="s">
        <v>137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 t="str">
        <f t="shared" si="3"/>
        <v/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0001100000000</v>
      </c>
      <c r="AC58" s="15" t="str">
        <f t="shared" si="11"/>
        <v>0000011000000</v>
      </c>
      <c r="AD58" s="15" t="str">
        <f t="shared" si="11"/>
        <v>0010000000100</v>
      </c>
      <c r="AE58" s="15" t="str">
        <f t="shared" si="11"/>
        <v/>
      </c>
      <c r="AF58" s="15" t="str">
        <f t="shared" si="11"/>
        <v>0000100001000</v>
      </c>
      <c r="AG58" s="41" t="str">
        <f t="shared" si="11"/>
        <v>0000010100000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127</v>
      </c>
      <c r="D59" s="30" t="s">
        <v>128</v>
      </c>
      <c r="E59" s="30" t="s">
        <v>128</v>
      </c>
      <c r="F59" s="30"/>
      <c r="G59" s="30" t="s">
        <v>138</v>
      </c>
      <c r="H59" s="35" t="s">
        <v>131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 t="str">
        <f t="shared" si="3"/>
        <v/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0011000000000</v>
      </c>
      <c r="AC59" s="15" t="str">
        <f t="shared" si="11"/>
        <v>0000011000000</v>
      </c>
      <c r="AD59" s="15" t="str">
        <f t="shared" si="11"/>
        <v>0010001000000</v>
      </c>
      <c r="AE59" s="15" t="str">
        <f t="shared" si="11"/>
        <v/>
      </c>
      <c r="AF59" s="15" t="str">
        <f t="shared" si="11"/>
        <v>0000000001010</v>
      </c>
      <c r="AG59" s="41" t="str">
        <f t="shared" si="11"/>
        <v>0100010000000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137</v>
      </c>
      <c r="D60" s="30" t="s">
        <v>134</v>
      </c>
      <c r="E60" s="30" t="s">
        <v>134</v>
      </c>
      <c r="F60" s="30"/>
      <c r="G60" s="30" t="s">
        <v>128</v>
      </c>
      <c r="H60" s="35" t="s">
        <v>130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 t="str">
        <f t="shared" si="21"/>
        <v/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0010010000000</v>
      </c>
      <c r="AC60" s="15" t="str">
        <f t="shared" si="11"/>
        <v>0001001000000</v>
      </c>
      <c r="AD60" s="15" t="str">
        <f t="shared" si="11"/>
        <v>0001001000000</v>
      </c>
      <c r="AE60" s="15" t="str">
        <f t="shared" si="11"/>
        <v/>
      </c>
      <c r="AF60" s="15" t="str">
        <f t="shared" si="11"/>
        <v>0000001000010</v>
      </c>
      <c r="AG60" s="41" t="str">
        <f t="shared" si="11"/>
        <v>0100000010000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133</v>
      </c>
      <c r="D61" s="30" t="s">
        <v>126</v>
      </c>
      <c r="E61" s="30" t="s">
        <v>136</v>
      </c>
      <c r="F61" s="30"/>
      <c r="G61" s="30" t="s">
        <v>129</v>
      </c>
      <c r="H61" s="35" t="s">
        <v>132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 t="str">
        <f t="shared" si="21"/>
        <v/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0000010100000</v>
      </c>
      <c r="AC61" s="15" t="str">
        <f t="shared" si="11"/>
        <v>1112111111110</v>
      </c>
      <c r="AD61" s="15" t="str">
        <f t="shared" si="11"/>
        <v>0001100000000</v>
      </c>
      <c r="AE61" s="15" t="str">
        <f t="shared" si="11"/>
        <v/>
      </c>
      <c r="AF61" s="15" t="str">
        <f t="shared" si="11"/>
        <v>0000001001000</v>
      </c>
      <c r="AG61" s="41" t="str">
        <f t="shared" si="11"/>
        <v>0000000010100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127</v>
      </c>
      <c r="D62" s="30" t="s">
        <v>131</v>
      </c>
      <c r="E62" s="30" t="s">
        <v>130</v>
      </c>
      <c r="F62" s="30"/>
      <c r="G62" s="30" t="s">
        <v>128</v>
      </c>
      <c r="H62" s="35" t="s">
        <v>136</v>
      </c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 t="str">
        <f t="shared" si="21"/>
        <v/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0010000100000</v>
      </c>
      <c r="AC62" s="15" t="str">
        <f t="shared" si="11"/>
        <v>1211111111110</v>
      </c>
      <c r="AD62" s="15" t="str">
        <f t="shared" si="11"/>
        <v>0000100010000</v>
      </c>
      <c r="AE62" s="15" t="str">
        <f t="shared" si="11"/>
        <v/>
      </c>
      <c r="AF62" s="15" t="str">
        <f t="shared" si="11"/>
        <v>0000001001000</v>
      </c>
      <c r="AG62" s="41" t="str">
        <f t="shared" si="11"/>
        <v>0000100000100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137</v>
      </c>
      <c r="D63" s="30" t="s">
        <v>128</v>
      </c>
      <c r="E63" s="30" t="s">
        <v>131</v>
      </c>
      <c r="F63" s="30"/>
      <c r="G63" s="30" t="s">
        <v>138</v>
      </c>
      <c r="H63" s="35" t="s">
        <v>137</v>
      </c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 t="str">
        <f t="shared" si="21"/>
        <v/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0010010000000</v>
      </c>
      <c r="AC63" s="15" t="str">
        <f t="shared" si="11"/>
        <v>0100001000000</v>
      </c>
      <c r="AD63" s="15" t="str">
        <f t="shared" si="11"/>
        <v>0100000010000</v>
      </c>
      <c r="AE63" s="15" t="str">
        <f t="shared" si="11"/>
        <v/>
      </c>
      <c r="AF63" s="15" t="str">
        <f t="shared" si="11"/>
        <v>0000001000010</v>
      </c>
      <c r="AG63" s="41" t="str">
        <f t="shared" si="11"/>
        <v>0000110000000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0</v>
      </c>
      <c r="AL63" s="39" cm="1">
        <f t="array" ref="AL63">SUMPRODUCT(--(MID(AC$10:AC$135, SUMIF($Z$9:$Z$21, LEFT($AJ63,2), $Y$9:$Y$21), 1) = RIGHT($AJ63, 1)), K$10:K$135)</f>
        <v>1</v>
      </c>
      <c r="AM63" s="39" cm="1">
        <f t="array" ref="AM63">SUMPRODUCT(--(MID(AD$10:AD$135, SUMIF($Z$9:$Z$21, LEFT($AJ63,2), $Y$9:$Y$21), 1) = RIGHT($AJ63, 1)), L$10:L$135)</f>
        <v>1</v>
      </c>
      <c r="AN63" s="39" cm="1">
        <f t="array" ref="AN63">SUMPRODUCT(--(MID(AE$10:AE$135, SUMIF($Z$9:$Z$21, LEFT($AJ63,2), $Y$9:$Y$21), 1) = RIGHT($AJ63, 1)), M$10:M$135)</f>
        <v>0</v>
      </c>
      <c r="AO63" s="39" cm="1">
        <f t="array" ref="AO63">SUMPRODUCT(--(MID(AF$10:AF$135, SUMIF($Z$9:$Z$21, LEFT($AJ63,2), $Y$9:$Y$21), 1) = RIGHT($AJ63, 1)), N$10:N$135)</f>
        <v>0</v>
      </c>
      <c r="AP63" s="19" cm="1">
        <f t="array" ref="AP63">SUMPRODUCT(--(MID(AG$10:AG$135, SUMIF($Z$9:$Z$21, LEFT($AJ63,2), $Y$9:$Y$21), 1) = RIGHT($AJ63, 1)), O$10:O$135)</f>
        <v>0</v>
      </c>
    </row>
    <row r="64" spans="2:42">
      <c r="B64" s="34">
        <f t="shared" si="9"/>
        <v>54</v>
      </c>
      <c r="C64" s="30" t="s">
        <v>130</v>
      </c>
      <c r="D64" s="30" t="s">
        <v>126</v>
      </c>
      <c r="E64" s="30" t="s">
        <v>128</v>
      </c>
      <c r="F64" s="30"/>
      <c r="G64" s="30" t="s">
        <v>134</v>
      </c>
      <c r="H64" s="35" t="s">
        <v>136</v>
      </c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 t="str">
        <f t="shared" si="21"/>
        <v/>
      </c>
      <c r="N64" s="30">
        <f t="shared" si="21"/>
        <v>1</v>
      </c>
      <c r="O64" s="35">
        <f t="shared" si="21"/>
        <v>1</v>
      </c>
      <c r="AB64" s="40" t="str">
        <f t="shared" si="11"/>
        <v>0000010010000</v>
      </c>
      <c r="AC64" s="15" t="str">
        <f t="shared" si="11"/>
        <v>1111112111110</v>
      </c>
      <c r="AD64" s="15" t="str">
        <f t="shared" si="11"/>
        <v>0100001000000</v>
      </c>
      <c r="AE64" s="15" t="str">
        <f t="shared" si="11"/>
        <v/>
      </c>
      <c r="AF64" s="15" t="str">
        <f t="shared" si="11"/>
        <v>0001000000010</v>
      </c>
      <c r="AG64" s="41" t="str">
        <f t="shared" si="11"/>
        <v>0000110000000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22</v>
      </c>
      <c r="AL64" s="39" cm="1">
        <f t="array" ref="AL64">SUMPRODUCT(--(MID(AC$10:AC$135, SUMIF($Z$9:$Z$21, LEFT($AJ64,2), $Y$9:$Y$21), 1) = RIGHT($AJ64, 1)), K$10:K$135)</f>
        <v>14</v>
      </c>
      <c r="AM64" s="39" cm="1">
        <f t="array" ref="AM64">SUMPRODUCT(--(MID(AD$10:AD$135, SUMIF($Z$9:$Z$21, LEFT($AJ64,2), $Y$9:$Y$21), 1) = RIGHT($AJ64, 1)), L$10:L$135)</f>
        <v>4</v>
      </c>
      <c r="AN64" s="39" cm="1">
        <f t="array" ref="AN64">SUMPRODUCT(--(MID(AE$10:AE$135, SUMIF($Z$9:$Z$21, LEFT($AJ64,2), $Y$9:$Y$21), 1) = RIGHT($AJ64, 1)), M$10:M$135)</f>
        <v>14</v>
      </c>
      <c r="AO64" s="39" cm="1">
        <f t="array" ref="AO64">SUMPRODUCT(--(MID(AF$10:AF$135, SUMIF($Z$9:$Z$21, LEFT($AJ64,2), $Y$9:$Y$21), 1) = RIGHT($AJ64, 1)), N$10:N$135)</f>
        <v>18</v>
      </c>
      <c r="AP64" s="19" cm="1">
        <f t="array" ref="AP64">SUMPRODUCT(--(MID(AG$10:AG$135, SUMIF($Z$9:$Z$21, LEFT($AJ64,2), $Y$9:$Y$21), 1) = RIGHT($AJ64, 1)), O$10:O$135)</f>
        <v>18</v>
      </c>
    </row>
    <row r="65" spans="2:42">
      <c r="B65" s="34">
        <f t="shared" si="9"/>
        <v>55</v>
      </c>
      <c r="C65" s="30" t="s">
        <v>127</v>
      </c>
      <c r="D65" s="30" t="s">
        <v>131</v>
      </c>
      <c r="E65" s="30" t="s">
        <v>134</v>
      </c>
      <c r="F65" s="30"/>
      <c r="G65" s="30" t="s">
        <v>137</v>
      </c>
      <c r="H65" s="35" t="s">
        <v>133</v>
      </c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 t="str">
        <f t="shared" si="21"/>
        <v/>
      </c>
      <c r="N65" s="30">
        <f t="shared" si="21"/>
        <v>1</v>
      </c>
      <c r="O65" s="35">
        <f t="shared" si="21"/>
        <v>1</v>
      </c>
      <c r="AB65" s="40" t="str">
        <f t="shared" si="11"/>
        <v>0010000010000</v>
      </c>
      <c r="AC65" s="15" t="str">
        <f t="shared" si="11"/>
        <v>1211111111110</v>
      </c>
      <c r="AD65" s="15" t="str">
        <f t="shared" si="11"/>
        <v>0001001000000</v>
      </c>
      <c r="AE65" s="15" t="str">
        <f t="shared" si="11"/>
        <v/>
      </c>
      <c r="AF65" s="15" t="str">
        <f t="shared" si="11"/>
        <v>0001010000000</v>
      </c>
      <c r="AG65" s="41" t="str">
        <f t="shared" si="11"/>
        <v>0000100100000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59</v>
      </c>
      <c r="AL65" s="39" cm="1">
        <f t="array" ref="AL65">SUMPRODUCT(--(MID(AC$10:AC$135, SUMIF($Z$9:$Z$21, LEFT($AJ65,2), $Y$9:$Y$21), 1) = RIGHT($AJ65, 1)), K$10:K$135)</f>
        <v>42</v>
      </c>
      <c r="AM65" s="39" cm="1">
        <f t="array" ref="AM65">SUMPRODUCT(--(MID(AD$10:AD$135, SUMIF($Z$9:$Z$21, LEFT($AJ65,2), $Y$9:$Y$21), 1) = RIGHT($AJ65, 1)), L$10:L$135)</f>
        <v>75</v>
      </c>
      <c r="AN65" s="39" cm="1">
        <f t="array" ref="AN65">SUMPRODUCT(--(MID(AE$10:AE$135, SUMIF($Z$9:$Z$21, LEFT($AJ65,2), $Y$9:$Y$21), 1) = RIGHT($AJ65, 1)), M$10:M$135)</f>
        <v>24</v>
      </c>
      <c r="AO65" s="39" cm="1">
        <f t="array" ref="AO65">SUMPRODUCT(--(MID(AF$10:AF$135, SUMIF($Z$9:$Z$21, LEFT($AJ65,2), $Y$9:$Y$21), 1) = RIGHT($AJ65, 1)), N$10:N$135)</f>
        <v>55</v>
      </c>
      <c r="AP65" s="19" cm="1">
        <f t="array" ref="AP65">SUMPRODUCT(--(MID(AG$10:AG$135, SUMIF($Z$9:$Z$21, LEFT($AJ65,2), $Y$9:$Y$21), 1) = RIGHT($AJ65, 1)), O$10:O$135)</f>
        <v>52</v>
      </c>
    </row>
    <row r="66" spans="2:42">
      <c r="B66" s="34">
        <f t="shared" si="9"/>
        <v>56</v>
      </c>
      <c r="C66" s="30" t="s">
        <v>136</v>
      </c>
      <c r="D66" s="30" t="s">
        <v>129</v>
      </c>
      <c r="E66" s="30" t="s">
        <v>128</v>
      </c>
      <c r="F66" s="30"/>
      <c r="G66" s="30" t="s">
        <v>129</v>
      </c>
      <c r="H66" s="35" t="s">
        <v>137</v>
      </c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 t="str">
        <f t="shared" si="21"/>
        <v/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0010100000000</v>
      </c>
      <c r="AC66" s="15" t="str">
        <f t="shared" si="23"/>
        <v>0100000001000</v>
      </c>
      <c r="AD66" s="15" t="str">
        <f t="shared" si="23"/>
        <v>0001001000000</v>
      </c>
      <c r="AE66" s="15" t="str">
        <f t="shared" si="23"/>
        <v/>
      </c>
      <c r="AF66" s="15" t="str">
        <f t="shared" si="23"/>
        <v>0000010001000</v>
      </c>
      <c r="AG66" s="41" t="str">
        <f t="shared" si="23"/>
        <v>0000010100000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137</v>
      </c>
      <c r="D67" s="30"/>
      <c r="E67" s="30" t="s">
        <v>127</v>
      </c>
      <c r="F67" s="30"/>
      <c r="G67" s="30" t="s">
        <v>126</v>
      </c>
      <c r="H67" s="35" t="s">
        <v>133</v>
      </c>
      <c r="J67" s="34">
        <f t="shared" si="21"/>
        <v>1</v>
      </c>
      <c r="K67" s="30" t="str">
        <f t="shared" si="21"/>
        <v/>
      </c>
      <c r="L67" s="30">
        <f t="shared" si="21"/>
        <v>1</v>
      </c>
      <c r="M67" s="30" t="str">
        <f t="shared" si="21"/>
        <v/>
      </c>
      <c r="N67" s="30">
        <f t="shared" si="21"/>
        <v>1</v>
      </c>
      <c r="O67" s="35">
        <f t="shared" si="21"/>
        <v>1</v>
      </c>
      <c r="AB67" s="40" t="str">
        <f t="shared" si="23"/>
        <v>0000110000000</v>
      </c>
      <c r="AC67" s="15" t="str">
        <f t="shared" si="23"/>
        <v/>
      </c>
      <c r="AD67" s="15" t="str">
        <f t="shared" si="23"/>
        <v>0010001000000</v>
      </c>
      <c r="AE67" s="15" t="str">
        <f t="shared" si="23"/>
        <v/>
      </c>
      <c r="AF67" s="15" t="str">
        <f t="shared" si="23"/>
        <v>1111111112110</v>
      </c>
      <c r="AG67" s="41" t="str">
        <f t="shared" si="23"/>
        <v>0000010100000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134</v>
      </c>
      <c r="D68" s="30"/>
      <c r="E68" s="30" t="s">
        <v>134</v>
      </c>
      <c r="F68" s="30"/>
      <c r="G68" s="30" t="s">
        <v>128</v>
      </c>
      <c r="H68" s="35" t="s">
        <v>132</v>
      </c>
      <c r="J68" s="34">
        <f t="shared" si="21"/>
        <v>1</v>
      </c>
      <c r="K68" s="30" t="str">
        <f t="shared" si="21"/>
        <v/>
      </c>
      <c r="L68" s="30">
        <f t="shared" si="21"/>
        <v>1</v>
      </c>
      <c r="M68" s="30" t="str">
        <f t="shared" si="21"/>
        <v/>
      </c>
      <c r="N68" s="30">
        <f t="shared" si="21"/>
        <v>1</v>
      </c>
      <c r="O68" s="35">
        <f t="shared" si="21"/>
        <v>1</v>
      </c>
      <c r="AB68" s="40" t="str">
        <f t="shared" si="23"/>
        <v>0001010000000</v>
      </c>
      <c r="AC68" s="15" t="str">
        <f t="shared" si="23"/>
        <v/>
      </c>
      <c r="AD68" s="15" t="str">
        <f t="shared" si="23"/>
        <v>0011000000000</v>
      </c>
      <c r="AE68" s="15" t="str">
        <f t="shared" si="23"/>
        <v/>
      </c>
      <c r="AF68" s="15" t="str">
        <f t="shared" si="23"/>
        <v>1111112111110</v>
      </c>
      <c r="AG68" s="41" t="str">
        <f t="shared" si="23"/>
        <v>0000000100100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137</v>
      </c>
      <c r="D69" s="30"/>
      <c r="E69" s="30" t="s">
        <v>136</v>
      </c>
      <c r="F69" s="30"/>
      <c r="G69" s="30" t="s">
        <v>138</v>
      </c>
      <c r="H69" s="35" t="s">
        <v>134</v>
      </c>
      <c r="J69" s="34">
        <f t="shared" si="21"/>
        <v>1</v>
      </c>
      <c r="K69" s="30" t="str">
        <f t="shared" si="21"/>
        <v/>
      </c>
      <c r="L69" s="30">
        <f t="shared" si="21"/>
        <v>1</v>
      </c>
      <c r="M69" s="30" t="str">
        <f t="shared" si="21"/>
        <v/>
      </c>
      <c r="N69" s="30">
        <f t="shared" si="21"/>
        <v>1</v>
      </c>
      <c r="O69" s="35">
        <f t="shared" si="21"/>
        <v>1</v>
      </c>
      <c r="AB69" s="40" t="str">
        <f t="shared" si="23"/>
        <v>0001010000000</v>
      </c>
      <c r="AC69" s="15" t="str">
        <f t="shared" si="23"/>
        <v/>
      </c>
      <c r="AD69" s="15" t="str">
        <f t="shared" si="23"/>
        <v>0001100000000</v>
      </c>
      <c r="AE69" s="15" t="str">
        <f t="shared" si="23"/>
        <v/>
      </c>
      <c r="AF69" s="15" t="str">
        <f t="shared" si="23"/>
        <v>0000001000010</v>
      </c>
      <c r="AG69" s="41" t="str">
        <f t="shared" si="23"/>
        <v>0001000000100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136</v>
      </c>
      <c r="D70" s="30"/>
      <c r="E70" s="30" t="s">
        <v>128</v>
      </c>
      <c r="F70" s="30"/>
      <c r="G70" s="30" t="s">
        <v>129</v>
      </c>
      <c r="H70" s="35" t="s">
        <v>137</v>
      </c>
      <c r="J70" s="34">
        <f t="shared" si="21"/>
        <v>1</v>
      </c>
      <c r="K70" s="30" t="str">
        <f t="shared" si="21"/>
        <v/>
      </c>
      <c r="L70" s="30">
        <f t="shared" si="21"/>
        <v>1</v>
      </c>
      <c r="M70" s="30" t="str">
        <f t="shared" si="21"/>
        <v/>
      </c>
      <c r="N70" s="30">
        <f t="shared" si="21"/>
        <v>1</v>
      </c>
      <c r="O70" s="35">
        <f t="shared" si="21"/>
        <v>1</v>
      </c>
      <c r="AB70" s="40" t="str">
        <f t="shared" si="23"/>
        <v>0000110000000</v>
      </c>
      <c r="AC70" s="15" t="str">
        <f t="shared" si="23"/>
        <v/>
      </c>
      <c r="AD70" s="15" t="str">
        <f t="shared" si="23"/>
        <v>0000101000000</v>
      </c>
      <c r="AE70" s="15" t="str">
        <f t="shared" si="23"/>
        <v/>
      </c>
      <c r="AF70" s="15" t="str">
        <f t="shared" si="23"/>
        <v>0000000001010</v>
      </c>
      <c r="AG70" s="41" t="str">
        <f t="shared" si="23"/>
        <v>0001010000000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137</v>
      </c>
      <c r="D71" s="30"/>
      <c r="E71" s="30" t="s">
        <v>129</v>
      </c>
      <c r="F71" s="30"/>
      <c r="G71" s="30" t="s">
        <v>133</v>
      </c>
      <c r="H71" s="35" t="s">
        <v>133</v>
      </c>
      <c r="J71" s="34">
        <f t="shared" si="21"/>
        <v>1</v>
      </c>
      <c r="K71" s="30" t="str">
        <f t="shared" si="21"/>
        <v/>
      </c>
      <c r="L71" s="30">
        <f t="shared" si="21"/>
        <v>1</v>
      </c>
      <c r="M71" s="30" t="str">
        <f t="shared" si="21"/>
        <v/>
      </c>
      <c r="N71" s="30">
        <f t="shared" si="21"/>
        <v>1</v>
      </c>
      <c r="O71" s="35">
        <f t="shared" si="21"/>
        <v>1</v>
      </c>
      <c r="AB71" s="40" t="str">
        <f t="shared" si="23"/>
        <v>0000110000000</v>
      </c>
      <c r="AC71" s="15" t="str">
        <f t="shared" si="23"/>
        <v/>
      </c>
      <c r="AD71" s="15" t="str">
        <f t="shared" si="23"/>
        <v>0000001001000</v>
      </c>
      <c r="AE71" s="15" t="str">
        <f t="shared" si="23"/>
        <v/>
      </c>
      <c r="AF71" s="15" t="str">
        <f t="shared" si="23"/>
        <v>0000000101000</v>
      </c>
      <c r="AG71" s="41" t="str">
        <f t="shared" si="23"/>
        <v>0000010100000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1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134</v>
      </c>
      <c r="D72" s="30"/>
      <c r="E72" s="30" t="s">
        <v>132</v>
      </c>
      <c r="F72" s="30"/>
      <c r="G72" s="30" t="s">
        <v>129</v>
      </c>
      <c r="H72" s="35" t="s">
        <v>132</v>
      </c>
      <c r="J72" s="34">
        <f t="shared" si="21"/>
        <v>1</v>
      </c>
      <c r="K72" s="30" t="str">
        <f t="shared" si="21"/>
        <v/>
      </c>
      <c r="L72" s="30">
        <f t="shared" si="21"/>
        <v>1</v>
      </c>
      <c r="M72" s="30" t="str">
        <f t="shared" si="21"/>
        <v/>
      </c>
      <c r="N72" s="30">
        <f t="shared" si="21"/>
        <v>1</v>
      </c>
      <c r="O72" s="35">
        <f t="shared" si="21"/>
        <v>1</v>
      </c>
      <c r="AB72" s="40" t="str">
        <f t="shared" si="23"/>
        <v>0001010000000</v>
      </c>
      <c r="AC72" s="15" t="str">
        <f t="shared" si="23"/>
        <v/>
      </c>
      <c r="AD72" s="15" t="str">
        <f t="shared" si="23"/>
        <v>0000000001100</v>
      </c>
      <c r="AE72" s="15" t="str">
        <f t="shared" si="23"/>
        <v/>
      </c>
      <c r="AF72" s="15" t="str">
        <f t="shared" si="23"/>
        <v>0000000101000</v>
      </c>
      <c r="AG72" s="41" t="str">
        <f t="shared" si="23"/>
        <v>0000000100100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22</v>
      </c>
      <c r="AL72" s="39" cm="1">
        <f t="array" ref="AL72">SUMPRODUCT(--(MID(AC$10:AC$135, SUMIF($Z$9:$Z$21, LEFT($AJ72,2), $Y$9:$Y$21), 1) = RIGHT($AJ72, 1)), K$10:K$135)</f>
        <v>16</v>
      </c>
      <c r="AM72" s="39" cm="1">
        <f t="array" ref="AM72">SUMPRODUCT(--(MID(AD$10:AD$135, SUMIF($Z$9:$Z$21, LEFT($AJ72,2), $Y$9:$Y$21), 1) = RIGHT($AJ72, 1)), L$10:L$135)</f>
        <v>10</v>
      </c>
      <c r="AN72" s="39" cm="1">
        <f t="array" ref="AN72">SUMPRODUCT(--(MID(AE$10:AE$135, SUMIF($Z$9:$Z$21, LEFT($AJ72,2), $Y$9:$Y$21), 1) = RIGHT($AJ72, 1)), M$10:M$135)</f>
        <v>14</v>
      </c>
      <c r="AO72" s="39" cm="1">
        <f t="array" ref="AO72">SUMPRODUCT(--(MID(AF$10:AF$135, SUMIF($Z$9:$Z$21, LEFT($AJ72,2), $Y$9:$Y$21), 1) = RIGHT($AJ72, 1)), N$10:N$135)</f>
        <v>18</v>
      </c>
      <c r="AP72" s="19" cm="1">
        <f t="array" ref="AP72">SUMPRODUCT(--(MID(AG$10:AG$135, SUMIF($Z$9:$Z$21, LEFT($AJ72,2), $Y$9:$Y$21), 1) = RIGHT($AJ72, 1)), O$10:O$135)</f>
        <v>16</v>
      </c>
    </row>
    <row r="73" spans="2:42">
      <c r="B73" s="34">
        <f t="shared" si="9"/>
        <v>63</v>
      </c>
      <c r="C73" s="30" t="s">
        <v>133</v>
      </c>
      <c r="D73" s="30"/>
      <c r="E73" s="30" t="s">
        <v>127</v>
      </c>
      <c r="F73" s="30"/>
      <c r="G73" s="30" t="s">
        <v>131</v>
      </c>
      <c r="H73" s="35" t="s">
        <v>134</v>
      </c>
      <c r="J73" s="34">
        <f t="shared" si="21"/>
        <v>1</v>
      </c>
      <c r="K73" s="30" t="str">
        <f t="shared" si="21"/>
        <v/>
      </c>
      <c r="L73" s="30">
        <f t="shared" si="21"/>
        <v>1</v>
      </c>
      <c r="M73" s="30" t="str">
        <f t="shared" si="21"/>
        <v/>
      </c>
      <c r="N73" s="30">
        <f t="shared" si="21"/>
        <v>1</v>
      </c>
      <c r="O73" s="35">
        <f t="shared" si="21"/>
        <v>1</v>
      </c>
      <c r="AB73" s="40" t="str">
        <f t="shared" si="23"/>
        <v>0001000100000</v>
      </c>
      <c r="AC73" s="15" t="str">
        <f t="shared" si="23"/>
        <v/>
      </c>
      <c r="AD73" s="15" t="str">
        <f t="shared" si="23"/>
        <v>0010000000100</v>
      </c>
      <c r="AE73" s="15" t="str">
        <f t="shared" si="23"/>
        <v/>
      </c>
      <c r="AF73" s="15" t="str">
        <f t="shared" si="23"/>
        <v>0100000001000</v>
      </c>
      <c r="AG73" s="41" t="str">
        <f t="shared" si="23"/>
        <v>0001000000100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59</v>
      </c>
      <c r="AL73" s="39" cm="1">
        <f t="array" ref="AL73">SUMPRODUCT(--(MID(AC$10:AC$135, SUMIF($Z$9:$Z$21, LEFT($AJ73,2), $Y$9:$Y$21), 1) = RIGHT($AJ73, 1)), K$10:K$135)</f>
        <v>41</v>
      </c>
      <c r="AM73" s="39" cm="1">
        <f t="array" ref="AM73">SUMPRODUCT(--(MID(AD$10:AD$135, SUMIF($Z$9:$Z$21, LEFT($AJ73,2), $Y$9:$Y$21), 1) = RIGHT($AJ73, 1)), L$10:L$135)</f>
        <v>69</v>
      </c>
      <c r="AN73" s="39" cm="1">
        <f t="array" ref="AN73">SUMPRODUCT(--(MID(AE$10:AE$135, SUMIF($Z$9:$Z$21, LEFT($AJ73,2), $Y$9:$Y$21), 1) = RIGHT($AJ73, 1)), M$10:M$135)</f>
        <v>24</v>
      </c>
      <c r="AO73" s="39" cm="1">
        <f t="array" ref="AO73">SUMPRODUCT(--(MID(AF$10:AF$135, SUMIF($Z$9:$Z$21, LEFT($AJ73,2), $Y$9:$Y$21), 1) = RIGHT($AJ73, 1)), N$10:N$135)</f>
        <v>55</v>
      </c>
      <c r="AP73" s="19" cm="1">
        <f t="array" ref="AP73">SUMPRODUCT(--(MID(AG$10:AG$135, SUMIF($Z$9:$Z$21, LEFT($AJ73,2), $Y$9:$Y$21), 1) = RIGHT($AJ73, 1)), O$10:O$135)</f>
        <v>54</v>
      </c>
    </row>
    <row r="74" spans="2:42">
      <c r="B74" s="34">
        <f t="shared" si="9"/>
        <v>64</v>
      </c>
      <c r="C74" s="30" t="s">
        <v>137</v>
      </c>
      <c r="D74" s="30"/>
      <c r="E74" s="30" t="s">
        <v>128</v>
      </c>
      <c r="F74" s="30"/>
      <c r="G74" s="30" t="s">
        <v>128</v>
      </c>
      <c r="H74" s="35" t="s">
        <v>130</v>
      </c>
      <c r="J74" s="34">
        <f t="shared" si="21"/>
        <v>1</v>
      </c>
      <c r="K74" s="30" t="str">
        <f t="shared" si="21"/>
        <v/>
      </c>
      <c r="L74" s="30">
        <f t="shared" si="21"/>
        <v>1</v>
      </c>
      <c r="M74" s="30" t="str">
        <f t="shared" si="21"/>
        <v/>
      </c>
      <c r="N74" s="30">
        <f t="shared" si="21"/>
        <v>1</v>
      </c>
      <c r="O74" s="35">
        <f t="shared" si="21"/>
        <v>1</v>
      </c>
      <c r="AB74" s="40" t="str">
        <f t="shared" si="23"/>
        <v>0000010100000</v>
      </c>
      <c r="AC74" s="15" t="str">
        <f t="shared" si="23"/>
        <v/>
      </c>
      <c r="AD74" s="15" t="str">
        <f t="shared" si="23"/>
        <v>0010001000000</v>
      </c>
      <c r="AE74" s="15" t="str">
        <f t="shared" si="23"/>
        <v/>
      </c>
      <c r="AF74" s="15" t="str">
        <f t="shared" si="23"/>
        <v>0100001000000</v>
      </c>
      <c r="AG74" s="41" t="str">
        <f t="shared" si="23"/>
        <v>0001000010000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133</v>
      </c>
      <c r="D75" s="30"/>
      <c r="E75" s="30" t="s">
        <v>130</v>
      </c>
      <c r="F75" s="30"/>
      <c r="G75" s="30" t="s">
        <v>129</v>
      </c>
      <c r="H75" s="35" t="s">
        <v>132</v>
      </c>
      <c r="J75" s="34">
        <f t="shared" si="21"/>
        <v>1</v>
      </c>
      <c r="K75" s="30" t="str">
        <f t="shared" si="21"/>
        <v/>
      </c>
      <c r="L75" s="30">
        <f t="shared" si="21"/>
        <v>1</v>
      </c>
      <c r="M75" s="30" t="str">
        <f t="shared" si="21"/>
        <v/>
      </c>
      <c r="N75" s="30">
        <f t="shared" si="21"/>
        <v>1</v>
      </c>
      <c r="O75" s="35">
        <f t="shared" si="21"/>
        <v>1</v>
      </c>
      <c r="AB75" s="40" t="str">
        <f t="shared" si="23"/>
        <v>0000010100000</v>
      </c>
      <c r="AC75" s="15" t="str">
        <f t="shared" si="23"/>
        <v/>
      </c>
      <c r="AD75" s="15" t="str">
        <f t="shared" si="23"/>
        <v>0000001010000</v>
      </c>
      <c r="AE75" s="15" t="str">
        <f t="shared" si="23"/>
        <v/>
      </c>
      <c r="AF75" s="15" t="str">
        <f t="shared" si="23"/>
        <v>0000001001000</v>
      </c>
      <c r="AG75" s="41" t="str">
        <f t="shared" si="23"/>
        <v>0000000010100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138</v>
      </c>
      <c r="D76" s="30"/>
      <c r="E76" s="30" t="s">
        <v>132</v>
      </c>
      <c r="F76" s="30"/>
      <c r="G76" s="30" t="s">
        <v>138</v>
      </c>
      <c r="H76" s="35" t="s">
        <v>131</v>
      </c>
      <c r="J76" s="34">
        <f t="shared" si="21"/>
        <v>1</v>
      </c>
      <c r="K76" s="30" t="str">
        <f t="shared" si="21"/>
        <v/>
      </c>
      <c r="L76" s="30">
        <f t="shared" si="21"/>
        <v>1</v>
      </c>
      <c r="M76" s="30" t="str">
        <f t="shared" si="21"/>
        <v/>
      </c>
      <c r="N76" s="30">
        <f t="shared" si="21"/>
        <v>1</v>
      </c>
      <c r="O76" s="35">
        <f t="shared" si="21"/>
        <v>1</v>
      </c>
      <c r="AB76" s="40" t="str">
        <f t="shared" si="23"/>
        <v>0000000100010</v>
      </c>
      <c r="AC76" s="15" t="str">
        <f t="shared" si="23"/>
        <v/>
      </c>
      <c r="AD76" s="15" t="str">
        <f t="shared" si="23"/>
        <v>0000000010100</v>
      </c>
      <c r="AE76" s="15" t="str">
        <f t="shared" si="23"/>
        <v/>
      </c>
      <c r="AF76" s="15" t="str">
        <f t="shared" si="23"/>
        <v>0000000001010</v>
      </c>
      <c r="AG76" s="41" t="str">
        <f t="shared" si="23"/>
        <v>0100000000100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127</v>
      </c>
      <c r="D77" s="30"/>
      <c r="E77" s="30" t="s">
        <v>129</v>
      </c>
      <c r="F77" s="30"/>
      <c r="G77" s="30" t="s">
        <v>130</v>
      </c>
      <c r="H77" s="35" t="s">
        <v>134</v>
      </c>
      <c r="J77" s="34">
        <f t="shared" si="21"/>
        <v>1</v>
      </c>
      <c r="K77" s="30" t="str">
        <f t="shared" si="21"/>
        <v/>
      </c>
      <c r="L77" s="30">
        <f t="shared" si="21"/>
        <v>1</v>
      </c>
      <c r="M77" s="30" t="str">
        <f t="shared" si="21"/>
        <v/>
      </c>
      <c r="N77" s="30">
        <f t="shared" si="21"/>
        <v>1</v>
      </c>
      <c r="O77" s="35">
        <f t="shared" si="21"/>
        <v>1</v>
      </c>
      <c r="AB77" s="40" t="str">
        <f t="shared" si="23"/>
        <v>0010000000010</v>
      </c>
      <c r="AC77" s="15" t="str">
        <f t="shared" si="23"/>
        <v/>
      </c>
      <c r="AD77" s="15" t="str">
        <f t="shared" si="23"/>
        <v>0000000001100</v>
      </c>
      <c r="AE77" s="15" t="str">
        <f t="shared" si="23"/>
        <v/>
      </c>
      <c r="AF77" s="15" t="str">
        <f t="shared" si="23"/>
        <v>0000000010010</v>
      </c>
      <c r="AG77" s="41" t="str">
        <f t="shared" si="23"/>
        <v>0101000000000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 t="s">
        <v>137</v>
      </c>
      <c r="D78" s="30"/>
      <c r="E78" s="30" t="s">
        <v>127</v>
      </c>
      <c r="F78" s="30"/>
      <c r="G78" s="30" t="s">
        <v>129</v>
      </c>
      <c r="H78" s="35" t="s">
        <v>136</v>
      </c>
      <c r="J78" s="34">
        <f t="shared" si="21"/>
        <v>1</v>
      </c>
      <c r="K78" s="30" t="str">
        <f t="shared" si="21"/>
        <v/>
      </c>
      <c r="L78" s="30">
        <f t="shared" si="21"/>
        <v>1</v>
      </c>
      <c r="M78" s="30" t="str">
        <f t="shared" si="21"/>
        <v/>
      </c>
      <c r="N78" s="30">
        <f t="shared" si="21"/>
        <v>1</v>
      </c>
      <c r="O78" s="35">
        <f t="shared" si="21"/>
        <v>1</v>
      </c>
      <c r="AB78" s="40" t="str">
        <f t="shared" si="23"/>
        <v>0010010000000</v>
      </c>
      <c r="AC78" s="15" t="str">
        <f t="shared" si="23"/>
        <v/>
      </c>
      <c r="AD78" s="15" t="str">
        <f t="shared" si="23"/>
        <v>0010000001000</v>
      </c>
      <c r="AE78" s="15" t="str">
        <f t="shared" si="23"/>
        <v/>
      </c>
      <c r="AF78" s="15" t="str">
        <f t="shared" si="23"/>
        <v>0000000011000</v>
      </c>
      <c r="AG78" s="41" t="str">
        <f t="shared" si="23"/>
        <v>0001100000000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 t="s">
        <v>134</v>
      </c>
      <c r="D79" s="30"/>
      <c r="E79" s="30" t="s">
        <v>134</v>
      </c>
      <c r="F79" s="30"/>
      <c r="G79" s="30" t="s">
        <v>138</v>
      </c>
      <c r="H79" s="35" t="s">
        <v>133</v>
      </c>
      <c r="J79" s="34">
        <f t="shared" si="21"/>
        <v>1</v>
      </c>
      <c r="K79" s="30" t="str">
        <f t="shared" si="21"/>
        <v/>
      </c>
      <c r="L79" s="30">
        <f t="shared" si="21"/>
        <v>1</v>
      </c>
      <c r="M79" s="30" t="str">
        <f t="shared" si="21"/>
        <v/>
      </c>
      <c r="N79" s="30">
        <f t="shared" si="21"/>
        <v>1</v>
      </c>
      <c r="O79" s="35">
        <f t="shared" si="21"/>
        <v>1</v>
      </c>
      <c r="AB79" s="40" t="str">
        <f t="shared" si="23"/>
        <v>0001010000000</v>
      </c>
      <c r="AC79" s="15" t="str">
        <f t="shared" si="23"/>
        <v/>
      </c>
      <c r="AD79" s="15" t="str">
        <f t="shared" si="23"/>
        <v>0011000000000</v>
      </c>
      <c r="AE79" s="15" t="str">
        <f t="shared" si="23"/>
        <v/>
      </c>
      <c r="AF79" s="15" t="str">
        <f t="shared" si="23"/>
        <v>0000000001010</v>
      </c>
      <c r="AG79" s="41" t="str">
        <f t="shared" si="23"/>
        <v>0000100100000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0</v>
      </c>
      <c r="AL79" s="39" cm="1">
        <f t="array" ref="AL79">SUMPRODUCT(--(MID(AC$10:AC$135, SUMIF($Z$9:$Z$21, LEFT($AJ79,2), $Y$9:$Y$21), 1) = RIGHT($AJ79, 1)), K$10:K$135)</f>
        <v>4</v>
      </c>
      <c r="AM79" s="39" cm="1">
        <f t="array" ref="AM79">SUMPRODUCT(--(MID(AD$10:AD$135, SUMIF($Z$9:$Z$21, LEFT($AJ79,2), $Y$9:$Y$21), 1) = RIGHT($AJ79, 1)), L$10:L$135)</f>
        <v>0</v>
      </c>
      <c r="AN79" s="39" cm="1">
        <f t="array" ref="AN79">SUMPRODUCT(--(MID(AE$10:AE$135, SUMIF($Z$9:$Z$21, LEFT($AJ79,2), $Y$9:$Y$21), 1) = RIGHT($AJ79, 1)), M$10:M$135)</f>
        <v>0</v>
      </c>
      <c r="AO79" s="39" cm="1">
        <f t="array" ref="AO79">SUMPRODUCT(--(MID(AF$10:AF$135, SUMIF($Z$9:$Z$21, LEFT($AJ79,2), $Y$9:$Y$21), 1) = RIGHT($AJ79, 1)), N$10:N$135)</f>
        <v>3</v>
      </c>
      <c r="AP79" s="19" cm="1">
        <f t="array" ref="AP79">SUMPRODUCT(--(MID(AG$10:AG$135, SUMIF($Z$9:$Z$21, LEFT($AJ79,2), $Y$9:$Y$21), 1) = RIGHT($AJ79, 1)), O$10:O$135)</f>
        <v>0</v>
      </c>
    </row>
    <row r="80" spans="2:42">
      <c r="B80" s="34">
        <f t="shared" si="25"/>
        <v>70</v>
      </c>
      <c r="C80" s="30" t="s">
        <v>127</v>
      </c>
      <c r="D80" s="30"/>
      <c r="E80" s="30" t="s">
        <v>128</v>
      </c>
      <c r="F80" s="30"/>
      <c r="G80" s="30" t="s">
        <v>128</v>
      </c>
      <c r="H80" s="35"/>
      <c r="J80" s="34">
        <f t="shared" si="21"/>
        <v>1</v>
      </c>
      <c r="K80" s="30" t="str">
        <f t="shared" si="21"/>
        <v/>
      </c>
      <c r="L80" s="30">
        <f t="shared" si="21"/>
        <v>1</v>
      </c>
      <c r="M80" s="30" t="str">
        <f t="shared" si="21"/>
        <v/>
      </c>
      <c r="N80" s="30">
        <f t="shared" si="21"/>
        <v>1</v>
      </c>
      <c r="O80" s="35" t="str">
        <f t="shared" si="21"/>
        <v/>
      </c>
      <c r="AB80" s="40" t="str">
        <f t="shared" si="23"/>
        <v>0011000000000</v>
      </c>
      <c r="AC80" s="15" t="str">
        <f t="shared" si="23"/>
        <v/>
      </c>
      <c r="AD80" s="15" t="str">
        <f t="shared" si="23"/>
        <v>0001001000000</v>
      </c>
      <c r="AE80" s="15" t="str">
        <f t="shared" si="23"/>
        <v/>
      </c>
      <c r="AF80" s="15" t="str">
        <f t="shared" si="23"/>
        <v>0000001000010</v>
      </c>
      <c r="AG80" s="41" t="str">
        <f t="shared" si="23"/>
        <v/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2</v>
      </c>
      <c r="AL80" s="39" cm="1">
        <f t="array" ref="AL80">SUMPRODUCT(--(MID(AC$10:AC$135, SUMIF($Z$9:$Z$21, LEFT($AJ80,2), $Y$9:$Y$21), 1) = RIGHT($AJ80, 1)), K$10:K$135)</f>
        <v>22</v>
      </c>
      <c r="AM80" s="39" cm="1">
        <f t="array" ref="AM80">SUMPRODUCT(--(MID(AD$10:AD$135, SUMIF($Z$9:$Z$21, LEFT($AJ80,2), $Y$9:$Y$21), 1) = RIGHT($AJ80, 1)), L$10:L$135)</f>
        <v>18</v>
      </c>
      <c r="AN80" s="39" cm="1">
        <f t="array" ref="AN80">SUMPRODUCT(--(MID(AE$10:AE$135, SUMIF($Z$9:$Z$21, LEFT($AJ80,2), $Y$9:$Y$21), 1) = RIGHT($AJ80, 1)), M$10:M$135)</f>
        <v>14</v>
      </c>
      <c r="AO80" s="39" cm="1">
        <f t="array" ref="AO80">SUMPRODUCT(--(MID(AF$10:AF$135, SUMIF($Z$9:$Z$21, LEFT($AJ80,2), $Y$9:$Y$21), 1) = RIGHT($AJ80, 1)), N$10:N$135)</f>
        <v>40</v>
      </c>
      <c r="AP80" s="19" cm="1">
        <f t="array" ref="AP80">SUMPRODUCT(--(MID(AG$10:AG$135, SUMIF($Z$9:$Z$21, LEFT($AJ80,2), $Y$9:$Y$21), 1) = RIGHT($AJ80, 1)), O$10:O$135)</f>
        <v>2</v>
      </c>
    </row>
    <row r="81" spans="2:42">
      <c r="B81" s="34">
        <f t="shared" si="25"/>
        <v>71</v>
      </c>
      <c r="C81" s="30" t="s">
        <v>133</v>
      </c>
      <c r="D81" s="30"/>
      <c r="E81" s="30" t="s">
        <v>131</v>
      </c>
      <c r="F81" s="30"/>
      <c r="G81" s="30" t="s">
        <v>133</v>
      </c>
      <c r="H81" s="35"/>
      <c r="J81" s="34">
        <f t="shared" si="21"/>
        <v>1</v>
      </c>
      <c r="K81" s="30" t="str">
        <f t="shared" si="21"/>
        <v/>
      </c>
      <c r="L81" s="30">
        <f t="shared" si="21"/>
        <v>1</v>
      </c>
      <c r="M81" s="30" t="str">
        <f t="shared" si="21"/>
        <v/>
      </c>
      <c r="N81" s="30">
        <f t="shared" si="21"/>
        <v>1</v>
      </c>
      <c r="O81" s="35" t="str">
        <f t="shared" si="21"/>
        <v/>
      </c>
      <c r="AB81" s="40" t="str">
        <f t="shared" si="23"/>
        <v>0010000100000</v>
      </c>
      <c r="AC81" s="15" t="str">
        <f t="shared" si="23"/>
        <v/>
      </c>
      <c r="AD81" s="15" t="str">
        <f t="shared" si="23"/>
        <v>0100001000000</v>
      </c>
      <c r="AE81" s="15" t="str">
        <f t="shared" si="23"/>
        <v/>
      </c>
      <c r="AF81" s="15" t="str">
        <f t="shared" si="23"/>
        <v>0000001100000</v>
      </c>
      <c r="AG81" s="41" t="str">
        <f t="shared" si="23"/>
        <v/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79</v>
      </c>
      <c r="AL81" s="39" cm="1">
        <f t="array" ref="AL81">SUMPRODUCT(--(MID(AC$10:AC$135, SUMIF($Z$9:$Z$21, LEFT($AJ81,2), $Y$9:$Y$21), 1) = RIGHT($AJ81, 1)), K$10:K$135)</f>
        <v>31</v>
      </c>
      <c r="AM81" s="39" cm="1">
        <f t="array" ref="AM81">SUMPRODUCT(--(MID(AD$10:AD$135, SUMIF($Z$9:$Z$21, LEFT($AJ81,2), $Y$9:$Y$21), 1) = RIGHT($AJ81, 1)), L$10:L$135)</f>
        <v>62</v>
      </c>
      <c r="AN81" s="39" cm="1">
        <f t="array" ref="AN81">SUMPRODUCT(--(MID(AE$10:AE$135, SUMIF($Z$9:$Z$21, LEFT($AJ81,2), $Y$9:$Y$21), 1) = RIGHT($AJ81, 1)), M$10:M$135)</f>
        <v>24</v>
      </c>
      <c r="AO81" s="39" cm="1">
        <f t="array" ref="AO81">SUMPRODUCT(--(MID(AF$10:AF$135, SUMIF($Z$9:$Z$21, LEFT($AJ81,2), $Y$9:$Y$21), 1) = RIGHT($AJ81, 1)), N$10:N$135)</f>
        <v>30</v>
      </c>
      <c r="AP81" s="19" cm="1">
        <f t="array" ref="AP81">SUMPRODUCT(--(MID(AG$10:AG$135, SUMIF($Z$9:$Z$21, LEFT($AJ81,2), $Y$9:$Y$21), 1) = RIGHT($AJ81, 1)), O$10:O$135)</f>
        <v>68</v>
      </c>
    </row>
    <row r="82" spans="2:42">
      <c r="B82" s="34">
        <f t="shared" si="25"/>
        <v>72</v>
      </c>
      <c r="C82" s="30" t="s">
        <v>127</v>
      </c>
      <c r="D82" s="30"/>
      <c r="E82" s="30" t="s">
        <v>136</v>
      </c>
      <c r="F82" s="30"/>
      <c r="G82" s="30" t="s">
        <v>138</v>
      </c>
      <c r="H82" s="35"/>
      <c r="J82" s="34">
        <f t="shared" si="21"/>
        <v>1</v>
      </c>
      <c r="K82" s="30" t="str">
        <f t="shared" si="21"/>
        <v/>
      </c>
      <c r="L82" s="30">
        <f t="shared" si="21"/>
        <v>1</v>
      </c>
      <c r="M82" s="30" t="str">
        <f t="shared" si="21"/>
        <v/>
      </c>
      <c r="N82" s="30">
        <f t="shared" si="21"/>
        <v>1</v>
      </c>
      <c r="O82" s="35" t="str">
        <f t="shared" si="21"/>
        <v/>
      </c>
      <c r="AB82" s="40" t="str">
        <f t="shared" si="23"/>
        <v>0010000100000</v>
      </c>
      <c r="AC82" s="15" t="str">
        <f t="shared" si="23"/>
        <v/>
      </c>
      <c r="AD82" s="15" t="str">
        <f t="shared" si="23"/>
        <v>0100100000000</v>
      </c>
      <c r="AE82" s="15" t="str">
        <f t="shared" si="23"/>
        <v/>
      </c>
      <c r="AF82" s="15" t="str">
        <f t="shared" si="23"/>
        <v>0000000100010</v>
      </c>
      <c r="AG82" s="41" t="str">
        <f t="shared" si="23"/>
        <v/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 t="s">
        <v>136</v>
      </c>
      <c r="D83" s="30"/>
      <c r="E83" s="30" t="s">
        <v>132</v>
      </c>
      <c r="F83" s="30"/>
      <c r="G83" s="30"/>
      <c r="H83" s="35"/>
      <c r="J83" s="34">
        <f t="shared" si="21"/>
        <v>1</v>
      </c>
      <c r="K83" s="30" t="str">
        <f t="shared" si="21"/>
        <v/>
      </c>
      <c r="L83" s="30">
        <f t="shared" si="21"/>
        <v>1</v>
      </c>
      <c r="M83" s="30" t="str">
        <f t="shared" si="21"/>
        <v/>
      </c>
      <c r="N83" s="30" t="str">
        <f t="shared" si="21"/>
        <v/>
      </c>
      <c r="O83" s="35" t="str">
        <f t="shared" si="21"/>
        <v/>
      </c>
      <c r="AB83" s="40" t="str">
        <f t="shared" si="23"/>
        <v>0010100000000</v>
      </c>
      <c r="AC83" s="15" t="str">
        <f t="shared" si="23"/>
        <v/>
      </c>
      <c r="AD83" s="15" t="str">
        <f t="shared" si="23"/>
        <v>0000100000100</v>
      </c>
      <c r="AE83" s="15" t="str">
        <f t="shared" si="23"/>
        <v/>
      </c>
      <c r="AF83" s="15" t="str">
        <f t="shared" si="23"/>
        <v/>
      </c>
      <c r="AG83" s="41" t="str">
        <f t="shared" si="23"/>
        <v/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 t="s">
        <v>133</v>
      </c>
      <c r="D84" s="30"/>
      <c r="E84" s="30" t="s">
        <v>131</v>
      </c>
      <c r="F84" s="30"/>
      <c r="G84" s="30"/>
      <c r="H84" s="35"/>
      <c r="J84" s="34">
        <f t="shared" si="21"/>
        <v>1</v>
      </c>
      <c r="K84" s="30" t="str">
        <f t="shared" si="21"/>
        <v/>
      </c>
      <c r="L84" s="30">
        <f t="shared" si="21"/>
        <v>1</v>
      </c>
      <c r="M84" s="30" t="str">
        <f t="shared" si="21"/>
        <v/>
      </c>
      <c r="N84" s="30" t="str">
        <f t="shared" si="21"/>
        <v/>
      </c>
      <c r="O84" s="35" t="str">
        <f t="shared" si="21"/>
        <v/>
      </c>
      <c r="AB84" s="40" t="str">
        <f t="shared" si="23"/>
        <v>0000100100000</v>
      </c>
      <c r="AC84" s="15" t="str">
        <f t="shared" si="23"/>
        <v/>
      </c>
      <c r="AD84" s="15" t="str">
        <f t="shared" si="23"/>
        <v>0100000000100</v>
      </c>
      <c r="AE84" s="15" t="str">
        <f t="shared" si="23"/>
        <v/>
      </c>
      <c r="AF84" s="15" t="str">
        <f t="shared" si="23"/>
        <v/>
      </c>
      <c r="AG84" s="41" t="str">
        <f t="shared" si="23"/>
        <v/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 t="s">
        <v>130</v>
      </c>
      <c r="D85" s="30"/>
      <c r="E85" s="30" t="s">
        <v>129</v>
      </c>
      <c r="F85" s="30"/>
      <c r="G85" s="30"/>
      <c r="H85" s="35"/>
      <c r="J85" s="34">
        <f t="shared" si="21"/>
        <v>1</v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 t="str">
        <f t="shared" si="21"/>
        <v/>
      </c>
      <c r="O85" s="35" t="str">
        <f t="shared" si="21"/>
        <v/>
      </c>
      <c r="AB85" s="40" t="str">
        <f t="shared" si="23"/>
        <v>0000000110000</v>
      </c>
      <c r="AC85" s="15" t="str">
        <f t="shared" si="23"/>
        <v/>
      </c>
      <c r="AD85" s="15" t="str">
        <f t="shared" si="23"/>
        <v>0100000001000</v>
      </c>
      <c r="AE85" s="15" t="str">
        <f t="shared" si="23"/>
        <v/>
      </c>
      <c r="AF85" s="15" t="str">
        <f t="shared" si="23"/>
        <v/>
      </c>
      <c r="AG85" s="41" t="str">
        <f t="shared" si="23"/>
        <v/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 t="s">
        <v>138</v>
      </c>
      <c r="D86" s="30"/>
      <c r="E86" s="30" t="s">
        <v>136</v>
      </c>
      <c r="F86" s="30"/>
      <c r="G86" s="30"/>
      <c r="H86" s="35"/>
      <c r="J86" s="34">
        <f t="shared" si="21"/>
        <v>1</v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 t="str">
        <f t="shared" si="21"/>
        <v/>
      </c>
      <c r="O86" s="35" t="str">
        <f t="shared" si="21"/>
        <v/>
      </c>
      <c r="AB86" s="40" t="str">
        <f t="shared" si="23"/>
        <v>0000000010010</v>
      </c>
      <c r="AC86" s="15" t="str">
        <f t="shared" si="23"/>
        <v/>
      </c>
      <c r="AD86" s="15" t="str">
        <f t="shared" si="23"/>
        <v>0000100001000</v>
      </c>
      <c r="AE86" s="15" t="str">
        <f t="shared" si="23"/>
        <v/>
      </c>
      <c r="AF86" s="15" t="str">
        <f t="shared" si="23"/>
        <v/>
      </c>
      <c r="AG86" s="41" t="str">
        <f t="shared" si="23"/>
        <v/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 t="s">
        <v>127</v>
      </c>
      <c r="D87" s="30"/>
      <c r="E87" s="30" t="s">
        <v>132</v>
      </c>
      <c r="F87" s="30"/>
      <c r="G87" s="30"/>
      <c r="H87" s="35"/>
      <c r="J87" s="34">
        <f t="shared" si="21"/>
        <v>1</v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 t="str">
        <f t="shared" si="21"/>
        <v/>
      </c>
      <c r="O87" s="35" t="str">
        <f t="shared" si="21"/>
        <v/>
      </c>
      <c r="AB87" s="40" t="str">
        <f t="shared" si="23"/>
        <v>0010000000010</v>
      </c>
      <c r="AC87" s="15" t="str">
        <f t="shared" si="23"/>
        <v/>
      </c>
      <c r="AD87" s="15" t="str">
        <f t="shared" si="23"/>
        <v>0000100000100</v>
      </c>
      <c r="AE87" s="15" t="str">
        <f t="shared" si="23"/>
        <v/>
      </c>
      <c r="AF87" s="15" t="str">
        <f t="shared" si="23"/>
        <v/>
      </c>
      <c r="AG87" s="41" t="str">
        <f t="shared" si="23"/>
        <v/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0</v>
      </c>
      <c r="AL87" s="39" cm="1">
        <f t="array" ref="AL87">SUMPRODUCT(--(MID(AC$10:AC$135, SUMIF($Z$9:$Z$21, LEFT($AJ87,2), $Y$9:$Y$21), 1) = RIGHT($AJ87, 1)), K$10:K$135)</f>
        <v>0</v>
      </c>
      <c r="AM87" s="39" cm="1">
        <f t="array" ref="AM87">SUMPRODUCT(--(MID(AD$10:AD$135, SUMIF($Z$9:$Z$21, LEFT($AJ87,2), $Y$9:$Y$21), 1) = RIGHT($AJ87, 1)), L$10:L$135)</f>
        <v>0</v>
      </c>
      <c r="AN87" s="39" cm="1">
        <f t="array" ref="AN87">SUMPRODUCT(--(MID(AE$10:AE$135, SUMIF($Z$9:$Z$21, LEFT($AJ87,2), $Y$9:$Y$21), 1) = RIGHT($AJ87, 1)), M$10:M$135)</f>
        <v>1</v>
      </c>
      <c r="AO87" s="39" cm="1">
        <f t="array" ref="AO87">SUMPRODUCT(--(MID(AF$10:AF$135, SUMIF($Z$9:$Z$21, LEFT($AJ87,2), $Y$9:$Y$21), 1) = RIGHT($AJ87, 1)), N$10:N$135)</f>
        <v>0</v>
      </c>
      <c r="AP87" s="19" cm="1">
        <f t="array" ref="AP87">SUMPRODUCT(--(MID(AG$10:AG$135, SUMIF($Z$9:$Z$21, LEFT($AJ87,2), $Y$9:$Y$21), 1) = RIGHT($AJ87, 1)), O$10:O$135)</f>
        <v>0</v>
      </c>
    </row>
    <row r="88" spans="2:42">
      <c r="B88" s="34">
        <f t="shared" si="25"/>
        <v>78</v>
      </c>
      <c r="C88" s="30" t="s">
        <v>130</v>
      </c>
      <c r="D88" s="30"/>
      <c r="E88" s="30" t="s">
        <v>138</v>
      </c>
      <c r="F88" s="30"/>
      <c r="G88" s="30"/>
      <c r="H88" s="35"/>
      <c r="J88" s="34">
        <f t="shared" si="21"/>
        <v>1</v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 t="str">
        <f t="shared" si="21"/>
        <v/>
      </c>
      <c r="O88" s="35" t="str">
        <f t="shared" si="21"/>
        <v/>
      </c>
      <c r="AB88" s="40" t="str">
        <f t="shared" si="23"/>
        <v>0010000010000</v>
      </c>
      <c r="AC88" s="15" t="str">
        <f t="shared" si="23"/>
        <v/>
      </c>
      <c r="AD88" s="15" t="str">
        <f t="shared" si="23"/>
        <v>0000000000110</v>
      </c>
      <c r="AE88" s="15" t="str">
        <f t="shared" si="23"/>
        <v/>
      </c>
      <c r="AF88" s="15" t="str">
        <f t="shared" si="23"/>
        <v/>
      </c>
      <c r="AG88" s="41" t="str">
        <f t="shared" si="23"/>
        <v/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4</v>
      </c>
      <c r="AL88" s="39" cm="1">
        <f t="array" ref="AL88">SUMPRODUCT(--(MID(AC$10:AC$135, SUMIF($Z$9:$Z$21, LEFT($AJ88,2), $Y$9:$Y$21), 1) = RIGHT($AJ88, 1)), K$10:K$135)</f>
        <v>18</v>
      </c>
      <c r="AM88" s="39" cm="1">
        <f t="array" ref="AM88">SUMPRODUCT(--(MID(AD$10:AD$135, SUMIF($Z$9:$Z$21, LEFT($AJ88,2), $Y$9:$Y$21), 1) = RIGHT($AJ88, 1)), L$10:L$135)</f>
        <v>28</v>
      </c>
      <c r="AN88" s="39" cm="1">
        <f t="array" ref="AN88">SUMPRODUCT(--(MID(AE$10:AE$135, SUMIF($Z$9:$Z$21, LEFT($AJ88,2), $Y$9:$Y$21), 1) = RIGHT($AJ88, 1)), M$10:M$135)</f>
        <v>14</v>
      </c>
      <c r="AO88" s="39" cm="1">
        <f t="array" ref="AO88">SUMPRODUCT(--(MID(AF$10:AF$135, SUMIF($Z$9:$Z$21, LEFT($AJ88,2), $Y$9:$Y$21), 1) = RIGHT($AJ88, 1)), N$10:N$135)</f>
        <v>12</v>
      </c>
      <c r="AP88" s="19" cm="1">
        <f t="array" ref="AP88">SUMPRODUCT(--(MID(AG$10:AG$135, SUMIF($Z$9:$Z$21, LEFT($AJ88,2), $Y$9:$Y$21), 1) = RIGHT($AJ88, 1)), O$10:O$135)</f>
        <v>16</v>
      </c>
    </row>
    <row r="89" spans="2:42">
      <c r="B89" s="34">
        <f t="shared" si="25"/>
        <v>79</v>
      </c>
      <c r="C89" s="30" t="s">
        <v>133</v>
      </c>
      <c r="D89" s="30"/>
      <c r="E89" s="30" t="s">
        <v>132</v>
      </c>
      <c r="F89" s="30"/>
      <c r="G89" s="30"/>
      <c r="H89" s="35"/>
      <c r="J89" s="34">
        <f t="shared" si="21"/>
        <v>1</v>
      </c>
      <c r="K89" s="30" t="str">
        <f t="shared" si="21"/>
        <v/>
      </c>
      <c r="L89" s="30">
        <f t="shared" si="21"/>
        <v>1</v>
      </c>
      <c r="M89" s="30" t="str">
        <f t="shared" si="21"/>
        <v/>
      </c>
      <c r="N89" s="30" t="str">
        <f t="shared" si="21"/>
        <v/>
      </c>
      <c r="O89" s="35" t="str">
        <f t="shared" si="21"/>
        <v/>
      </c>
      <c r="AB89" s="40" t="str">
        <f t="shared" si="23"/>
        <v>0000000110000</v>
      </c>
      <c r="AC89" s="15" t="str">
        <f t="shared" si="23"/>
        <v/>
      </c>
      <c r="AD89" s="15" t="str">
        <f t="shared" si="23"/>
        <v>0000000000110</v>
      </c>
      <c r="AE89" s="15" t="str">
        <f t="shared" si="23"/>
        <v/>
      </c>
      <c r="AF89" s="15" t="str">
        <f t="shared" si="23"/>
        <v/>
      </c>
      <c r="AG89" s="41" t="str">
        <f t="shared" si="23"/>
        <v/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77</v>
      </c>
      <c r="AL89" s="39" cm="1">
        <f t="array" ref="AL89">SUMPRODUCT(--(MID(AC$10:AC$135, SUMIF($Z$9:$Z$21, LEFT($AJ89,2), $Y$9:$Y$21), 1) = RIGHT($AJ89, 1)), K$10:K$135)</f>
        <v>39</v>
      </c>
      <c r="AM89" s="39" cm="1">
        <f t="array" ref="AM89">SUMPRODUCT(--(MID(AD$10:AD$135, SUMIF($Z$9:$Z$21, LEFT($AJ89,2), $Y$9:$Y$21), 1) = RIGHT($AJ89, 1)), L$10:L$135)</f>
        <v>52</v>
      </c>
      <c r="AN89" s="39" cm="1">
        <f t="array" ref="AN89">SUMPRODUCT(--(MID(AE$10:AE$135, SUMIF($Z$9:$Z$21, LEFT($AJ89,2), $Y$9:$Y$21), 1) = RIGHT($AJ89, 1)), M$10:M$135)</f>
        <v>23</v>
      </c>
      <c r="AO89" s="39" cm="1">
        <f t="array" ref="AO89">SUMPRODUCT(--(MID(AF$10:AF$135, SUMIF($Z$9:$Z$21, LEFT($AJ89,2), $Y$9:$Y$21), 1) = RIGHT($AJ89, 1)), N$10:N$135)</f>
        <v>61</v>
      </c>
      <c r="AP89" s="19" cm="1">
        <f t="array" ref="AP89">SUMPRODUCT(--(MID(AG$10:AG$135, SUMIF($Z$9:$Z$21, LEFT($AJ89,2), $Y$9:$Y$21), 1) = RIGHT($AJ89, 1)), O$10:O$135)</f>
        <v>54</v>
      </c>
    </row>
    <row r="90" spans="2:42">
      <c r="B90" s="34">
        <f t="shared" si="25"/>
        <v>80</v>
      </c>
      <c r="C90" s="30" t="s">
        <v>136</v>
      </c>
      <c r="D90" s="30"/>
      <c r="E90" s="30"/>
      <c r="F90" s="30"/>
      <c r="G90" s="30"/>
      <c r="H90" s="35"/>
      <c r="J90" s="34">
        <f t="shared" si="21"/>
        <v>1</v>
      </c>
      <c r="K90" s="30" t="str">
        <f t="shared" si="21"/>
        <v/>
      </c>
      <c r="L90" s="30" t="str">
        <f t="shared" si="21"/>
        <v/>
      </c>
      <c r="M90" s="30" t="str">
        <f t="shared" si="21"/>
        <v/>
      </c>
      <c r="N90" s="30" t="str">
        <f t="shared" si="21"/>
        <v/>
      </c>
      <c r="O90" s="35" t="str">
        <f t="shared" si="21"/>
        <v/>
      </c>
      <c r="AB90" s="40" t="str">
        <f t="shared" si="23"/>
        <v>0000100100000</v>
      </c>
      <c r="AC90" s="15" t="str">
        <f t="shared" si="23"/>
        <v/>
      </c>
      <c r="AD90" s="15" t="str">
        <f t="shared" si="23"/>
        <v/>
      </c>
      <c r="AE90" s="15" t="str">
        <f t="shared" si="23"/>
        <v/>
      </c>
      <c r="AF90" s="15" t="str">
        <f t="shared" si="23"/>
        <v/>
      </c>
      <c r="AG90" s="41" t="str">
        <f t="shared" si="23"/>
        <v/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/>
      <c r="E91" s="30"/>
      <c r="F91" s="30"/>
      <c r="G91" s="30"/>
      <c r="H91" s="35"/>
      <c r="J91" s="34" t="str">
        <f t="shared" si="21"/>
        <v/>
      </c>
      <c r="K91" s="30" t="str">
        <f t="shared" si="21"/>
        <v/>
      </c>
      <c r="L91" s="30" t="str">
        <f t="shared" si="21"/>
        <v/>
      </c>
      <c r="M91" s="30" t="str">
        <f t="shared" si="21"/>
        <v/>
      </c>
      <c r="N91" s="30" t="str">
        <f t="shared" si="21"/>
        <v/>
      </c>
      <c r="O91" s="35" t="str">
        <f t="shared" si="21"/>
        <v/>
      </c>
      <c r="AB91" s="40" t="str">
        <f t="shared" si="23"/>
        <v/>
      </c>
      <c r="AC91" s="15" t="str">
        <f t="shared" si="23"/>
        <v/>
      </c>
      <c r="AD91" s="15" t="str">
        <f t="shared" si="23"/>
        <v/>
      </c>
      <c r="AE91" s="15" t="str">
        <f t="shared" si="23"/>
        <v/>
      </c>
      <c r="AF91" s="15" t="str">
        <f t="shared" si="23"/>
        <v/>
      </c>
      <c r="AG91" s="41" t="str">
        <f t="shared" si="23"/>
        <v/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/>
      <c r="E92" s="30"/>
      <c r="F92" s="30"/>
      <c r="G92" s="30"/>
      <c r="H92" s="35"/>
      <c r="J92" s="34" t="str">
        <f t="shared" si="21"/>
        <v/>
      </c>
      <c r="K92" s="30" t="str">
        <f t="shared" si="21"/>
        <v/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5" t="str">
        <f t="shared" si="21"/>
        <v/>
      </c>
      <c r="AB92" s="40" t="str">
        <f t="shared" si="23"/>
        <v/>
      </c>
      <c r="AC92" s="15" t="str">
        <f t="shared" si="23"/>
        <v/>
      </c>
      <c r="AD92" s="15" t="str">
        <f t="shared" si="23"/>
        <v/>
      </c>
      <c r="AE92" s="15" t="str">
        <f t="shared" si="23"/>
        <v/>
      </c>
      <c r="AF92" s="15" t="str">
        <f t="shared" si="23"/>
        <v/>
      </c>
      <c r="AG92" s="41" t="str">
        <f t="shared" si="23"/>
        <v/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/>
      <c r="E93" s="30"/>
      <c r="F93" s="30"/>
      <c r="G93" s="30"/>
      <c r="H93" s="35"/>
      <c r="J93" s="34" t="str">
        <f t="shared" si="21"/>
        <v/>
      </c>
      <c r="K93" s="30" t="str">
        <f t="shared" si="21"/>
        <v/>
      </c>
      <c r="L93" s="30" t="str">
        <f t="shared" si="21"/>
        <v/>
      </c>
      <c r="M93" s="30" t="str">
        <f t="shared" si="21"/>
        <v/>
      </c>
      <c r="N93" s="30" t="str">
        <f t="shared" si="21"/>
        <v/>
      </c>
      <c r="O93" s="35" t="str">
        <f t="shared" si="21"/>
        <v/>
      </c>
      <c r="AB93" s="40" t="str">
        <f t="shared" si="23"/>
        <v/>
      </c>
      <c r="AC93" s="15" t="str">
        <f t="shared" si="23"/>
        <v/>
      </c>
      <c r="AD93" s="15" t="str">
        <f t="shared" si="23"/>
        <v/>
      </c>
      <c r="AE93" s="15" t="str">
        <f t="shared" si="23"/>
        <v/>
      </c>
      <c r="AF93" s="15" t="str">
        <f t="shared" si="23"/>
        <v/>
      </c>
      <c r="AG93" s="41" t="str">
        <f t="shared" si="23"/>
        <v/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/>
      <c r="E94" s="30"/>
      <c r="F94" s="30"/>
      <c r="G94" s="30"/>
      <c r="H94" s="35"/>
      <c r="J94" s="34" t="str">
        <f t="shared" si="21"/>
        <v/>
      </c>
      <c r="K94" s="30" t="str">
        <f t="shared" si="21"/>
        <v/>
      </c>
      <c r="L94" s="30" t="str">
        <f t="shared" si="21"/>
        <v/>
      </c>
      <c r="M94" s="30" t="str">
        <f t="shared" si="21"/>
        <v/>
      </c>
      <c r="N94" s="30" t="str">
        <f t="shared" si="21"/>
        <v/>
      </c>
      <c r="O94" s="35" t="str">
        <f t="shared" si="21"/>
        <v/>
      </c>
      <c r="AB94" s="40" t="str">
        <f t="shared" si="23"/>
        <v/>
      </c>
      <c r="AC94" s="15" t="str">
        <f t="shared" si="23"/>
        <v/>
      </c>
      <c r="AD94" s="15" t="str">
        <f t="shared" si="23"/>
        <v/>
      </c>
      <c r="AE94" s="15" t="str">
        <f t="shared" si="23"/>
        <v/>
      </c>
      <c r="AF94" s="15" t="str">
        <f t="shared" si="23"/>
        <v/>
      </c>
      <c r="AG94" s="41" t="str">
        <f t="shared" si="23"/>
        <v/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/>
      <c r="E95" s="30"/>
      <c r="F95" s="30"/>
      <c r="G95" s="30"/>
      <c r="H95" s="35"/>
      <c r="J95" s="34" t="str">
        <f t="shared" si="21"/>
        <v/>
      </c>
      <c r="K95" s="30" t="str">
        <f t="shared" si="21"/>
        <v/>
      </c>
      <c r="L95" s="30" t="str">
        <f t="shared" si="21"/>
        <v/>
      </c>
      <c r="M95" s="30" t="str">
        <f t="shared" si="21"/>
        <v/>
      </c>
      <c r="N95" s="30" t="str">
        <f t="shared" si="21"/>
        <v/>
      </c>
      <c r="O95" s="35" t="str">
        <f t="shared" si="21"/>
        <v/>
      </c>
      <c r="AB95" s="40" t="str">
        <f t="shared" si="23"/>
        <v/>
      </c>
      <c r="AC95" s="15" t="str">
        <f t="shared" si="23"/>
        <v/>
      </c>
      <c r="AD95" s="15" t="str">
        <f t="shared" si="23"/>
        <v/>
      </c>
      <c r="AE95" s="15" t="str">
        <f t="shared" si="23"/>
        <v/>
      </c>
      <c r="AF95" s="15" t="str">
        <f t="shared" si="23"/>
        <v/>
      </c>
      <c r="AG95" s="41" t="str">
        <f t="shared" si="23"/>
        <v/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0</v>
      </c>
      <c r="AL95" s="39" cm="1">
        <f t="array" ref="AL95">SUMPRODUCT(--(MID(AC$10:AC$135, SUMIF($Z$9:$Z$21, LEFT($AJ95,2), $Y$9:$Y$21), 1) = RIGHT($AJ95, 1)), K$10:K$135)</f>
        <v>0</v>
      </c>
      <c r="AM95" s="39" cm="1">
        <f t="array" ref="AM95">SUMPRODUCT(--(MID(AD$10:AD$135, SUMIF($Z$9:$Z$21, LEFT($AJ95,2), $Y$9:$Y$21), 1) = RIGHT($AJ95, 1)), L$10:L$135)</f>
        <v>0</v>
      </c>
      <c r="AN95" s="39" cm="1">
        <f t="array" ref="AN95">SUMPRODUCT(--(MID(AE$10:AE$135, SUMIF($Z$9:$Z$21, LEFT($AJ95,2), $Y$9:$Y$21), 1) = RIGHT($AJ95, 1)), M$10:M$135)</f>
        <v>1</v>
      </c>
      <c r="AO95" s="39" cm="1">
        <f t="array" ref="AO95">SUMPRODUCT(--(MID(AF$10:AF$135, SUMIF($Z$9:$Z$21, LEFT($AJ95,2), $Y$9:$Y$21), 1) = RIGHT($AJ95, 1)), N$10:N$135)</f>
        <v>3</v>
      </c>
      <c r="AP95" s="19" cm="1">
        <f t="array" ref="AP95">SUMPRODUCT(--(MID(AG$10:AG$135, SUMIF($Z$9:$Z$21, LEFT($AJ95,2), $Y$9:$Y$21), 1) = RIGHT($AJ95, 1)), O$10:O$135)</f>
        <v>0</v>
      </c>
    </row>
    <row r="96" spans="2:42">
      <c r="B96" s="34">
        <f t="shared" si="25"/>
        <v>86</v>
      </c>
      <c r="C96" s="30"/>
      <c r="D96" s="30"/>
      <c r="E96" s="30"/>
      <c r="F96" s="30"/>
      <c r="G96" s="30"/>
      <c r="H96" s="35"/>
      <c r="J96" s="34" t="str">
        <f t="shared" si="21"/>
        <v/>
      </c>
      <c r="K96" s="30" t="str">
        <f t="shared" si="21"/>
        <v/>
      </c>
      <c r="L96" s="30" t="str">
        <f t="shared" si="21"/>
        <v/>
      </c>
      <c r="M96" s="30" t="str">
        <f t="shared" si="21"/>
        <v/>
      </c>
      <c r="N96" s="30" t="str">
        <f t="shared" si="21"/>
        <v/>
      </c>
      <c r="O96" s="35" t="str">
        <f t="shared" si="21"/>
        <v/>
      </c>
      <c r="AB96" s="40" t="str">
        <f t="shared" si="23"/>
        <v/>
      </c>
      <c r="AC96" s="15" t="str">
        <f t="shared" si="23"/>
        <v/>
      </c>
      <c r="AD96" s="15" t="str">
        <f t="shared" si="23"/>
        <v/>
      </c>
      <c r="AE96" s="15" t="str">
        <f t="shared" si="23"/>
        <v/>
      </c>
      <c r="AF96" s="15" t="str">
        <f t="shared" si="23"/>
        <v/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8</v>
      </c>
      <c r="AL96" s="39" cm="1">
        <f t="array" ref="AL96">SUMPRODUCT(--(MID(AC$10:AC$135, SUMIF($Z$9:$Z$21, LEFT($AJ96,2), $Y$9:$Y$21), 1) = RIGHT($AJ96, 1)), K$10:K$135)</f>
        <v>16</v>
      </c>
      <c r="AM96" s="39" cm="1">
        <f t="array" ref="AM96">SUMPRODUCT(--(MID(AD$10:AD$135, SUMIF($Z$9:$Z$21, LEFT($AJ96,2), $Y$9:$Y$21), 1) = RIGHT($AJ96, 1)), L$10:L$135)</f>
        <v>10</v>
      </c>
      <c r="AN96" s="39" cm="1">
        <f t="array" ref="AN96">SUMPRODUCT(--(MID(AE$10:AE$135, SUMIF($Z$9:$Z$21, LEFT($AJ96,2), $Y$9:$Y$21), 1) = RIGHT($AJ96, 1)), M$10:M$135)</f>
        <v>14</v>
      </c>
      <c r="AO96" s="39" cm="1">
        <f t="array" ref="AO96">SUMPRODUCT(--(MID(AF$10:AF$135, SUMIF($Z$9:$Z$21, LEFT($AJ96,2), $Y$9:$Y$21), 1) = RIGHT($AJ96, 1)), N$10:N$135)</f>
        <v>28</v>
      </c>
      <c r="AP96" s="19" cm="1">
        <f t="array" ref="AP96">SUMPRODUCT(--(MID(AG$10:AG$135, SUMIF($Z$9:$Z$21, LEFT($AJ96,2), $Y$9:$Y$21), 1) = RIGHT($AJ96, 1)), O$10:O$135)</f>
        <v>10</v>
      </c>
    </row>
    <row r="97" spans="2:44">
      <c r="B97" s="34">
        <f t="shared" si="25"/>
        <v>87</v>
      </c>
      <c r="C97" s="30"/>
      <c r="D97" s="30"/>
      <c r="E97" s="30"/>
      <c r="F97" s="30"/>
      <c r="G97" s="30"/>
      <c r="H97" s="35"/>
      <c r="J97" s="34" t="str">
        <f t="shared" si="21"/>
        <v/>
      </c>
      <c r="K97" s="30" t="str">
        <f t="shared" si="21"/>
        <v/>
      </c>
      <c r="L97" s="30" t="str">
        <f t="shared" si="21"/>
        <v/>
      </c>
      <c r="M97" s="30" t="str">
        <f t="shared" si="21"/>
        <v/>
      </c>
      <c r="N97" s="30" t="str">
        <f t="shared" si="21"/>
        <v/>
      </c>
      <c r="O97" s="35" t="str">
        <f t="shared" si="21"/>
        <v/>
      </c>
      <c r="AB97" s="40" t="str">
        <f t="shared" si="23"/>
        <v/>
      </c>
      <c r="AC97" s="15" t="str">
        <f t="shared" si="23"/>
        <v/>
      </c>
      <c r="AD97" s="15" t="str">
        <f t="shared" si="23"/>
        <v/>
      </c>
      <c r="AE97" s="15" t="str">
        <f t="shared" si="23"/>
        <v/>
      </c>
      <c r="AF97" s="15" t="str">
        <f t="shared" si="23"/>
        <v/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73</v>
      </c>
      <c r="AL97" s="39" cm="1">
        <f t="array" ref="AL97">SUMPRODUCT(--(MID(AC$10:AC$135, SUMIF($Z$9:$Z$21, LEFT($AJ97,2), $Y$9:$Y$21), 1) = RIGHT($AJ97, 1)), K$10:K$135)</f>
        <v>41</v>
      </c>
      <c r="AM97" s="39" cm="1">
        <f t="array" ref="AM97">SUMPRODUCT(--(MID(AD$10:AD$135, SUMIF($Z$9:$Z$21, LEFT($AJ97,2), $Y$9:$Y$21), 1) = RIGHT($AJ97, 1)), L$10:L$135)</f>
        <v>70</v>
      </c>
      <c r="AN97" s="39" cm="1">
        <f t="array" ref="AN97">SUMPRODUCT(--(MID(AE$10:AE$135, SUMIF($Z$9:$Z$21, LEFT($AJ97,2), $Y$9:$Y$21), 1) = RIGHT($AJ97, 1)), M$10:M$135)</f>
        <v>23</v>
      </c>
      <c r="AO97" s="39" cm="1">
        <f t="array" ref="AO97">SUMPRODUCT(--(MID(AF$10:AF$135, SUMIF($Z$9:$Z$21, LEFT($AJ97,2), $Y$9:$Y$21), 1) = RIGHT($AJ97, 1)), N$10:N$135)</f>
        <v>42</v>
      </c>
      <c r="AP97" s="19" cm="1">
        <f t="array" ref="AP97">SUMPRODUCT(--(MID(AG$10:AG$135, SUMIF($Z$9:$Z$21, LEFT($AJ97,2), $Y$9:$Y$21), 1) = RIGHT($AJ97, 1)), O$10:O$135)</f>
        <v>60</v>
      </c>
    </row>
    <row r="98" spans="2:44">
      <c r="B98" s="34">
        <f t="shared" si="25"/>
        <v>88</v>
      </c>
      <c r="C98" s="30"/>
      <c r="D98" s="30"/>
      <c r="E98" s="30"/>
      <c r="F98" s="30"/>
      <c r="G98" s="30"/>
      <c r="H98" s="35"/>
      <c r="J98" s="34" t="str">
        <f t="shared" si="21"/>
        <v/>
      </c>
      <c r="K98" s="30" t="str">
        <f t="shared" si="21"/>
        <v/>
      </c>
      <c r="L98" s="30" t="str">
        <f t="shared" si="21"/>
        <v/>
      </c>
      <c r="M98" s="30" t="str">
        <f t="shared" si="21"/>
        <v/>
      </c>
      <c r="N98" s="30" t="str">
        <f t="shared" si="21"/>
        <v/>
      </c>
      <c r="O98" s="35" t="str">
        <f t="shared" si="21"/>
        <v/>
      </c>
      <c r="AB98" s="40" t="str">
        <f t="shared" si="23"/>
        <v/>
      </c>
      <c r="AC98" s="15" t="str">
        <f t="shared" si="23"/>
        <v/>
      </c>
      <c r="AD98" s="15" t="str">
        <f t="shared" si="23"/>
        <v/>
      </c>
      <c r="AE98" s="15" t="str">
        <f t="shared" si="23"/>
        <v/>
      </c>
      <c r="AF98" s="15" t="str">
        <f t="shared" si="23"/>
        <v/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/>
      <c r="F99" s="30"/>
      <c r="G99" s="30"/>
      <c r="H99" s="35"/>
      <c r="J99" s="34" t="str">
        <f t="shared" si="21"/>
        <v/>
      </c>
      <c r="K99" s="30" t="str">
        <f t="shared" si="21"/>
        <v/>
      </c>
      <c r="L99" s="30" t="str">
        <f t="shared" si="21"/>
        <v/>
      </c>
      <c r="M99" s="30" t="str">
        <f t="shared" si="21"/>
        <v/>
      </c>
      <c r="N99" s="30" t="str">
        <f t="shared" si="21"/>
        <v/>
      </c>
      <c r="O99" s="35" t="str">
        <f t="shared" si="21"/>
        <v/>
      </c>
      <c r="AB99" s="40" t="str">
        <f t="shared" si="23"/>
        <v/>
      </c>
      <c r="AC99" s="15" t="str">
        <f t="shared" si="23"/>
        <v/>
      </c>
      <c r="AD99" s="15" t="str">
        <f t="shared" si="23"/>
        <v/>
      </c>
      <c r="AE99" s="15" t="str">
        <f t="shared" si="23"/>
        <v/>
      </c>
      <c r="AF99" s="15" t="str">
        <f t="shared" si="23"/>
        <v/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/>
      <c r="H100" s="35"/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 t="str">
        <f t="shared" si="21"/>
        <v/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/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/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/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/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/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81</v>
      </c>
      <c r="AL105" s="39" cm="1">
        <f t="array" ref="AL105">SUMPRODUCT(--(MID(AC$10:AC$135, SUMIF($Z$9:$Z$21, LEFT($AJ105,2), $Y$9:$Y$21), 1) = RIGHT($AJ105, 1)), K$10:K$135)</f>
        <v>57</v>
      </c>
      <c r="AM105" s="39" cm="1">
        <f t="array" ref="AM105">SUMPRODUCT(--(MID(AD$10:AD$135, SUMIF($Z$9:$Z$21, LEFT($AJ105,2), $Y$9:$Y$21), 1) = RIGHT($AJ105, 1)), L$10:L$135)</f>
        <v>80</v>
      </c>
      <c r="AN105" s="39" cm="1">
        <f t="array" ref="AN105">SUMPRODUCT(--(MID(AE$10:AE$135, SUMIF($Z$9:$Z$21, LEFT($AJ105,2), $Y$9:$Y$21), 1) = RIGHT($AJ105, 1)), M$10:M$135)</f>
        <v>38</v>
      </c>
      <c r="AO105" s="39" cm="1">
        <f t="array" ref="AO105">SUMPRODUCT(--(MID(AF$10:AF$135, SUMIF($Z$9:$Z$21, LEFT($AJ105,2), $Y$9:$Y$21), 1) = RIGHT($AJ105, 1)), N$10:N$135)</f>
        <v>73</v>
      </c>
      <c r="AP105" s="19" cm="1">
        <f t="array" ref="AP105">SUMPRODUCT(--(MID(AG$10:AG$135, SUMIF($Z$9:$Z$21, LEFT($AJ105,2), $Y$9:$Y$21), 1) = RIGHT($AJ105, 1)), O$10:O$135)</f>
        <v>70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/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14</v>
      </c>
      <c r="AM112" s="39" cm="1">
        <f t="array" ref="AM112">SUMPRODUCT(--(MID(AD$10:AD$135, SUMIF($Z$9:$Z$21, LEFT($AJ112,2), $Y$9:$Y$21), 1) = RIGHT($AJ112, 1)), L$10:L$135)</f>
        <v>2</v>
      </c>
      <c r="AN112" s="39" cm="1">
        <f t="array" ref="AN112">SUMPRODUCT(--(MID(AE$10:AE$135, SUMIF($Z$9:$Z$21, LEFT($AJ112,2), $Y$9:$Y$21), 1) = RIGHT($AJ112, 1)), M$10:M$135)</f>
        <v>10</v>
      </c>
      <c r="AO112" s="39" cm="1">
        <f t="array" ref="AO112">SUMPRODUCT(--(MID(AF$10:AF$135, SUMIF($Z$9:$Z$21, LEFT($AJ112,2), $Y$9:$Y$21), 1) = RIGHT($AJ112, 1)), N$10:N$135)</f>
        <v>10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81</v>
      </c>
      <c r="AL113" s="17" cm="1">
        <f t="array" ref="AL113">SUMPRODUCT(--(MID(AC$10:AC$135, SUMIF($Z$9:$Z$21, LEFT($AJ113,2), $Y$9:$Y$21), 1) = RIGHT($AJ113, 1)), K$10:K$135)</f>
        <v>43</v>
      </c>
      <c r="AM113" s="17" cm="1">
        <f t="array" ref="AM113">SUMPRODUCT(--(MID(AD$10:AD$135, SUMIF($Z$9:$Z$21, LEFT($AJ113,2), $Y$9:$Y$21), 1) = RIGHT($AJ113, 1)), L$10:L$135)</f>
        <v>78</v>
      </c>
      <c r="AN113" s="17" cm="1">
        <f t="array" ref="AN113">SUMPRODUCT(--(MID(AE$10:AE$135, SUMIF($Z$9:$Z$21, LEFT($AJ113,2), $Y$9:$Y$21), 1) = RIGHT($AJ113, 1)), M$10:M$135)</f>
        <v>28</v>
      </c>
      <c r="AO113" s="17" cm="1">
        <f t="array" ref="AO113">SUMPRODUCT(--(MID(AF$10:AF$135, SUMIF($Z$9:$Z$21, LEFT($AJ113,2), $Y$9:$Y$21), 1) = RIGHT($AJ113, 1)), N$10:N$135)</f>
        <v>63</v>
      </c>
      <c r="AP113" s="16" cm="1">
        <f t="array" ref="AP113">SUMPRODUCT(--(MID(AG$10:AG$135, SUMIF($Z$9:$Z$21, LEFT($AJ113,2), $Y$9:$Y$21), 1) = RIGHT($AJ113, 1)), O$10:O$135)</f>
        <v>70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31" priority="1" operator="equal">
      <formula>"WC"</formula>
    </cfRule>
    <cfRule type="cellIs" dxfId="30" priority="2" operator="equal">
      <formula>"FG"</formula>
    </cfRule>
  </conditionalFormatting>
  <conditionalFormatting sqref="J3:O3">
    <cfRule type="cellIs" dxfId="29" priority="3" operator="equal">
      <formula>$E$24</formula>
    </cfRule>
    <cfRule type="cellIs" dxfId="28" priority="4" operator="equal">
      <formula>$C$20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ADDC-5BC4-43A6-9AF6-DEB28C257C0B}">
  <dimension ref="B2:BL135"/>
  <sheetViews>
    <sheetView zoomScale="91" zoomScaleNormal="84" workbookViewId="0">
      <selection activeCell="H10" sqref="H10:H106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KK</v>
      </c>
      <c r="D4" s="32" t="str">
        <f t="shared" si="1"/>
        <v>WC</v>
      </c>
      <c r="E4" s="32" t="str">
        <f t="shared" si="1"/>
        <v>WC</v>
      </c>
      <c r="F4" s="32" t="str">
        <f t="shared" si="1"/>
        <v>AA</v>
      </c>
      <c r="G4" s="32" t="str">
        <f t="shared" si="1"/>
        <v>AA</v>
      </c>
      <c r="H4" s="33" t="str">
        <f t="shared" si="1"/>
        <v>KK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JJ</v>
      </c>
      <c r="D5" s="30" t="str">
        <f t="shared" si="1"/>
        <v>GG</v>
      </c>
      <c r="E5" s="30" t="str">
        <f t="shared" si="1"/>
        <v>GG</v>
      </c>
      <c r="F5" s="30" t="str">
        <f t="shared" si="1"/>
        <v>JJ</v>
      </c>
      <c r="G5" s="30" t="str">
        <f t="shared" si="1"/>
        <v>BB</v>
      </c>
      <c r="H5" s="35" t="str">
        <f t="shared" si="1"/>
        <v>LL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LL</v>
      </c>
      <c r="D6" s="30" t="str">
        <f t="shared" si="1"/>
        <v>CC</v>
      </c>
      <c r="E6" s="30" t="str">
        <f t="shared" si="1"/>
        <v>CC</v>
      </c>
      <c r="F6" s="30" t="str">
        <f t="shared" si="1"/>
        <v>KK</v>
      </c>
      <c r="G6" s="30" t="str">
        <f t="shared" si="1"/>
        <v>HH</v>
      </c>
      <c r="H6" s="35" t="str">
        <f t="shared" si="1"/>
        <v>KK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GG</v>
      </c>
      <c r="D7" s="30" t="str">
        <f t="shared" si="1"/>
        <v>JJ</v>
      </c>
      <c r="E7" s="30" t="str">
        <f t="shared" si="1"/>
        <v>EE</v>
      </c>
      <c r="F7" s="30" t="str">
        <f t="shared" si="1"/>
        <v>FF</v>
      </c>
      <c r="G7" s="30" t="str">
        <f t="shared" si="1"/>
        <v>KK</v>
      </c>
      <c r="H7" s="35" t="str">
        <f t="shared" si="1"/>
        <v>LL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JJ</v>
      </c>
      <c r="D8" s="30" t="str">
        <f t="shared" si="1"/>
        <v>FF</v>
      </c>
      <c r="E8" s="30" t="str">
        <f t="shared" si="1"/>
        <v>LL</v>
      </c>
      <c r="F8" s="30" t="str">
        <f t="shared" si="1"/>
        <v>AA</v>
      </c>
      <c r="G8" s="30" t="str">
        <f t="shared" si="1"/>
        <v>FF</v>
      </c>
      <c r="H8" s="35" t="str">
        <f t="shared" si="1"/>
        <v>KK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CC</v>
      </c>
      <c r="D9" s="37" t="str">
        <f t="shared" si="1"/>
        <v>AA</v>
      </c>
      <c r="E9" s="37" t="str">
        <f t="shared" si="1"/>
        <v>BB</v>
      </c>
      <c r="F9" s="37" t="str">
        <f t="shared" si="1"/>
        <v>GG</v>
      </c>
      <c r="G9" s="37" t="str">
        <f t="shared" si="1"/>
        <v>CC</v>
      </c>
      <c r="H9" s="38" t="str">
        <f t="shared" si="1"/>
        <v>DD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131</v>
      </c>
      <c r="D10" s="30" t="s">
        <v>132</v>
      </c>
      <c r="E10" s="30" t="s">
        <v>136</v>
      </c>
      <c r="F10" s="30" t="s">
        <v>127</v>
      </c>
      <c r="G10" s="30" t="s">
        <v>138</v>
      </c>
      <c r="H10" s="35" t="s">
        <v>127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3</v>
      </c>
      <c r="T10" s="30">
        <f t="shared" si="5"/>
        <v>2</v>
      </c>
      <c r="U10" s="30">
        <f t="shared" si="5"/>
        <v>2</v>
      </c>
      <c r="V10" s="30">
        <f t="shared" si="5"/>
        <v>1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0101000000000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0100000000100</v>
      </c>
      <c r="AD10" s="15" t="str">
        <f t="shared" si="7"/>
        <v>0010100000000</v>
      </c>
      <c r="AE10" s="15" t="str">
        <f t="shared" si="7"/>
        <v>0010000100000</v>
      </c>
      <c r="AF10" s="15" t="str">
        <f t="shared" si="7"/>
        <v>0001000000010</v>
      </c>
      <c r="AG10" s="41" t="str">
        <f t="shared" si="7"/>
        <v>0010100000000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6</v>
      </c>
      <c r="AU10" s="30" cm="1">
        <f t="array" ref="AU10">SUMPRODUCT($AI$10:$AI$113,AM$10:AM$113,IF(LEFT($AJ$10:$AJ$113,2)=$AR10,1,0))</f>
        <v>4</v>
      </c>
      <c r="AV10" s="30" cm="1">
        <f t="array" ref="AV10">SUMPRODUCT($AI$10:$AI$113,AN$10:AN$113,IF(LEFT($AJ$10:$AJ$113,2)=$AR10,1,0))</f>
        <v>4</v>
      </c>
      <c r="AW10" s="30" cm="1">
        <f t="array" ref="AW10">SUMPRODUCT($AI$10:$AI$113,AO$10:AO$113,IF(LEFT($AJ$10:$AJ$113,2)=$AR10,1,0))</f>
        <v>2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136</v>
      </c>
      <c r="D11" s="30" t="s">
        <v>132</v>
      </c>
      <c r="E11" s="30" t="s">
        <v>126</v>
      </c>
      <c r="F11" s="30" t="s">
        <v>127</v>
      </c>
      <c r="G11" s="30" t="s">
        <v>126</v>
      </c>
      <c r="H11" s="35" t="s">
        <v>133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4</v>
      </c>
      <c r="S11" s="30">
        <f t="shared" si="5"/>
        <v>6</v>
      </c>
      <c r="T11" s="30">
        <f t="shared" si="5"/>
        <v>12</v>
      </c>
      <c r="U11" s="30">
        <f t="shared" si="5"/>
        <v>6</v>
      </c>
      <c r="V11" s="30">
        <f t="shared" si="5"/>
        <v>5</v>
      </c>
      <c r="W11" s="35">
        <f t="shared" si="5"/>
        <v>4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0100100000000</v>
      </c>
      <c r="AC11" s="15" t="str">
        <f t="shared" si="7"/>
        <v>0000000000200</v>
      </c>
      <c r="AD11" s="15" t="str">
        <f t="shared" si="7"/>
        <v>1111211111110</v>
      </c>
      <c r="AE11" s="15" t="str">
        <f t="shared" si="7"/>
        <v>0020000000000</v>
      </c>
      <c r="AF11" s="15" t="str">
        <f t="shared" si="7"/>
        <v>1111111111120</v>
      </c>
      <c r="AG11" s="41" t="str">
        <f t="shared" si="7"/>
        <v>0010000100000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8</v>
      </c>
      <c r="AT11" s="30" cm="1">
        <f t="array" ref="AT11">SUMPRODUCT($AI$10:$AI$113,AL$10:AL$113,IF(LEFT($AJ$10:$AJ$113,2)=$AR11,1,0))</f>
        <v>18</v>
      </c>
      <c r="AU11" s="30" cm="1">
        <f t="array" ref="AU11">SUMPRODUCT($AI$10:$AI$113,AM$10:AM$113,IF(LEFT($AJ$10:$AJ$113,2)=$AR11,1,0))</f>
        <v>28</v>
      </c>
      <c r="AV11" s="30" cm="1">
        <f t="array" ref="AV11">SUMPRODUCT($AI$10:$AI$113,AN$10:AN$113,IF(LEFT($AJ$10:$AJ$113,2)=$AR11,1,0))</f>
        <v>16</v>
      </c>
      <c r="AW11" s="30" cm="1">
        <f t="array" ref="AW11">SUMPRODUCT($AI$10:$AI$113,AO$10:AO$113,IF(LEFT($AJ$10:$AJ$113,2)=$AR11,1,0))</f>
        <v>12</v>
      </c>
      <c r="AX11" s="35" cm="1">
        <f t="array" ref="AX11">SUMPRODUCT($AI$10:$AI$113,AP$10:AP$113,IF(LEFT($AJ$10:$AJ$113,2)=$AR11,1,0))</f>
        <v>8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136</v>
      </c>
      <c r="D12" s="30" t="s">
        <v>132</v>
      </c>
      <c r="E12" s="30" t="s">
        <v>131</v>
      </c>
      <c r="F12" s="30" t="s">
        <v>127</v>
      </c>
      <c r="G12" s="30" t="s">
        <v>134</v>
      </c>
      <c r="H12" s="35" t="s">
        <v>133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4</v>
      </c>
      <c r="S12" s="30">
        <f t="shared" si="5"/>
        <v>5</v>
      </c>
      <c r="T12" s="30">
        <f t="shared" si="5"/>
        <v>12</v>
      </c>
      <c r="U12" s="30">
        <f t="shared" si="5"/>
        <v>4</v>
      </c>
      <c r="V12" s="30">
        <f t="shared" si="5"/>
        <v>5</v>
      </c>
      <c r="W12" s="35">
        <f t="shared" si="5"/>
        <v>4</v>
      </c>
      <c r="Y12" s="20">
        <f t="shared" si="6"/>
        <v>4</v>
      </c>
      <c r="Z12" s="23" t="s">
        <v>134</v>
      </c>
      <c r="AB12" s="40" t="str">
        <f t="shared" si="11"/>
        <v>0000200000000</v>
      </c>
      <c r="AC12" s="15" t="str">
        <f t="shared" si="7"/>
        <v>0000000000200</v>
      </c>
      <c r="AD12" s="15" t="str">
        <f t="shared" si="7"/>
        <v>1211111111110</v>
      </c>
      <c r="AE12" s="15" t="str">
        <f t="shared" si="7"/>
        <v>0020000000000</v>
      </c>
      <c r="AF12" s="15" t="str">
        <f t="shared" si="7"/>
        <v>1112111111110</v>
      </c>
      <c r="AG12" s="41" t="str">
        <f t="shared" si="7"/>
        <v>0000000200000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8</v>
      </c>
      <c r="AT12" s="30" cm="1">
        <f t="array" ref="AT12">SUMPRODUCT($AI$10:$AI$113,AL$10:AL$113,IF(LEFT($AJ$10:$AJ$113,2)=$AR12,1,0))</f>
        <v>16</v>
      </c>
      <c r="AU12" s="30" cm="1">
        <f t="array" ref="AU12">SUMPRODUCT($AI$10:$AI$113,AM$10:AM$113,IF(LEFT($AJ$10:$AJ$113,2)=$AR12,1,0))</f>
        <v>28</v>
      </c>
      <c r="AV12" s="30" cm="1">
        <f t="array" ref="AV12">SUMPRODUCT($AI$10:$AI$113,AN$10:AN$113,IF(LEFT($AJ$10:$AJ$113,2)=$AR12,1,0))</f>
        <v>12</v>
      </c>
      <c r="AW12" s="30" cm="1">
        <f t="array" ref="AW12">SUMPRODUCT($AI$10:$AI$113,AO$10:AO$113,IF(LEFT($AJ$10:$AJ$113,2)=$AR12,1,0))</f>
        <v>12</v>
      </c>
      <c r="AX12" s="35" cm="1">
        <f t="array" ref="AX12">SUMPRODUCT($AI$10:$AI$113,AP$10:AP$113,IF(LEFT($AJ$10:$AJ$113,2)=$AR12,1,0))</f>
        <v>8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136</v>
      </c>
      <c r="D13" s="30" t="s">
        <v>131</v>
      </c>
      <c r="E13" s="30" t="s">
        <v>138</v>
      </c>
      <c r="F13" s="30" t="s">
        <v>134</v>
      </c>
      <c r="G13" s="30" t="s">
        <v>127</v>
      </c>
      <c r="H13" s="35" t="s">
        <v>133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5</v>
      </c>
      <c r="S13" s="30">
        <f t="shared" si="5"/>
        <v>11</v>
      </c>
      <c r="T13" s="30">
        <f t="shared" si="5"/>
        <v>11</v>
      </c>
      <c r="U13" s="30">
        <f t="shared" si="5"/>
        <v>4</v>
      </c>
      <c r="V13" s="30">
        <f t="shared" si="5"/>
        <v>5</v>
      </c>
      <c r="W13" s="35">
        <f t="shared" si="5"/>
        <v>19</v>
      </c>
      <c r="Y13" s="20">
        <f t="shared" si="6"/>
        <v>5</v>
      </c>
      <c r="Z13" s="23" t="s">
        <v>136</v>
      </c>
      <c r="AB13" s="40" t="str">
        <f t="shared" si="11"/>
        <v>0000200000000</v>
      </c>
      <c r="AC13" s="15" t="str">
        <f t="shared" si="7"/>
        <v>0100000000100</v>
      </c>
      <c r="AD13" s="15" t="str">
        <f t="shared" si="7"/>
        <v>0100000000010</v>
      </c>
      <c r="AE13" s="15" t="str">
        <f t="shared" si="7"/>
        <v>0011000000000</v>
      </c>
      <c r="AF13" s="15" t="str">
        <f t="shared" si="7"/>
        <v>0011000000000</v>
      </c>
      <c r="AG13" s="41" t="str">
        <f t="shared" si="7"/>
        <v>0000000200000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10</v>
      </c>
      <c r="AT13" s="30" cm="1">
        <f t="array" ref="AT13">SUMPRODUCT($AI$10:$AI$113,AL$10:AL$113,IF(LEFT($AJ$10:$AJ$113,2)=$AR13,1,0))</f>
        <v>28</v>
      </c>
      <c r="AU13" s="30" cm="1">
        <f t="array" ref="AU13">SUMPRODUCT($AI$10:$AI$113,AM$10:AM$113,IF(LEFT($AJ$10:$AJ$113,2)=$AR13,1,0))</f>
        <v>26</v>
      </c>
      <c r="AV13" s="30" cm="1">
        <f t="array" ref="AV13">SUMPRODUCT($AI$10:$AI$113,AN$10:AN$113,IF(LEFT($AJ$10:$AJ$113,2)=$AR13,1,0))</f>
        <v>12</v>
      </c>
      <c r="AW13" s="30" cm="1">
        <f t="array" ref="AW13">SUMPRODUCT($AI$10:$AI$113,AO$10:AO$113,IF(LEFT($AJ$10:$AJ$113,2)=$AR13,1,0))</f>
        <v>12</v>
      </c>
      <c r="AX13" s="35" cm="1">
        <f t="array" ref="AX13">SUMPRODUCT($AI$10:$AI$113,AP$10:AP$113,IF(LEFT($AJ$10:$AJ$113,2)=$AR13,1,0))</f>
        <v>38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132</v>
      </c>
      <c r="D14" s="30" t="s">
        <v>134</v>
      </c>
      <c r="E14" s="30" t="s">
        <v>137</v>
      </c>
      <c r="F14" s="30" t="s">
        <v>128</v>
      </c>
      <c r="G14" s="30" t="s">
        <v>127</v>
      </c>
      <c r="H14" s="35" t="s">
        <v>130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4</v>
      </c>
      <c r="S14" s="30">
        <f t="shared" si="5"/>
        <v>2</v>
      </c>
      <c r="T14" s="30">
        <f t="shared" si="5"/>
        <v>1</v>
      </c>
      <c r="U14" s="30">
        <f t="shared" si="5"/>
        <v>2</v>
      </c>
      <c r="V14" s="30">
        <f t="shared" si="5"/>
        <v>1</v>
      </c>
      <c r="W14" s="35">
        <f t="shared" si="5"/>
        <v>8</v>
      </c>
      <c r="Y14" s="20">
        <f t="shared" si="6"/>
        <v>6</v>
      </c>
      <c r="Z14" s="23" t="s">
        <v>137</v>
      </c>
      <c r="AB14" s="40" t="str">
        <f t="shared" si="11"/>
        <v>0000100000100</v>
      </c>
      <c r="AC14" s="15" t="str">
        <f t="shared" si="7"/>
        <v>0101000000000</v>
      </c>
      <c r="AD14" s="15" t="str">
        <f t="shared" si="7"/>
        <v>0000010000010</v>
      </c>
      <c r="AE14" s="15" t="str">
        <f t="shared" si="7"/>
        <v>0001001000000</v>
      </c>
      <c r="AF14" s="15" t="str">
        <f t="shared" si="7"/>
        <v>0020000000000</v>
      </c>
      <c r="AG14" s="41" t="str">
        <f t="shared" si="7"/>
        <v>0000000110000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8</v>
      </c>
      <c r="AT14" s="30" cm="1">
        <f t="array" ref="AT14">SUMPRODUCT($AI$10:$AI$113,AL$10:AL$113,IF(LEFT($AJ$10:$AJ$113,2)=$AR14,1,0))</f>
        <v>10</v>
      </c>
      <c r="AU14" s="30" cm="1">
        <f t="array" ref="AU14">SUMPRODUCT($AI$10:$AI$113,AM$10:AM$113,IF(LEFT($AJ$10:$AJ$113,2)=$AR14,1,0))</f>
        <v>6</v>
      </c>
      <c r="AV14" s="30" cm="1">
        <f t="array" ref="AV14">SUMPRODUCT($AI$10:$AI$113,AN$10:AN$113,IF(LEFT($AJ$10:$AJ$113,2)=$AR14,1,0))</f>
        <v>8</v>
      </c>
      <c r="AW14" s="30" cm="1">
        <f t="array" ref="AW14">SUMPRODUCT($AI$10:$AI$113,AO$10:AO$113,IF(LEFT($AJ$10:$AJ$113,2)=$AR14,1,0))</f>
        <v>4</v>
      </c>
      <c r="AX14" s="35" cm="1">
        <f t="array" ref="AX14">SUMPRODUCT($AI$10:$AI$113,AP$10:AP$113,IF(LEFT($AJ$10:$AJ$113,2)=$AR14,1,0))</f>
        <v>16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138</v>
      </c>
      <c r="D15" s="30" t="s">
        <v>131</v>
      </c>
      <c r="E15" s="30" t="s">
        <v>129</v>
      </c>
      <c r="F15" s="30" t="s">
        <v>133</v>
      </c>
      <c r="G15" s="30" t="s">
        <v>127</v>
      </c>
      <c r="H15" s="35" t="s">
        <v>132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4</v>
      </c>
      <c r="T15" s="30">
        <f t="shared" si="5"/>
        <v>8</v>
      </c>
      <c r="U15" s="30">
        <f t="shared" si="5"/>
        <v>1</v>
      </c>
      <c r="V15" s="30">
        <f t="shared" si="5"/>
        <v>1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0000000000110</v>
      </c>
      <c r="AC15" s="15" t="str">
        <f t="shared" si="7"/>
        <v>0101000000000</v>
      </c>
      <c r="AD15" s="15" t="str">
        <f t="shared" si="7"/>
        <v>0000010001000</v>
      </c>
      <c r="AE15" s="15" t="str">
        <f t="shared" si="7"/>
        <v>0000001100000</v>
      </c>
      <c r="AF15" s="15" t="str">
        <f t="shared" si="7"/>
        <v>0020000000000</v>
      </c>
      <c r="AG15" s="41" t="str">
        <f t="shared" si="7"/>
        <v>0000000010100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2</v>
      </c>
      <c r="AM15" s="39" cm="1">
        <f t="array" ref="AM15">SUMPRODUCT(--(MID(AD$10:AD$135, SUMIF($Z$9:$Z$21, LEFT($AJ15,2), $Y$9:$Y$21), 1) = RIGHT($AJ15, 1)), L$10:L$135)</f>
        <v>3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14</v>
      </c>
      <c r="AU15" s="30" cm="1">
        <f t="array" ref="AU15">SUMPRODUCT($AI$10:$AI$113,AM$10:AM$113,IF(LEFT($AJ$10:$AJ$113,2)=$AR15,1,0))</f>
        <v>20</v>
      </c>
      <c r="AV15" s="30" cm="1">
        <f t="array" ref="AV15">SUMPRODUCT($AI$10:$AI$113,AN$10:AN$113,IF(LEFT($AJ$10:$AJ$113,2)=$AR15,1,0))</f>
        <v>6</v>
      </c>
      <c r="AW15" s="30" cm="1">
        <f t="array" ref="AW15">SUMPRODUCT($AI$10:$AI$113,AO$10:AO$113,IF(LEFT($AJ$10:$AJ$113,2)=$AR15,1,0))</f>
        <v>4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138</v>
      </c>
      <c r="D16" s="30" t="s">
        <v>131</v>
      </c>
      <c r="E16" s="30" t="s">
        <v>129</v>
      </c>
      <c r="F16" s="30" t="s">
        <v>133</v>
      </c>
      <c r="G16" s="30" t="s">
        <v>128</v>
      </c>
      <c r="H16" s="35" t="s">
        <v>132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4</v>
      </c>
      <c r="S16" s="30">
        <f t="shared" si="5"/>
        <v>6</v>
      </c>
      <c r="T16" s="30">
        <f t="shared" si="5"/>
        <v>8</v>
      </c>
      <c r="U16" s="30">
        <f t="shared" si="5"/>
        <v>7</v>
      </c>
      <c r="V16" s="30">
        <f t="shared" si="5"/>
        <v>6</v>
      </c>
      <c r="W16" s="35">
        <f t="shared" si="5"/>
        <v>14</v>
      </c>
      <c r="Y16" s="20">
        <f t="shared" si="6"/>
        <v>8</v>
      </c>
      <c r="Z16" s="23" t="s">
        <v>133</v>
      </c>
      <c r="AB16" s="40" t="str">
        <f t="shared" si="11"/>
        <v>0000000000020</v>
      </c>
      <c r="AC16" s="15" t="str">
        <f t="shared" si="7"/>
        <v>0200000000000</v>
      </c>
      <c r="AD16" s="15" t="str">
        <f t="shared" si="7"/>
        <v>0000000002000</v>
      </c>
      <c r="AE16" s="15" t="str">
        <f t="shared" si="7"/>
        <v>0000000200000</v>
      </c>
      <c r="AF16" s="15" t="str">
        <f t="shared" si="7"/>
        <v>0010001000000</v>
      </c>
      <c r="AG16" s="41" t="str">
        <f t="shared" si="7"/>
        <v>0000000000200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4</v>
      </c>
      <c r="AL16" s="39" cm="1">
        <f t="array" ref="AL16">SUMPRODUCT(--(MID(AC$10:AC$135, SUMIF($Z$9:$Z$21, LEFT($AJ16,2), $Y$9:$Y$21), 1) = RIGHT($AJ16, 1)), K$10:K$135)</f>
        <v>14</v>
      </c>
      <c r="AM16" s="39" cm="1">
        <f t="array" ref="AM16">SUMPRODUCT(--(MID(AD$10:AD$135, SUMIF($Z$9:$Z$21, LEFT($AJ16,2), $Y$9:$Y$21), 1) = RIGHT($AJ16, 1)), L$10:L$135)</f>
        <v>22</v>
      </c>
      <c r="AN16" s="39" cm="1">
        <f t="array" ref="AN16">SUMPRODUCT(--(MID(AE$10:AE$135, SUMIF($Z$9:$Z$21, LEFT($AJ16,2), $Y$9:$Y$21), 1) = RIGHT($AJ16, 1)), M$10:M$135)</f>
        <v>12</v>
      </c>
      <c r="AO16" s="39" cm="1">
        <f t="array" ref="AO16">SUMPRODUCT(--(MID(AF$10:AF$135, SUMIF($Z$9:$Z$21, LEFT($AJ16,2), $Y$9:$Y$21), 1) = RIGHT($AJ16, 1)), N$10:N$135)</f>
        <v>8</v>
      </c>
      <c r="AP16" s="19" cm="1">
        <f t="array" ref="AP16">SUMPRODUCT(--(MID(AG$10:AG$135, SUMIF($Z$9:$Z$21, LEFT($AJ16,2), $Y$9:$Y$21), 1) = RIGHT($AJ16, 1)), O$10:O$135)</f>
        <v>4</v>
      </c>
      <c r="AR16" s="34" t="str">
        <f t="shared" si="8"/>
        <v>FF</v>
      </c>
      <c r="AS16" s="30" cm="1">
        <f t="array" ref="AS16">SUMPRODUCT($AI$10:$AI$113,AK$10:AK$113,IF(LEFT($AJ$10:$AJ$113,2)=$AR16,1,0))</f>
        <v>8</v>
      </c>
      <c r="AT16" s="30" cm="1">
        <f t="array" ref="AT16">SUMPRODUCT($AI$10:$AI$113,AL$10:AL$113,IF(LEFT($AJ$10:$AJ$113,2)=$AR16,1,0))</f>
        <v>18</v>
      </c>
      <c r="AU16" s="30" cm="1">
        <f t="array" ref="AU16">SUMPRODUCT($AI$10:$AI$113,AM$10:AM$113,IF(LEFT($AJ$10:$AJ$113,2)=$AR16,1,0))</f>
        <v>20</v>
      </c>
      <c r="AV16" s="30" cm="1">
        <f t="array" ref="AV16">SUMPRODUCT($AI$10:$AI$113,AN$10:AN$113,IF(LEFT($AJ$10:$AJ$113,2)=$AR16,1,0))</f>
        <v>18</v>
      </c>
      <c r="AW16" s="30" cm="1">
        <f t="array" ref="AW16">SUMPRODUCT($AI$10:$AI$113,AO$10:AO$113,IF(LEFT($AJ$10:$AJ$113,2)=$AR16,1,0))</f>
        <v>14</v>
      </c>
      <c r="AX16" s="35" cm="1">
        <f t="array" ref="AX16">SUMPRODUCT($AI$10:$AI$113,AP$10:AP$113,IF(LEFT($AJ$10:$AJ$113,2)=$AR16,1,0))</f>
        <v>28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138</v>
      </c>
      <c r="D17" s="30" t="s">
        <v>131</v>
      </c>
      <c r="E17" s="30" t="s">
        <v>129</v>
      </c>
      <c r="F17" s="30" t="s">
        <v>133</v>
      </c>
      <c r="G17" s="30" t="s">
        <v>129</v>
      </c>
      <c r="H17" s="35" t="s">
        <v>132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5</v>
      </c>
      <c r="S17" s="30">
        <f t="shared" si="5"/>
        <v>5</v>
      </c>
      <c r="T17" s="30">
        <f t="shared" si="5"/>
        <v>9</v>
      </c>
      <c r="U17" s="30">
        <f t="shared" si="5"/>
        <v>5</v>
      </c>
      <c r="V17" s="30">
        <f t="shared" si="5"/>
        <v>5</v>
      </c>
      <c r="W17" s="35">
        <f t="shared" si="5"/>
        <v>5</v>
      </c>
      <c r="Y17" s="20">
        <f t="shared" si="6"/>
        <v>9</v>
      </c>
      <c r="Z17" s="23" t="s">
        <v>130</v>
      </c>
      <c r="AB17" s="40" t="str">
        <f t="shared" si="11"/>
        <v>0000000000020</v>
      </c>
      <c r="AC17" s="15" t="str">
        <f t="shared" si="7"/>
        <v>0200000000000</v>
      </c>
      <c r="AD17" s="15" t="str">
        <f t="shared" si="7"/>
        <v>0000000002000</v>
      </c>
      <c r="AE17" s="15" t="str">
        <f t="shared" si="7"/>
        <v>0000000200000</v>
      </c>
      <c r="AF17" s="15" t="str">
        <f t="shared" si="7"/>
        <v>0000001001000</v>
      </c>
      <c r="AG17" s="41" t="str">
        <f t="shared" si="7"/>
        <v>0000000000200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39</v>
      </c>
      <c r="AL17" s="39" cm="1">
        <f t="array" ref="AL17">SUMPRODUCT(--(MID(AC$10:AC$135, SUMIF($Z$9:$Z$21, LEFT($AJ17,2), $Y$9:$Y$21), 1) = RIGHT($AJ17, 1)), K$10:K$135)</f>
        <v>44</v>
      </c>
      <c r="AM17" s="39" cm="1">
        <f t="array" ref="AM17">SUMPRODUCT(--(MID(AD$10:AD$135, SUMIF($Z$9:$Z$21, LEFT($AJ17,2), $Y$9:$Y$21), 1) = RIGHT($AJ17, 1)), L$10:L$135)</f>
        <v>65</v>
      </c>
      <c r="AN17" s="39" cm="1">
        <f t="array" ref="AN17">SUMPRODUCT(--(MID(AE$10:AE$135, SUMIF($Z$9:$Z$21, LEFT($AJ17,2), $Y$9:$Y$21), 1) = RIGHT($AJ17, 1)), M$10:M$135)</f>
        <v>32</v>
      </c>
      <c r="AO17" s="39" cm="1">
        <f t="array" ref="AO17">SUMPRODUCT(--(MID(AF$10:AF$135, SUMIF($Z$9:$Z$21, LEFT($AJ17,2), $Y$9:$Y$21), 1) = RIGHT($AJ17, 1)), N$10:N$135)</f>
        <v>35</v>
      </c>
      <c r="AP17" s="19" cm="1">
        <f t="array" ref="AP17">SUMPRODUCT(--(MID(AG$10:AG$135, SUMIF($Z$9:$Z$21, LEFT($AJ17,2), $Y$9:$Y$21), 1) = RIGHT($AJ17, 1)), O$10:O$135)</f>
        <v>91</v>
      </c>
      <c r="AR17" s="34" t="str">
        <f t="shared" si="8"/>
        <v>GG</v>
      </c>
      <c r="AS17" s="30" cm="1">
        <f t="array" ref="AS17">SUMPRODUCT($AI$10:$AI$113,AK$10:AK$113,IF(LEFT($AJ$10:$AJ$113,2)=$AR17,1,0))</f>
        <v>10</v>
      </c>
      <c r="AT17" s="30" cm="1">
        <f t="array" ref="AT17">SUMPRODUCT($AI$10:$AI$113,AL$10:AL$113,IF(LEFT($AJ$10:$AJ$113,2)=$AR17,1,0))</f>
        <v>16</v>
      </c>
      <c r="AU17" s="30" cm="1">
        <f t="array" ref="AU17">SUMPRODUCT($AI$10:$AI$113,AM$10:AM$113,IF(LEFT($AJ$10:$AJ$113,2)=$AR17,1,0))</f>
        <v>22</v>
      </c>
      <c r="AV17" s="30" cm="1">
        <f t="array" ref="AV17">SUMPRODUCT($AI$10:$AI$113,AN$10:AN$113,IF(LEFT($AJ$10:$AJ$113,2)=$AR17,1,0))</f>
        <v>14</v>
      </c>
      <c r="AW17" s="30" cm="1">
        <f t="array" ref="AW17">SUMPRODUCT($AI$10:$AI$113,AO$10:AO$113,IF(LEFT($AJ$10:$AJ$113,2)=$AR17,1,0))</f>
        <v>12</v>
      </c>
      <c r="AX17" s="35" cm="1">
        <f t="array" ref="AX17">SUMPRODUCT($AI$10:$AI$113,AP$10:AP$113,IF(LEFT($AJ$10:$AJ$113,2)=$AR17,1,0))</f>
        <v>10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129</v>
      </c>
      <c r="D18" s="30" t="s">
        <v>136</v>
      </c>
      <c r="E18" s="30" t="s">
        <v>130</v>
      </c>
      <c r="F18" s="30" t="s">
        <v>136</v>
      </c>
      <c r="G18" s="30" t="s">
        <v>133</v>
      </c>
      <c r="H18" s="35" t="s">
        <v>137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1</v>
      </c>
      <c r="S18" s="30">
        <f t="shared" si="5"/>
        <v>1</v>
      </c>
      <c r="T18" s="30">
        <f t="shared" si="5"/>
        <v>5</v>
      </c>
      <c r="U18" s="30">
        <f t="shared" si="5"/>
        <v>1</v>
      </c>
      <c r="V18" s="30">
        <f t="shared" si="5"/>
        <v>3</v>
      </c>
      <c r="W18" s="35">
        <f t="shared" si="5"/>
        <v>5</v>
      </c>
      <c r="Y18" s="20">
        <f t="shared" si="6"/>
        <v>10</v>
      </c>
      <c r="Z18" s="23" t="s">
        <v>129</v>
      </c>
      <c r="AB18" s="40" t="str">
        <f t="shared" si="11"/>
        <v>0000000001010</v>
      </c>
      <c r="AC18" s="15" t="str">
        <f t="shared" si="7"/>
        <v>0100100000000</v>
      </c>
      <c r="AD18" s="15" t="str">
        <f t="shared" si="7"/>
        <v>0000000011000</v>
      </c>
      <c r="AE18" s="15" t="str">
        <f t="shared" si="7"/>
        <v>0000100100000</v>
      </c>
      <c r="AF18" s="15" t="str">
        <f t="shared" si="7"/>
        <v>0000000101000</v>
      </c>
      <c r="AG18" s="41" t="str">
        <f t="shared" si="7"/>
        <v>0000010000100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2</v>
      </c>
      <c r="AT18" s="30" cm="1">
        <f t="array" ref="AT18">SUMPRODUCT($AI$10:$AI$113,AL$10:AL$113,IF(LEFT($AJ$10:$AJ$113,2)=$AR18,1,0))</f>
        <v>8</v>
      </c>
      <c r="AU18" s="30" cm="1">
        <f t="array" ref="AU18">SUMPRODUCT($AI$10:$AI$113,AM$10:AM$113,IF(LEFT($AJ$10:$AJ$113,2)=$AR18,1,0))</f>
        <v>14</v>
      </c>
      <c r="AV18" s="30" cm="1">
        <f t="array" ref="AV18">SUMPRODUCT($AI$10:$AI$113,AN$10:AN$113,IF(LEFT($AJ$10:$AJ$113,2)=$AR18,1,0))</f>
        <v>6</v>
      </c>
      <c r="AW18" s="30" cm="1">
        <f t="array" ref="AW18">SUMPRODUCT($AI$10:$AI$113,AO$10:AO$113,IF(LEFT($AJ$10:$AJ$113,2)=$AR18,1,0))</f>
        <v>8</v>
      </c>
      <c r="AX18" s="35" cm="1">
        <f t="array" ref="AX18">SUMPRODUCT($AI$10:$AI$113,AP$10:AP$113,IF(LEFT($AJ$10:$AJ$113,2)=$AR18,1,0))</f>
        <v>10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137</v>
      </c>
      <c r="D19" s="30" t="s">
        <v>126</v>
      </c>
      <c r="E19" s="30" t="s">
        <v>132</v>
      </c>
      <c r="F19" s="30" t="s">
        <v>131</v>
      </c>
      <c r="G19" s="30" t="s">
        <v>133</v>
      </c>
      <c r="H19" s="35" t="s">
        <v>129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6</v>
      </c>
      <c r="S19" s="30">
        <f t="shared" si="5"/>
        <v>6</v>
      </c>
      <c r="T19" s="30">
        <f t="shared" si="5"/>
        <v>6</v>
      </c>
      <c r="U19" s="30">
        <f t="shared" si="5"/>
        <v>5</v>
      </c>
      <c r="V19" s="30">
        <f t="shared" si="5"/>
        <v>4</v>
      </c>
      <c r="W19" s="35">
        <f t="shared" si="5"/>
        <v>9</v>
      </c>
      <c r="Y19" s="20">
        <f t="shared" si="6"/>
        <v>11</v>
      </c>
      <c r="Z19" s="23" t="s">
        <v>132</v>
      </c>
      <c r="AA19" s="21"/>
      <c r="AB19" s="40" t="str">
        <f t="shared" si="11"/>
        <v>0000010001000</v>
      </c>
      <c r="AC19" s="15" t="str">
        <f t="shared" si="7"/>
        <v>1111211111110</v>
      </c>
      <c r="AD19" s="15" t="str">
        <f t="shared" si="7"/>
        <v>0000000010100</v>
      </c>
      <c r="AE19" s="15" t="str">
        <f t="shared" si="7"/>
        <v>0100100000000</v>
      </c>
      <c r="AF19" s="15" t="str">
        <f t="shared" si="7"/>
        <v>0000000200000</v>
      </c>
      <c r="AG19" s="41" t="str">
        <f t="shared" si="7"/>
        <v>0000010001000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12</v>
      </c>
      <c r="AT19" s="30" cm="1">
        <f t="array" ref="AT19">SUMPRODUCT($AI$10:$AI$113,AL$10:AL$113,IF(LEFT($AJ$10:$AJ$113,2)=$AR19,1,0))</f>
        <v>18</v>
      </c>
      <c r="AU19" s="30" cm="1">
        <f t="array" ref="AU19">SUMPRODUCT($AI$10:$AI$113,AM$10:AM$113,IF(LEFT($AJ$10:$AJ$113,2)=$AR19,1,0))</f>
        <v>16</v>
      </c>
      <c r="AV19" s="30" cm="1">
        <f t="array" ref="AV19">SUMPRODUCT($AI$10:$AI$113,AN$10:AN$113,IF(LEFT($AJ$10:$AJ$113,2)=$AR19,1,0))</f>
        <v>14</v>
      </c>
      <c r="AW19" s="30" cm="1">
        <f t="array" ref="AW19">SUMPRODUCT($AI$10:$AI$113,AO$10:AO$113,IF(LEFT($AJ$10:$AJ$113,2)=$AR19,1,0))</f>
        <v>10</v>
      </c>
      <c r="AX19" s="35" cm="1">
        <f t="array" ref="AX19">SUMPRODUCT($AI$10:$AI$113,AP$10:AP$113,IF(LEFT($AJ$10:$AJ$113,2)=$AR19,1,0))</f>
        <v>18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127</v>
      </c>
      <c r="D20" s="30" t="s">
        <v>137</v>
      </c>
      <c r="E20" s="30" t="s">
        <v>132</v>
      </c>
      <c r="F20" s="30" t="s">
        <v>133</v>
      </c>
      <c r="G20" s="30" t="s">
        <v>133</v>
      </c>
      <c r="H20" s="35" t="s">
        <v>136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5</v>
      </c>
      <c r="S20" s="30">
        <f t="shared" si="5"/>
        <v>4</v>
      </c>
      <c r="T20" s="30">
        <f t="shared" si="5"/>
        <v>8</v>
      </c>
      <c r="U20" s="30">
        <f t="shared" si="5"/>
        <v>5</v>
      </c>
      <c r="V20" s="30">
        <f t="shared" si="5"/>
        <v>5</v>
      </c>
      <c r="W20" s="35">
        <f t="shared" si="5"/>
        <v>13</v>
      </c>
      <c r="Y20" s="20">
        <v>12</v>
      </c>
      <c r="Z20" s="23" t="s">
        <v>138</v>
      </c>
      <c r="AA20" s="21"/>
      <c r="AB20" s="40" t="str">
        <f t="shared" si="11"/>
        <v>0010010000000</v>
      </c>
      <c r="AC20" s="15" t="str">
        <f t="shared" si="7"/>
        <v>1111121111110</v>
      </c>
      <c r="AD20" s="15" t="str">
        <f t="shared" si="7"/>
        <v>0000000000200</v>
      </c>
      <c r="AE20" s="15" t="str">
        <f t="shared" si="7"/>
        <v>0100000100000</v>
      </c>
      <c r="AF20" s="15" t="str">
        <f t="shared" si="7"/>
        <v>0000000200000</v>
      </c>
      <c r="AG20" s="41" t="str">
        <f t="shared" si="7"/>
        <v>0000100001000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10</v>
      </c>
      <c r="AT20" s="30" cm="1">
        <f t="array" ref="AT20">SUMPRODUCT($AI$10:$AI$113,AL$10:AL$113,IF(LEFT($AJ$10:$AJ$113,2)=$AR20,1,0))</f>
        <v>14</v>
      </c>
      <c r="AU20" s="30" cm="1">
        <f t="array" ref="AU20">SUMPRODUCT($AI$10:$AI$113,AM$10:AM$113,IF(LEFT($AJ$10:$AJ$113,2)=$AR20,1,0))</f>
        <v>20</v>
      </c>
      <c r="AV20" s="30" cm="1">
        <f t="array" ref="AV20">SUMPRODUCT($AI$10:$AI$113,AN$10:AN$113,IF(LEFT($AJ$10:$AJ$113,2)=$AR20,1,0))</f>
        <v>14</v>
      </c>
      <c r="AW20" s="30" cm="1">
        <f t="array" ref="AW20">SUMPRODUCT($AI$10:$AI$113,AO$10:AO$113,IF(LEFT($AJ$10:$AJ$113,2)=$AR20,1,0))</f>
        <v>12</v>
      </c>
      <c r="AX20" s="35" cm="1">
        <f t="array" ref="AX20">SUMPRODUCT($AI$10:$AI$113,AP$10:AP$113,IF(LEFT($AJ$10:$AJ$113,2)=$AR20,1,0))</f>
        <v>26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133</v>
      </c>
      <c r="D21" s="30" t="s">
        <v>128</v>
      </c>
      <c r="E21" s="30" t="s">
        <v>132</v>
      </c>
      <c r="F21" s="30" t="s">
        <v>128</v>
      </c>
      <c r="G21" s="30" t="s">
        <v>133</v>
      </c>
      <c r="H21" s="35" t="s">
        <v>132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6</v>
      </c>
      <c r="S21" s="30">
        <f t="shared" si="5"/>
        <v>7</v>
      </c>
      <c r="T21" s="30">
        <f t="shared" si="5"/>
        <v>8</v>
      </c>
      <c r="U21" s="30">
        <f t="shared" si="5"/>
        <v>4</v>
      </c>
      <c r="V21" s="30">
        <f t="shared" si="5"/>
        <v>4</v>
      </c>
      <c r="W21" s="35">
        <f t="shared" si="5"/>
        <v>15</v>
      </c>
      <c r="Y21" s="18">
        <v>13</v>
      </c>
      <c r="Z21" s="22" t="s">
        <v>135</v>
      </c>
      <c r="AA21" s="21"/>
      <c r="AB21" s="40" t="str">
        <f t="shared" si="11"/>
        <v>0010000100000</v>
      </c>
      <c r="AC21" s="15" t="str">
        <f t="shared" si="7"/>
        <v>0000011000000</v>
      </c>
      <c r="AD21" s="15" t="str">
        <f t="shared" si="7"/>
        <v>0000000000200</v>
      </c>
      <c r="AE21" s="15" t="str">
        <f t="shared" si="7"/>
        <v>0000001100000</v>
      </c>
      <c r="AF21" s="15" t="str">
        <f t="shared" si="7"/>
        <v>0000000200000</v>
      </c>
      <c r="AG21" s="41" t="str">
        <f t="shared" si="7"/>
        <v>0000100000100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12</v>
      </c>
      <c r="AT21" s="30" cm="1">
        <f t="array" ref="AT21">SUMPRODUCT($AI$10:$AI$113,AL$10:AL$113,IF(LEFT($AJ$10:$AJ$113,2)=$AR21,1,0))</f>
        <v>20</v>
      </c>
      <c r="AU21" s="30" cm="1">
        <f t="array" ref="AU21">SUMPRODUCT($AI$10:$AI$113,AM$10:AM$113,IF(LEFT($AJ$10:$AJ$113,2)=$AR21,1,0))</f>
        <v>20</v>
      </c>
      <c r="AV21" s="30" cm="1">
        <f t="array" ref="AV21">SUMPRODUCT($AI$10:$AI$113,AN$10:AN$113,IF(LEFT($AJ$10:$AJ$113,2)=$AR21,1,0))</f>
        <v>12</v>
      </c>
      <c r="AW21" s="30" cm="1">
        <f t="array" ref="AW21">SUMPRODUCT($AI$10:$AI$113,AO$10:AO$113,IF(LEFT($AJ$10:$AJ$113,2)=$AR21,1,0))</f>
        <v>10</v>
      </c>
      <c r="AX21" s="35" cm="1">
        <f t="array" ref="AX21">SUMPRODUCT($AI$10:$AI$113,AP$10:AP$113,IF(LEFT($AJ$10:$AJ$113,2)=$AR21,1,0))</f>
        <v>30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129</v>
      </c>
      <c r="D22" s="30" t="s">
        <v>128</v>
      </c>
      <c r="E22" s="30" t="s">
        <v>134</v>
      </c>
      <c r="F22" s="30" t="s">
        <v>128</v>
      </c>
      <c r="G22" s="30" t="s">
        <v>130</v>
      </c>
      <c r="H22" s="35" t="s">
        <v>133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0000000101000</v>
      </c>
      <c r="AC22" s="15" t="str">
        <f t="shared" si="7"/>
        <v>0000002000000</v>
      </c>
      <c r="AD22" s="15" t="str">
        <f t="shared" si="7"/>
        <v>0001000000100</v>
      </c>
      <c r="AE22" s="15" t="str">
        <f t="shared" si="7"/>
        <v>0000002000000</v>
      </c>
      <c r="AF22" s="15" t="str">
        <f t="shared" si="7"/>
        <v>0000000110000</v>
      </c>
      <c r="AG22" s="41" t="str">
        <f t="shared" si="7"/>
        <v>0000000100100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129</v>
      </c>
      <c r="D23" s="30" t="s">
        <v>128</v>
      </c>
      <c r="E23" s="30" t="s">
        <v>132</v>
      </c>
      <c r="F23" s="30" t="s">
        <v>128</v>
      </c>
      <c r="G23" s="30" t="s">
        <v>131</v>
      </c>
      <c r="H23" s="35" t="s">
        <v>134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45</v>
      </c>
      <c r="S23" s="37">
        <f t="shared" ref="S23:W23" si="14">SUM(S10:S22)</f>
        <v>60</v>
      </c>
      <c r="T23" s="37">
        <f t="shared" si="14"/>
        <v>90</v>
      </c>
      <c r="U23" s="37">
        <f t="shared" si="14"/>
        <v>46</v>
      </c>
      <c r="V23" s="37">
        <f t="shared" si="14"/>
        <v>45</v>
      </c>
      <c r="W23" s="38">
        <f t="shared" si="14"/>
        <v>97</v>
      </c>
      <c r="Y23" s="21"/>
      <c r="Z23" s="21"/>
      <c r="AA23" s="21"/>
      <c r="AB23" s="40" t="str">
        <f t="shared" si="11"/>
        <v>0000000002000</v>
      </c>
      <c r="AC23" s="15" t="str">
        <f t="shared" si="7"/>
        <v>0000002000000</v>
      </c>
      <c r="AD23" s="15" t="str">
        <f t="shared" si="7"/>
        <v>0001000000100</v>
      </c>
      <c r="AE23" s="15" t="str">
        <f t="shared" si="7"/>
        <v>0000002000000</v>
      </c>
      <c r="AF23" s="15" t="str">
        <f t="shared" si="7"/>
        <v>0100000010000</v>
      </c>
      <c r="AG23" s="41" t="str">
        <f t="shared" si="7"/>
        <v>0001000100000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2</v>
      </c>
      <c r="AL23" s="39" cm="1">
        <f t="array" ref="AL23">SUMPRODUCT(--(MID(AC$10:AC$135, SUMIF($Z$9:$Z$21, LEFT($AJ23,2), $Y$9:$Y$21), 1) = RIGHT($AJ23, 1)), K$10:K$135)</f>
        <v>2</v>
      </c>
      <c r="AM23" s="39" cm="1">
        <f t="array" ref="AM23">SUMPRODUCT(--(MID(AD$10:AD$135, SUMIF($Z$9:$Z$21, LEFT($AJ23,2), $Y$9:$Y$21), 1) = RIGHT($AJ23, 1)), L$10:L$135)</f>
        <v>3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45</v>
      </c>
      <c r="AT23" s="30">
        <f t="shared" si="16"/>
        <v>54</v>
      </c>
      <c r="AU23" s="30">
        <f t="shared" si="16"/>
        <v>86</v>
      </c>
      <c r="AV23" s="30">
        <f t="shared" si="16"/>
        <v>42</v>
      </c>
      <c r="AW23" s="30">
        <f t="shared" si="16"/>
        <v>43</v>
      </c>
      <c r="AX23" s="35">
        <f t="shared" si="16"/>
        <v>97</v>
      </c>
    </row>
    <row r="24" spans="2:64">
      <c r="B24" s="34">
        <f t="shared" si="9"/>
        <v>14</v>
      </c>
      <c r="C24" s="30" t="s">
        <v>129</v>
      </c>
      <c r="D24" s="30" t="s">
        <v>130</v>
      </c>
      <c r="E24" s="30" t="s">
        <v>127</v>
      </c>
      <c r="F24" s="30" t="s">
        <v>132</v>
      </c>
      <c r="G24" s="30" t="s">
        <v>132</v>
      </c>
      <c r="H24" s="35" t="s">
        <v>138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0000000002000</v>
      </c>
      <c r="AC24" s="15" t="str">
        <f t="shared" si="7"/>
        <v>0000001010000</v>
      </c>
      <c r="AD24" s="15" t="str">
        <f t="shared" si="7"/>
        <v>0010000000100</v>
      </c>
      <c r="AE24" s="15" t="str">
        <f t="shared" si="7"/>
        <v>0000001000100</v>
      </c>
      <c r="AF24" s="15" t="str">
        <f t="shared" si="7"/>
        <v>0100000000100</v>
      </c>
      <c r="AG24" s="41" t="str">
        <f t="shared" si="7"/>
        <v>0001000000010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4</v>
      </c>
      <c r="AL24" s="39" cm="1">
        <f t="array" ref="AL24">SUMPRODUCT(--(MID(AC$10:AC$135, SUMIF($Z$9:$Z$21, LEFT($AJ24,2), $Y$9:$Y$21), 1) = RIGHT($AJ24, 1)), K$10:K$135)</f>
        <v>12</v>
      </c>
      <c r="AM24" s="39" cm="1">
        <f t="array" ref="AM24">SUMPRODUCT(--(MID(AD$10:AD$135, SUMIF($Z$9:$Z$21, LEFT($AJ24,2), $Y$9:$Y$21), 1) = RIGHT($AJ24, 1)), L$10:L$135)</f>
        <v>22</v>
      </c>
      <c r="AN24" s="39" cm="1">
        <f t="array" ref="AN24">SUMPRODUCT(--(MID(AE$10:AE$135, SUMIF($Z$9:$Z$21, LEFT($AJ24,2), $Y$9:$Y$21), 1) = RIGHT($AJ24, 1)), M$10:M$135)</f>
        <v>8</v>
      </c>
      <c r="AO24" s="39" cm="1">
        <f t="array" ref="AO24">SUMPRODUCT(--(MID(AF$10:AF$135, SUMIF($Z$9:$Z$21, LEFT($AJ24,2), $Y$9:$Y$21), 1) = RIGHT($AJ24, 1)), N$10:N$135)</f>
        <v>8</v>
      </c>
      <c r="AP24" s="19" cm="1">
        <f t="array" ref="AP24">SUMPRODUCT(--(MID(AG$10:AG$135, SUMIF($Z$9:$Z$21, LEFT($AJ24,2), $Y$9:$Y$21), 1) = RIGHT($AJ24, 1)), O$10:O$135)</f>
        <v>4</v>
      </c>
      <c r="AR24" s="34" t="str">
        <f t="shared" si="15"/>
        <v>AA-0</v>
      </c>
      <c r="AS24" s="30">
        <f t="shared" si="16"/>
        <v>39</v>
      </c>
      <c r="AT24" s="30">
        <f t="shared" si="16"/>
        <v>44</v>
      </c>
      <c r="AU24" s="30">
        <f t="shared" si="16"/>
        <v>65</v>
      </c>
      <c r="AV24" s="30">
        <f t="shared" si="16"/>
        <v>32</v>
      </c>
      <c r="AW24" s="30">
        <f t="shared" si="16"/>
        <v>35</v>
      </c>
      <c r="AX24" s="35">
        <f t="shared" si="16"/>
        <v>91</v>
      </c>
    </row>
    <row r="25" spans="2:64">
      <c r="B25" s="34">
        <f t="shared" si="9"/>
        <v>15</v>
      </c>
      <c r="C25" s="30" t="s">
        <v>128</v>
      </c>
      <c r="D25" s="30" t="s">
        <v>127</v>
      </c>
      <c r="E25" s="30" t="s">
        <v>127</v>
      </c>
      <c r="F25" s="30" t="s">
        <v>130</v>
      </c>
      <c r="G25" s="30" t="s">
        <v>127</v>
      </c>
      <c r="H25" s="35" t="s">
        <v>138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0000001001000</v>
      </c>
      <c r="AC25" s="15" t="str">
        <f t="shared" si="7"/>
        <v>0010000010000</v>
      </c>
      <c r="AD25" s="15" t="str">
        <f t="shared" si="7"/>
        <v>0020000000000</v>
      </c>
      <c r="AE25" s="15" t="str">
        <f t="shared" si="7"/>
        <v>0000000010100</v>
      </c>
      <c r="AF25" s="15" t="str">
        <f t="shared" si="7"/>
        <v>0010000000100</v>
      </c>
      <c r="AG25" s="41" t="str">
        <f t="shared" si="7"/>
        <v>0000000000020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39</v>
      </c>
      <c r="AL25" s="39" cm="1">
        <f t="array" ref="AL25">SUMPRODUCT(--(MID(AC$10:AC$135, SUMIF($Z$9:$Z$21, LEFT($AJ25,2), $Y$9:$Y$21), 1) = RIGHT($AJ25, 1)), K$10:K$135)</f>
        <v>46</v>
      </c>
      <c r="AM25" s="39" cm="1">
        <f t="array" ref="AM25">SUMPRODUCT(--(MID(AD$10:AD$135, SUMIF($Z$9:$Z$21, LEFT($AJ25,2), $Y$9:$Y$21), 1) = RIGHT($AJ25, 1)), L$10:L$135)</f>
        <v>65</v>
      </c>
      <c r="AN25" s="39" cm="1">
        <f t="array" ref="AN25">SUMPRODUCT(--(MID(AE$10:AE$135, SUMIF($Z$9:$Z$21, LEFT($AJ25,2), $Y$9:$Y$21), 1) = RIGHT($AJ25, 1)), M$10:M$135)</f>
        <v>36</v>
      </c>
      <c r="AO25" s="39" cm="1">
        <f t="array" ref="AO25">SUMPRODUCT(--(MID(AF$10:AF$135, SUMIF($Z$9:$Z$21, LEFT($AJ25,2), $Y$9:$Y$21), 1) = RIGHT($AJ25, 1)), N$10:N$135)</f>
        <v>35</v>
      </c>
      <c r="AP25" s="19" cm="1">
        <f t="array" ref="AP25">SUMPRODUCT(--(MID(AG$10:AG$135, SUMIF($Z$9:$Z$21, LEFT($AJ25,2), $Y$9:$Y$21), 1) = RIGHT($AJ25, 1)), O$10:O$135)</f>
        <v>91</v>
      </c>
      <c r="AR25" s="34" t="str">
        <f t="shared" si="15"/>
        <v>BB-0</v>
      </c>
      <c r="AS25" s="30">
        <f t="shared" si="16"/>
        <v>39</v>
      </c>
      <c r="AT25" s="30">
        <f t="shared" si="16"/>
        <v>46</v>
      </c>
      <c r="AU25" s="30">
        <f t="shared" si="16"/>
        <v>65</v>
      </c>
      <c r="AV25" s="30">
        <f t="shared" si="16"/>
        <v>36</v>
      </c>
      <c r="AW25" s="30">
        <f t="shared" si="16"/>
        <v>35</v>
      </c>
      <c r="AX25" s="35">
        <f t="shared" si="16"/>
        <v>91</v>
      </c>
    </row>
    <row r="26" spans="2:64">
      <c r="B26" s="34">
        <f t="shared" si="9"/>
        <v>16</v>
      </c>
      <c r="C26" s="30" t="s">
        <v>130</v>
      </c>
      <c r="D26" s="30" t="s">
        <v>127</v>
      </c>
      <c r="E26" s="30" t="s">
        <v>127</v>
      </c>
      <c r="F26" s="30" t="s">
        <v>134</v>
      </c>
      <c r="G26" s="30" t="s">
        <v>136</v>
      </c>
      <c r="H26" s="35" t="s">
        <v>138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0000001010000</v>
      </c>
      <c r="AC26" s="15" t="str">
        <f t="shared" si="11"/>
        <v>0020000000000</v>
      </c>
      <c r="AD26" s="15" t="str">
        <f t="shared" si="11"/>
        <v>0020000000000</v>
      </c>
      <c r="AE26" s="15" t="str">
        <f t="shared" si="11"/>
        <v>0001000010000</v>
      </c>
      <c r="AF26" s="15" t="str">
        <f t="shared" si="11"/>
        <v>0010100000000</v>
      </c>
      <c r="AG26" s="41" t="str">
        <f t="shared" si="11"/>
        <v>0000000000020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38</v>
      </c>
      <c r="AT26" s="30">
        <f t="shared" si="16"/>
        <v>36</v>
      </c>
      <c r="AU26" s="30">
        <f t="shared" si="16"/>
        <v>66</v>
      </c>
      <c r="AV26" s="30">
        <f t="shared" si="16"/>
        <v>37</v>
      </c>
      <c r="AW26" s="30">
        <f t="shared" si="16"/>
        <v>36</v>
      </c>
      <c r="AX26" s="35">
        <f t="shared" si="16"/>
        <v>61</v>
      </c>
    </row>
    <row r="27" spans="2:64">
      <c r="B27" s="34">
        <f t="shared" si="9"/>
        <v>17</v>
      </c>
      <c r="C27" s="30" t="s">
        <v>133</v>
      </c>
      <c r="D27" s="30" t="s">
        <v>127</v>
      </c>
      <c r="E27" s="30" t="s">
        <v>127</v>
      </c>
      <c r="F27" s="30" t="s">
        <v>134</v>
      </c>
      <c r="G27" s="30" t="s">
        <v>137</v>
      </c>
      <c r="H27" s="35" t="s">
        <v>138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0000000110000</v>
      </c>
      <c r="AC27" s="15" t="str">
        <f t="shared" si="11"/>
        <v>0020000000000</v>
      </c>
      <c r="AD27" s="15" t="str">
        <f t="shared" si="11"/>
        <v>0020000000000</v>
      </c>
      <c r="AE27" s="15" t="str">
        <f t="shared" si="11"/>
        <v>0002000000000</v>
      </c>
      <c r="AF27" s="15" t="str">
        <f t="shared" si="11"/>
        <v>0000110000000</v>
      </c>
      <c r="AG27" s="41" t="str">
        <f t="shared" si="11"/>
        <v>0000000000020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39</v>
      </c>
      <c r="AT27" s="30">
        <f t="shared" si="16"/>
        <v>52</v>
      </c>
      <c r="AU27" s="30">
        <f t="shared" si="16"/>
        <v>85</v>
      </c>
      <c r="AV27" s="30">
        <f t="shared" si="16"/>
        <v>38</v>
      </c>
      <c r="AW27" s="30">
        <f t="shared" si="16"/>
        <v>41</v>
      </c>
      <c r="AX27" s="35">
        <f t="shared" si="16"/>
        <v>83</v>
      </c>
    </row>
    <row r="28" spans="2:64">
      <c r="B28" s="34">
        <f t="shared" si="9"/>
        <v>18</v>
      </c>
      <c r="C28" s="30" t="s">
        <v>133</v>
      </c>
      <c r="D28" s="30" t="s">
        <v>138</v>
      </c>
      <c r="E28" s="30" t="s">
        <v>129</v>
      </c>
      <c r="F28" s="30" t="s">
        <v>134</v>
      </c>
      <c r="G28" s="30" t="s">
        <v>134</v>
      </c>
      <c r="H28" s="35" t="s">
        <v>131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0000000200000</v>
      </c>
      <c r="AC28" s="15" t="str">
        <f t="shared" si="11"/>
        <v>0010000000010</v>
      </c>
      <c r="AD28" s="15" t="str">
        <f t="shared" si="11"/>
        <v>0010000001000</v>
      </c>
      <c r="AE28" s="15" t="str">
        <f t="shared" si="11"/>
        <v>0002000000000</v>
      </c>
      <c r="AF28" s="15" t="str">
        <f t="shared" si="11"/>
        <v>0001010000000</v>
      </c>
      <c r="AG28" s="41" t="str">
        <f t="shared" si="11"/>
        <v>0100000000010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43</v>
      </c>
      <c r="AT28" s="30">
        <f t="shared" si="16"/>
        <v>47</v>
      </c>
      <c r="AU28" s="30">
        <f t="shared" si="16"/>
        <v>71</v>
      </c>
      <c r="AV28" s="30">
        <f t="shared" si="16"/>
        <v>40</v>
      </c>
      <c r="AW28" s="30">
        <f t="shared" si="16"/>
        <v>41</v>
      </c>
      <c r="AX28" s="35">
        <f t="shared" si="16"/>
        <v>95</v>
      </c>
    </row>
    <row r="29" spans="2:64">
      <c r="B29" s="34">
        <f t="shared" si="9"/>
        <v>19</v>
      </c>
      <c r="C29" s="30" t="s">
        <v>133</v>
      </c>
      <c r="D29" s="30" t="s">
        <v>127</v>
      </c>
      <c r="E29" s="30" t="s">
        <v>133</v>
      </c>
      <c r="F29" s="30" t="s">
        <v>126</v>
      </c>
      <c r="G29" s="30" t="s">
        <v>134</v>
      </c>
      <c r="H29" s="35" t="s">
        <v>129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0000000200000</v>
      </c>
      <c r="AC29" s="15" t="str">
        <f t="shared" si="11"/>
        <v>0010000000010</v>
      </c>
      <c r="AD29" s="15" t="str">
        <f t="shared" si="11"/>
        <v>0000000101000</v>
      </c>
      <c r="AE29" s="15" t="str">
        <f t="shared" si="11"/>
        <v>1112111111110</v>
      </c>
      <c r="AF29" s="15" t="str">
        <f t="shared" si="11"/>
        <v>0002000000000</v>
      </c>
      <c r="AG29" s="41" t="str">
        <f t="shared" si="11"/>
        <v>0100000001000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39</v>
      </c>
      <c r="AT29" s="30">
        <f t="shared" si="16"/>
        <v>44</v>
      </c>
      <c r="AU29" s="30">
        <f t="shared" si="16"/>
        <v>72</v>
      </c>
      <c r="AV29" s="30">
        <f t="shared" si="16"/>
        <v>32</v>
      </c>
      <c r="AW29" s="30">
        <f t="shared" si="16"/>
        <v>33</v>
      </c>
      <c r="AX29" s="35">
        <f t="shared" si="16"/>
        <v>71</v>
      </c>
    </row>
    <row r="30" spans="2:64">
      <c r="B30" s="34">
        <f t="shared" si="9"/>
        <v>20</v>
      </c>
      <c r="C30" s="30" t="s">
        <v>138</v>
      </c>
      <c r="D30" s="30" t="s">
        <v>138</v>
      </c>
      <c r="E30" s="30" t="s">
        <v>133</v>
      </c>
      <c r="F30" s="30" t="s">
        <v>129</v>
      </c>
      <c r="G30" s="30" t="s">
        <v>134</v>
      </c>
      <c r="H30" s="35" t="s">
        <v>129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0000000100010</v>
      </c>
      <c r="AC30" s="15" t="str">
        <f t="shared" si="11"/>
        <v>0010000000010</v>
      </c>
      <c r="AD30" s="15" t="str">
        <f t="shared" si="11"/>
        <v>0000000200000</v>
      </c>
      <c r="AE30" s="15" t="str">
        <f t="shared" si="11"/>
        <v>1111111112110</v>
      </c>
      <c r="AF30" s="15" t="str">
        <f t="shared" si="11"/>
        <v>0002000000000</v>
      </c>
      <c r="AG30" s="41" t="str">
        <f t="shared" si="11"/>
        <v>0000000002000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37</v>
      </c>
      <c r="AT30" s="30">
        <f t="shared" si="16"/>
        <v>47</v>
      </c>
      <c r="AU30" s="30">
        <f t="shared" si="16"/>
        <v>71</v>
      </c>
      <c r="AV30" s="30">
        <f t="shared" si="16"/>
        <v>34</v>
      </c>
      <c r="AW30" s="30">
        <f t="shared" si="16"/>
        <v>36</v>
      </c>
      <c r="AX30" s="35">
        <f t="shared" si="16"/>
        <v>89</v>
      </c>
    </row>
    <row r="31" spans="2:64">
      <c r="B31" s="34">
        <f t="shared" si="9"/>
        <v>21</v>
      </c>
      <c r="C31" s="30" t="s">
        <v>128</v>
      </c>
      <c r="D31" s="30" t="s">
        <v>138</v>
      </c>
      <c r="E31" s="30" t="s">
        <v>133</v>
      </c>
      <c r="F31" s="30" t="s">
        <v>132</v>
      </c>
      <c r="G31" s="30" t="s">
        <v>129</v>
      </c>
      <c r="H31" s="35" t="s">
        <v>129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0000001000010</v>
      </c>
      <c r="AC31" s="15" t="str">
        <f t="shared" si="11"/>
        <v>0000000000020</v>
      </c>
      <c r="AD31" s="15" t="str">
        <f t="shared" si="11"/>
        <v>0000000200000</v>
      </c>
      <c r="AE31" s="15" t="str">
        <f t="shared" si="11"/>
        <v>0000000001100</v>
      </c>
      <c r="AF31" s="15" t="str">
        <f t="shared" si="11"/>
        <v>0001000001000</v>
      </c>
      <c r="AG31" s="41" t="str">
        <f t="shared" si="11"/>
        <v>0000000002000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3</v>
      </c>
      <c r="AL31" s="39" cm="1">
        <f t="array" ref="AL31">SUMPRODUCT(--(MID(AC$10:AC$135, SUMIF($Z$9:$Z$21, LEFT($AJ31,2), $Y$9:$Y$21), 1) = RIGHT($AJ31, 1)), K$10:K$135)</f>
        <v>4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3</v>
      </c>
      <c r="AO31" s="39" cm="1">
        <f t="array" ref="AO31">SUMPRODUCT(--(MID(AF$10:AF$135, SUMIF($Z$9:$Z$21, LEFT($AJ31,2), $Y$9:$Y$21), 1) = RIGHT($AJ31, 1)), N$10:N$135)</f>
        <v>3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43</v>
      </c>
      <c r="AT31" s="30">
        <f t="shared" si="16"/>
        <v>52</v>
      </c>
      <c r="AU31" s="30">
        <f t="shared" si="16"/>
        <v>76</v>
      </c>
      <c r="AV31" s="30">
        <f t="shared" si="16"/>
        <v>40</v>
      </c>
      <c r="AW31" s="30">
        <f t="shared" si="16"/>
        <v>37</v>
      </c>
      <c r="AX31" s="35">
        <f t="shared" si="16"/>
        <v>87</v>
      </c>
    </row>
    <row r="32" spans="2:64">
      <c r="B32" s="34">
        <f t="shared" si="9"/>
        <v>22</v>
      </c>
      <c r="C32" s="30" t="s">
        <v>128</v>
      </c>
      <c r="D32" s="30" t="s">
        <v>138</v>
      </c>
      <c r="E32" s="30" t="s">
        <v>128</v>
      </c>
      <c r="F32" s="30" t="s">
        <v>132</v>
      </c>
      <c r="G32" s="30" t="s">
        <v>129</v>
      </c>
      <c r="H32" s="35" t="s">
        <v>128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0000002000000</v>
      </c>
      <c r="AC32" s="15" t="str">
        <f t="shared" si="11"/>
        <v>0000000000020</v>
      </c>
      <c r="AD32" s="15" t="str">
        <f t="shared" si="11"/>
        <v>0000001100000</v>
      </c>
      <c r="AE32" s="15" t="str">
        <f t="shared" si="11"/>
        <v>0000000000200</v>
      </c>
      <c r="AF32" s="15" t="str">
        <f t="shared" si="11"/>
        <v>0000000002000</v>
      </c>
      <c r="AG32" s="41" t="str">
        <f t="shared" si="11"/>
        <v>0000001001000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4</v>
      </c>
      <c r="AL32" s="39" cm="1">
        <f t="array" ref="AL32">SUMPRODUCT(--(MID(AC$10:AC$135, SUMIF($Z$9:$Z$21, LEFT($AJ32,2), $Y$9:$Y$21), 1) = RIGHT($AJ32, 1)), K$10:K$135)</f>
        <v>20</v>
      </c>
      <c r="AM32" s="39" cm="1">
        <f t="array" ref="AM32">SUMPRODUCT(--(MID(AD$10:AD$135, SUMIF($Z$9:$Z$21, LEFT($AJ32,2), $Y$9:$Y$21), 1) = RIGHT($AJ32, 1)), L$10:L$135)</f>
        <v>22</v>
      </c>
      <c r="AN32" s="39" cm="1">
        <f t="array" ref="AN32">SUMPRODUCT(--(MID(AE$10:AE$135, SUMIF($Z$9:$Z$21, LEFT($AJ32,2), $Y$9:$Y$21), 1) = RIGHT($AJ32, 1)), M$10:M$135)</f>
        <v>6</v>
      </c>
      <c r="AO32" s="39" cm="1">
        <f t="array" ref="AO32">SUMPRODUCT(--(MID(AF$10:AF$135, SUMIF($Z$9:$Z$21, LEFT($AJ32,2), $Y$9:$Y$21), 1) = RIGHT($AJ32, 1)), N$10:N$135)</f>
        <v>6</v>
      </c>
      <c r="AP32" s="19" cm="1">
        <f t="array" ref="AP32">SUMPRODUCT(--(MID(AG$10:AG$135, SUMIF($Z$9:$Z$21, LEFT($AJ32,2), $Y$9:$Y$21), 1) = RIGHT($AJ32, 1)), O$10:O$135)</f>
        <v>34</v>
      </c>
      <c r="AR32" s="34" t="str">
        <f t="shared" si="15"/>
        <v>JJ-0</v>
      </c>
      <c r="AS32" s="30">
        <f t="shared" si="16"/>
        <v>35</v>
      </c>
      <c r="AT32" s="30">
        <f t="shared" si="16"/>
        <v>45</v>
      </c>
      <c r="AU32" s="30">
        <f t="shared" si="16"/>
        <v>76</v>
      </c>
      <c r="AV32" s="30">
        <f t="shared" si="16"/>
        <v>35</v>
      </c>
      <c r="AW32" s="30">
        <f t="shared" si="16"/>
        <v>37</v>
      </c>
      <c r="AX32" s="35">
        <f t="shared" si="16"/>
        <v>81</v>
      </c>
    </row>
    <row r="33" spans="2:50">
      <c r="B33" s="34">
        <f t="shared" si="9"/>
        <v>23</v>
      </c>
      <c r="C33" s="30" t="s">
        <v>128</v>
      </c>
      <c r="D33" s="30" t="s">
        <v>128</v>
      </c>
      <c r="E33" s="30" t="s">
        <v>133</v>
      </c>
      <c r="F33" s="30" t="s">
        <v>132</v>
      </c>
      <c r="G33" s="30" t="s">
        <v>129</v>
      </c>
      <c r="H33" s="35" t="s">
        <v>131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0000002000000</v>
      </c>
      <c r="AC33" s="15" t="str">
        <f t="shared" si="11"/>
        <v>0000001000010</v>
      </c>
      <c r="AD33" s="15" t="str">
        <f t="shared" si="11"/>
        <v>0000001100000</v>
      </c>
      <c r="AE33" s="15" t="str">
        <f t="shared" si="11"/>
        <v>0000000000200</v>
      </c>
      <c r="AF33" s="15" t="str">
        <f t="shared" si="11"/>
        <v>0000000002000</v>
      </c>
      <c r="AG33" s="41" t="str">
        <f t="shared" si="11"/>
        <v>0100001000000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38</v>
      </c>
      <c r="AL33" s="39" cm="1">
        <f t="array" ref="AL33">SUMPRODUCT(--(MID(AC$10:AC$135, SUMIF($Z$9:$Z$21, LEFT($AJ33,2), $Y$9:$Y$21), 1) = RIGHT($AJ33, 1)), K$10:K$135)</f>
        <v>36</v>
      </c>
      <c r="AM33" s="39" cm="1">
        <f t="array" ref="AM33">SUMPRODUCT(--(MID(AD$10:AD$135, SUMIF($Z$9:$Z$21, LEFT($AJ33,2), $Y$9:$Y$21), 1) = RIGHT($AJ33, 1)), L$10:L$135)</f>
        <v>66</v>
      </c>
      <c r="AN33" s="39" cm="1">
        <f t="array" ref="AN33">SUMPRODUCT(--(MID(AE$10:AE$135, SUMIF($Z$9:$Z$21, LEFT($AJ33,2), $Y$9:$Y$21), 1) = RIGHT($AJ33, 1)), M$10:M$135)</f>
        <v>37</v>
      </c>
      <c r="AO33" s="39" cm="1">
        <f t="array" ref="AO33">SUMPRODUCT(--(MID(AF$10:AF$135, SUMIF($Z$9:$Z$21, LEFT($AJ33,2), $Y$9:$Y$21), 1) = RIGHT($AJ33, 1)), N$10:N$135)</f>
        <v>36</v>
      </c>
      <c r="AP33" s="19" cm="1">
        <f t="array" ref="AP33">SUMPRODUCT(--(MID(AG$10:AG$135, SUMIF($Z$9:$Z$21, LEFT($AJ33,2), $Y$9:$Y$21), 1) = RIGHT($AJ33, 1)), O$10:O$135)</f>
        <v>61</v>
      </c>
      <c r="AR33" s="34" t="str">
        <f t="shared" si="15"/>
        <v>KK-0</v>
      </c>
      <c r="AS33" s="30">
        <f t="shared" si="16"/>
        <v>37</v>
      </c>
      <c r="AT33" s="30">
        <f t="shared" si="16"/>
        <v>48</v>
      </c>
      <c r="AU33" s="30">
        <f t="shared" si="16"/>
        <v>72</v>
      </c>
      <c r="AV33" s="30">
        <f t="shared" si="16"/>
        <v>34</v>
      </c>
      <c r="AW33" s="30">
        <f t="shared" si="16"/>
        <v>35</v>
      </c>
      <c r="AX33" s="35">
        <f t="shared" si="16"/>
        <v>73</v>
      </c>
    </row>
    <row r="34" spans="2:50">
      <c r="B34" s="34">
        <f t="shared" si="9"/>
        <v>24</v>
      </c>
      <c r="C34" s="30" t="s">
        <v>136</v>
      </c>
      <c r="D34" s="30" t="s">
        <v>133</v>
      </c>
      <c r="E34" s="30" t="s">
        <v>134</v>
      </c>
      <c r="F34" s="30" t="s">
        <v>137</v>
      </c>
      <c r="G34" s="30" t="s">
        <v>138</v>
      </c>
      <c r="H34" s="35" t="s">
        <v>131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0000101000000</v>
      </c>
      <c r="AC34" s="15" t="str">
        <f t="shared" si="11"/>
        <v>0000001100000</v>
      </c>
      <c r="AD34" s="15" t="str">
        <f t="shared" si="11"/>
        <v>0001000100000</v>
      </c>
      <c r="AE34" s="15" t="str">
        <f t="shared" si="11"/>
        <v>0000010000100</v>
      </c>
      <c r="AF34" s="15" t="str">
        <f t="shared" si="11"/>
        <v>0000000001010</v>
      </c>
      <c r="AG34" s="41" t="str">
        <f t="shared" si="11"/>
        <v>0200000000000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35</v>
      </c>
      <c r="AT34" s="30">
        <f t="shared" si="16"/>
        <v>42</v>
      </c>
      <c r="AU34" s="30">
        <f t="shared" si="16"/>
        <v>72</v>
      </c>
      <c r="AV34" s="30">
        <f t="shared" si="16"/>
        <v>36</v>
      </c>
      <c r="AW34" s="30">
        <f t="shared" si="16"/>
        <v>38</v>
      </c>
      <c r="AX34" s="35">
        <f t="shared" si="16"/>
        <v>70</v>
      </c>
    </row>
    <row r="35" spans="2:50">
      <c r="B35" s="34">
        <f t="shared" si="9"/>
        <v>25</v>
      </c>
      <c r="C35" s="30" t="s">
        <v>131</v>
      </c>
      <c r="D35" s="30" t="s">
        <v>132</v>
      </c>
      <c r="E35" s="30" t="s">
        <v>134</v>
      </c>
      <c r="F35" s="30" t="s">
        <v>127</v>
      </c>
      <c r="G35" s="30" t="s">
        <v>138</v>
      </c>
      <c r="H35" s="35" t="s">
        <v>131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0100100000000</v>
      </c>
      <c r="AC35" s="15" t="str">
        <f t="shared" si="11"/>
        <v>0000000100100</v>
      </c>
      <c r="AD35" s="15" t="str">
        <f t="shared" si="11"/>
        <v>0002000000000</v>
      </c>
      <c r="AE35" s="15" t="str">
        <f t="shared" si="11"/>
        <v>0010010000000</v>
      </c>
      <c r="AF35" s="15" t="str">
        <f t="shared" si="11"/>
        <v>0000000000020</v>
      </c>
      <c r="AG35" s="41" t="str">
        <f t="shared" si="11"/>
        <v>0200000000000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45</v>
      </c>
      <c r="AT35" s="37">
        <f t="shared" si="16"/>
        <v>60</v>
      </c>
      <c r="AU35" s="37">
        <f t="shared" si="16"/>
        <v>90</v>
      </c>
      <c r="AV35" s="37">
        <f t="shared" si="16"/>
        <v>46</v>
      </c>
      <c r="AW35" s="37">
        <f t="shared" si="16"/>
        <v>45</v>
      </c>
      <c r="AX35" s="38">
        <f t="shared" si="16"/>
        <v>97</v>
      </c>
    </row>
    <row r="36" spans="2:50">
      <c r="B36" s="34">
        <f t="shared" si="9"/>
        <v>26</v>
      </c>
      <c r="C36" s="30" t="s">
        <v>131</v>
      </c>
      <c r="D36" s="30" t="s">
        <v>133</v>
      </c>
      <c r="E36" s="30" t="s">
        <v>134</v>
      </c>
      <c r="F36" s="30" t="s">
        <v>138</v>
      </c>
      <c r="G36" s="30" t="s">
        <v>138</v>
      </c>
      <c r="H36" s="35" t="s">
        <v>128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0200000000000</v>
      </c>
      <c r="AC36" s="15" t="str">
        <f t="shared" si="11"/>
        <v>0000000100100</v>
      </c>
      <c r="AD36" s="15" t="str">
        <f t="shared" si="11"/>
        <v>0002000000000</v>
      </c>
      <c r="AE36" s="15" t="str">
        <f t="shared" si="11"/>
        <v>0010000000010</v>
      </c>
      <c r="AF36" s="15" t="str">
        <f t="shared" si="11"/>
        <v>0000000000020</v>
      </c>
      <c r="AG36" s="41" t="str">
        <f t="shared" si="11"/>
        <v>0100001000000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131</v>
      </c>
      <c r="D37" s="30" t="s">
        <v>133</v>
      </c>
      <c r="E37" s="30" t="s">
        <v>138</v>
      </c>
      <c r="F37" s="30" t="s">
        <v>131</v>
      </c>
      <c r="G37" s="30" t="s">
        <v>128</v>
      </c>
      <c r="H37" s="35" t="s">
        <v>128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0200000000000</v>
      </c>
      <c r="AC37" s="15" t="str">
        <f t="shared" si="11"/>
        <v>0000000200000</v>
      </c>
      <c r="AD37" s="15" t="str">
        <f t="shared" si="11"/>
        <v>0001000000010</v>
      </c>
      <c r="AE37" s="15" t="str">
        <f t="shared" si="11"/>
        <v>0100000000010</v>
      </c>
      <c r="AF37" s="15" t="str">
        <f t="shared" si="11"/>
        <v>0000001000010</v>
      </c>
      <c r="AG37" s="41" t="str">
        <f t="shared" si="11"/>
        <v>0000002000000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134</v>
      </c>
      <c r="D38" s="30" t="s">
        <v>133</v>
      </c>
      <c r="E38" s="30" t="s">
        <v>138</v>
      </c>
      <c r="F38" s="30" t="s">
        <v>131</v>
      </c>
      <c r="G38" s="30" t="s">
        <v>128</v>
      </c>
      <c r="H38" s="35" t="s">
        <v>128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0101000000000</v>
      </c>
      <c r="AC38" s="15" t="str">
        <f t="shared" si="11"/>
        <v>0000000200000</v>
      </c>
      <c r="AD38" s="15" t="str">
        <f t="shared" si="11"/>
        <v>0000000000020</v>
      </c>
      <c r="AE38" s="15" t="str">
        <f t="shared" si="11"/>
        <v>0200000000000</v>
      </c>
      <c r="AF38" s="15" t="str">
        <f t="shared" si="11"/>
        <v>0000002000000</v>
      </c>
      <c r="AG38" s="41" t="str">
        <f t="shared" si="11"/>
        <v>0000002000000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134</v>
      </c>
      <c r="D39" s="30" t="s">
        <v>129</v>
      </c>
      <c r="E39" s="30" t="s">
        <v>138</v>
      </c>
      <c r="F39" s="30" t="s">
        <v>131</v>
      </c>
      <c r="G39" s="30" t="s">
        <v>128</v>
      </c>
      <c r="H39" s="35" t="s">
        <v>127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0002000000000</v>
      </c>
      <c r="AC39" s="15" t="str">
        <f t="shared" si="11"/>
        <v>0000000101000</v>
      </c>
      <c r="AD39" s="15" t="str">
        <f t="shared" si="11"/>
        <v>0000000000020</v>
      </c>
      <c r="AE39" s="15" t="str">
        <f t="shared" si="11"/>
        <v>0200000000000</v>
      </c>
      <c r="AF39" s="15" t="str">
        <f t="shared" si="11"/>
        <v>0000002000000</v>
      </c>
      <c r="AG39" s="41" t="str">
        <f t="shared" si="11"/>
        <v>0010001000000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2</v>
      </c>
      <c r="AM39" s="39" cm="1">
        <f t="array" ref="AM39">SUMPRODUCT(--(MID(AD$10:AD$135, SUMIF($Z$9:$Z$21, LEFT($AJ39,2), $Y$9:$Y$21), 1) = RIGHT($AJ39, 1)), L$10:L$135)</f>
        <v>1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134</v>
      </c>
      <c r="D40" s="30" t="s">
        <v>129</v>
      </c>
      <c r="E40" s="30" t="s">
        <v>131</v>
      </c>
      <c r="F40" s="30" t="s">
        <v>129</v>
      </c>
      <c r="G40" s="30" t="s">
        <v>131</v>
      </c>
      <c r="H40" s="35" t="s">
        <v>127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0002000000000</v>
      </c>
      <c r="AC40" s="15" t="str">
        <f t="shared" si="11"/>
        <v>0000000002000</v>
      </c>
      <c r="AD40" s="15" t="str">
        <f t="shared" si="11"/>
        <v>0100000000010</v>
      </c>
      <c r="AE40" s="15" t="str">
        <f t="shared" si="11"/>
        <v>0100000001000</v>
      </c>
      <c r="AF40" s="15" t="str">
        <f t="shared" si="11"/>
        <v>0100001000000</v>
      </c>
      <c r="AG40" s="41" t="str">
        <f t="shared" si="11"/>
        <v>0020000000000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4</v>
      </c>
      <c r="AL40" s="39" cm="1">
        <f t="array" ref="AL40">SUMPRODUCT(--(MID(AC$10:AC$135, SUMIF($Z$9:$Z$21, LEFT($AJ40,2), $Y$9:$Y$21), 1) = RIGHT($AJ40, 1)), K$10:K$135)</f>
        <v>6</v>
      </c>
      <c r="AM40" s="39" cm="1">
        <f t="array" ref="AM40">SUMPRODUCT(--(MID(AD$10:AD$135, SUMIF($Z$9:$Z$21, LEFT($AJ40,2), $Y$9:$Y$21), 1) = RIGHT($AJ40, 1)), L$10:L$135)</f>
        <v>4</v>
      </c>
      <c r="AN40" s="39" cm="1">
        <f t="array" ref="AN40">SUMPRODUCT(--(MID(AE$10:AE$135, SUMIF($Z$9:$Z$21, LEFT($AJ40,2), $Y$9:$Y$21), 1) = RIGHT($AJ40, 1)), M$10:M$135)</f>
        <v>8</v>
      </c>
      <c r="AO40" s="39" cm="1">
        <f t="array" ref="AO40">SUMPRODUCT(--(MID(AF$10:AF$135, SUMIF($Z$9:$Z$21, LEFT($AJ40,2), $Y$9:$Y$21), 1) = RIGHT($AJ40, 1)), N$10:N$135)</f>
        <v>4</v>
      </c>
      <c r="AP40" s="19" cm="1">
        <f t="array" ref="AP40">SUMPRODUCT(--(MID(AG$10:AG$135, SUMIF($Z$9:$Z$21, LEFT($AJ40,2), $Y$9:$Y$21), 1) = RIGHT($AJ40, 1)), O$10:O$135)</f>
        <v>12</v>
      </c>
    </row>
    <row r="41" spans="2:50">
      <c r="B41" s="34">
        <f t="shared" si="9"/>
        <v>31</v>
      </c>
      <c r="C41" s="30" t="s">
        <v>134</v>
      </c>
      <c r="D41" s="30" t="s">
        <v>129</v>
      </c>
      <c r="E41" s="30" t="s">
        <v>131</v>
      </c>
      <c r="F41" s="30" t="s">
        <v>129</v>
      </c>
      <c r="G41" s="30" t="s">
        <v>131</v>
      </c>
      <c r="H41" s="35" t="s">
        <v>127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0002000000000</v>
      </c>
      <c r="AC41" s="15" t="str">
        <f t="shared" si="11"/>
        <v>0000000002000</v>
      </c>
      <c r="AD41" s="15" t="str">
        <f t="shared" si="11"/>
        <v>0200000000000</v>
      </c>
      <c r="AE41" s="15" t="str">
        <f t="shared" si="11"/>
        <v>0000000002000</v>
      </c>
      <c r="AF41" s="15" t="str">
        <f t="shared" si="11"/>
        <v>0200000000000</v>
      </c>
      <c r="AG41" s="41" t="str">
        <f t="shared" si="11"/>
        <v>0020000000000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39</v>
      </c>
      <c r="AL41" s="39" cm="1">
        <f t="array" ref="AL41">SUMPRODUCT(--(MID(AC$10:AC$135, SUMIF($Z$9:$Z$21, LEFT($AJ41,2), $Y$9:$Y$21), 1) = RIGHT($AJ41, 1)), K$10:K$135)</f>
        <v>52</v>
      </c>
      <c r="AM41" s="39" cm="1">
        <f t="array" ref="AM41">SUMPRODUCT(--(MID(AD$10:AD$135, SUMIF($Z$9:$Z$21, LEFT($AJ41,2), $Y$9:$Y$21), 1) = RIGHT($AJ41, 1)), L$10:L$135)</f>
        <v>85</v>
      </c>
      <c r="AN41" s="39" cm="1">
        <f t="array" ref="AN41">SUMPRODUCT(--(MID(AE$10:AE$135, SUMIF($Z$9:$Z$21, LEFT($AJ41,2), $Y$9:$Y$21), 1) = RIGHT($AJ41, 1)), M$10:M$135)</f>
        <v>38</v>
      </c>
      <c r="AO41" s="39" cm="1">
        <f t="array" ref="AO41">SUMPRODUCT(--(MID(AF$10:AF$135, SUMIF($Z$9:$Z$21, LEFT($AJ41,2), $Y$9:$Y$21), 1) = RIGHT($AJ41, 1)), N$10:N$135)</f>
        <v>41</v>
      </c>
      <c r="AP41" s="19" cm="1">
        <f t="array" ref="AP41">SUMPRODUCT(--(MID(AG$10:AG$135, SUMIF($Z$9:$Z$21, LEFT($AJ41,2), $Y$9:$Y$21), 1) = RIGHT($AJ41, 1)), O$10:O$135)</f>
        <v>83</v>
      </c>
    </row>
    <row r="42" spans="2:50">
      <c r="B42" s="34">
        <f t="shared" si="9"/>
        <v>32</v>
      </c>
      <c r="C42" s="30" t="s">
        <v>132</v>
      </c>
      <c r="D42" s="30" t="s">
        <v>129</v>
      </c>
      <c r="E42" s="30" t="s">
        <v>131</v>
      </c>
      <c r="F42" s="30" t="s">
        <v>129</v>
      </c>
      <c r="G42" s="30" t="s">
        <v>131</v>
      </c>
      <c r="H42" s="35" t="s">
        <v>134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0001000000100</v>
      </c>
      <c r="AC42" s="15" t="str">
        <f t="shared" si="11"/>
        <v>0000000002000</v>
      </c>
      <c r="AD42" s="15" t="str">
        <f t="shared" si="11"/>
        <v>0200000000000</v>
      </c>
      <c r="AE42" s="15" t="str">
        <f t="shared" si="11"/>
        <v>0000000002000</v>
      </c>
      <c r="AF42" s="15" t="str">
        <f t="shared" si="11"/>
        <v>0200000000000</v>
      </c>
      <c r="AG42" s="41" t="str">
        <f t="shared" si="11"/>
        <v>0011000000000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132</v>
      </c>
      <c r="D43" s="30" t="s">
        <v>134</v>
      </c>
      <c r="E43" s="30" t="s">
        <v>128</v>
      </c>
      <c r="F43" s="30" t="s">
        <v>138</v>
      </c>
      <c r="G43" s="30" t="s">
        <v>132</v>
      </c>
      <c r="H43" s="35" t="s">
        <v>134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0000000000200</v>
      </c>
      <c r="AC43" s="15" t="str">
        <f t="shared" si="11"/>
        <v>0001000001000</v>
      </c>
      <c r="AD43" s="15" t="str">
        <f t="shared" si="11"/>
        <v>0100001000000</v>
      </c>
      <c r="AE43" s="15" t="str">
        <f t="shared" si="11"/>
        <v>0000000001010</v>
      </c>
      <c r="AF43" s="15" t="str">
        <f t="shared" si="11"/>
        <v>0100000000100</v>
      </c>
      <c r="AG43" s="41" t="str">
        <f t="shared" si="11"/>
        <v>0002000000000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132</v>
      </c>
      <c r="D44" s="30" t="s">
        <v>134</v>
      </c>
      <c r="E44" s="30" t="s">
        <v>128</v>
      </c>
      <c r="F44" s="30" t="s">
        <v>138</v>
      </c>
      <c r="G44" s="30" t="s">
        <v>132</v>
      </c>
      <c r="H44" s="35" t="s">
        <v>134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0000000000200</v>
      </c>
      <c r="AC44" s="15" t="str">
        <f t="shared" si="11"/>
        <v>0002000000000</v>
      </c>
      <c r="AD44" s="15" t="str">
        <f t="shared" si="11"/>
        <v>0000002000000</v>
      </c>
      <c r="AE44" s="15" t="str">
        <f t="shared" si="11"/>
        <v>0000000000020</v>
      </c>
      <c r="AF44" s="15" t="str">
        <f t="shared" si="11"/>
        <v>0000000000200</v>
      </c>
      <c r="AG44" s="41" t="str">
        <f t="shared" si="11"/>
        <v>0002000000000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127</v>
      </c>
      <c r="D45" s="30" t="s">
        <v>134</v>
      </c>
      <c r="E45" s="30" t="s">
        <v>128</v>
      </c>
      <c r="F45" s="30" t="s">
        <v>138</v>
      </c>
      <c r="G45" s="30" t="s">
        <v>132</v>
      </c>
      <c r="H45" s="35" t="s">
        <v>136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0010000000100</v>
      </c>
      <c r="AC45" s="15" t="str">
        <f t="shared" si="11"/>
        <v>0002000000000</v>
      </c>
      <c r="AD45" s="15" t="str">
        <f t="shared" si="11"/>
        <v>0000002000000</v>
      </c>
      <c r="AE45" s="15" t="str">
        <f t="shared" si="11"/>
        <v>0000000000020</v>
      </c>
      <c r="AF45" s="15" t="str">
        <f t="shared" si="11"/>
        <v>0000000000200</v>
      </c>
      <c r="AG45" s="41" t="str">
        <f t="shared" si="11"/>
        <v>0001100000000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127</v>
      </c>
      <c r="D46" s="30" t="s">
        <v>137</v>
      </c>
      <c r="E46" s="30" t="s">
        <v>132</v>
      </c>
      <c r="F46" s="30" t="s">
        <v>128</v>
      </c>
      <c r="G46" s="30" t="s">
        <v>128</v>
      </c>
      <c r="H46" s="35" t="s">
        <v>136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0020000000000</v>
      </c>
      <c r="AC46" s="15" t="str">
        <f t="shared" si="11"/>
        <v>0001010000000</v>
      </c>
      <c r="AD46" s="15" t="str">
        <f t="shared" si="11"/>
        <v>0000001000100</v>
      </c>
      <c r="AE46" s="15" t="str">
        <f t="shared" si="11"/>
        <v>0000001000010</v>
      </c>
      <c r="AF46" s="15" t="str">
        <f t="shared" si="11"/>
        <v>0000001000100</v>
      </c>
      <c r="AG46" s="41" t="str">
        <f t="shared" si="11"/>
        <v>0000200000000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127</v>
      </c>
      <c r="D47" s="30" t="s">
        <v>138</v>
      </c>
      <c r="E47" s="30" t="s">
        <v>130</v>
      </c>
      <c r="F47" s="30" t="s">
        <v>126</v>
      </c>
      <c r="G47" s="30" t="s">
        <v>133</v>
      </c>
      <c r="H47" s="35" t="s">
        <v>136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0020000000000</v>
      </c>
      <c r="AC47" s="15" t="str">
        <f t="shared" si="11"/>
        <v>0000010000010</v>
      </c>
      <c r="AD47" s="15" t="str">
        <f t="shared" si="11"/>
        <v>0000000010100</v>
      </c>
      <c r="AE47" s="15" t="str">
        <f t="shared" si="11"/>
        <v>1111112111110</v>
      </c>
      <c r="AF47" s="15" t="str">
        <f t="shared" si="11"/>
        <v>0000001100000</v>
      </c>
      <c r="AG47" s="41" t="str">
        <f t="shared" si="11"/>
        <v>0000200000000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1</v>
      </c>
      <c r="AM47" s="39" cm="1">
        <f t="array" ref="AM47">SUMPRODUCT(--(MID(AD$10:AD$135, SUMIF($Z$9:$Z$21, LEFT($AJ47,2), $Y$9:$Y$21), 1) = RIGHT($AJ47, 1)), L$10:L$135)</f>
        <v>1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138</v>
      </c>
      <c r="D48" s="30" t="s">
        <v>134</v>
      </c>
      <c r="E48" s="30" t="s">
        <v>133</v>
      </c>
      <c r="F48" s="30" t="s">
        <v>128</v>
      </c>
      <c r="G48" s="30" t="s">
        <v>130</v>
      </c>
      <c r="H48" s="35" t="s">
        <v>138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0010000000010</v>
      </c>
      <c r="AC48" s="15" t="str">
        <f t="shared" si="11"/>
        <v>0001000000010</v>
      </c>
      <c r="AD48" s="15" t="str">
        <f t="shared" si="11"/>
        <v>0000000110000</v>
      </c>
      <c r="AE48" s="15" t="str">
        <f t="shared" si="11"/>
        <v>1111112111110</v>
      </c>
      <c r="AF48" s="15" t="str">
        <f t="shared" si="11"/>
        <v>0000000110000</v>
      </c>
      <c r="AG48" s="41" t="str">
        <f t="shared" si="11"/>
        <v>0000100000010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12</v>
      </c>
      <c r="AM48" s="39" cm="1">
        <f t="array" ref="AM48">SUMPRODUCT(--(MID(AD$10:AD$135, SUMIF($Z$9:$Z$21, LEFT($AJ48,2), $Y$9:$Y$21), 1) = RIGHT($AJ48, 1)), L$10:L$135)</f>
        <v>18</v>
      </c>
      <c r="AN48" s="39" cm="1">
        <f t="array" ref="AN48">SUMPRODUCT(--(MID(AE$10:AE$135, SUMIF($Z$9:$Z$21, LEFT($AJ48,2), $Y$9:$Y$21), 1) = RIGHT($AJ48, 1)), M$10:M$135)</f>
        <v>6</v>
      </c>
      <c r="AO48" s="39" cm="1">
        <f t="array" ref="AO48">SUMPRODUCT(--(MID(AF$10:AF$135, SUMIF($Z$9:$Z$21, LEFT($AJ48,2), $Y$9:$Y$21), 1) = RIGHT($AJ48, 1)), N$10:N$135)</f>
        <v>4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132</v>
      </c>
      <c r="D49" s="30" t="s">
        <v>137</v>
      </c>
      <c r="E49" s="30" t="s">
        <v>131</v>
      </c>
      <c r="F49" s="30" t="s">
        <v>136</v>
      </c>
      <c r="G49" s="30" t="s">
        <v>131</v>
      </c>
      <c r="H49" s="35" t="s">
        <v>128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0000000000110</v>
      </c>
      <c r="AC49" s="15" t="str">
        <f t="shared" si="11"/>
        <v>0001010000000</v>
      </c>
      <c r="AD49" s="15" t="str">
        <f t="shared" si="11"/>
        <v>0100000100000</v>
      </c>
      <c r="AE49" s="15" t="str">
        <f t="shared" si="11"/>
        <v>0000101000000</v>
      </c>
      <c r="AF49" s="15" t="str">
        <f t="shared" si="11"/>
        <v>0100000010000</v>
      </c>
      <c r="AG49" s="41" t="str">
        <f t="shared" si="11"/>
        <v>0000001000010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43</v>
      </c>
      <c r="AL49" s="39" cm="1">
        <f t="array" ref="AL49">SUMPRODUCT(--(MID(AC$10:AC$135, SUMIF($Z$9:$Z$21, LEFT($AJ49,2), $Y$9:$Y$21), 1) = RIGHT($AJ49, 1)), K$10:K$135)</f>
        <v>47</v>
      </c>
      <c r="AM49" s="39" cm="1">
        <f t="array" ref="AM49">SUMPRODUCT(--(MID(AD$10:AD$135, SUMIF($Z$9:$Z$21, LEFT($AJ49,2), $Y$9:$Y$21), 1) = RIGHT($AJ49, 1)), L$10:L$135)</f>
        <v>71</v>
      </c>
      <c r="AN49" s="39" cm="1">
        <f t="array" ref="AN49">SUMPRODUCT(--(MID(AE$10:AE$135, SUMIF($Z$9:$Z$21, LEFT($AJ49,2), $Y$9:$Y$21), 1) = RIGHT($AJ49, 1)), M$10:M$135)</f>
        <v>40</v>
      </c>
      <c r="AO49" s="39" cm="1">
        <f t="array" ref="AO49">SUMPRODUCT(--(MID(AF$10:AF$135, SUMIF($Z$9:$Z$21, LEFT($AJ49,2), $Y$9:$Y$21), 1) = RIGHT($AJ49, 1)), N$10:N$135)</f>
        <v>41</v>
      </c>
      <c r="AP49" s="19" cm="1">
        <f t="array" ref="AP49">SUMPRODUCT(--(MID(AG$10:AG$135, SUMIF($Z$9:$Z$21, LEFT($AJ49,2), $Y$9:$Y$21), 1) = RIGHT($AJ49, 1)), O$10:O$135)</f>
        <v>95</v>
      </c>
    </row>
    <row r="50" spans="2:42">
      <c r="B50" s="34">
        <f t="shared" si="9"/>
        <v>40</v>
      </c>
      <c r="C50" s="30" t="s">
        <v>129</v>
      </c>
      <c r="D50" s="30" t="s">
        <v>134</v>
      </c>
      <c r="E50" s="30" t="s">
        <v>132</v>
      </c>
      <c r="F50" s="30" t="s">
        <v>131</v>
      </c>
      <c r="G50" s="30" t="s">
        <v>127</v>
      </c>
      <c r="H50" s="35" t="s">
        <v>134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0000000001100</v>
      </c>
      <c r="AC50" s="15" t="str">
        <f t="shared" si="11"/>
        <v>0001010000000</v>
      </c>
      <c r="AD50" s="15" t="str">
        <f t="shared" si="11"/>
        <v>0100000000100</v>
      </c>
      <c r="AE50" s="15" t="str">
        <f t="shared" si="11"/>
        <v>0100100000000</v>
      </c>
      <c r="AF50" s="15" t="str">
        <f t="shared" si="11"/>
        <v>0110000000000</v>
      </c>
      <c r="AG50" s="41" t="str">
        <f t="shared" si="11"/>
        <v>0001001000000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138</v>
      </c>
      <c r="D51" s="30" t="s">
        <v>138</v>
      </c>
      <c r="E51" s="30" t="s">
        <v>129</v>
      </c>
      <c r="F51" s="30" t="s">
        <v>129</v>
      </c>
      <c r="G51" s="30" t="s">
        <v>130</v>
      </c>
      <c r="H51" s="35" t="s">
        <v>132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0000000001010</v>
      </c>
      <c r="AC51" s="15" t="str">
        <f t="shared" si="11"/>
        <v>0001000000010</v>
      </c>
      <c r="AD51" s="15" t="str">
        <f t="shared" si="11"/>
        <v>0000000001100</v>
      </c>
      <c r="AE51" s="15" t="str">
        <f t="shared" si="11"/>
        <v>0100000001000</v>
      </c>
      <c r="AF51" s="15" t="str">
        <f t="shared" si="11"/>
        <v>0010000010000</v>
      </c>
      <c r="AG51" s="41" t="str">
        <f t="shared" si="11"/>
        <v>0001000000100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133</v>
      </c>
      <c r="D52" s="30" t="s">
        <v>134</v>
      </c>
      <c r="E52" s="30" t="s">
        <v>137</v>
      </c>
      <c r="F52" s="30" t="s">
        <v>132</v>
      </c>
      <c r="G52" s="30" t="s">
        <v>132</v>
      </c>
      <c r="H52" s="35" t="s">
        <v>138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0000000100010</v>
      </c>
      <c r="AC52" s="15" t="str">
        <f t="shared" si="11"/>
        <v>0001000000010</v>
      </c>
      <c r="AD52" s="15" t="str">
        <f t="shared" si="11"/>
        <v>0000010001000</v>
      </c>
      <c r="AE52" s="15" t="str">
        <f t="shared" si="11"/>
        <v>0000000001100</v>
      </c>
      <c r="AF52" s="15" t="str">
        <f t="shared" si="11"/>
        <v>0000000010100</v>
      </c>
      <c r="AG52" s="41" t="str">
        <f t="shared" si="11"/>
        <v>0000000000110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129</v>
      </c>
      <c r="D53" s="30" t="s">
        <v>126</v>
      </c>
      <c r="E53" s="30" t="s">
        <v>127</v>
      </c>
      <c r="F53" s="30" t="s">
        <v>128</v>
      </c>
      <c r="G53" s="30" t="s">
        <v>128</v>
      </c>
      <c r="H53" s="35" t="s">
        <v>132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0000000101000</v>
      </c>
      <c r="AC53" s="15" t="str">
        <f t="shared" si="11"/>
        <v>1112111111110</v>
      </c>
      <c r="AD53" s="15" t="str">
        <f t="shared" si="11"/>
        <v>0010010000000</v>
      </c>
      <c r="AE53" s="15" t="str">
        <f t="shared" si="11"/>
        <v>0000001000100</v>
      </c>
      <c r="AF53" s="15" t="str">
        <f t="shared" si="11"/>
        <v>0000001000100</v>
      </c>
      <c r="AG53" s="41" t="str">
        <f t="shared" si="11"/>
        <v>0000000000110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134</v>
      </c>
      <c r="D54" s="30" t="s">
        <v>136</v>
      </c>
      <c r="E54" s="30" t="s">
        <v>134</v>
      </c>
      <c r="F54" s="30" t="s">
        <v>131</v>
      </c>
      <c r="G54" s="30" t="s">
        <v>134</v>
      </c>
      <c r="H54" s="35" t="s">
        <v>129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0001000001000</v>
      </c>
      <c r="AC54" s="15" t="str">
        <f t="shared" si="11"/>
        <v>1111211111110</v>
      </c>
      <c r="AD54" s="15" t="str">
        <f t="shared" si="11"/>
        <v>0011000000000</v>
      </c>
      <c r="AE54" s="15" t="str">
        <f t="shared" si="11"/>
        <v>0100001000000</v>
      </c>
      <c r="AF54" s="15" t="str">
        <f t="shared" si="11"/>
        <v>0001001000000</v>
      </c>
      <c r="AG54" s="41" t="str">
        <f t="shared" si="11"/>
        <v>0000000001100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/>
      <c r="D55" s="30" t="s">
        <v>138</v>
      </c>
      <c r="E55" s="30" t="s">
        <v>130</v>
      </c>
      <c r="F55" s="30" t="s">
        <v>133</v>
      </c>
      <c r="G55" s="30"/>
      <c r="H55" s="35" t="s">
        <v>130</v>
      </c>
      <c r="J55" s="34" t="str">
        <f t="shared" si="3"/>
        <v/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 t="str">
        <f t="shared" si="3"/>
        <v/>
      </c>
      <c r="O55" s="35">
        <f t="shared" si="3"/>
        <v>1</v>
      </c>
      <c r="Y55" s="21"/>
      <c r="Z55" s="21"/>
      <c r="AA55" s="15"/>
      <c r="AB55" s="40" t="str">
        <f t="shared" si="11"/>
        <v/>
      </c>
      <c r="AC55" s="15" t="str">
        <f t="shared" si="11"/>
        <v>0000100000010</v>
      </c>
      <c r="AD55" s="15" t="str">
        <f t="shared" si="11"/>
        <v>0001000010000</v>
      </c>
      <c r="AE55" s="15" t="str">
        <f t="shared" si="11"/>
        <v>0100000100000</v>
      </c>
      <c r="AF55" s="15" t="str">
        <f t="shared" si="11"/>
        <v/>
      </c>
      <c r="AG55" s="41" t="str">
        <f t="shared" si="11"/>
        <v>0000000011000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4</v>
      </c>
      <c r="AO55" s="39" cm="1">
        <f t="array" ref="AO55">SUMPRODUCT(--(MID(AF$10:AF$135, SUMIF($Z$9:$Z$21, LEFT($AJ55,2), $Y$9:$Y$21), 1) = RIGHT($AJ55, 1)), N$10:N$135)</f>
        <v>2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/>
      <c r="D56" s="30" t="s">
        <v>134</v>
      </c>
      <c r="E56" s="30" t="s">
        <v>132</v>
      </c>
      <c r="F56" s="30"/>
      <c r="G56" s="30"/>
      <c r="H56" s="35" t="s">
        <v>129</v>
      </c>
      <c r="J56" s="34" t="str">
        <f t="shared" si="3"/>
        <v/>
      </c>
      <c r="K56" s="30">
        <f t="shared" si="3"/>
        <v>1</v>
      </c>
      <c r="L56" s="30">
        <f t="shared" si="3"/>
        <v>1</v>
      </c>
      <c r="M56" s="30" t="str">
        <f t="shared" si="3"/>
        <v/>
      </c>
      <c r="N56" s="30" t="str">
        <f t="shared" si="3"/>
        <v/>
      </c>
      <c r="O56" s="35">
        <f t="shared" si="3"/>
        <v>1</v>
      </c>
      <c r="Y56" s="21"/>
      <c r="Z56" s="21"/>
      <c r="AA56" s="15"/>
      <c r="AB56" s="40" t="str">
        <f t="shared" si="11"/>
        <v/>
      </c>
      <c r="AC56" s="15" t="str">
        <f t="shared" si="11"/>
        <v>0001000000010</v>
      </c>
      <c r="AD56" s="15" t="str">
        <f t="shared" si="11"/>
        <v>0000000010100</v>
      </c>
      <c r="AE56" s="15" t="str">
        <f t="shared" si="11"/>
        <v/>
      </c>
      <c r="AF56" s="15" t="str">
        <f t="shared" si="11"/>
        <v/>
      </c>
      <c r="AG56" s="41" t="str">
        <f t="shared" si="11"/>
        <v>0000000011000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4</v>
      </c>
      <c r="AL56" s="39" cm="1">
        <f t="array" ref="AL56">SUMPRODUCT(--(MID(AC$10:AC$135, SUMIF($Z$9:$Z$21, LEFT($AJ56,2), $Y$9:$Y$21), 1) = RIGHT($AJ56, 1)), K$10:K$135)</f>
        <v>14</v>
      </c>
      <c r="AM56" s="39" cm="1">
        <f t="array" ref="AM56">SUMPRODUCT(--(MID(AD$10:AD$135, SUMIF($Z$9:$Z$21, LEFT($AJ56,2), $Y$9:$Y$21), 1) = RIGHT($AJ56, 1)), L$10:L$135)</f>
        <v>16</v>
      </c>
      <c r="AN56" s="39" cm="1">
        <f t="array" ref="AN56">SUMPRODUCT(--(MID(AE$10:AE$135, SUMIF($Z$9:$Z$21, LEFT($AJ56,2), $Y$9:$Y$21), 1) = RIGHT($AJ56, 1)), M$10:M$135)</f>
        <v>10</v>
      </c>
      <c r="AO56" s="39" cm="1">
        <f t="array" ref="AO56">SUMPRODUCT(--(MID(AF$10:AF$135, SUMIF($Z$9:$Z$21, LEFT($AJ56,2), $Y$9:$Y$21), 1) = RIGHT($AJ56, 1)), N$10:N$135)</f>
        <v>10</v>
      </c>
      <c r="AP56" s="19" cm="1">
        <f t="array" ref="AP56">SUMPRODUCT(--(MID(AG$10:AG$135, SUMIF($Z$9:$Z$21, LEFT($AJ56,2), $Y$9:$Y$21), 1) = RIGHT($AJ56, 1)), O$10:O$135)</f>
        <v>24</v>
      </c>
    </row>
    <row r="57" spans="2:42">
      <c r="B57" s="34">
        <f t="shared" si="9"/>
        <v>47</v>
      </c>
      <c r="C57" s="30"/>
      <c r="D57" s="30" t="s">
        <v>127</v>
      </c>
      <c r="E57" s="30" t="s">
        <v>128</v>
      </c>
      <c r="F57" s="30"/>
      <c r="G57" s="30"/>
      <c r="H57" s="35" t="s">
        <v>128</v>
      </c>
      <c r="J57" s="34" t="str">
        <f t="shared" si="3"/>
        <v/>
      </c>
      <c r="K57" s="30">
        <f t="shared" si="3"/>
        <v>1</v>
      </c>
      <c r="L57" s="30">
        <f t="shared" si="3"/>
        <v>1</v>
      </c>
      <c r="M57" s="30" t="str">
        <f t="shared" si="3"/>
        <v/>
      </c>
      <c r="N57" s="30" t="str">
        <f t="shared" si="3"/>
        <v/>
      </c>
      <c r="O57" s="35">
        <f t="shared" si="3"/>
        <v>1</v>
      </c>
      <c r="Y57" s="21"/>
      <c r="Z57" s="21"/>
      <c r="AA57" s="15"/>
      <c r="AB57" s="40" t="str">
        <f t="shared" si="11"/>
        <v/>
      </c>
      <c r="AC57" s="15" t="str">
        <f t="shared" si="11"/>
        <v>0011000000000</v>
      </c>
      <c r="AD57" s="15" t="str">
        <f t="shared" si="11"/>
        <v>0000001000100</v>
      </c>
      <c r="AE57" s="15" t="str">
        <f t="shared" si="11"/>
        <v/>
      </c>
      <c r="AF57" s="15" t="str">
        <f t="shared" si="11"/>
        <v/>
      </c>
      <c r="AG57" s="41" t="str">
        <f t="shared" si="11"/>
        <v>0000001001000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39</v>
      </c>
      <c r="AL57" s="39" cm="1">
        <f t="array" ref="AL57">SUMPRODUCT(--(MID(AC$10:AC$135, SUMIF($Z$9:$Z$21, LEFT($AJ57,2), $Y$9:$Y$21), 1) = RIGHT($AJ57, 1)), K$10:K$135)</f>
        <v>44</v>
      </c>
      <c r="AM57" s="39" cm="1">
        <f t="array" ref="AM57">SUMPRODUCT(--(MID(AD$10:AD$135, SUMIF($Z$9:$Z$21, LEFT($AJ57,2), $Y$9:$Y$21), 1) = RIGHT($AJ57, 1)), L$10:L$135)</f>
        <v>72</v>
      </c>
      <c r="AN57" s="39" cm="1">
        <f t="array" ref="AN57">SUMPRODUCT(--(MID(AE$10:AE$135, SUMIF($Z$9:$Z$21, LEFT($AJ57,2), $Y$9:$Y$21), 1) = RIGHT($AJ57, 1)), M$10:M$135)</f>
        <v>32</v>
      </c>
      <c r="AO57" s="39" cm="1">
        <f t="array" ref="AO57">SUMPRODUCT(--(MID(AF$10:AF$135, SUMIF($Z$9:$Z$21, LEFT($AJ57,2), $Y$9:$Y$21), 1) = RIGHT($AJ57, 1)), N$10:N$135)</f>
        <v>33</v>
      </c>
      <c r="AP57" s="19" cm="1">
        <f t="array" ref="AP57">SUMPRODUCT(--(MID(AG$10:AG$135, SUMIF($Z$9:$Z$21, LEFT($AJ57,2), $Y$9:$Y$21), 1) = RIGHT($AJ57, 1)), O$10:O$135)</f>
        <v>71</v>
      </c>
    </row>
    <row r="58" spans="2:42">
      <c r="B58" s="34">
        <f t="shared" si="9"/>
        <v>48</v>
      </c>
      <c r="C58" s="30"/>
      <c r="D58" s="30" t="s">
        <v>128</v>
      </c>
      <c r="E58" s="30" t="s">
        <v>133</v>
      </c>
      <c r="F58" s="30"/>
      <c r="G58" s="30"/>
      <c r="H58" s="35" t="s">
        <v>136</v>
      </c>
      <c r="J58" s="34" t="str">
        <f t="shared" si="3"/>
        <v/>
      </c>
      <c r="K58" s="30">
        <f t="shared" si="3"/>
        <v>1</v>
      </c>
      <c r="L58" s="30">
        <f t="shared" si="3"/>
        <v>1</v>
      </c>
      <c r="M58" s="30" t="str">
        <f t="shared" si="3"/>
        <v/>
      </c>
      <c r="N58" s="30" t="str">
        <f t="shared" si="3"/>
        <v/>
      </c>
      <c r="O58" s="35">
        <f t="shared" si="3"/>
        <v>1</v>
      </c>
      <c r="Y58" s="21"/>
      <c r="Z58" s="21"/>
      <c r="AA58" s="15"/>
      <c r="AB58" s="40" t="str">
        <f t="shared" si="11"/>
        <v/>
      </c>
      <c r="AC58" s="15" t="str">
        <f t="shared" si="11"/>
        <v>0010001000000</v>
      </c>
      <c r="AD58" s="15" t="str">
        <f t="shared" si="11"/>
        <v>0000001100000</v>
      </c>
      <c r="AE58" s="15" t="str">
        <f t="shared" si="11"/>
        <v/>
      </c>
      <c r="AF58" s="15" t="str">
        <f t="shared" si="11"/>
        <v/>
      </c>
      <c r="AG58" s="41" t="str">
        <f t="shared" si="11"/>
        <v>0000101000000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/>
      <c r="D59" s="30" t="s">
        <v>137</v>
      </c>
      <c r="E59" s="30" t="s">
        <v>131</v>
      </c>
      <c r="F59" s="30"/>
      <c r="G59" s="30"/>
      <c r="H59" s="35" t="s">
        <v>134</v>
      </c>
      <c r="J59" s="34" t="str">
        <f t="shared" si="3"/>
        <v/>
      </c>
      <c r="K59" s="30">
        <f t="shared" si="3"/>
        <v>1</v>
      </c>
      <c r="L59" s="30">
        <f t="shared" si="3"/>
        <v>1</v>
      </c>
      <c r="M59" s="30" t="str">
        <f t="shared" si="3"/>
        <v/>
      </c>
      <c r="N59" s="30" t="str">
        <f t="shared" si="3"/>
        <v/>
      </c>
      <c r="O59" s="35">
        <f t="shared" si="3"/>
        <v>1</v>
      </c>
      <c r="Y59" s="21"/>
      <c r="Z59" s="21"/>
      <c r="AA59" s="15"/>
      <c r="AB59" s="40" t="str">
        <f t="shared" si="11"/>
        <v/>
      </c>
      <c r="AC59" s="15" t="str">
        <f t="shared" si="11"/>
        <v>0000011000000</v>
      </c>
      <c r="AD59" s="15" t="str">
        <f t="shared" si="11"/>
        <v>0100000100000</v>
      </c>
      <c r="AE59" s="15" t="str">
        <f t="shared" si="11"/>
        <v/>
      </c>
      <c r="AF59" s="15" t="str">
        <f t="shared" si="11"/>
        <v/>
      </c>
      <c r="AG59" s="41" t="str">
        <f t="shared" si="11"/>
        <v>0001100000000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/>
      <c r="D60" s="30" t="s">
        <v>134</v>
      </c>
      <c r="E60" s="30" t="s">
        <v>127</v>
      </c>
      <c r="F60" s="30"/>
      <c r="G60" s="30"/>
      <c r="H60" s="35" t="s">
        <v>130</v>
      </c>
      <c r="J60" s="34" t="str">
        <f t="shared" ref="J60:O102" si="21">IF(C60="","",1)</f>
        <v/>
      </c>
      <c r="K60" s="30">
        <f t="shared" si="21"/>
        <v>1</v>
      </c>
      <c r="L60" s="30">
        <f t="shared" si="21"/>
        <v>1</v>
      </c>
      <c r="M60" s="30" t="str">
        <f t="shared" si="21"/>
        <v/>
      </c>
      <c r="N60" s="30" t="str">
        <f t="shared" si="21"/>
        <v/>
      </c>
      <c r="O60" s="35">
        <f t="shared" si="21"/>
        <v>1</v>
      </c>
      <c r="AA60" s="15"/>
      <c r="AB60" s="40" t="str">
        <f t="shared" si="11"/>
        <v/>
      </c>
      <c r="AC60" s="15" t="str">
        <f t="shared" si="11"/>
        <v>0001010000000</v>
      </c>
      <c r="AD60" s="15" t="str">
        <f t="shared" si="11"/>
        <v>0110000000000</v>
      </c>
      <c r="AE60" s="15" t="str">
        <f t="shared" si="11"/>
        <v/>
      </c>
      <c r="AF60" s="15" t="str">
        <f t="shared" si="11"/>
        <v/>
      </c>
      <c r="AG60" s="41" t="str">
        <f t="shared" si="11"/>
        <v>0001000010000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/>
      <c r="D61" s="30" t="s">
        <v>129</v>
      </c>
      <c r="E61" s="30" t="s">
        <v>133</v>
      </c>
      <c r="F61" s="30"/>
      <c r="G61" s="30"/>
      <c r="H61" s="35" t="s">
        <v>133</v>
      </c>
      <c r="J61" s="34" t="str">
        <f t="shared" si="21"/>
        <v/>
      </c>
      <c r="K61" s="30">
        <f t="shared" si="21"/>
        <v>1</v>
      </c>
      <c r="L61" s="30">
        <f t="shared" si="21"/>
        <v>1</v>
      </c>
      <c r="M61" s="30" t="str">
        <f t="shared" si="21"/>
        <v/>
      </c>
      <c r="N61" s="30" t="str">
        <f t="shared" si="21"/>
        <v/>
      </c>
      <c r="O61" s="35">
        <f t="shared" si="21"/>
        <v>1</v>
      </c>
      <c r="AA61" s="15"/>
      <c r="AB61" s="40" t="str">
        <f t="shared" si="11"/>
        <v/>
      </c>
      <c r="AC61" s="15" t="str">
        <f t="shared" si="11"/>
        <v>0001000001000</v>
      </c>
      <c r="AD61" s="15" t="str">
        <f t="shared" si="11"/>
        <v>0010000100000</v>
      </c>
      <c r="AE61" s="15" t="str">
        <f t="shared" si="11"/>
        <v/>
      </c>
      <c r="AF61" s="15" t="str">
        <f t="shared" si="11"/>
        <v/>
      </c>
      <c r="AG61" s="41" t="str">
        <f t="shared" si="11"/>
        <v>0000000110000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/>
      <c r="D62" s="30" t="s">
        <v>131</v>
      </c>
      <c r="E62" s="30" t="s">
        <v>138</v>
      </c>
      <c r="F62" s="30"/>
      <c r="G62" s="30"/>
      <c r="H62" s="35" t="s">
        <v>138</v>
      </c>
      <c r="J62" s="34" t="str">
        <f t="shared" si="21"/>
        <v/>
      </c>
      <c r="K62" s="30">
        <f t="shared" si="21"/>
        <v>1</v>
      </c>
      <c r="L62" s="30">
        <f t="shared" si="21"/>
        <v>1</v>
      </c>
      <c r="M62" s="30" t="str">
        <f t="shared" si="21"/>
        <v/>
      </c>
      <c r="N62" s="30" t="str">
        <f t="shared" si="21"/>
        <v/>
      </c>
      <c r="O62" s="35">
        <f t="shared" si="21"/>
        <v>1</v>
      </c>
      <c r="AA62" s="15"/>
      <c r="AB62" s="40" t="str">
        <f t="shared" si="11"/>
        <v/>
      </c>
      <c r="AC62" s="15" t="str">
        <f t="shared" si="11"/>
        <v>0100000001000</v>
      </c>
      <c r="AD62" s="15" t="str">
        <f t="shared" si="11"/>
        <v>0000000100010</v>
      </c>
      <c r="AE62" s="15" t="str">
        <f t="shared" si="11"/>
        <v/>
      </c>
      <c r="AF62" s="15" t="str">
        <f t="shared" si="11"/>
        <v/>
      </c>
      <c r="AG62" s="41" t="str">
        <f t="shared" si="11"/>
        <v>0000000100010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/>
      <c r="D63" s="30" t="s">
        <v>134</v>
      </c>
      <c r="E63" s="30" t="s">
        <v>134</v>
      </c>
      <c r="F63" s="30"/>
      <c r="G63" s="30"/>
      <c r="H63" s="35" t="s">
        <v>134</v>
      </c>
      <c r="J63" s="34" t="str">
        <f t="shared" si="21"/>
        <v/>
      </c>
      <c r="K63" s="30">
        <f t="shared" si="21"/>
        <v>1</v>
      </c>
      <c r="L63" s="30">
        <f t="shared" si="21"/>
        <v>1</v>
      </c>
      <c r="M63" s="30" t="str">
        <f t="shared" si="21"/>
        <v/>
      </c>
      <c r="N63" s="30" t="str">
        <f t="shared" si="21"/>
        <v/>
      </c>
      <c r="O63" s="35">
        <f t="shared" si="21"/>
        <v>1</v>
      </c>
      <c r="AA63" s="15"/>
      <c r="AB63" s="40" t="str">
        <f t="shared" si="11"/>
        <v/>
      </c>
      <c r="AC63" s="15" t="str">
        <f t="shared" si="11"/>
        <v>0101000000000</v>
      </c>
      <c r="AD63" s="15" t="str">
        <f t="shared" si="11"/>
        <v>0001000000010</v>
      </c>
      <c r="AE63" s="15" t="str">
        <f t="shared" si="11"/>
        <v/>
      </c>
      <c r="AF63" s="15" t="str">
        <f t="shared" si="11"/>
        <v/>
      </c>
      <c r="AG63" s="41" t="str">
        <f t="shared" si="11"/>
        <v>0001000000010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3</v>
      </c>
      <c r="AM63" s="39" cm="1">
        <f t="array" ref="AM63">SUMPRODUCT(--(MID(AD$10:AD$135, SUMIF($Z$9:$Z$21, LEFT($AJ63,2), $Y$9:$Y$21), 1) = RIGHT($AJ63, 1)), L$10:L$135)</f>
        <v>3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3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/>
      <c r="D64" s="30" t="s">
        <v>126</v>
      </c>
      <c r="E64" s="30" t="s">
        <v>128</v>
      </c>
      <c r="F64" s="30"/>
      <c r="G64" s="30"/>
      <c r="H64" s="35" t="s">
        <v>138</v>
      </c>
      <c r="J64" s="34" t="str">
        <f t="shared" si="21"/>
        <v/>
      </c>
      <c r="K64" s="30">
        <f t="shared" si="21"/>
        <v>1</v>
      </c>
      <c r="L64" s="30">
        <f t="shared" si="21"/>
        <v>1</v>
      </c>
      <c r="M64" s="30" t="str">
        <f t="shared" si="21"/>
        <v/>
      </c>
      <c r="N64" s="30" t="str">
        <f t="shared" si="21"/>
        <v/>
      </c>
      <c r="O64" s="35">
        <f t="shared" si="21"/>
        <v>1</v>
      </c>
      <c r="AB64" s="40" t="str">
        <f t="shared" si="11"/>
        <v/>
      </c>
      <c r="AC64" s="15" t="str">
        <f t="shared" si="11"/>
        <v>1112111111110</v>
      </c>
      <c r="AD64" s="15" t="str">
        <f t="shared" si="11"/>
        <v>0001001000000</v>
      </c>
      <c r="AE64" s="15" t="str">
        <f t="shared" si="11"/>
        <v/>
      </c>
      <c r="AF64" s="15" t="str">
        <f t="shared" si="11"/>
        <v/>
      </c>
      <c r="AG64" s="41" t="str">
        <f t="shared" si="11"/>
        <v>0001000000010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6</v>
      </c>
      <c r="AL64" s="39" cm="1">
        <f t="array" ref="AL64">SUMPRODUCT(--(MID(AC$10:AC$135, SUMIF($Z$9:$Z$21, LEFT($AJ64,2), $Y$9:$Y$21), 1) = RIGHT($AJ64, 1)), K$10:K$135)</f>
        <v>10</v>
      </c>
      <c r="AM64" s="39" cm="1">
        <f t="array" ref="AM64">SUMPRODUCT(--(MID(AD$10:AD$135, SUMIF($Z$9:$Z$21, LEFT($AJ64,2), $Y$9:$Y$21), 1) = RIGHT($AJ64, 1)), L$10:L$135)</f>
        <v>16</v>
      </c>
      <c r="AN64" s="39" cm="1">
        <f t="array" ref="AN64">SUMPRODUCT(--(MID(AE$10:AE$135, SUMIF($Z$9:$Z$21, LEFT($AJ64,2), $Y$9:$Y$21), 1) = RIGHT($AJ64, 1)), M$10:M$135)</f>
        <v>10</v>
      </c>
      <c r="AO64" s="39" cm="1">
        <f t="array" ref="AO64">SUMPRODUCT(--(MID(AF$10:AF$135, SUMIF($Z$9:$Z$21, LEFT($AJ64,2), $Y$9:$Y$21), 1) = RIGHT($AJ64, 1)), N$10:N$135)</f>
        <v>6</v>
      </c>
      <c r="AP64" s="19" cm="1">
        <f t="array" ref="AP64">SUMPRODUCT(--(MID(AG$10:AG$135, SUMIF($Z$9:$Z$21, LEFT($AJ64,2), $Y$9:$Y$21), 1) = RIGHT($AJ64, 1)), O$10:O$135)</f>
        <v>6</v>
      </c>
    </row>
    <row r="65" spans="2:42">
      <c r="B65" s="34">
        <f t="shared" si="9"/>
        <v>55</v>
      </c>
      <c r="C65" s="30"/>
      <c r="D65" s="30" t="s">
        <v>133</v>
      </c>
      <c r="E65" s="30" t="s">
        <v>138</v>
      </c>
      <c r="F65" s="30"/>
      <c r="G65" s="30"/>
      <c r="H65" s="35" t="s">
        <v>134</v>
      </c>
      <c r="J65" s="34" t="str">
        <f t="shared" si="21"/>
        <v/>
      </c>
      <c r="K65" s="30">
        <f t="shared" si="21"/>
        <v>1</v>
      </c>
      <c r="L65" s="30">
        <f t="shared" si="21"/>
        <v>1</v>
      </c>
      <c r="M65" s="30" t="str">
        <f t="shared" si="21"/>
        <v/>
      </c>
      <c r="N65" s="30" t="str">
        <f t="shared" si="21"/>
        <v/>
      </c>
      <c r="O65" s="35">
        <f t="shared" si="21"/>
        <v>1</v>
      </c>
      <c r="AB65" s="40" t="str">
        <f t="shared" si="11"/>
        <v/>
      </c>
      <c r="AC65" s="15" t="str">
        <f t="shared" si="11"/>
        <v>1111111211110</v>
      </c>
      <c r="AD65" s="15" t="str">
        <f t="shared" si="11"/>
        <v>0000001000010</v>
      </c>
      <c r="AE65" s="15" t="str">
        <f t="shared" si="11"/>
        <v/>
      </c>
      <c r="AF65" s="15" t="str">
        <f t="shared" si="11"/>
        <v/>
      </c>
      <c r="AG65" s="41" t="str">
        <f t="shared" si="11"/>
        <v>0001000000010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37</v>
      </c>
      <c r="AL65" s="39" cm="1">
        <f t="array" ref="AL65">SUMPRODUCT(--(MID(AC$10:AC$135, SUMIF($Z$9:$Z$21, LEFT($AJ65,2), $Y$9:$Y$21), 1) = RIGHT($AJ65, 1)), K$10:K$135)</f>
        <v>47</v>
      </c>
      <c r="AM65" s="39" cm="1">
        <f t="array" ref="AM65">SUMPRODUCT(--(MID(AD$10:AD$135, SUMIF($Z$9:$Z$21, LEFT($AJ65,2), $Y$9:$Y$21), 1) = RIGHT($AJ65, 1)), L$10:L$135)</f>
        <v>71</v>
      </c>
      <c r="AN65" s="39" cm="1">
        <f t="array" ref="AN65">SUMPRODUCT(--(MID(AE$10:AE$135, SUMIF($Z$9:$Z$21, LEFT($AJ65,2), $Y$9:$Y$21), 1) = RIGHT($AJ65, 1)), M$10:M$135)</f>
        <v>34</v>
      </c>
      <c r="AO65" s="39" cm="1">
        <f t="array" ref="AO65">SUMPRODUCT(--(MID(AF$10:AF$135, SUMIF($Z$9:$Z$21, LEFT($AJ65,2), $Y$9:$Y$21), 1) = RIGHT($AJ65, 1)), N$10:N$135)</f>
        <v>36</v>
      </c>
      <c r="AP65" s="19" cm="1">
        <f t="array" ref="AP65">SUMPRODUCT(--(MID(AG$10:AG$135, SUMIF($Z$9:$Z$21, LEFT($AJ65,2), $Y$9:$Y$21), 1) = RIGHT($AJ65, 1)), O$10:O$135)</f>
        <v>89</v>
      </c>
    </row>
    <row r="66" spans="2:42">
      <c r="B66" s="34">
        <f t="shared" si="9"/>
        <v>56</v>
      </c>
      <c r="C66" s="30"/>
      <c r="D66" s="30" t="s">
        <v>134</v>
      </c>
      <c r="E66" s="30" t="s">
        <v>134</v>
      </c>
      <c r="F66" s="30"/>
      <c r="G66" s="30"/>
      <c r="H66" s="35" t="s">
        <v>132</v>
      </c>
      <c r="J66" s="34" t="str">
        <f t="shared" si="21"/>
        <v/>
      </c>
      <c r="K66" s="30">
        <f t="shared" si="21"/>
        <v>1</v>
      </c>
      <c r="L66" s="30">
        <f t="shared" si="21"/>
        <v>1</v>
      </c>
      <c r="M66" s="30" t="str">
        <f t="shared" si="21"/>
        <v/>
      </c>
      <c r="N66" s="30" t="str">
        <f t="shared" si="21"/>
        <v/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/>
      </c>
      <c r="AC66" s="15" t="str">
        <f t="shared" si="23"/>
        <v>0001000100000</v>
      </c>
      <c r="AD66" s="15" t="str">
        <f t="shared" si="23"/>
        <v>0001000000010</v>
      </c>
      <c r="AE66" s="15" t="str">
        <f t="shared" si="23"/>
        <v/>
      </c>
      <c r="AF66" s="15" t="str">
        <f t="shared" si="23"/>
        <v/>
      </c>
      <c r="AG66" s="41" t="str">
        <f t="shared" si="23"/>
        <v>0001000000100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/>
      <c r="D67" s="30" t="s">
        <v>129</v>
      </c>
      <c r="E67" s="30" t="s">
        <v>127</v>
      </c>
      <c r="F67" s="30"/>
      <c r="G67" s="30"/>
      <c r="H67" s="35" t="s">
        <v>138</v>
      </c>
      <c r="J67" s="34" t="str">
        <f t="shared" si="21"/>
        <v/>
      </c>
      <c r="K67" s="30">
        <f t="shared" si="21"/>
        <v>1</v>
      </c>
      <c r="L67" s="30">
        <f t="shared" si="21"/>
        <v>1</v>
      </c>
      <c r="M67" s="30" t="str">
        <f t="shared" si="21"/>
        <v/>
      </c>
      <c r="N67" s="30" t="str">
        <f t="shared" si="21"/>
        <v/>
      </c>
      <c r="O67" s="35">
        <f t="shared" si="21"/>
        <v>1</v>
      </c>
      <c r="AB67" s="40" t="str">
        <f t="shared" si="23"/>
        <v/>
      </c>
      <c r="AC67" s="15" t="str">
        <f t="shared" si="23"/>
        <v>0001000001000</v>
      </c>
      <c r="AD67" s="15" t="str">
        <f t="shared" si="23"/>
        <v>0011000000000</v>
      </c>
      <c r="AE67" s="15" t="str">
        <f t="shared" si="23"/>
        <v/>
      </c>
      <c r="AF67" s="15" t="str">
        <f t="shared" si="23"/>
        <v/>
      </c>
      <c r="AG67" s="41" t="str">
        <f t="shared" si="23"/>
        <v>0000000000110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/>
      <c r="D68" s="30" t="s">
        <v>128</v>
      </c>
      <c r="E68" s="30" t="s">
        <v>131</v>
      </c>
      <c r="F68" s="30"/>
      <c r="G68" s="30"/>
      <c r="H68" s="35" t="s">
        <v>128</v>
      </c>
      <c r="J68" s="34" t="str">
        <f t="shared" si="21"/>
        <v/>
      </c>
      <c r="K68" s="30">
        <f t="shared" si="21"/>
        <v>1</v>
      </c>
      <c r="L68" s="30">
        <f t="shared" si="21"/>
        <v>1</v>
      </c>
      <c r="M68" s="30" t="str">
        <f t="shared" si="21"/>
        <v/>
      </c>
      <c r="N68" s="30" t="str">
        <f t="shared" si="21"/>
        <v/>
      </c>
      <c r="O68" s="35">
        <f t="shared" si="21"/>
        <v>1</v>
      </c>
      <c r="AB68" s="40" t="str">
        <f t="shared" si="23"/>
        <v/>
      </c>
      <c r="AC68" s="15" t="str">
        <f t="shared" si="23"/>
        <v>0000001001000</v>
      </c>
      <c r="AD68" s="15" t="str">
        <f t="shared" si="23"/>
        <v>0110000000000</v>
      </c>
      <c r="AE68" s="15" t="str">
        <f t="shared" si="23"/>
        <v/>
      </c>
      <c r="AF68" s="15" t="str">
        <f t="shared" si="23"/>
        <v/>
      </c>
      <c r="AG68" s="41" t="str">
        <f t="shared" si="23"/>
        <v>0000001000010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/>
      <c r="D69" s="30" t="s">
        <v>131</v>
      </c>
      <c r="E69" s="30" t="s">
        <v>128</v>
      </c>
      <c r="F69" s="30"/>
      <c r="G69" s="30"/>
      <c r="H69" s="35" t="s">
        <v>134</v>
      </c>
      <c r="J69" s="34" t="str">
        <f t="shared" si="21"/>
        <v/>
      </c>
      <c r="K69" s="30">
        <f t="shared" si="21"/>
        <v>1</v>
      </c>
      <c r="L69" s="30">
        <f t="shared" si="21"/>
        <v>1</v>
      </c>
      <c r="M69" s="30" t="str">
        <f t="shared" si="21"/>
        <v/>
      </c>
      <c r="N69" s="30" t="str">
        <f t="shared" si="21"/>
        <v/>
      </c>
      <c r="O69" s="35">
        <f t="shared" si="21"/>
        <v>1</v>
      </c>
      <c r="AB69" s="40" t="str">
        <f t="shared" si="23"/>
        <v/>
      </c>
      <c r="AC69" s="15" t="str">
        <f t="shared" si="23"/>
        <v>0100001000000</v>
      </c>
      <c r="AD69" s="15" t="str">
        <f t="shared" si="23"/>
        <v>0100001000000</v>
      </c>
      <c r="AE69" s="15" t="str">
        <f t="shared" si="23"/>
        <v/>
      </c>
      <c r="AF69" s="15" t="str">
        <f t="shared" si="23"/>
        <v/>
      </c>
      <c r="AG69" s="41" t="str">
        <f t="shared" si="23"/>
        <v>0001001000000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/>
      <c r="D70" s="30"/>
      <c r="E70" s="30" t="s">
        <v>132</v>
      </c>
      <c r="F70" s="30"/>
      <c r="G70" s="30"/>
      <c r="H70" s="35" t="s">
        <v>128</v>
      </c>
      <c r="J70" s="34" t="str">
        <f t="shared" si="21"/>
        <v/>
      </c>
      <c r="K70" s="30" t="str">
        <f t="shared" si="21"/>
        <v/>
      </c>
      <c r="L70" s="30">
        <f t="shared" si="21"/>
        <v>1</v>
      </c>
      <c r="M70" s="30" t="str">
        <f t="shared" si="21"/>
        <v/>
      </c>
      <c r="N70" s="30" t="str">
        <f t="shared" si="21"/>
        <v/>
      </c>
      <c r="O70" s="35">
        <f t="shared" si="21"/>
        <v>1</v>
      </c>
      <c r="AB70" s="40" t="str">
        <f t="shared" si="23"/>
        <v/>
      </c>
      <c r="AC70" s="15" t="str">
        <f t="shared" si="23"/>
        <v/>
      </c>
      <c r="AD70" s="15" t="str">
        <f t="shared" si="23"/>
        <v>0000001000100</v>
      </c>
      <c r="AE70" s="15" t="str">
        <f t="shared" si="23"/>
        <v/>
      </c>
      <c r="AF70" s="15" t="str">
        <f t="shared" si="23"/>
        <v/>
      </c>
      <c r="AG70" s="41" t="str">
        <f t="shared" si="23"/>
        <v>0001001000000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/>
      <c r="D71" s="30"/>
      <c r="E71" s="30" t="s">
        <v>131</v>
      </c>
      <c r="F71" s="30"/>
      <c r="G71" s="30"/>
      <c r="H71" s="35" t="s">
        <v>138</v>
      </c>
      <c r="J71" s="34" t="str">
        <f t="shared" si="21"/>
        <v/>
      </c>
      <c r="K71" s="30" t="str">
        <f t="shared" si="21"/>
        <v/>
      </c>
      <c r="L71" s="30">
        <f t="shared" si="21"/>
        <v>1</v>
      </c>
      <c r="M71" s="30" t="str">
        <f t="shared" si="21"/>
        <v/>
      </c>
      <c r="N71" s="30" t="str">
        <f t="shared" si="21"/>
        <v/>
      </c>
      <c r="O71" s="35">
        <f t="shared" si="21"/>
        <v>1</v>
      </c>
      <c r="AB71" s="40" t="str">
        <f t="shared" si="23"/>
        <v/>
      </c>
      <c r="AC71" s="15" t="str">
        <f t="shared" si="23"/>
        <v/>
      </c>
      <c r="AD71" s="15" t="str">
        <f t="shared" si="23"/>
        <v>0100000000100</v>
      </c>
      <c r="AE71" s="15" t="str">
        <f t="shared" si="23"/>
        <v/>
      </c>
      <c r="AF71" s="15" t="str">
        <f t="shared" si="23"/>
        <v/>
      </c>
      <c r="AG71" s="41" t="str">
        <f t="shared" si="23"/>
        <v>0000001000010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/>
      <c r="D72" s="30"/>
      <c r="E72" s="30" t="s">
        <v>137</v>
      </c>
      <c r="F72" s="30"/>
      <c r="G72" s="30"/>
      <c r="H72" s="35" t="s">
        <v>134</v>
      </c>
      <c r="J72" s="34" t="str">
        <f t="shared" si="21"/>
        <v/>
      </c>
      <c r="K72" s="30" t="str">
        <f t="shared" si="21"/>
        <v/>
      </c>
      <c r="L72" s="30">
        <f t="shared" si="21"/>
        <v>1</v>
      </c>
      <c r="M72" s="30" t="str">
        <f t="shared" si="21"/>
        <v/>
      </c>
      <c r="N72" s="30" t="str">
        <f t="shared" si="21"/>
        <v/>
      </c>
      <c r="O72" s="35">
        <f t="shared" si="21"/>
        <v>1</v>
      </c>
      <c r="AB72" s="40" t="str">
        <f t="shared" si="23"/>
        <v/>
      </c>
      <c r="AC72" s="15" t="str">
        <f t="shared" si="23"/>
        <v/>
      </c>
      <c r="AD72" s="15" t="str">
        <f t="shared" si="23"/>
        <v>0100010000000</v>
      </c>
      <c r="AE72" s="15" t="str">
        <f t="shared" si="23"/>
        <v/>
      </c>
      <c r="AF72" s="15" t="str">
        <f t="shared" si="23"/>
        <v/>
      </c>
      <c r="AG72" s="41" t="str">
        <f t="shared" si="23"/>
        <v>0001000000010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2</v>
      </c>
      <c r="AL72" s="39" cm="1">
        <f t="array" ref="AL72">SUMPRODUCT(--(MID(AC$10:AC$135, SUMIF($Z$9:$Z$21, LEFT($AJ72,2), $Y$9:$Y$21), 1) = RIGHT($AJ72, 1)), K$10:K$135)</f>
        <v>8</v>
      </c>
      <c r="AM72" s="39" cm="1">
        <f t="array" ref="AM72">SUMPRODUCT(--(MID(AD$10:AD$135, SUMIF($Z$9:$Z$21, LEFT($AJ72,2), $Y$9:$Y$21), 1) = RIGHT($AJ72, 1)), L$10:L$135)</f>
        <v>14</v>
      </c>
      <c r="AN72" s="39" cm="1">
        <f t="array" ref="AN72">SUMPRODUCT(--(MID(AE$10:AE$135, SUMIF($Z$9:$Z$21, LEFT($AJ72,2), $Y$9:$Y$21), 1) = RIGHT($AJ72, 1)), M$10:M$135)</f>
        <v>6</v>
      </c>
      <c r="AO72" s="39" cm="1">
        <f t="array" ref="AO72">SUMPRODUCT(--(MID(AF$10:AF$135, SUMIF($Z$9:$Z$21, LEFT($AJ72,2), $Y$9:$Y$21), 1) = RIGHT($AJ72, 1)), N$10:N$135)</f>
        <v>8</v>
      </c>
      <c r="AP72" s="19" cm="1">
        <f t="array" ref="AP72">SUMPRODUCT(--(MID(AG$10:AG$135, SUMIF($Z$9:$Z$21, LEFT($AJ72,2), $Y$9:$Y$21), 1) = RIGHT($AJ72, 1)), O$10:O$135)</f>
        <v>10</v>
      </c>
    </row>
    <row r="73" spans="2:42">
      <c r="B73" s="34">
        <f t="shared" si="9"/>
        <v>63</v>
      </c>
      <c r="C73" s="30"/>
      <c r="D73" s="30"/>
      <c r="E73" s="30" t="s">
        <v>133</v>
      </c>
      <c r="F73" s="30"/>
      <c r="G73" s="30"/>
      <c r="H73" s="35" t="s">
        <v>132</v>
      </c>
      <c r="J73" s="34" t="str">
        <f t="shared" si="21"/>
        <v/>
      </c>
      <c r="K73" s="30" t="str">
        <f t="shared" si="21"/>
        <v/>
      </c>
      <c r="L73" s="30">
        <f t="shared" si="21"/>
        <v>1</v>
      </c>
      <c r="M73" s="30" t="str">
        <f t="shared" si="21"/>
        <v/>
      </c>
      <c r="N73" s="30" t="str">
        <f t="shared" si="21"/>
        <v/>
      </c>
      <c r="O73" s="35">
        <f t="shared" si="21"/>
        <v>1</v>
      </c>
      <c r="AB73" s="40" t="str">
        <f t="shared" si="23"/>
        <v/>
      </c>
      <c r="AC73" s="15" t="str">
        <f t="shared" si="23"/>
        <v/>
      </c>
      <c r="AD73" s="15" t="str">
        <f t="shared" si="23"/>
        <v>0000010100000</v>
      </c>
      <c r="AE73" s="15" t="str">
        <f t="shared" si="23"/>
        <v/>
      </c>
      <c r="AF73" s="15" t="str">
        <f t="shared" si="23"/>
        <v/>
      </c>
      <c r="AG73" s="41" t="str">
        <f t="shared" si="23"/>
        <v>0001000000100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43</v>
      </c>
      <c r="AL73" s="39" cm="1">
        <f t="array" ref="AL73">SUMPRODUCT(--(MID(AC$10:AC$135, SUMIF($Z$9:$Z$21, LEFT($AJ73,2), $Y$9:$Y$21), 1) = RIGHT($AJ73, 1)), K$10:K$135)</f>
        <v>52</v>
      </c>
      <c r="AM73" s="39" cm="1">
        <f t="array" ref="AM73">SUMPRODUCT(--(MID(AD$10:AD$135, SUMIF($Z$9:$Z$21, LEFT($AJ73,2), $Y$9:$Y$21), 1) = RIGHT($AJ73, 1)), L$10:L$135)</f>
        <v>76</v>
      </c>
      <c r="AN73" s="39" cm="1">
        <f t="array" ref="AN73">SUMPRODUCT(--(MID(AE$10:AE$135, SUMIF($Z$9:$Z$21, LEFT($AJ73,2), $Y$9:$Y$21), 1) = RIGHT($AJ73, 1)), M$10:M$135)</f>
        <v>40</v>
      </c>
      <c r="AO73" s="39" cm="1">
        <f t="array" ref="AO73">SUMPRODUCT(--(MID(AF$10:AF$135, SUMIF($Z$9:$Z$21, LEFT($AJ73,2), $Y$9:$Y$21), 1) = RIGHT($AJ73, 1)), N$10:N$135)</f>
        <v>37</v>
      </c>
      <c r="AP73" s="19" cm="1">
        <f t="array" ref="AP73">SUMPRODUCT(--(MID(AG$10:AG$135, SUMIF($Z$9:$Z$21, LEFT($AJ73,2), $Y$9:$Y$21), 1) = RIGHT($AJ73, 1)), O$10:O$135)</f>
        <v>87</v>
      </c>
    </row>
    <row r="74" spans="2:42">
      <c r="B74" s="34">
        <f t="shared" si="9"/>
        <v>64</v>
      </c>
      <c r="C74" s="30"/>
      <c r="D74" s="30"/>
      <c r="E74" s="30" t="s">
        <v>130</v>
      </c>
      <c r="F74" s="30"/>
      <c r="G74" s="30"/>
      <c r="H74" s="35" t="s">
        <v>138</v>
      </c>
      <c r="J74" s="34" t="str">
        <f t="shared" si="21"/>
        <v/>
      </c>
      <c r="K74" s="30" t="str">
        <f t="shared" si="21"/>
        <v/>
      </c>
      <c r="L74" s="30">
        <f t="shared" si="21"/>
        <v>1</v>
      </c>
      <c r="M74" s="30" t="str">
        <f t="shared" si="21"/>
        <v/>
      </c>
      <c r="N74" s="30" t="str">
        <f t="shared" si="21"/>
        <v/>
      </c>
      <c r="O74" s="35">
        <f t="shared" si="21"/>
        <v>1</v>
      </c>
      <c r="AB74" s="40" t="str">
        <f t="shared" si="23"/>
        <v/>
      </c>
      <c r="AC74" s="15" t="str">
        <f t="shared" si="23"/>
        <v/>
      </c>
      <c r="AD74" s="15" t="str">
        <f t="shared" si="23"/>
        <v>0000000110000</v>
      </c>
      <c r="AE74" s="15" t="str">
        <f t="shared" si="23"/>
        <v/>
      </c>
      <c r="AF74" s="15" t="str">
        <f t="shared" si="23"/>
        <v/>
      </c>
      <c r="AG74" s="41" t="str">
        <f t="shared" si="23"/>
        <v>0000000000110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/>
      <c r="D75" s="30"/>
      <c r="E75" s="30" t="s">
        <v>138</v>
      </c>
      <c r="F75" s="30"/>
      <c r="G75" s="30"/>
      <c r="H75" s="35" t="s">
        <v>134</v>
      </c>
      <c r="J75" s="34" t="str">
        <f t="shared" si="21"/>
        <v/>
      </c>
      <c r="K75" s="30" t="str">
        <f t="shared" si="21"/>
        <v/>
      </c>
      <c r="L75" s="30">
        <f t="shared" si="21"/>
        <v>1</v>
      </c>
      <c r="M75" s="30" t="str">
        <f t="shared" si="21"/>
        <v/>
      </c>
      <c r="N75" s="30" t="str">
        <f t="shared" si="21"/>
        <v/>
      </c>
      <c r="O75" s="35">
        <f t="shared" si="21"/>
        <v>1</v>
      </c>
      <c r="AB75" s="40" t="str">
        <f t="shared" si="23"/>
        <v/>
      </c>
      <c r="AC75" s="15" t="str">
        <f t="shared" si="23"/>
        <v/>
      </c>
      <c r="AD75" s="15" t="str">
        <f t="shared" si="23"/>
        <v>0000000010010</v>
      </c>
      <c r="AE75" s="15" t="str">
        <f t="shared" si="23"/>
        <v/>
      </c>
      <c r="AF75" s="15" t="str">
        <f t="shared" si="23"/>
        <v/>
      </c>
      <c r="AG75" s="41" t="str">
        <f t="shared" si="23"/>
        <v>0001000000010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/>
      <c r="D76" s="30"/>
      <c r="E76" s="30" t="s">
        <v>137</v>
      </c>
      <c r="F76" s="30"/>
      <c r="G76" s="30"/>
      <c r="H76" s="35" t="s">
        <v>132</v>
      </c>
      <c r="J76" s="34" t="str">
        <f t="shared" si="21"/>
        <v/>
      </c>
      <c r="K76" s="30" t="str">
        <f t="shared" si="21"/>
        <v/>
      </c>
      <c r="L76" s="30">
        <f t="shared" si="21"/>
        <v>1</v>
      </c>
      <c r="M76" s="30" t="str">
        <f t="shared" si="21"/>
        <v/>
      </c>
      <c r="N76" s="30" t="str">
        <f t="shared" si="21"/>
        <v/>
      </c>
      <c r="O76" s="35">
        <f t="shared" si="21"/>
        <v>1</v>
      </c>
      <c r="AB76" s="40" t="str">
        <f t="shared" si="23"/>
        <v/>
      </c>
      <c r="AC76" s="15" t="str">
        <f t="shared" si="23"/>
        <v/>
      </c>
      <c r="AD76" s="15" t="str">
        <f t="shared" si="23"/>
        <v>0000010000010</v>
      </c>
      <c r="AE76" s="15" t="str">
        <f t="shared" si="23"/>
        <v/>
      </c>
      <c r="AF76" s="15" t="str">
        <f t="shared" si="23"/>
        <v/>
      </c>
      <c r="AG76" s="41" t="str">
        <f t="shared" si="23"/>
        <v>0001000000100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/>
      <c r="D77" s="30"/>
      <c r="E77" s="30" t="s">
        <v>131</v>
      </c>
      <c r="F77" s="30"/>
      <c r="G77" s="30"/>
      <c r="H77" s="35" t="s">
        <v>128</v>
      </c>
      <c r="J77" s="34" t="str">
        <f t="shared" si="21"/>
        <v/>
      </c>
      <c r="K77" s="30" t="str">
        <f t="shared" si="21"/>
        <v/>
      </c>
      <c r="L77" s="30">
        <f t="shared" si="21"/>
        <v>1</v>
      </c>
      <c r="M77" s="30" t="str">
        <f t="shared" si="21"/>
        <v/>
      </c>
      <c r="N77" s="30" t="str">
        <f t="shared" si="21"/>
        <v/>
      </c>
      <c r="O77" s="35">
        <f t="shared" si="21"/>
        <v>1</v>
      </c>
      <c r="AB77" s="40" t="str">
        <f t="shared" si="23"/>
        <v/>
      </c>
      <c r="AC77" s="15" t="str">
        <f t="shared" si="23"/>
        <v/>
      </c>
      <c r="AD77" s="15" t="str">
        <f t="shared" si="23"/>
        <v>0100010000000</v>
      </c>
      <c r="AE77" s="15" t="str">
        <f t="shared" si="23"/>
        <v/>
      </c>
      <c r="AF77" s="15" t="str">
        <f t="shared" si="23"/>
        <v/>
      </c>
      <c r="AG77" s="41" t="str">
        <f t="shared" si="23"/>
        <v>0000001000100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/>
      <c r="E78" s="30" t="s">
        <v>130</v>
      </c>
      <c r="F78" s="30"/>
      <c r="G78" s="30"/>
      <c r="H78" s="35" t="s">
        <v>136</v>
      </c>
      <c r="J78" s="34" t="str">
        <f t="shared" si="21"/>
        <v/>
      </c>
      <c r="K78" s="30" t="str">
        <f t="shared" si="21"/>
        <v/>
      </c>
      <c r="L78" s="30">
        <f t="shared" si="21"/>
        <v>1</v>
      </c>
      <c r="M78" s="30" t="str">
        <f t="shared" si="21"/>
        <v/>
      </c>
      <c r="N78" s="30" t="str">
        <f t="shared" si="21"/>
        <v/>
      </c>
      <c r="O78" s="35">
        <f t="shared" si="21"/>
        <v>1</v>
      </c>
      <c r="AB78" s="40" t="str">
        <f t="shared" si="23"/>
        <v/>
      </c>
      <c r="AC78" s="15" t="str">
        <f t="shared" si="23"/>
        <v/>
      </c>
      <c r="AD78" s="15" t="str">
        <f t="shared" si="23"/>
        <v>0100000010000</v>
      </c>
      <c r="AE78" s="15" t="str">
        <f t="shared" si="23"/>
        <v/>
      </c>
      <c r="AF78" s="15" t="str">
        <f t="shared" si="23"/>
        <v/>
      </c>
      <c r="AG78" s="41" t="str">
        <f t="shared" si="23"/>
        <v>0000101000000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/>
      <c r="E79" s="30" t="s">
        <v>131</v>
      </c>
      <c r="F79" s="30"/>
      <c r="G79" s="30"/>
      <c r="H79" s="35" t="s">
        <v>134</v>
      </c>
      <c r="J79" s="34" t="str">
        <f t="shared" si="21"/>
        <v/>
      </c>
      <c r="K79" s="30" t="str">
        <f t="shared" si="21"/>
        <v/>
      </c>
      <c r="L79" s="30">
        <f t="shared" si="21"/>
        <v>1</v>
      </c>
      <c r="M79" s="30" t="str">
        <f t="shared" si="21"/>
        <v/>
      </c>
      <c r="N79" s="30" t="str">
        <f t="shared" si="21"/>
        <v/>
      </c>
      <c r="O79" s="35">
        <f t="shared" si="21"/>
        <v>1</v>
      </c>
      <c r="AB79" s="40" t="str">
        <f t="shared" si="23"/>
        <v/>
      </c>
      <c r="AC79" s="15" t="str">
        <f t="shared" si="23"/>
        <v/>
      </c>
      <c r="AD79" s="15" t="str">
        <f t="shared" si="23"/>
        <v>0100000010000</v>
      </c>
      <c r="AE79" s="15" t="str">
        <f t="shared" si="23"/>
        <v/>
      </c>
      <c r="AF79" s="15" t="str">
        <f t="shared" si="23"/>
        <v/>
      </c>
      <c r="AG79" s="41" t="str">
        <f t="shared" si="23"/>
        <v>0001100000000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3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3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/>
      <c r="E80" s="30" t="s">
        <v>129</v>
      </c>
      <c r="F80" s="30"/>
      <c r="G80" s="30"/>
      <c r="H80" s="35" t="s">
        <v>136</v>
      </c>
      <c r="J80" s="34" t="str">
        <f t="shared" si="21"/>
        <v/>
      </c>
      <c r="K80" s="30" t="str">
        <f t="shared" si="21"/>
        <v/>
      </c>
      <c r="L80" s="30">
        <f t="shared" si="21"/>
        <v>1</v>
      </c>
      <c r="M80" s="30" t="str">
        <f t="shared" si="21"/>
        <v/>
      </c>
      <c r="N80" s="30" t="str">
        <f t="shared" si="21"/>
        <v/>
      </c>
      <c r="O80" s="35">
        <f t="shared" si="21"/>
        <v>1</v>
      </c>
      <c r="AB80" s="40" t="str">
        <f t="shared" si="23"/>
        <v/>
      </c>
      <c r="AC80" s="15" t="str">
        <f t="shared" si="23"/>
        <v/>
      </c>
      <c r="AD80" s="15" t="str">
        <f t="shared" si="23"/>
        <v>0100000001000</v>
      </c>
      <c r="AE80" s="15" t="str">
        <f t="shared" si="23"/>
        <v/>
      </c>
      <c r="AF80" s="15" t="str">
        <f t="shared" si="23"/>
        <v/>
      </c>
      <c r="AG80" s="41" t="str">
        <f t="shared" si="23"/>
        <v>0001100000000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8</v>
      </c>
      <c r="AL80" s="39" cm="1">
        <f t="array" ref="AL80">SUMPRODUCT(--(MID(AC$10:AC$135, SUMIF($Z$9:$Z$21, LEFT($AJ80,2), $Y$9:$Y$21), 1) = RIGHT($AJ80, 1)), K$10:K$135)</f>
        <v>12</v>
      </c>
      <c r="AM80" s="39" cm="1">
        <f t="array" ref="AM80">SUMPRODUCT(--(MID(AD$10:AD$135, SUMIF($Z$9:$Z$21, LEFT($AJ80,2), $Y$9:$Y$21), 1) = RIGHT($AJ80, 1)), L$10:L$135)</f>
        <v>12</v>
      </c>
      <c r="AN80" s="39" cm="1">
        <f t="array" ref="AN80">SUMPRODUCT(--(MID(AE$10:AE$135, SUMIF($Z$9:$Z$21, LEFT($AJ80,2), $Y$9:$Y$21), 1) = RIGHT($AJ80, 1)), M$10:M$135)</f>
        <v>8</v>
      </c>
      <c r="AO80" s="39" cm="1">
        <f t="array" ref="AO80">SUMPRODUCT(--(MID(AF$10:AF$135, SUMIF($Z$9:$Z$21, LEFT($AJ80,2), $Y$9:$Y$21), 1) = RIGHT($AJ80, 1)), N$10:N$135)</f>
        <v>6</v>
      </c>
      <c r="AP80" s="19" cm="1">
        <f t="array" ref="AP80">SUMPRODUCT(--(MID(AG$10:AG$135, SUMIF($Z$9:$Z$21, LEFT($AJ80,2), $Y$9:$Y$21), 1) = RIGHT($AJ80, 1)), O$10:O$135)</f>
        <v>14</v>
      </c>
    </row>
    <row r="81" spans="2:42">
      <c r="B81" s="34">
        <f t="shared" si="25"/>
        <v>71</v>
      </c>
      <c r="C81" s="30"/>
      <c r="D81" s="30"/>
      <c r="E81" s="30" t="s">
        <v>127</v>
      </c>
      <c r="F81" s="30"/>
      <c r="G81" s="30"/>
      <c r="H81" s="35" t="s">
        <v>134</v>
      </c>
      <c r="J81" s="34" t="str">
        <f t="shared" si="21"/>
        <v/>
      </c>
      <c r="K81" s="30" t="str">
        <f t="shared" si="21"/>
        <v/>
      </c>
      <c r="L81" s="30">
        <f t="shared" si="21"/>
        <v>1</v>
      </c>
      <c r="M81" s="30" t="str">
        <f t="shared" si="21"/>
        <v/>
      </c>
      <c r="N81" s="30" t="str">
        <f t="shared" si="21"/>
        <v/>
      </c>
      <c r="O81" s="35">
        <f t="shared" si="21"/>
        <v>1</v>
      </c>
      <c r="AB81" s="40" t="str">
        <f t="shared" si="23"/>
        <v/>
      </c>
      <c r="AC81" s="15" t="str">
        <f t="shared" si="23"/>
        <v/>
      </c>
      <c r="AD81" s="15" t="str">
        <f t="shared" si="23"/>
        <v>0010000001000</v>
      </c>
      <c r="AE81" s="15" t="str">
        <f t="shared" si="23"/>
        <v/>
      </c>
      <c r="AF81" s="15" t="str">
        <f t="shared" si="23"/>
        <v/>
      </c>
      <c r="AG81" s="41" t="str">
        <f t="shared" si="23"/>
        <v>0001100000000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35</v>
      </c>
      <c r="AL81" s="39" cm="1">
        <f t="array" ref="AL81">SUMPRODUCT(--(MID(AC$10:AC$135, SUMIF($Z$9:$Z$21, LEFT($AJ81,2), $Y$9:$Y$21), 1) = RIGHT($AJ81, 1)), K$10:K$135)</f>
        <v>45</v>
      </c>
      <c r="AM81" s="39" cm="1">
        <f t="array" ref="AM81">SUMPRODUCT(--(MID(AD$10:AD$135, SUMIF($Z$9:$Z$21, LEFT($AJ81,2), $Y$9:$Y$21), 1) = RIGHT($AJ81, 1)), L$10:L$135)</f>
        <v>76</v>
      </c>
      <c r="AN81" s="39" cm="1">
        <f t="array" ref="AN81">SUMPRODUCT(--(MID(AE$10:AE$135, SUMIF($Z$9:$Z$21, LEFT($AJ81,2), $Y$9:$Y$21), 1) = RIGHT($AJ81, 1)), M$10:M$135)</f>
        <v>35</v>
      </c>
      <c r="AO81" s="39" cm="1">
        <f t="array" ref="AO81">SUMPRODUCT(--(MID(AF$10:AF$135, SUMIF($Z$9:$Z$21, LEFT($AJ81,2), $Y$9:$Y$21), 1) = RIGHT($AJ81, 1)), N$10:N$135)</f>
        <v>37</v>
      </c>
      <c r="AP81" s="19" cm="1">
        <f t="array" ref="AP81">SUMPRODUCT(--(MID(AG$10:AG$135, SUMIF($Z$9:$Z$21, LEFT($AJ81,2), $Y$9:$Y$21), 1) = RIGHT($AJ81, 1)), O$10:O$135)</f>
        <v>81</v>
      </c>
    </row>
    <row r="82" spans="2:42">
      <c r="B82" s="34">
        <f t="shared" si="25"/>
        <v>72</v>
      </c>
      <c r="C82" s="30"/>
      <c r="D82" s="30"/>
      <c r="E82" s="30" t="s">
        <v>134</v>
      </c>
      <c r="F82" s="30"/>
      <c r="G82" s="30"/>
      <c r="H82" s="35" t="s">
        <v>129</v>
      </c>
      <c r="J82" s="34" t="str">
        <f t="shared" si="21"/>
        <v/>
      </c>
      <c r="K82" s="30" t="str">
        <f t="shared" si="21"/>
        <v/>
      </c>
      <c r="L82" s="30">
        <f t="shared" si="21"/>
        <v>1</v>
      </c>
      <c r="M82" s="30" t="str">
        <f t="shared" si="21"/>
        <v/>
      </c>
      <c r="N82" s="30" t="str">
        <f t="shared" si="21"/>
        <v/>
      </c>
      <c r="O82" s="35">
        <f t="shared" si="21"/>
        <v>1</v>
      </c>
      <c r="AB82" s="40" t="str">
        <f t="shared" si="23"/>
        <v/>
      </c>
      <c r="AC82" s="15" t="str">
        <f t="shared" si="23"/>
        <v/>
      </c>
      <c r="AD82" s="15" t="str">
        <f t="shared" si="23"/>
        <v>0011000000000</v>
      </c>
      <c r="AE82" s="15" t="str">
        <f t="shared" si="23"/>
        <v/>
      </c>
      <c r="AF82" s="15" t="str">
        <f t="shared" si="23"/>
        <v/>
      </c>
      <c r="AG82" s="41" t="str">
        <f t="shared" si="23"/>
        <v>0001000001000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/>
      <c r="E83" s="30" t="s">
        <v>127</v>
      </c>
      <c r="F83" s="30"/>
      <c r="G83" s="30"/>
      <c r="H83" s="35" t="s">
        <v>134</v>
      </c>
      <c r="J83" s="34" t="str">
        <f t="shared" si="21"/>
        <v/>
      </c>
      <c r="K83" s="30" t="str">
        <f t="shared" si="21"/>
        <v/>
      </c>
      <c r="L83" s="30">
        <f t="shared" si="21"/>
        <v>1</v>
      </c>
      <c r="M83" s="30" t="str">
        <f t="shared" si="21"/>
        <v/>
      </c>
      <c r="N83" s="30" t="str">
        <f t="shared" si="21"/>
        <v/>
      </c>
      <c r="O83" s="35">
        <f t="shared" si="21"/>
        <v>1</v>
      </c>
      <c r="AB83" s="40" t="str">
        <f t="shared" si="23"/>
        <v/>
      </c>
      <c r="AC83" s="15" t="str">
        <f t="shared" si="23"/>
        <v/>
      </c>
      <c r="AD83" s="15" t="str">
        <f t="shared" si="23"/>
        <v>0011000000000</v>
      </c>
      <c r="AE83" s="15" t="str">
        <f t="shared" si="23"/>
        <v/>
      </c>
      <c r="AF83" s="15" t="str">
        <f t="shared" si="23"/>
        <v/>
      </c>
      <c r="AG83" s="41" t="str">
        <f t="shared" si="23"/>
        <v>0001000001000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/>
      <c r="E84" s="30" t="s">
        <v>131</v>
      </c>
      <c r="F84" s="30"/>
      <c r="G84" s="30"/>
      <c r="H84" s="35" t="s">
        <v>130</v>
      </c>
      <c r="J84" s="34" t="str">
        <f t="shared" si="21"/>
        <v/>
      </c>
      <c r="K84" s="30" t="str">
        <f t="shared" si="21"/>
        <v/>
      </c>
      <c r="L84" s="30">
        <f t="shared" si="21"/>
        <v>1</v>
      </c>
      <c r="M84" s="30" t="str">
        <f t="shared" si="21"/>
        <v/>
      </c>
      <c r="N84" s="30" t="str">
        <f t="shared" si="21"/>
        <v/>
      </c>
      <c r="O84" s="35">
        <f t="shared" si="21"/>
        <v>1</v>
      </c>
      <c r="AB84" s="40" t="str">
        <f t="shared" si="23"/>
        <v/>
      </c>
      <c r="AC84" s="15" t="str">
        <f t="shared" si="23"/>
        <v/>
      </c>
      <c r="AD84" s="15" t="str">
        <f t="shared" si="23"/>
        <v>0110000000000</v>
      </c>
      <c r="AE84" s="15" t="str">
        <f t="shared" si="23"/>
        <v/>
      </c>
      <c r="AF84" s="15" t="str">
        <f t="shared" si="23"/>
        <v/>
      </c>
      <c r="AG84" s="41" t="str">
        <f t="shared" si="23"/>
        <v>0001000010000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/>
      <c r="E85" s="30" t="s">
        <v>137</v>
      </c>
      <c r="F85" s="30"/>
      <c r="G85" s="30"/>
      <c r="H85" s="35" t="s">
        <v>128</v>
      </c>
      <c r="J85" s="34" t="str">
        <f t="shared" si="21"/>
        <v/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 t="str">
        <f t="shared" si="21"/>
        <v/>
      </c>
      <c r="O85" s="35">
        <f t="shared" si="21"/>
        <v>1</v>
      </c>
      <c r="AB85" s="40" t="str">
        <f t="shared" si="23"/>
        <v/>
      </c>
      <c r="AC85" s="15" t="str">
        <f t="shared" si="23"/>
        <v/>
      </c>
      <c r="AD85" s="15" t="str">
        <f t="shared" si="23"/>
        <v>0100010000000</v>
      </c>
      <c r="AE85" s="15" t="str">
        <f t="shared" si="23"/>
        <v/>
      </c>
      <c r="AF85" s="15" t="str">
        <f t="shared" si="23"/>
        <v/>
      </c>
      <c r="AG85" s="41" t="str">
        <f t="shared" si="23"/>
        <v>0000001010000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/>
      <c r="E86" s="30" t="s">
        <v>127</v>
      </c>
      <c r="F86" s="30"/>
      <c r="G86" s="30"/>
      <c r="H86" s="35" t="s">
        <v>138</v>
      </c>
      <c r="J86" s="34" t="str">
        <f t="shared" si="21"/>
        <v/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 t="str">
        <f t="shared" si="21"/>
        <v/>
      </c>
      <c r="O86" s="35">
        <f t="shared" si="21"/>
        <v>1</v>
      </c>
      <c r="AB86" s="40" t="str">
        <f t="shared" si="23"/>
        <v/>
      </c>
      <c r="AC86" s="15" t="str">
        <f t="shared" si="23"/>
        <v/>
      </c>
      <c r="AD86" s="15" t="str">
        <f t="shared" si="23"/>
        <v>0010010000000</v>
      </c>
      <c r="AE86" s="15" t="str">
        <f t="shared" si="23"/>
        <v/>
      </c>
      <c r="AF86" s="15" t="str">
        <f t="shared" si="23"/>
        <v/>
      </c>
      <c r="AG86" s="41" t="str">
        <f t="shared" si="23"/>
        <v>0000001000010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/>
      <c r="E87" s="30" t="s">
        <v>134</v>
      </c>
      <c r="F87" s="30"/>
      <c r="G87" s="30"/>
      <c r="H87" s="35" t="s">
        <v>134</v>
      </c>
      <c r="J87" s="34" t="str">
        <f t="shared" si="21"/>
        <v/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 t="str">
        <f t="shared" si="21"/>
        <v/>
      </c>
      <c r="O87" s="35">
        <f t="shared" si="21"/>
        <v>1</v>
      </c>
      <c r="AB87" s="40" t="str">
        <f t="shared" si="23"/>
        <v/>
      </c>
      <c r="AC87" s="15" t="str">
        <f t="shared" si="23"/>
        <v/>
      </c>
      <c r="AD87" s="15" t="str">
        <f t="shared" si="23"/>
        <v>0011000000000</v>
      </c>
      <c r="AE87" s="15" t="str">
        <f t="shared" si="23"/>
        <v/>
      </c>
      <c r="AF87" s="15" t="str">
        <f t="shared" si="23"/>
        <v/>
      </c>
      <c r="AG87" s="41" t="str">
        <f t="shared" si="23"/>
        <v>0001000000010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/>
      <c r="E88" s="30" t="s">
        <v>127</v>
      </c>
      <c r="F88" s="30"/>
      <c r="G88" s="30"/>
      <c r="H88" s="35" t="s">
        <v>128</v>
      </c>
      <c r="J88" s="34" t="str">
        <f t="shared" si="21"/>
        <v/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 t="str">
        <f t="shared" si="21"/>
        <v/>
      </c>
      <c r="O88" s="35">
        <f t="shared" si="21"/>
        <v>1</v>
      </c>
      <c r="AB88" s="40" t="str">
        <f t="shared" si="23"/>
        <v/>
      </c>
      <c r="AC88" s="15" t="str">
        <f t="shared" si="23"/>
        <v/>
      </c>
      <c r="AD88" s="15" t="str">
        <f t="shared" si="23"/>
        <v>0011000000000</v>
      </c>
      <c r="AE88" s="15" t="str">
        <f t="shared" si="23"/>
        <v/>
      </c>
      <c r="AF88" s="15" t="str">
        <f t="shared" si="23"/>
        <v/>
      </c>
      <c r="AG88" s="41" t="str">
        <f t="shared" si="23"/>
        <v>0001001000000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6</v>
      </c>
      <c r="AL88" s="39" cm="1">
        <f t="array" ref="AL88">SUMPRODUCT(--(MID(AC$10:AC$135, SUMIF($Z$9:$Z$21, LEFT($AJ88,2), $Y$9:$Y$21), 1) = RIGHT($AJ88, 1)), K$10:K$135)</f>
        <v>10</v>
      </c>
      <c r="AM88" s="39" cm="1">
        <f t="array" ref="AM88">SUMPRODUCT(--(MID(AD$10:AD$135, SUMIF($Z$9:$Z$21, LEFT($AJ88,2), $Y$9:$Y$21), 1) = RIGHT($AJ88, 1)), L$10:L$135)</f>
        <v>16</v>
      </c>
      <c r="AN88" s="39" cm="1">
        <f t="array" ref="AN88">SUMPRODUCT(--(MID(AE$10:AE$135, SUMIF($Z$9:$Z$21, LEFT($AJ88,2), $Y$9:$Y$21), 1) = RIGHT($AJ88, 1)), M$10:M$135)</f>
        <v>10</v>
      </c>
      <c r="AO88" s="39" cm="1">
        <f t="array" ref="AO88">SUMPRODUCT(--(MID(AF$10:AF$135, SUMIF($Z$9:$Z$21, LEFT($AJ88,2), $Y$9:$Y$21), 1) = RIGHT($AJ88, 1)), N$10:N$135)</f>
        <v>8</v>
      </c>
      <c r="AP88" s="19" cm="1">
        <f t="array" ref="AP88">SUMPRODUCT(--(MID(AG$10:AG$135, SUMIF($Z$9:$Z$21, LEFT($AJ88,2), $Y$9:$Y$21), 1) = RIGHT($AJ88, 1)), O$10:O$135)</f>
        <v>22</v>
      </c>
    </row>
    <row r="89" spans="2:42">
      <c r="B89" s="34">
        <f t="shared" si="25"/>
        <v>79</v>
      </c>
      <c r="C89" s="30"/>
      <c r="D89" s="30"/>
      <c r="E89" s="30" t="s">
        <v>131</v>
      </c>
      <c r="F89" s="30"/>
      <c r="G89" s="30"/>
      <c r="H89" s="35" t="s">
        <v>134</v>
      </c>
      <c r="J89" s="34" t="str">
        <f t="shared" si="21"/>
        <v/>
      </c>
      <c r="K89" s="30" t="str">
        <f t="shared" si="21"/>
        <v/>
      </c>
      <c r="L89" s="30">
        <f t="shared" si="21"/>
        <v>1</v>
      </c>
      <c r="M89" s="30" t="str">
        <f t="shared" si="21"/>
        <v/>
      </c>
      <c r="N89" s="30" t="str">
        <f t="shared" si="21"/>
        <v/>
      </c>
      <c r="O89" s="35">
        <f t="shared" si="21"/>
        <v>1</v>
      </c>
      <c r="AB89" s="40" t="str">
        <f t="shared" si="23"/>
        <v/>
      </c>
      <c r="AC89" s="15" t="str">
        <f t="shared" si="23"/>
        <v/>
      </c>
      <c r="AD89" s="15" t="str">
        <f t="shared" si="23"/>
        <v>0110000000000</v>
      </c>
      <c r="AE89" s="15" t="str">
        <f t="shared" si="23"/>
        <v/>
      </c>
      <c r="AF89" s="15" t="str">
        <f t="shared" si="23"/>
        <v/>
      </c>
      <c r="AG89" s="41" t="str">
        <f t="shared" si="23"/>
        <v>0001001000000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37</v>
      </c>
      <c r="AL89" s="39" cm="1">
        <f t="array" ref="AL89">SUMPRODUCT(--(MID(AC$10:AC$135, SUMIF($Z$9:$Z$21, LEFT($AJ89,2), $Y$9:$Y$21), 1) = RIGHT($AJ89, 1)), K$10:K$135)</f>
        <v>48</v>
      </c>
      <c r="AM89" s="39" cm="1">
        <f t="array" ref="AM89">SUMPRODUCT(--(MID(AD$10:AD$135, SUMIF($Z$9:$Z$21, LEFT($AJ89,2), $Y$9:$Y$21), 1) = RIGHT($AJ89, 1)), L$10:L$135)</f>
        <v>72</v>
      </c>
      <c r="AN89" s="39" cm="1">
        <f t="array" ref="AN89">SUMPRODUCT(--(MID(AE$10:AE$135, SUMIF($Z$9:$Z$21, LEFT($AJ89,2), $Y$9:$Y$21), 1) = RIGHT($AJ89, 1)), M$10:M$135)</f>
        <v>34</v>
      </c>
      <c r="AO89" s="39" cm="1">
        <f t="array" ref="AO89">SUMPRODUCT(--(MID(AF$10:AF$135, SUMIF($Z$9:$Z$21, LEFT($AJ89,2), $Y$9:$Y$21), 1) = RIGHT($AJ89, 1)), N$10:N$135)</f>
        <v>35</v>
      </c>
      <c r="AP89" s="19" cm="1">
        <f t="array" ref="AP89">SUMPRODUCT(--(MID(AG$10:AG$135, SUMIF($Z$9:$Z$21, LEFT($AJ89,2), $Y$9:$Y$21), 1) = RIGHT($AJ89, 1)), O$10:O$135)</f>
        <v>73</v>
      </c>
    </row>
    <row r="90" spans="2:42">
      <c r="B90" s="34">
        <f t="shared" si="25"/>
        <v>80</v>
      </c>
      <c r="C90" s="30"/>
      <c r="D90" s="30"/>
      <c r="E90" s="30" t="s">
        <v>137</v>
      </c>
      <c r="F90" s="30"/>
      <c r="G90" s="30"/>
      <c r="H90" s="35" t="s">
        <v>132</v>
      </c>
      <c r="J90" s="34" t="str">
        <f t="shared" si="21"/>
        <v/>
      </c>
      <c r="K90" s="30" t="str">
        <f t="shared" si="21"/>
        <v/>
      </c>
      <c r="L90" s="30">
        <f t="shared" si="21"/>
        <v>1</v>
      </c>
      <c r="M90" s="30" t="str">
        <f t="shared" si="21"/>
        <v/>
      </c>
      <c r="N90" s="30" t="str">
        <f t="shared" si="21"/>
        <v/>
      </c>
      <c r="O90" s="35">
        <f t="shared" si="21"/>
        <v>1</v>
      </c>
      <c r="AB90" s="40" t="str">
        <f t="shared" si="23"/>
        <v/>
      </c>
      <c r="AC90" s="15" t="str">
        <f t="shared" si="23"/>
        <v/>
      </c>
      <c r="AD90" s="15" t="str">
        <f t="shared" si="23"/>
        <v>0100010000000</v>
      </c>
      <c r="AE90" s="15" t="str">
        <f t="shared" si="23"/>
        <v/>
      </c>
      <c r="AF90" s="15" t="str">
        <f t="shared" si="23"/>
        <v/>
      </c>
      <c r="AG90" s="41" t="str">
        <f t="shared" si="23"/>
        <v>0001000000100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/>
      <c r="E91" s="30" t="s">
        <v>128</v>
      </c>
      <c r="F91" s="30"/>
      <c r="G91" s="30"/>
      <c r="H91" s="35" t="s">
        <v>128</v>
      </c>
      <c r="J91" s="34" t="str">
        <f t="shared" si="21"/>
        <v/>
      </c>
      <c r="K91" s="30" t="str">
        <f t="shared" si="21"/>
        <v/>
      </c>
      <c r="L91" s="30">
        <f t="shared" si="21"/>
        <v>1</v>
      </c>
      <c r="M91" s="30" t="str">
        <f t="shared" si="21"/>
        <v/>
      </c>
      <c r="N91" s="30" t="str">
        <f t="shared" si="21"/>
        <v/>
      </c>
      <c r="O91" s="35">
        <f t="shared" si="21"/>
        <v>1</v>
      </c>
      <c r="AB91" s="40" t="str">
        <f t="shared" si="23"/>
        <v/>
      </c>
      <c r="AC91" s="15" t="str">
        <f t="shared" si="23"/>
        <v/>
      </c>
      <c r="AD91" s="15" t="str">
        <f t="shared" si="23"/>
        <v>0000011000000</v>
      </c>
      <c r="AE91" s="15" t="str">
        <f t="shared" si="23"/>
        <v/>
      </c>
      <c r="AF91" s="15" t="str">
        <f t="shared" si="23"/>
        <v/>
      </c>
      <c r="AG91" s="41" t="str">
        <f t="shared" si="23"/>
        <v>0000001000100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/>
      <c r="E92" s="30" t="s">
        <v>134</v>
      </c>
      <c r="F92" s="30"/>
      <c r="G92" s="30"/>
      <c r="H92" s="35" t="s">
        <v>129</v>
      </c>
      <c r="J92" s="34" t="str">
        <f t="shared" si="21"/>
        <v/>
      </c>
      <c r="K92" s="30" t="str">
        <f t="shared" si="21"/>
        <v/>
      </c>
      <c r="L92" s="30">
        <f t="shared" si="21"/>
        <v>1</v>
      </c>
      <c r="M92" s="30" t="str">
        <f t="shared" si="21"/>
        <v/>
      </c>
      <c r="N92" s="30" t="str">
        <f t="shared" si="21"/>
        <v/>
      </c>
      <c r="O92" s="35">
        <f t="shared" si="21"/>
        <v>1</v>
      </c>
      <c r="AB92" s="40" t="str">
        <f t="shared" si="23"/>
        <v/>
      </c>
      <c r="AC92" s="15" t="str">
        <f t="shared" si="23"/>
        <v/>
      </c>
      <c r="AD92" s="15" t="str">
        <f t="shared" si="23"/>
        <v>0001001000000</v>
      </c>
      <c r="AE92" s="15" t="str">
        <f t="shared" si="23"/>
        <v/>
      </c>
      <c r="AF92" s="15" t="str">
        <f t="shared" si="23"/>
        <v/>
      </c>
      <c r="AG92" s="41" t="str">
        <f t="shared" si="23"/>
        <v>0000001001000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/>
      <c r="E93" s="30" t="s">
        <v>137</v>
      </c>
      <c r="F93" s="30"/>
      <c r="G93" s="30"/>
      <c r="H93" s="35" t="s">
        <v>134</v>
      </c>
      <c r="J93" s="34" t="str">
        <f t="shared" si="21"/>
        <v/>
      </c>
      <c r="K93" s="30" t="str">
        <f t="shared" si="21"/>
        <v/>
      </c>
      <c r="L93" s="30">
        <f t="shared" si="21"/>
        <v>1</v>
      </c>
      <c r="M93" s="30" t="str">
        <f t="shared" si="21"/>
        <v/>
      </c>
      <c r="N93" s="30" t="str">
        <f t="shared" si="21"/>
        <v/>
      </c>
      <c r="O93" s="35">
        <f t="shared" si="21"/>
        <v>1</v>
      </c>
      <c r="AB93" s="40" t="str">
        <f t="shared" si="23"/>
        <v/>
      </c>
      <c r="AC93" s="15" t="str">
        <f t="shared" si="23"/>
        <v/>
      </c>
      <c r="AD93" s="15" t="str">
        <f t="shared" si="23"/>
        <v>0001010000000</v>
      </c>
      <c r="AE93" s="15" t="str">
        <f t="shared" si="23"/>
        <v/>
      </c>
      <c r="AF93" s="15" t="str">
        <f t="shared" si="23"/>
        <v/>
      </c>
      <c r="AG93" s="41" t="str">
        <f t="shared" si="23"/>
        <v>0001000001000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/>
      <c r="E94" s="30" t="s">
        <v>126</v>
      </c>
      <c r="F94" s="30"/>
      <c r="G94" s="30"/>
      <c r="H94" s="35" t="s">
        <v>128</v>
      </c>
      <c r="J94" s="34" t="str">
        <f t="shared" si="21"/>
        <v/>
      </c>
      <c r="K94" s="30" t="str">
        <f t="shared" si="21"/>
        <v/>
      </c>
      <c r="L94" s="30">
        <f t="shared" si="21"/>
        <v>1</v>
      </c>
      <c r="M94" s="30" t="str">
        <f t="shared" si="21"/>
        <v/>
      </c>
      <c r="N94" s="30" t="str">
        <f t="shared" si="21"/>
        <v/>
      </c>
      <c r="O94" s="35">
        <f t="shared" si="21"/>
        <v>1</v>
      </c>
      <c r="AB94" s="40" t="str">
        <f t="shared" si="23"/>
        <v/>
      </c>
      <c r="AC94" s="15" t="str">
        <f t="shared" si="23"/>
        <v/>
      </c>
      <c r="AD94" s="15" t="str">
        <f t="shared" si="23"/>
        <v>1111121111110</v>
      </c>
      <c r="AE94" s="15" t="str">
        <f t="shared" si="23"/>
        <v/>
      </c>
      <c r="AF94" s="15" t="str">
        <f t="shared" si="23"/>
        <v/>
      </c>
      <c r="AG94" s="41" t="str">
        <f t="shared" si="23"/>
        <v>0001001000000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/>
      <c r="E95" s="30" t="s">
        <v>133</v>
      </c>
      <c r="F95" s="30"/>
      <c r="G95" s="30"/>
      <c r="H95" s="35" t="s">
        <v>134</v>
      </c>
      <c r="J95" s="34" t="str">
        <f t="shared" si="21"/>
        <v/>
      </c>
      <c r="K95" s="30" t="str">
        <f t="shared" si="21"/>
        <v/>
      </c>
      <c r="L95" s="30">
        <f t="shared" si="21"/>
        <v>1</v>
      </c>
      <c r="M95" s="30" t="str">
        <f t="shared" si="21"/>
        <v/>
      </c>
      <c r="N95" s="30" t="str">
        <f t="shared" si="21"/>
        <v/>
      </c>
      <c r="O95" s="35">
        <f t="shared" si="21"/>
        <v>1</v>
      </c>
      <c r="AB95" s="40" t="str">
        <f t="shared" si="23"/>
        <v/>
      </c>
      <c r="AC95" s="15" t="str">
        <f t="shared" si="23"/>
        <v/>
      </c>
      <c r="AD95" s="15" t="str">
        <f t="shared" si="23"/>
        <v>1111111211110</v>
      </c>
      <c r="AE95" s="15" t="str">
        <f t="shared" si="23"/>
        <v/>
      </c>
      <c r="AF95" s="15" t="str">
        <f t="shared" si="23"/>
        <v/>
      </c>
      <c r="AG95" s="41" t="str">
        <f t="shared" si="23"/>
        <v>0001001000000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3</v>
      </c>
      <c r="AP95" s="19" cm="1">
        <f t="array" ref="AP95">SUMPRODUCT(--(MID(AG$10:AG$135, SUMIF($Z$9:$Z$21, LEFT($AJ95,2), $Y$9:$Y$21), 1) = RIGHT($AJ95, 1)), O$10:O$135)</f>
        <v>3</v>
      </c>
    </row>
    <row r="96" spans="2:42">
      <c r="B96" s="34">
        <f t="shared" si="25"/>
        <v>86</v>
      </c>
      <c r="C96" s="30"/>
      <c r="D96" s="30"/>
      <c r="E96" s="30" t="s">
        <v>134</v>
      </c>
      <c r="F96" s="30"/>
      <c r="G96" s="30"/>
      <c r="H96" s="35" t="s">
        <v>128</v>
      </c>
      <c r="J96" s="34" t="str">
        <f t="shared" si="21"/>
        <v/>
      </c>
      <c r="K96" s="30" t="str">
        <f t="shared" si="21"/>
        <v/>
      </c>
      <c r="L96" s="30">
        <f t="shared" si="21"/>
        <v>1</v>
      </c>
      <c r="M96" s="30" t="str">
        <f t="shared" si="21"/>
        <v/>
      </c>
      <c r="N96" s="30" t="str">
        <f t="shared" si="21"/>
        <v/>
      </c>
      <c r="O96" s="35">
        <f t="shared" si="21"/>
        <v>1</v>
      </c>
      <c r="AB96" s="40" t="str">
        <f t="shared" si="23"/>
        <v/>
      </c>
      <c r="AC96" s="15" t="str">
        <f t="shared" si="23"/>
        <v/>
      </c>
      <c r="AD96" s="15" t="str">
        <f t="shared" si="23"/>
        <v>0001000100000</v>
      </c>
      <c r="AE96" s="15" t="str">
        <f t="shared" si="23"/>
        <v/>
      </c>
      <c r="AF96" s="15" t="str">
        <f t="shared" si="23"/>
        <v/>
      </c>
      <c r="AG96" s="41" t="str">
        <f t="shared" si="23"/>
        <v>0001001000000</v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8</v>
      </c>
      <c r="AL96" s="39" cm="1">
        <f t="array" ref="AL96">SUMPRODUCT(--(MID(AC$10:AC$135, SUMIF($Z$9:$Z$21, LEFT($AJ96,2), $Y$9:$Y$21), 1) = RIGHT($AJ96, 1)), K$10:K$135)</f>
        <v>16</v>
      </c>
      <c r="AM96" s="39" cm="1">
        <f t="array" ref="AM96">SUMPRODUCT(--(MID(AD$10:AD$135, SUMIF($Z$9:$Z$21, LEFT($AJ96,2), $Y$9:$Y$21), 1) = RIGHT($AJ96, 1)), L$10:L$135)</f>
        <v>16</v>
      </c>
      <c r="AN96" s="39" cm="1">
        <f t="array" ref="AN96">SUMPRODUCT(--(MID(AE$10:AE$135, SUMIF($Z$9:$Z$21, LEFT($AJ96,2), $Y$9:$Y$21), 1) = RIGHT($AJ96, 1)), M$10:M$135)</f>
        <v>8</v>
      </c>
      <c r="AO96" s="39" cm="1">
        <f t="array" ref="AO96">SUMPRODUCT(--(MID(AF$10:AF$135, SUMIF($Z$9:$Z$21, LEFT($AJ96,2), $Y$9:$Y$21), 1) = RIGHT($AJ96, 1)), N$10:N$135)</f>
        <v>4</v>
      </c>
      <c r="AP96" s="19" cm="1">
        <f t="array" ref="AP96">SUMPRODUCT(--(MID(AG$10:AG$135, SUMIF($Z$9:$Z$21, LEFT($AJ96,2), $Y$9:$Y$21), 1) = RIGHT($AJ96, 1)), O$10:O$135)</f>
        <v>24</v>
      </c>
    </row>
    <row r="97" spans="2:44">
      <c r="B97" s="34">
        <f t="shared" si="25"/>
        <v>87</v>
      </c>
      <c r="C97" s="30"/>
      <c r="D97" s="30"/>
      <c r="E97" s="30" t="s">
        <v>137</v>
      </c>
      <c r="F97" s="30"/>
      <c r="G97" s="30"/>
      <c r="H97" s="35" t="s">
        <v>138</v>
      </c>
      <c r="J97" s="34" t="str">
        <f t="shared" si="21"/>
        <v/>
      </c>
      <c r="K97" s="30" t="str">
        <f t="shared" si="21"/>
        <v/>
      </c>
      <c r="L97" s="30">
        <f t="shared" si="21"/>
        <v>1</v>
      </c>
      <c r="M97" s="30" t="str">
        <f t="shared" si="21"/>
        <v/>
      </c>
      <c r="N97" s="30" t="str">
        <f t="shared" si="21"/>
        <v/>
      </c>
      <c r="O97" s="35">
        <f t="shared" si="21"/>
        <v>1</v>
      </c>
      <c r="AB97" s="40" t="str">
        <f t="shared" si="23"/>
        <v/>
      </c>
      <c r="AC97" s="15" t="str">
        <f t="shared" si="23"/>
        <v/>
      </c>
      <c r="AD97" s="15" t="str">
        <f t="shared" si="23"/>
        <v>0001010000000</v>
      </c>
      <c r="AE97" s="15" t="str">
        <f t="shared" si="23"/>
        <v/>
      </c>
      <c r="AF97" s="15" t="str">
        <f t="shared" si="23"/>
        <v/>
      </c>
      <c r="AG97" s="41" t="str">
        <f t="shared" si="23"/>
        <v>0000001000010</v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35</v>
      </c>
      <c r="AL97" s="39" cm="1">
        <f t="array" ref="AL97">SUMPRODUCT(--(MID(AC$10:AC$135, SUMIF($Z$9:$Z$21, LEFT($AJ97,2), $Y$9:$Y$21), 1) = RIGHT($AJ97, 1)), K$10:K$135)</f>
        <v>42</v>
      </c>
      <c r="AM97" s="39" cm="1">
        <f t="array" ref="AM97">SUMPRODUCT(--(MID(AD$10:AD$135, SUMIF($Z$9:$Z$21, LEFT($AJ97,2), $Y$9:$Y$21), 1) = RIGHT($AJ97, 1)), L$10:L$135)</f>
        <v>72</v>
      </c>
      <c r="AN97" s="39" cm="1">
        <f t="array" ref="AN97">SUMPRODUCT(--(MID(AE$10:AE$135, SUMIF($Z$9:$Z$21, LEFT($AJ97,2), $Y$9:$Y$21), 1) = RIGHT($AJ97, 1)), M$10:M$135)</f>
        <v>36</v>
      </c>
      <c r="AO97" s="39" cm="1">
        <f t="array" ref="AO97">SUMPRODUCT(--(MID(AF$10:AF$135, SUMIF($Z$9:$Z$21, LEFT($AJ97,2), $Y$9:$Y$21), 1) = RIGHT($AJ97, 1)), N$10:N$135)</f>
        <v>38</v>
      </c>
      <c r="AP97" s="19" cm="1">
        <f t="array" ref="AP97">SUMPRODUCT(--(MID(AG$10:AG$135, SUMIF($Z$9:$Z$21, LEFT($AJ97,2), $Y$9:$Y$21), 1) = RIGHT($AJ97, 1)), O$10:O$135)</f>
        <v>70</v>
      </c>
    </row>
    <row r="98" spans="2:44">
      <c r="B98" s="34">
        <f t="shared" si="25"/>
        <v>88</v>
      </c>
      <c r="C98" s="30"/>
      <c r="D98" s="30"/>
      <c r="E98" s="30" t="s">
        <v>138</v>
      </c>
      <c r="F98" s="30"/>
      <c r="G98" s="30"/>
      <c r="H98" s="35" t="s">
        <v>129</v>
      </c>
      <c r="J98" s="34" t="str">
        <f t="shared" si="21"/>
        <v/>
      </c>
      <c r="K98" s="30" t="str">
        <f t="shared" si="21"/>
        <v/>
      </c>
      <c r="L98" s="30">
        <f t="shared" si="21"/>
        <v>1</v>
      </c>
      <c r="M98" s="30" t="str">
        <f t="shared" si="21"/>
        <v/>
      </c>
      <c r="N98" s="30" t="str">
        <f t="shared" si="21"/>
        <v/>
      </c>
      <c r="O98" s="35">
        <f t="shared" si="21"/>
        <v>1</v>
      </c>
      <c r="AB98" s="40" t="str">
        <f t="shared" si="23"/>
        <v/>
      </c>
      <c r="AC98" s="15" t="str">
        <f t="shared" si="23"/>
        <v/>
      </c>
      <c r="AD98" s="15" t="str">
        <f t="shared" si="23"/>
        <v>0000010000010</v>
      </c>
      <c r="AE98" s="15" t="str">
        <f t="shared" si="23"/>
        <v/>
      </c>
      <c r="AF98" s="15" t="str">
        <f t="shared" si="23"/>
        <v/>
      </c>
      <c r="AG98" s="41" t="str">
        <f t="shared" si="23"/>
        <v>0000000001010</v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 t="s">
        <v>127</v>
      </c>
      <c r="F99" s="30"/>
      <c r="G99" s="30"/>
      <c r="H99" s="35" t="s">
        <v>130</v>
      </c>
      <c r="J99" s="34" t="str">
        <f t="shared" si="21"/>
        <v/>
      </c>
      <c r="K99" s="30" t="str">
        <f t="shared" si="21"/>
        <v/>
      </c>
      <c r="L99" s="30">
        <f t="shared" si="21"/>
        <v>1</v>
      </c>
      <c r="M99" s="30" t="str">
        <f t="shared" si="21"/>
        <v/>
      </c>
      <c r="N99" s="30" t="str">
        <f t="shared" si="21"/>
        <v/>
      </c>
      <c r="O99" s="35">
        <f t="shared" si="21"/>
        <v>1</v>
      </c>
      <c r="AB99" s="40" t="str">
        <f t="shared" si="23"/>
        <v/>
      </c>
      <c r="AC99" s="15" t="str">
        <f t="shared" si="23"/>
        <v/>
      </c>
      <c r="AD99" s="15" t="str">
        <f t="shared" si="23"/>
        <v>0010000000010</v>
      </c>
      <c r="AE99" s="15" t="str">
        <f t="shared" si="23"/>
        <v/>
      </c>
      <c r="AF99" s="15" t="str">
        <f t="shared" si="23"/>
        <v/>
      </c>
      <c r="AG99" s="41" t="str">
        <f t="shared" si="23"/>
        <v>0000000011000</v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/>
      <c r="H100" s="35" t="s">
        <v>134</v>
      </c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>
        <f t="shared" si="21"/>
        <v>1</v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>0001000010000</v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 t="s">
        <v>132</v>
      </c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>
        <f t="shared" si="21"/>
        <v>1</v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>0001000000100</v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 t="s">
        <v>138</v>
      </c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>
        <f t="shared" si="30"/>
        <v>1</v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>0000000000110</v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 t="s">
        <v>132</v>
      </c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>
        <f t="shared" si="30"/>
        <v>1</v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>0000000000110</v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 t="s">
        <v>138</v>
      </c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>
        <f t="shared" si="30"/>
        <v>1</v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>0000000000110</v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 t="s">
        <v>132</v>
      </c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>
        <f t="shared" si="30"/>
        <v>1</v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>0000000000110</v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45</v>
      </c>
      <c r="AL105" s="39" cm="1">
        <f t="array" ref="AL105">SUMPRODUCT(--(MID(AC$10:AC$135, SUMIF($Z$9:$Z$21, LEFT($AJ105,2), $Y$9:$Y$21), 1) = RIGHT($AJ105, 1)), K$10:K$135)</f>
        <v>60</v>
      </c>
      <c r="AM105" s="39" cm="1">
        <f t="array" ref="AM105">SUMPRODUCT(--(MID(AD$10:AD$135, SUMIF($Z$9:$Z$21, LEFT($AJ105,2), $Y$9:$Y$21), 1) = RIGHT($AJ105, 1)), L$10:L$135)</f>
        <v>90</v>
      </c>
      <c r="AN105" s="39" cm="1">
        <f t="array" ref="AN105">SUMPRODUCT(--(MID(AE$10:AE$135, SUMIF($Z$9:$Z$21, LEFT($AJ105,2), $Y$9:$Y$21), 1) = RIGHT($AJ105, 1)), M$10:M$135)</f>
        <v>46</v>
      </c>
      <c r="AO105" s="39" cm="1">
        <f t="array" ref="AO105">SUMPRODUCT(--(MID(AF$10:AF$135, SUMIF($Z$9:$Z$21, LEFT($AJ105,2), $Y$9:$Y$21), 1) = RIGHT($AJ105, 1)), N$10:N$135)</f>
        <v>45</v>
      </c>
      <c r="AP105" s="19" cm="1">
        <f t="array" ref="AP105">SUMPRODUCT(--(MID(AG$10:AG$135, SUMIF($Z$9:$Z$21, LEFT($AJ105,2), $Y$9:$Y$21), 1) = RIGHT($AJ105, 1)), O$10:O$135)</f>
        <v>97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 t="s">
        <v>136</v>
      </c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>
        <f t="shared" si="30"/>
        <v>1</v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>0000100000100</v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6</v>
      </c>
      <c r="AM112" s="39" cm="1">
        <f t="array" ref="AM112">SUMPRODUCT(--(MID(AD$10:AD$135, SUMIF($Z$9:$Z$21, LEFT($AJ112,2), $Y$9:$Y$21), 1) = RIGHT($AJ112, 1)), L$10:L$135)</f>
        <v>4</v>
      </c>
      <c r="AN112" s="39" cm="1">
        <f t="array" ref="AN112">SUMPRODUCT(--(MID(AE$10:AE$135, SUMIF($Z$9:$Z$21, LEFT($AJ112,2), $Y$9:$Y$21), 1) = RIGHT($AJ112, 1)), M$10:M$135)</f>
        <v>4</v>
      </c>
      <c r="AO112" s="39" cm="1">
        <f t="array" ref="AO112">SUMPRODUCT(--(MID(AF$10:AF$135, SUMIF($Z$9:$Z$21, LEFT($AJ112,2), $Y$9:$Y$21), 1) = RIGHT($AJ112, 1)), N$10:N$135)</f>
        <v>2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45</v>
      </c>
      <c r="AL113" s="17" cm="1">
        <f t="array" ref="AL113">SUMPRODUCT(--(MID(AC$10:AC$135, SUMIF($Z$9:$Z$21, LEFT($AJ113,2), $Y$9:$Y$21), 1) = RIGHT($AJ113, 1)), K$10:K$135)</f>
        <v>54</v>
      </c>
      <c r="AM113" s="17" cm="1">
        <f t="array" ref="AM113">SUMPRODUCT(--(MID(AD$10:AD$135, SUMIF($Z$9:$Z$21, LEFT($AJ113,2), $Y$9:$Y$21), 1) = RIGHT($AJ113, 1)), L$10:L$135)</f>
        <v>86</v>
      </c>
      <c r="AN113" s="17" cm="1">
        <f t="array" ref="AN113">SUMPRODUCT(--(MID(AE$10:AE$135, SUMIF($Z$9:$Z$21, LEFT($AJ113,2), $Y$9:$Y$21), 1) = RIGHT($AJ113, 1)), M$10:M$135)</f>
        <v>42</v>
      </c>
      <c r="AO113" s="17" cm="1">
        <f t="array" ref="AO113">SUMPRODUCT(--(MID(AF$10:AF$135, SUMIF($Z$9:$Z$21, LEFT($AJ113,2), $Y$9:$Y$21), 1) = RIGHT($AJ113, 1)), N$10:N$135)</f>
        <v>43</v>
      </c>
      <c r="AP113" s="16" cm="1">
        <f t="array" ref="AP113">SUMPRODUCT(--(MID(AG$10:AG$135, SUMIF($Z$9:$Z$21, LEFT($AJ113,2), $Y$9:$Y$21), 1) = RIGHT($AJ113, 1)), O$10:O$135)</f>
        <v>97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27" priority="1" operator="equal">
      <formula>"WC"</formula>
    </cfRule>
    <cfRule type="cellIs" dxfId="26" priority="2" operator="equal">
      <formula>"FG"</formula>
    </cfRule>
  </conditionalFormatting>
  <conditionalFormatting sqref="J3:O3">
    <cfRule type="cellIs" dxfId="25" priority="3" operator="equal">
      <formula>$E$24</formula>
    </cfRule>
    <cfRule type="cellIs" dxfId="24" priority="4" operator="equal">
      <formula>$C$20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8CA6-8707-488F-A722-FAEA869ADA5C}">
  <dimension ref="B2:BL135"/>
  <sheetViews>
    <sheetView zoomScale="91" zoomScaleNormal="84" workbookViewId="0">
      <selection activeCell="H10" sqref="H10:H106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'BG Calc'!K26</f>
        <v>2</v>
      </c>
      <c r="S3" s="37">
        <f>'BG Calc'!L26</f>
        <v>2</v>
      </c>
      <c r="T3" s="37">
        <f>'BG Calc'!M26</f>
        <v>2</v>
      </c>
      <c r="U3" s="37">
        <f>'BG Calc'!N26</f>
        <v>2</v>
      </c>
      <c r="V3" s="37">
        <f>'BG Calc'!O26</f>
        <v>2</v>
      </c>
      <c r="W3" s="38">
        <f>'BG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CC</v>
      </c>
      <c r="D4" s="32" t="str">
        <f t="shared" si="1"/>
        <v>HH</v>
      </c>
      <c r="E4" s="32" t="str">
        <f t="shared" si="1"/>
        <v>CC</v>
      </c>
      <c r="F4" s="32" t="str">
        <f t="shared" si="1"/>
        <v>KK</v>
      </c>
      <c r="G4" s="32" t="str">
        <f t="shared" si="1"/>
        <v>GG</v>
      </c>
      <c r="H4" s="33" t="str">
        <f t="shared" si="1"/>
        <v>BB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AA</v>
      </c>
      <c r="D5" s="30" t="str">
        <f t="shared" si="1"/>
        <v>KK</v>
      </c>
      <c r="E5" s="30" t="str">
        <f t="shared" si="1"/>
        <v>BB</v>
      </c>
      <c r="F5" s="30" t="str">
        <f t="shared" si="1"/>
        <v>GG</v>
      </c>
      <c r="G5" s="30" t="str">
        <f t="shared" si="1"/>
        <v>CC</v>
      </c>
      <c r="H5" s="35" t="str">
        <f t="shared" si="1"/>
        <v>DD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EE</v>
      </c>
      <c r="D6" s="30" t="str">
        <f t="shared" si="1"/>
        <v>GG</v>
      </c>
      <c r="E6" s="30" t="str">
        <f t="shared" si="1"/>
        <v>LL</v>
      </c>
      <c r="F6" s="30" t="str">
        <f t="shared" si="1"/>
        <v>JJ</v>
      </c>
      <c r="G6" s="30" t="str">
        <f t="shared" si="1"/>
        <v>GG</v>
      </c>
      <c r="H6" s="35" t="str">
        <f t="shared" si="1"/>
        <v>GG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DD</v>
      </c>
      <c r="D7" s="30" t="str">
        <f t="shared" si="1"/>
        <v>LL</v>
      </c>
      <c r="E7" s="30" t="str">
        <f t="shared" si="1"/>
        <v>BB</v>
      </c>
      <c r="F7" s="30" t="str">
        <f t="shared" si="1"/>
        <v>HH</v>
      </c>
      <c r="G7" s="30" t="str">
        <f t="shared" si="1"/>
        <v>LL</v>
      </c>
      <c r="H7" s="35" t="str">
        <f t="shared" si="1"/>
        <v>BB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BB</v>
      </c>
      <c r="D8" s="30" t="str">
        <f t="shared" si="1"/>
        <v>JJ</v>
      </c>
      <c r="E8" s="30" t="str">
        <f t="shared" si="1"/>
        <v>JJ</v>
      </c>
      <c r="F8" s="30" t="str">
        <f t="shared" si="1"/>
        <v>AA</v>
      </c>
      <c r="G8" s="30" t="str">
        <f t="shared" si="1"/>
        <v>BB</v>
      </c>
      <c r="H8" s="35" t="str">
        <f t="shared" si="1"/>
        <v>CC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FF</v>
      </c>
      <c r="D9" s="37" t="str">
        <f t="shared" si="1"/>
        <v>AA</v>
      </c>
      <c r="E9" s="37" t="str">
        <f t="shared" si="1"/>
        <v>LL</v>
      </c>
      <c r="F9" s="37" t="str">
        <f t="shared" si="1"/>
        <v>CC</v>
      </c>
      <c r="G9" s="37" t="str">
        <f t="shared" si="1"/>
        <v>HH</v>
      </c>
      <c r="H9" s="38" t="str">
        <f t="shared" si="1"/>
        <v>DD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138</v>
      </c>
      <c r="D10" s="30" t="s">
        <v>137</v>
      </c>
      <c r="E10" s="30" t="s">
        <v>131</v>
      </c>
      <c r="F10" s="30" t="s">
        <v>127</v>
      </c>
      <c r="G10" s="30" t="s">
        <v>136</v>
      </c>
      <c r="H10" s="35" t="s">
        <v>137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3</v>
      </c>
      <c r="T10" s="30">
        <f t="shared" si="5"/>
        <v>1</v>
      </c>
      <c r="U10" s="30">
        <f t="shared" si="5"/>
        <v>1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0000001000010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0100010000000</v>
      </c>
      <c r="AD10" s="15" t="str">
        <f t="shared" si="7"/>
        <v>0100000000010</v>
      </c>
      <c r="AE10" s="15" t="str">
        <f t="shared" si="7"/>
        <v>0011000000000</v>
      </c>
      <c r="AF10" s="15" t="str">
        <f t="shared" si="7"/>
        <v>0000100010000</v>
      </c>
      <c r="AG10" s="41" t="str">
        <f t="shared" si="7"/>
        <v>0000110000000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6</v>
      </c>
      <c r="AU10" s="30" cm="1">
        <f t="array" ref="AU10">SUMPRODUCT($AI$10:$AI$113,AM$10:AM$113,IF(LEFT($AJ$10:$AJ$113,2)=$AR10,1,0))</f>
        <v>2</v>
      </c>
      <c r="AV10" s="30" cm="1">
        <f t="array" ref="AV10">SUMPRODUCT($AI$10:$AI$113,AN$10:AN$113,IF(LEFT($AJ$10:$AJ$113,2)=$AR10,1,0))</f>
        <v>2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129</v>
      </c>
      <c r="D11" s="30" t="s">
        <v>136</v>
      </c>
      <c r="E11" s="30" t="s">
        <v>131</v>
      </c>
      <c r="F11" s="30" t="s">
        <v>127</v>
      </c>
      <c r="G11" s="30" t="s">
        <v>131</v>
      </c>
      <c r="H11" s="35" t="s">
        <v>132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13</v>
      </c>
      <c r="S11" s="30">
        <f t="shared" si="5"/>
        <v>7</v>
      </c>
      <c r="T11" s="30">
        <f t="shared" si="5"/>
        <v>4</v>
      </c>
      <c r="U11" s="30">
        <f t="shared" si="5"/>
        <v>9</v>
      </c>
      <c r="V11" s="30">
        <f t="shared" si="5"/>
        <v>4</v>
      </c>
      <c r="W11" s="35">
        <f t="shared" si="5"/>
        <v>12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0000000001010</v>
      </c>
      <c r="AC11" s="15" t="str">
        <f t="shared" si="7"/>
        <v>0000110000000</v>
      </c>
      <c r="AD11" s="15" t="str">
        <f t="shared" si="7"/>
        <v>0200000000000</v>
      </c>
      <c r="AE11" s="15" t="str">
        <f t="shared" si="7"/>
        <v>0020000000000</v>
      </c>
      <c r="AF11" s="15" t="str">
        <f t="shared" si="7"/>
        <v>0100100000000</v>
      </c>
      <c r="AG11" s="41" t="str">
        <f t="shared" si="7"/>
        <v>0000010000100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26</v>
      </c>
      <c r="AT11" s="30" cm="1">
        <f t="array" ref="AT11">SUMPRODUCT($AI$10:$AI$113,AL$10:AL$113,IF(LEFT($AJ$10:$AJ$113,2)=$AR11,1,0))</f>
        <v>20</v>
      </c>
      <c r="AU11" s="30" cm="1">
        <f t="array" ref="AU11">SUMPRODUCT($AI$10:$AI$113,AM$10:AM$113,IF(LEFT($AJ$10:$AJ$113,2)=$AR11,1,0))</f>
        <v>10</v>
      </c>
      <c r="AV11" s="30" cm="1">
        <f t="array" ref="AV11">SUMPRODUCT($AI$10:$AI$113,AN$10:AN$113,IF(LEFT($AJ$10:$AJ$113,2)=$AR11,1,0))</f>
        <v>20</v>
      </c>
      <c r="AW11" s="30" cm="1">
        <f t="array" ref="AW11">SUMPRODUCT($AI$10:$AI$113,AO$10:AO$113,IF(LEFT($AJ$10:$AJ$113,2)=$AR11,1,0))</f>
        <v>8</v>
      </c>
      <c r="AX11" s="35" cm="1">
        <f t="array" ref="AX11">SUMPRODUCT($AI$10:$AI$113,AP$10:AP$113,IF(LEFT($AJ$10:$AJ$113,2)=$AR11,1,0))</f>
        <v>24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134</v>
      </c>
      <c r="D12" s="30" t="s">
        <v>130</v>
      </c>
      <c r="E12" s="30" t="s">
        <v>131</v>
      </c>
      <c r="F12" s="30" t="s">
        <v>127</v>
      </c>
      <c r="G12" s="30" t="s">
        <v>128</v>
      </c>
      <c r="H12" s="35" t="s">
        <v>131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9</v>
      </c>
      <c r="S12" s="30">
        <f t="shared" si="5"/>
        <v>5</v>
      </c>
      <c r="T12" s="30">
        <f t="shared" si="5"/>
        <v>11</v>
      </c>
      <c r="U12" s="30">
        <f t="shared" si="5"/>
        <v>4</v>
      </c>
      <c r="V12" s="30">
        <f t="shared" si="5"/>
        <v>12</v>
      </c>
      <c r="W12" s="35">
        <f t="shared" si="5"/>
        <v>12</v>
      </c>
      <c r="Y12" s="20">
        <f t="shared" si="6"/>
        <v>4</v>
      </c>
      <c r="Z12" s="23" t="s">
        <v>134</v>
      </c>
      <c r="AB12" s="40" t="str">
        <f t="shared" si="11"/>
        <v>0001000001000</v>
      </c>
      <c r="AC12" s="15" t="str">
        <f t="shared" si="7"/>
        <v>0000100010000</v>
      </c>
      <c r="AD12" s="15" t="str">
        <f t="shared" si="7"/>
        <v>0200000000000</v>
      </c>
      <c r="AE12" s="15" t="str">
        <f t="shared" si="7"/>
        <v>0020000000000</v>
      </c>
      <c r="AF12" s="15" t="str">
        <f t="shared" si="7"/>
        <v>0100001000000</v>
      </c>
      <c r="AG12" s="41" t="str">
        <f t="shared" si="7"/>
        <v>0100000000100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18</v>
      </c>
      <c r="AT12" s="30" cm="1">
        <f t="array" ref="AT12">SUMPRODUCT($AI$10:$AI$113,AL$10:AL$113,IF(LEFT($AJ$10:$AJ$113,2)=$AR12,1,0))</f>
        <v>16</v>
      </c>
      <c r="AU12" s="30" cm="1">
        <f t="array" ref="AU12">SUMPRODUCT($AI$10:$AI$113,AM$10:AM$113,IF(LEFT($AJ$10:$AJ$113,2)=$AR12,1,0))</f>
        <v>24</v>
      </c>
      <c r="AV12" s="30" cm="1">
        <f t="array" ref="AV12">SUMPRODUCT($AI$10:$AI$113,AN$10:AN$113,IF(LEFT($AJ$10:$AJ$113,2)=$AR12,1,0))</f>
        <v>10</v>
      </c>
      <c r="AW12" s="30" cm="1">
        <f t="array" ref="AW12">SUMPRODUCT($AI$10:$AI$113,AO$10:AO$113,IF(LEFT($AJ$10:$AJ$113,2)=$AR12,1,0))</f>
        <v>24</v>
      </c>
      <c r="AX12" s="35" cm="1">
        <f t="array" ref="AX12">SUMPRODUCT($AI$10:$AI$113,AP$10:AP$113,IF(LEFT($AJ$10:$AJ$113,2)=$AR12,1,0))</f>
        <v>24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136</v>
      </c>
      <c r="D13" s="30" t="s">
        <v>138</v>
      </c>
      <c r="E13" s="30" t="s">
        <v>129</v>
      </c>
      <c r="F13" s="30" t="s">
        <v>131</v>
      </c>
      <c r="G13" s="30" t="s">
        <v>132</v>
      </c>
      <c r="H13" s="35" t="s">
        <v>138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10</v>
      </c>
      <c r="S13" s="30">
        <f t="shared" si="5"/>
        <v>7</v>
      </c>
      <c r="T13" s="30">
        <f t="shared" si="5"/>
        <v>7</v>
      </c>
      <c r="U13" s="30">
        <f t="shared" si="5"/>
        <v>8</v>
      </c>
      <c r="V13" s="30">
        <f t="shared" si="5"/>
        <v>23</v>
      </c>
      <c r="W13" s="35">
        <f t="shared" si="5"/>
        <v>16</v>
      </c>
      <c r="Y13" s="20">
        <f t="shared" si="6"/>
        <v>5</v>
      </c>
      <c r="Z13" s="23" t="s">
        <v>136</v>
      </c>
      <c r="AB13" s="40" t="str">
        <f t="shared" si="11"/>
        <v>0001100000000</v>
      </c>
      <c r="AC13" s="15" t="str">
        <f t="shared" si="7"/>
        <v>0000000010010</v>
      </c>
      <c r="AD13" s="15" t="str">
        <f t="shared" si="7"/>
        <v>0100000001000</v>
      </c>
      <c r="AE13" s="15" t="str">
        <f t="shared" si="7"/>
        <v>0110000000000</v>
      </c>
      <c r="AF13" s="15" t="str">
        <f t="shared" si="7"/>
        <v>0000001000100</v>
      </c>
      <c r="AG13" s="41" t="str">
        <f t="shared" si="7"/>
        <v>0100000000010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20</v>
      </c>
      <c r="AT13" s="30" cm="1">
        <f t="array" ref="AT13">SUMPRODUCT($AI$10:$AI$113,AL$10:AL$113,IF(LEFT($AJ$10:$AJ$113,2)=$AR13,1,0))</f>
        <v>20</v>
      </c>
      <c r="AU13" s="30" cm="1">
        <f t="array" ref="AU13">SUMPRODUCT($AI$10:$AI$113,AM$10:AM$113,IF(LEFT($AJ$10:$AJ$113,2)=$AR13,1,0))</f>
        <v>16</v>
      </c>
      <c r="AV13" s="30" cm="1">
        <f t="array" ref="AV13">SUMPRODUCT($AI$10:$AI$113,AN$10:AN$113,IF(LEFT($AJ$10:$AJ$113,2)=$AR13,1,0))</f>
        <v>18</v>
      </c>
      <c r="AW13" s="30" cm="1">
        <f t="array" ref="AW13">SUMPRODUCT($AI$10:$AI$113,AO$10:AO$113,IF(LEFT($AJ$10:$AJ$113,2)=$AR13,1,0))</f>
        <v>46</v>
      </c>
      <c r="AX13" s="35" cm="1">
        <f t="array" ref="AX13">SUMPRODUCT($AI$10:$AI$113,AP$10:AP$113,IF(LEFT($AJ$10:$AJ$113,2)=$AR13,1,0))</f>
        <v>32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128</v>
      </c>
      <c r="D14" s="30" t="s">
        <v>138</v>
      </c>
      <c r="E14" s="30" t="s">
        <v>137</v>
      </c>
      <c r="F14" s="30" t="s">
        <v>137</v>
      </c>
      <c r="G14" s="30" t="s">
        <v>127</v>
      </c>
      <c r="H14" s="35" t="s">
        <v>128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4</v>
      </c>
      <c r="S14" s="30">
        <f t="shared" si="5"/>
        <v>1</v>
      </c>
      <c r="T14" s="30">
        <f t="shared" si="5"/>
        <v>1</v>
      </c>
      <c r="U14" s="30">
        <f t="shared" si="5"/>
        <v>2</v>
      </c>
      <c r="V14" s="30">
        <f t="shared" si="5"/>
        <v>1</v>
      </c>
      <c r="W14" s="35">
        <f t="shared" si="5"/>
        <v>27</v>
      </c>
      <c r="Y14" s="20">
        <f t="shared" si="6"/>
        <v>6</v>
      </c>
      <c r="Z14" s="23" t="s">
        <v>137</v>
      </c>
      <c r="AB14" s="40" t="str">
        <f t="shared" si="11"/>
        <v>0000101000000</v>
      </c>
      <c r="AC14" s="15" t="str">
        <f t="shared" si="7"/>
        <v>0000000000020</v>
      </c>
      <c r="AD14" s="15" t="str">
        <f t="shared" si="7"/>
        <v>0000010001000</v>
      </c>
      <c r="AE14" s="15" t="str">
        <f t="shared" si="7"/>
        <v>0100010000000</v>
      </c>
      <c r="AF14" s="15" t="str">
        <f t="shared" si="7"/>
        <v>0010000000100</v>
      </c>
      <c r="AG14" s="41" t="str">
        <f t="shared" si="7"/>
        <v>0000001000010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8</v>
      </c>
      <c r="AT14" s="30" cm="1">
        <f t="array" ref="AT14">SUMPRODUCT($AI$10:$AI$113,AL$10:AL$113,IF(LEFT($AJ$10:$AJ$113,2)=$AR14,1,0))</f>
        <v>8</v>
      </c>
      <c r="AU14" s="30" cm="1">
        <f t="array" ref="AU14">SUMPRODUCT($AI$10:$AI$113,AM$10:AM$113,IF(LEFT($AJ$10:$AJ$113,2)=$AR14,1,0))</f>
        <v>4</v>
      </c>
      <c r="AV14" s="30" cm="1">
        <f t="array" ref="AV14">SUMPRODUCT($AI$10:$AI$113,AN$10:AN$113,IF(LEFT($AJ$10:$AJ$113,2)=$AR14,1,0))</f>
        <v>6</v>
      </c>
      <c r="AW14" s="30" cm="1">
        <f t="array" ref="AW14">SUMPRODUCT($AI$10:$AI$113,AO$10:AO$113,IF(LEFT($AJ$10:$AJ$113,2)=$AR14,1,0))</f>
        <v>2</v>
      </c>
      <c r="AX14" s="35" cm="1">
        <f t="array" ref="AX14">SUMPRODUCT($AI$10:$AI$113,AP$10:AP$113,IF(LEFT($AJ$10:$AJ$113,2)=$AR14,1,0))</f>
        <v>54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138</v>
      </c>
      <c r="D15" s="30" t="s">
        <v>138</v>
      </c>
      <c r="E15" s="30" t="s">
        <v>138</v>
      </c>
      <c r="F15" s="30" t="s">
        <v>133</v>
      </c>
      <c r="G15" s="30" t="s">
        <v>134</v>
      </c>
      <c r="H15" s="35" t="s">
        <v>130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8</v>
      </c>
      <c r="S15" s="30">
        <f t="shared" si="5"/>
        <v>4</v>
      </c>
      <c r="T15" s="30">
        <f t="shared" si="5"/>
        <v>1</v>
      </c>
      <c r="U15" s="30">
        <f t="shared" si="5"/>
        <v>11</v>
      </c>
      <c r="V15" s="30">
        <f t="shared" si="5"/>
        <v>1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0000001000010</v>
      </c>
      <c r="AC15" s="15" t="str">
        <f t="shared" si="7"/>
        <v>0000000000020</v>
      </c>
      <c r="AD15" s="15" t="str">
        <f t="shared" si="7"/>
        <v>0000010000010</v>
      </c>
      <c r="AE15" s="15" t="str">
        <f t="shared" si="7"/>
        <v>0000010100000</v>
      </c>
      <c r="AF15" s="15" t="str">
        <f t="shared" si="7"/>
        <v>0011000000000</v>
      </c>
      <c r="AG15" s="41" t="str">
        <f t="shared" si="7"/>
        <v>0000001010000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3</v>
      </c>
      <c r="AM15" s="39" cm="1">
        <f t="array" ref="AM15">SUMPRODUCT(--(MID(AD$10:AD$135, SUMIF($Z$9:$Z$21, LEFT($AJ15,2), $Y$9:$Y$21), 1) = RIGHT($AJ15, 1)), L$10:L$135)</f>
        <v>2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0</v>
      </c>
      <c r="AP15" s="19" cm="1">
        <f t="array" ref="AP15">SUMPRODUCT(--(MID(AG$10:AG$135, SUMIF($Z$9:$Z$21, LEFT($AJ15,2), $Y$9:$Y$21), 1) = RIGHT($AJ15, 1)), O$10:O$135)</f>
        <v>0</v>
      </c>
      <c r="AR15" s="34" t="str">
        <f t="shared" si="8"/>
        <v>EE</v>
      </c>
      <c r="AS15" s="30" cm="1">
        <f t="array" ref="AS15">SUMPRODUCT($AI$10:$AI$113,AK$10:AK$113,IF(LEFT($AJ$10:$AJ$113,2)=$AR15,1,0))</f>
        <v>16</v>
      </c>
      <c r="AT15" s="30" cm="1">
        <f t="array" ref="AT15">SUMPRODUCT($AI$10:$AI$113,AL$10:AL$113,IF(LEFT($AJ$10:$AJ$113,2)=$AR15,1,0))</f>
        <v>14</v>
      </c>
      <c r="AU15" s="30" cm="1">
        <f t="array" ref="AU15">SUMPRODUCT($AI$10:$AI$113,AM$10:AM$113,IF(LEFT($AJ$10:$AJ$113,2)=$AR15,1,0))</f>
        <v>4</v>
      </c>
      <c r="AV15" s="30" cm="1">
        <f t="array" ref="AV15">SUMPRODUCT($AI$10:$AI$113,AN$10:AN$113,IF(LEFT($AJ$10:$AJ$113,2)=$AR15,1,0))</f>
        <v>24</v>
      </c>
      <c r="AW15" s="30" cm="1">
        <f t="array" ref="AW15">SUMPRODUCT($AI$10:$AI$113,AO$10:AO$113,IF(LEFT($AJ$10:$AJ$113,2)=$AR15,1,0))</f>
        <v>2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138</v>
      </c>
      <c r="D16" s="30" t="s">
        <v>138</v>
      </c>
      <c r="E16" s="30" t="s">
        <v>138</v>
      </c>
      <c r="F16" s="30" t="s">
        <v>133</v>
      </c>
      <c r="G16" s="30" t="s">
        <v>130</v>
      </c>
      <c r="H16" s="35" t="s">
        <v>136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7</v>
      </c>
      <c r="S16" s="30">
        <f t="shared" si="5"/>
        <v>5</v>
      </c>
      <c r="T16" s="30">
        <f t="shared" si="5"/>
        <v>7</v>
      </c>
      <c r="U16" s="30">
        <f t="shared" si="5"/>
        <v>7</v>
      </c>
      <c r="V16" s="30">
        <f t="shared" si="5"/>
        <v>5</v>
      </c>
      <c r="W16" s="35">
        <f t="shared" si="5"/>
        <v>1</v>
      </c>
      <c r="Y16" s="20">
        <f t="shared" si="6"/>
        <v>8</v>
      </c>
      <c r="Z16" s="23" t="s">
        <v>133</v>
      </c>
      <c r="AB16" s="40" t="str">
        <f t="shared" si="11"/>
        <v>0000000000020</v>
      </c>
      <c r="AC16" s="15" t="str">
        <f t="shared" si="7"/>
        <v>0000000000020</v>
      </c>
      <c r="AD16" s="15" t="str">
        <f t="shared" si="7"/>
        <v>0000000000020</v>
      </c>
      <c r="AE16" s="15" t="str">
        <f t="shared" si="7"/>
        <v>0000000200000</v>
      </c>
      <c r="AF16" s="15" t="str">
        <f t="shared" si="7"/>
        <v>0001000010000</v>
      </c>
      <c r="AG16" s="41" t="str">
        <f t="shared" si="7"/>
        <v>0000100010000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22</v>
      </c>
      <c r="AL16" s="39" cm="1">
        <f t="array" ref="AL16">SUMPRODUCT(--(MID(AC$10:AC$135, SUMIF($Z$9:$Z$21, LEFT($AJ16,2), $Y$9:$Y$21), 1) = RIGHT($AJ16, 1)), K$10:K$135)</f>
        <v>14</v>
      </c>
      <c r="AM16" s="39" cm="1">
        <f t="array" ref="AM16">SUMPRODUCT(--(MID(AD$10:AD$135, SUMIF($Z$9:$Z$21, LEFT($AJ16,2), $Y$9:$Y$21), 1) = RIGHT($AJ16, 1)), L$10:L$135)</f>
        <v>6</v>
      </c>
      <c r="AN16" s="39" cm="1">
        <f t="array" ref="AN16">SUMPRODUCT(--(MID(AE$10:AE$135, SUMIF($Z$9:$Z$21, LEFT($AJ16,2), $Y$9:$Y$21), 1) = RIGHT($AJ16, 1)), M$10:M$135)</f>
        <v>16</v>
      </c>
      <c r="AO16" s="39" cm="1">
        <f t="array" ref="AO16">SUMPRODUCT(--(MID(AF$10:AF$135, SUMIF($Z$9:$Z$21, LEFT($AJ16,2), $Y$9:$Y$21), 1) = RIGHT($AJ16, 1)), N$10:N$135)</f>
        <v>8</v>
      </c>
      <c r="AP16" s="19" cm="1">
        <f t="array" ref="AP16">SUMPRODUCT(--(MID(AG$10:AG$135, SUMIF($Z$9:$Z$21, LEFT($AJ16,2), $Y$9:$Y$21), 1) = RIGHT($AJ16, 1)), O$10:O$135)</f>
        <v>24</v>
      </c>
      <c r="AR16" s="34" t="str">
        <f t="shared" si="8"/>
        <v>FF</v>
      </c>
      <c r="AS16" s="30" cm="1">
        <f t="array" ref="AS16">SUMPRODUCT($AI$10:$AI$113,AK$10:AK$113,IF(LEFT($AJ$10:$AJ$113,2)=$AR16,1,0))</f>
        <v>14</v>
      </c>
      <c r="AT16" s="30" cm="1">
        <f t="array" ref="AT16">SUMPRODUCT($AI$10:$AI$113,AL$10:AL$113,IF(LEFT($AJ$10:$AJ$113,2)=$AR16,1,0))</f>
        <v>16</v>
      </c>
      <c r="AU16" s="30" cm="1">
        <f t="array" ref="AU16">SUMPRODUCT($AI$10:$AI$113,AM$10:AM$113,IF(LEFT($AJ$10:$AJ$113,2)=$AR16,1,0))</f>
        <v>16</v>
      </c>
      <c r="AV16" s="30" cm="1">
        <f t="array" ref="AV16">SUMPRODUCT($AI$10:$AI$113,AN$10:AN$113,IF(LEFT($AJ$10:$AJ$113,2)=$AR16,1,0))</f>
        <v>16</v>
      </c>
      <c r="AW16" s="30" cm="1">
        <f t="array" ref="AW16">SUMPRODUCT($AI$10:$AI$113,AO$10:AO$113,IF(LEFT($AJ$10:$AJ$113,2)=$AR16,1,0))</f>
        <v>10</v>
      </c>
      <c r="AX16" s="35" cm="1">
        <f t="array" ref="AX16">SUMPRODUCT($AI$10:$AI$113,AP$10:AP$113,IF(LEFT($AJ$10:$AJ$113,2)=$AR16,1,0))</f>
        <v>2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138</v>
      </c>
      <c r="D17" s="30" t="s">
        <v>132</v>
      </c>
      <c r="E17" s="30" t="s">
        <v>138</v>
      </c>
      <c r="F17" s="30" t="s">
        <v>133</v>
      </c>
      <c r="G17" s="30" t="s">
        <v>129</v>
      </c>
      <c r="H17" s="35" t="s">
        <v>134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5</v>
      </c>
      <c r="S17" s="30">
        <f t="shared" si="5"/>
        <v>7</v>
      </c>
      <c r="T17" s="30">
        <f t="shared" si="5"/>
        <v>7</v>
      </c>
      <c r="U17" s="30">
        <f t="shared" si="5"/>
        <v>10</v>
      </c>
      <c r="V17" s="30">
        <f t="shared" si="5"/>
        <v>15</v>
      </c>
      <c r="W17" s="35">
        <f t="shared" si="5"/>
        <v>7</v>
      </c>
      <c r="Y17" s="20">
        <f t="shared" si="6"/>
        <v>9</v>
      </c>
      <c r="Z17" s="23" t="s">
        <v>130</v>
      </c>
      <c r="AB17" s="40" t="str">
        <f t="shared" si="11"/>
        <v>0000000000020</v>
      </c>
      <c r="AC17" s="15" t="str">
        <f t="shared" si="7"/>
        <v>0000000000110</v>
      </c>
      <c r="AD17" s="15" t="str">
        <f t="shared" si="7"/>
        <v>0000000000020</v>
      </c>
      <c r="AE17" s="15" t="str">
        <f t="shared" si="7"/>
        <v>0000000200000</v>
      </c>
      <c r="AF17" s="15" t="str">
        <f t="shared" si="7"/>
        <v>0000000011000</v>
      </c>
      <c r="AG17" s="41" t="str">
        <f t="shared" si="7"/>
        <v>0001100000000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55</v>
      </c>
      <c r="AL17" s="39" cm="1">
        <f t="array" ref="AL17">SUMPRODUCT(--(MID(AC$10:AC$135, SUMIF($Z$9:$Z$21, LEFT($AJ17,2), $Y$9:$Y$21), 1) = RIGHT($AJ17, 1)), K$10:K$135)</f>
        <v>50</v>
      </c>
      <c r="AM17" s="39" cm="1">
        <f t="array" ref="AM17">SUMPRODUCT(--(MID(AD$10:AD$135, SUMIF($Z$9:$Z$21, LEFT($AJ17,2), $Y$9:$Y$21), 1) = RIGHT($AJ17, 1)), L$10:L$135)</f>
        <v>56</v>
      </c>
      <c r="AN17" s="39" cm="1">
        <f t="array" ref="AN17">SUMPRODUCT(--(MID(AE$10:AE$135, SUMIF($Z$9:$Z$21, LEFT($AJ17,2), $Y$9:$Y$21), 1) = RIGHT($AJ17, 1)), M$10:M$135)</f>
        <v>73</v>
      </c>
      <c r="AO17" s="39" cm="1">
        <f t="array" ref="AO17">SUMPRODUCT(--(MID(AF$10:AF$135, SUMIF($Z$9:$Z$21, LEFT($AJ17,2), $Y$9:$Y$21), 1) = RIGHT($AJ17, 1)), N$10:N$135)</f>
        <v>83</v>
      </c>
      <c r="AP17" s="19" cm="1">
        <f t="array" ref="AP17">SUMPRODUCT(--(MID(AG$10:AG$135, SUMIF($Z$9:$Z$21, LEFT($AJ17,2), $Y$9:$Y$21), 1) = RIGHT($AJ17, 1)), O$10:O$135)</f>
        <v>73</v>
      </c>
      <c r="AR17" s="34" t="str">
        <f t="shared" si="8"/>
        <v>GG</v>
      </c>
      <c r="AS17" s="30" cm="1">
        <f t="array" ref="AS17">SUMPRODUCT($AI$10:$AI$113,AK$10:AK$113,IF(LEFT($AJ$10:$AJ$113,2)=$AR17,1,0))</f>
        <v>10</v>
      </c>
      <c r="AT17" s="30" cm="1">
        <f t="array" ref="AT17">SUMPRODUCT($AI$10:$AI$113,AL$10:AL$113,IF(LEFT($AJ$10:$AJ$113,2)=$AR17,1,0))</f>
        <v>20</v>
      </c>
      <c r="AU17" s="30" cm="1">
        <f t="array" ref="AU17">SUMPRODUCT($AI$10:$AI$113,AM$10:AM$113,IF(LEFT($AJ$10:$AJ$113,2)=$AR17,1,0))</f>
        <v>16</v>
      </c>
      <c r="AV17" s="30" cm="1">
        <f t="array" ref="AV17">SUMPRODUCT($AI$10:$AI$113,AN$10:AN$113,IF(LEFT($AJ$10:$AJ$113,2)=$AR17,1,0))</f>
        <v>22</v>
      </c>
      <c r="AW17" s="30" cm="1">
        <f t="array" ref="AW17">SUMPRODUCT($AI$10:$AI$113,AO$10:AO$113,IF(LEFT($AJ$10:$AJ$113,2)=$AR17,1,0))</f>
        <v>30</v>
      </c>
      <c r="AX17" s="35" cm="1">
        <f t="array" ref="AX17">SUMPRODUCT($AI$10:$AI$113,AP$10:AP$113,IF(LEFT($AJ$10:$AJ$113,2)=$AR17,1,0))</f>
        <v>14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130</v>
      </c>
      <c r="D18" s="30" t="s">
        <v>129</v>
      </c>
      <c r="E18" s="30" t="s">
        <v>133</v>
      </c>
      <c r="F18" s="30" t="s">
        <v>133</v>
      </c>
      <c r="G18" s="30" t="s">
        <v>133</v>
      </c>
      <c r="H18" s="35" t="s">
        <v>129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2</v>
      </c>
      <c r="S18" s="30">
        <f t="shared" si="5"/>
        <v>3</v>
      </c>
      <c r="T18" s="30">
        <f t="shared" si="5"/>
        <v>1</v>
      </c>
      <c r="U18" s="30">
        <f t="shared" si="5"/>
        <v>4</v>
      </c>
      <c r="V18" s="30">
        <f t="shared" si="5"/>
        <v>14</v>
      </c>
      <c r="W18" s="35">
        <f t="shared" si="5"/>
        <v>3</v>
      </c>
      <c r="Y18" s="20">
        <f t="shared" si="6"/>
        <v>10</v>
      </c>
      <c r="Z18" s="23" t="s">
        <v>129</v>
      </c>
      <c r="AB18" s="40" t="str">
        <f t="shared" si="11"/>
        <v>0000000010010</v>
      </c>
      <c r="AC18" s="15" t="str">
        <f t="shared" si="7"/>
        <v>0000000001100</v>
      </c>
      <c r="AD18" s="15" t="str">
        <f t="shared" si="7"/>
        <v>0000000100010</v>
      </c>
      <c r="AE18" s="15" t="str">
        <f t="shared" si="7"/>
        <v>0000000200000</v>
      </c>
      <c r="AF18" s="15" t="str">
        <f t="shared" si="7"/>
        <v>0000000101000</v>
      </c>
      <c r="AG18" s="41" t="str">
        <f t="shared" si="7"/>
        <v>0001000001000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4</v>
      </c>
      <c r="AT18" s="30" cm="1">
        <f t="array" ref="AT18">SUMPRODUCT($AI$10:$AI$113,AL$10:AL$113,IF(LEFT($AJ$10:$AJ$113,2)=$AR18,1,0))</f>
        <v>12</v>
      </c>
      <c r="AU18" s="30" cm="1">
        <f t="array" ref="AU18">SUMPRODUCT($AI$10:$AI$113,AM$10:AM$113,IF(LEFT($AJ$10:$AJ$113,2)=$AR18,1,0))</f>
        <v>4</v>
      </c>
      <c r="AV18" s="30" cm="1">
        <f t="array" ref="AV18">SUMPRODUCT($AI$10:$AI$113,AN$10:AN$113,IF(LEFT($AJ$10:$AJ$113,2)=$AR18,1,0))</f>
        <v>10</v>
      </c>
      <c r="AW18" s="30" cm="1">
        <f t="array" ref="AW18">SUMPRODUCT($AI$10:$AI$113,AO$10:AO$113,IF(LEFT($AJ$10:$AJ$113,2)=$AR18,1,0))</f>
        <v>28</v>
      </c>
      <c r="AX18" s="35" cm="1">
        <f t="array" ref="AX18">SUMPRODUCT($AI$10:$AI$113,AP$10:AP$113,IF(LEFT($AJ$10:$AJ$113,2)=$AR18,1,0))</f>
        <v>6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137</v>
      </c>
      <c r="D19" s="30" t="s">
        <v>133</v>
      </c>
      <c r="E19" s="30" t="s">
        <v>128</v>
      </c>
      <c r="F19" s="30" t="s">
        <v>132</v>
      </c>
      <c r="G19" s="30" t="s">
        <v>137</v>
      </c>
      <c r="H19" s="35" t="s">
        <v>133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7</v>
      </c>
      <c r="S19" s="30">
        <f t="shared" si="5"/>
        <v>8</v>
      </c>
      <c r="T19" s="30">
        <f t="shared" si="5"/>
        <v>9</v>
      </c>
      <c r="U19" s="30">
        <f t="shared" si="5"/>
        <v>10</v>
      </c>
      <c r="V19" s="30">
        <f t="shared" si="5"/>
        <v>4</v>
      </c>
      <c r="W19" s="35">
        <f t="shared" si="5"/>
        <v>11</v>
      </c>
      <c r="Y19" s="20">
        <f t="shared" si="6"/>
        <v>11</v>
      </c>
      <c r="Z19" s="23" t="s">
        <v>132</v>
      </c>
      <c r="AA19" s="21"/>
      <c r="AB19" s="40" t="str">
        <f t="shared" si="11"/>
        <v>0000010010000</v>
      </c>
      <c r="AC19" s="15" t="str">
        <f t="shared" si="7"/>
        <v>0000000101000</v>
      </c>
      <c r="AD19" s="15" t="str">
        <f t="shared" si="7"/>
        <v>0000001100000</v>
      </c>
      <c r="AE19" s="15" t="str">
        <f t="shared" si="7"/>
        <v>0000000100100</v>
      </c>
      <c r="AF19" s="15" t="str">
        <f t="shared" si="7"/>
        <v>0000010100000</v>
      </c>
      <c r="AG19" s="41" t="str">
        <f t="shared" si="7"/>
        <v>0000000101000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14</v>
      </c>
      <c r="AT19" s="30" cm="1">
        <f t="array" ref="AT19">SUMPRODUCT($AI$10:$AI$113,AL$10:AL$113,IF(LEFT($AJ$10:$AJ$113,2)=$AR19,1,0))</f>
        <v>22</v>
      </c>
      <c r="AU19" s="30" cm="1">
        <f t="array" ref="AU19">SUMPRODUCT($AI$10:$AI$113,AM$10:AM$113,IF(LEFT($AJ$10:$AJ$113,2)=$AR19,1,0))</f>
        <v>20</v>
      </c>
      <c r="AV19" s="30" cm="1">
        <f t="array" ref="AV19">SUMPRODUCT($AI$10:$AI$113,AN$10:AN$113,IF(LEFT($AJ$10:$AJ$113,2)=$AR19,1,0))</f>
        <v>22</v>
      </c>
      <c r="AW19" s="30" cm="1">
        <f t="array" ref="AW19">SUMPRODUCT($AI$10:$AI$113,AO$10:AO$113,IF(LEFT($AJ$10:$AJ$113,2)=$AR19,1,0))</f>
        <v>8</v>
      </c>
      <c r="AX19" s="35" cm="1">
        <f t="array" ref="AX19">SUMPRODUCT($AI$10:$AI$113,AP$10:AP$113,IF(LEFT($AJ$10:$AJ$113,2)=$AR19,1,0))</f>
        <v>22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131</v>
      </c>
      <c r="D20" s="30" t="s">
        <v>137</v>
      </c>
      <c r="E20" s="30" t="s">
        <v>128</v>
      </c>
      <c r="F20" s="30" t="s">
        <v>138</v>
      </c>
      <c r="G20" s="30" t="s">
        <v>138</v>
      </c>
      <c r="H20" s="35" t="s">
        <v>127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10</v>
      </c>
      <c r="S20" s="30">
        <f t="shared" si="5"/>
        <v>9</v>
      </c>
      <c r="T20" s="30">
        <f t="shared" si="5"/>
        <v>4</v>
      </c>
      <c r="U20" s="30">
        <f t="shared" si="5"/>
        <v>13</v>
      </c>
      <c r="V20" s="30">
        <f t="shared" si="5"/>
        <v>5</v>
      </c>
      <c r="W20" s="35">
        <f t="shared" si="5"/>
        <v>1</v>
      </c>
      <c r="Y20" s="20">
        <v>12</v>
      </c>
      <c r="Z20" s="23" t="s">
        <v>138</v>
      </c>
      <c r="AA20" s="21"/>
      <c r="AB20" s="40" t="str">
        <f t="shared" si="11"/>
        <v>0100010000000</v>
      </c>
      <c r="AC20" s="15" t="str">
        <f t="shared" si="7"/>
        <v>0000010100000</v>
      </c>
      <c r="AD20" s="15" t="str">
        <f t="shared" si="7"/>
        <v>0000002000000</v>
      </c>
      <c r="AE20" s="15" t="str">
        <f t="shared" si="7"/>
        <v>0000000000110</v>
      </c>
      <c r="AF20" s="15" t="str">
        <f t="shared" si="7"/>
        <v>0000010000010</v>
      </c>
      <c r="AG20" s="41" t="str">
        <f t="shared" si="7"/>
        <v>0010000100000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20</v>
      </c>
      <c r="AT20" s="30" cm="1">
        <f t="array" ref="AT20">SUMPRODUCT($AI$10:$AI$113,AL$10:AL$113,IF(LEFT($AJ$10:$AJ$113,2)=$AR20,1,0))</f>
        <v>24</v>
      </c>
      <c r="AU20" s="30" cm="1">
        <f t="array" ref="AU20">SUMPRODUCT($AI$10:$AI$113,AM$10:AM$113,IF(LEFT($AJ$10:$AJ$113,2)=$AR20,1,0))</f>
        <v>10</v>
      </c>
      <c r="AV20" s="30" cm="1">
        <f t="array" ref="AV20">SUMPRODUCT($AI$10:$AI$113,AN$10:AN$113,IF(LEFT($AJ$10:$AJ$113,2)=$AR20,1,0))</f>
        <v>28</v>
      </c>
      <c r="AW20" s="30" cm="1">
        <f t="array" ref="AW20">SUMPRODUCT($AI$10:$AI$113,AO$10:AO$113,IF(LEFT($AJ$10:$AJ$113,2)=$AR20,1,0))</f>
        <v>10</v>
      </c>
      <c r="AX20" s="35" cm="1">
        <f t="array" ref="AX20">SUMPRODUCT($AI$10:$AI$113,AP$10:AP$113,IF(LEFT($AJ$10:$AJ$113,2)=$AR20,1,0))</f>
        <v>2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134</v>
      </c>
      <c r="D21" s="30" t="s">
        <v>137</v>
      </c>
      <c r="E21" s="30" t="s">
        <v>128</v>
      </c>
      <c r="F21" s="30" t="s">
        <v>138</v>
      </c>
      <c r="G21" s="30" t="s">
        <v>134</v>
      </c>
      <c r="H21" s="35" t="s">
        <v>136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4</v>
      </c>
      <c r="S21" s="30">
        <f t="shared" si="5"/>
        <v>8</v>
      </c>
      <c r="T21" s="30">
        <f t="shared" si="5"/>
        <v>11</v>
      </c>
      <c r="U21" s="30">
        <f t="shared" si="5"/>
        <v>12</v>
      </c>
      <c r="V21" s="30">
        <f t="shared" si="5"/>
        <v>7</v>
      </c>
      <c r="W21" s="35">
        <f t="shared" si="5"/>
        <v>6</v>
      </c>
      <c r="Y21" s="18">
        <v>13</v>
      </c>
      <c r="Z21" s="22" t="s">
        <v>135</v>
      </c>
      <c r="AA21" s="21"/>
      <c r="AB21" s="40" t="str">
        <f t="shared" si="11"/>
        <v>0101000000000</v>
      </c>
      <c r="AC21" s="15" t="str">
        <f t="shared" si="7"/>
        <v>0000020000000</v>
      </c>
      <c r="AD21" s="15" t="str">
        <f t="shared" si="7"/>
        <v>0000002000000</v>
      </c>
      <c r="AE21" s="15" t="str">
        <f t="shared" si="7"/>
        <v>0000000000020</v>
      </c>
      <c r="AF21" s="15" t="str">
        <f t="shared" si="7"/>
        <v>0001000000010</v>
      </c>
      <c r="AG21" s="41" t="str">
        <f t="shared" si="7"/>
        <v>0010100000000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8</v>
      </c>
      <c r="AT21" s="30" cm="1">
        <f t="array" ref="AT21">SUMPRODUCT($AI$10:$AI$113,AL$10:AL$113,IF(LEFT($AJ$10:$AJ$113,2)=$AR21,1,0))</f>
        <v>22</v>
      </c>
      <c r="AU21" s="30" cm="1">
        <f t="array" ref="AU21">SUMPRODUCT($AI$10:$AI$113,AM$10:AM$113,IF(LEFT($AJ$10:$AJ$113,2)=$AR21,1,0))</f>
        <v>24</v>
      </c>
      <c r="AV21" s="30" cm="1">
        <f t="array" ref="AV21">SUMPRODUCT($AI$10:$AI$113,AN$10:AN$113,IF(LEFT($AJ$10:$AJ$113,2)=$AR21,1,0))</f>
        <v>26</v>
      </c>
      <c r="AW21" s="30" cm="1">
        <f t="array" ref="AW21">SUMPRODUCT($AI$10:$AI$113,AO$10:AO$113,IF(LEFT($AJ$10:$AJ$113,2)=$AR21,1,0))</f>
        <v>14</v>
      </c>
      <c r="AX21" s="35" cm="1">
        <f t="array" ref="AX21">SUMPRODUCT($AI$10:$AI$113,AP$10:AP$113,IF(LEFT($AJ$10:$AJ$113,2)=$AR21,1,0))</f>
        <v>12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134</v>
      </c>
      <c r="D22" s="30" t="s">
        <v>137</v>
      </c>
      <c r="E22" s="30" t="s">
        <v>136</v>
      </c>
      <c r="F22" s="30" t="s">
        <v>138</v>
      </c>
      <c r="G22" s="30" t="s">
        <v>127</v>
      </c>
      <c r="H22" s="35" t="s">
        <v>131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0002000000000</v>
      </c>
      <c r="AC22" s="15" t="str">
        <f t="shared" si="7"/>
        <v>0000020000000</v>
      </c>
      <c r="AD22" s="15" t="str">
        <f t="shared" si="7"/>
        <v>0000101000000</v>
      </c>
      <c r="AE22" s="15" t="str">
        <f t="shared" si="7"/>
        <v>0000000000020</v>
      </c>
      <c r="AF22" s="15" t="str">
        <f t="shared" si="7"/>
        <v>0011000000000</v>
      </c>
      <c r="AG22" s="41" t="str">
        <f t="shared" si="7"/>
        <v>0100100000000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134</v>
      </c>
      <c r="D23" s="30" t="s">
        <v>131</v>
      </c>
      <c r="E23" s="30" t="s">
        <v>128</v>
      </c>
      <c r="F23" s="30" t="s">
        <v>138</v>
      </c>
      <c r="G23" s="30" t="s">
        <v>129</v>
      </c>
      <c r="H23" s="35" t="s">
        <v>136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79</v>
      </c>
      <c r="S23" s="37">
        <f t="shared" ref="S23:W23" si="14">SUM(S10:S22)</f>
        <v>67</v>
      </c>
      <c r="T23" s="37">
        <f t="shared" si="14"/>
        <v>64</v>
      </c>
      <c r="U23" s="37">
        <f t="shared" si="14"/>
        <v>91</v>
      </c>
      <c r="V23" s="37">
        <f t="shared" si="14"/>
        <v>91</v>
      </c>
      <c r="W23" s="38">
        <f t="shared" si="14"/>
        <v>97</v>
      </c>
      <c r="Y23" s="21"/>
      <c r="Z23" s="21"/>
      <c r="AA23" s="21"/>
      <c r="AB23" s="40" t="str">
        <f t="shared" si="11"/>
        <v>0002000000000</v>
      </c>
      <c r="AC23" s="15" t="str">
        <f t="shared" si="7"/>
        <v>0100010000000</v>
      </c>
      <c r="AD23" s="15" t="str">
        <f t="shared" si="7"/>
        <v>0000101000000</v>
      </c>
      <c r="AE23" s="15" t="str">
        <f t="shared" si="7"/>
        <v>0000000000020</v>
      </c>
      <c r="AF23" s="15" t="str">
        <f t="shared" si="7"/>
        <v>0010000001000</v>
      </c>
      <c r="AG23" s="41" t="str">
        <f t="shared" si="7"/>
        <v>0100100000000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3</v>
      </c>
      <c r="AL23" s="39" cm="1">
        <f t="array" ref="AL23">SUMPRODUCT(--(MID(AC$10:AC$135, SUMIF($Z$9:$Z$21, LEFT($AJ23,2), $Y$9:$Y$21), 1) = RIGHT($AJ23, 1)), K$10:K$135)</f>
        <v>3</v>
      </c>
      <c r="AM23" s="39" cm="1">
        <f t="array" ref="AM23">SUMPRODUCT(--(MID(AD$10:AD$135, SUMIF($Z$9:$Z$21, LEFT($AJ23,2), $Y$9:$Y$21), 1) = RIGHT($AJ23, 1)), L$10:L$135)</f>
        <v>3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0</v>
      </c>
      <c r="AP23" s="19" cm="1">
        <f t="array" ref="AP23">SUMPRODUCT(--(MID(AG$10:AG$135, SUMIF($Z$9:$Z$21, LEFT($AJ23,2), $Y$9:$Y$21), 1) = RIGHT($AJ23, 1)), O$10:O$135)</f>
        <v>0</v>
      </c>
      <c r="AR23" s="34" t="str">
        <f t="shared" ref="AR23:AR35" si="15">AR10&amp;"-0"</f>
        <v>WC-0</v>
      </c>
      <c r="AS23" s="30">
        <f t="shared" ref="AS23:AX35" si="16">SUMIF($AJ$10:$AJ$113,$AR23,AK$10:AK$113)</f>
        <v>79</v>
      </c>
      <c r="AT23" s="30">
        <f t="shared" si="16"/>
        <v>61</v>
      </c>
      <c r="AU23" s="30">
        <f t="shared" si="16"/>
        <v>62</v>
      </c>
      <c r="AV23" s="30">
        <f t="shared" si="16"/>
        <v>89</v>
      </c>
      <c r="AW23" s="30">
        <f t="shared" si="16"/>
        <v>91</v>
      </c>
      <c r="AX23" s="35">
        <f t="shared" si="16"/>
        <v>97</v>
      </c>
    </row>
    <row r="24" spans="2:64">
      <c r="B24" s="34">
        <f t="shared" si="9"/>
        <v>14</v>
      </c>
      <c r="C24" s="30" t="s">
        <v>132</v>
      </c>
      <c r="D24" s="30" t="s">
        <v>134</v>
      </c>
      <c r="E24" s="30" t="s">
        <v>131</v>
      </c>
      <c r="F24" s="30" t="s">
        <v>128</v>
      </c>
      <c r="G24" s="30" t="s">
        <v>134</v>
      </c>
      <c r="H24" s="35" t="s">
        <v>134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0001000000100</v>
      </c>
      <c r="AC24" s="15" t="str">
        <f t="shared" si="7"/>
        <v>0101000000000</v>
      </c>
      <c r="AD24" s="15" t="str">
        <f t="shared" si="7"/>
        <v>0100001000000</v>
      </c>
      <c r="AE24" s="15" t="str">
        <f t="shared" si="7"/>
        <v>0000001000010</v>
      </c>
      <c r="AF24" s="15" t="str">
        <f t="shared" si="7"/>
        <v>0001000001000</v>
      </c>
      <c r="AG24" s="41" t="str">
        <f t="shared" si="7"/>
        <v>0001100000000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12</v>
      </c>
      <c r="AL24" s="39" cm="1">
        <f t="array" ref="AL24">SUMPRODUCT(--(MID(AC$10:AC$135, SUMIF($Z$9:$Z$21, LEFT($AJ24,2), $Y$9:$Y$21), 1) = RIGHT($AJ24, 1)), K$10:K$135)</f>
        <v>10</v>
      </c>
      <c r="AM24" s="39" cm="1">
        <f t="array" ref="AM24">SUMPRODUCT(--(MID(AD$10:AD$135, SUMIF($Z$9:$Z$21, LEFT($AJ24,2), $Y$9:$Y$21), 1) = RIGHT($AJ24, 1)), L$10:L$135)</f>
        <v>18</v>
      </c>
      <c r="AN24" s="39" cm="1">
        <f t="array" ref="AN24">SUMPRODUCT(--(MID(AE$10:AE$135, SUMIF($Z$9:$Z$21, LEFT($AJ24,2), $Y$9:$Y$21), 1) = RIGHT($AJ24, 1)), M$10:M$135)</f>
        <v>6</v>
      </c>
      <c r="AO24" s="39" cm="1">
        <f t="array" ref="AO24">SUMPRODUCT(--(MID(AF$10:AF$135, SUMIF($Z$9:$Z$21, LEFT($AJ24,2), $Y$9:$Y$21), 1) = RIGHT($AJ24, 1)), N$10:N$135)</f>
        <v>24</v>
      </c>
      <c r="AP24" s="19" cm="1">
        <f t="array" ref="AP24">SUMPRODUCT(--(MID(AG$10:AG$135, SUMIF($Z$9:$Z$21, LEFT($AJ24,2), $Y$9:$Y$21), 1) = RIGHT($AJ24, 1)), O$10:O$135)</f>
        <v>24</v>
      </c>
      <c r="AR24" s="34" t="str">
        <f t="shared" si="15"/>
        <v>AA-0</v>
      </c>
      <c r="AS24" s="30">
        <f t="shared" si="16"/>
        <v>55</v>
      </c>
      <c r="AT24" s="30">
        <f t="shared" si="16"/>
        <v>50</v>
      </c>
      <c r="AU24" s="30">
        <f t="shared" si="16"/>
        <v>56</v>
      </c>
      <c r="AV24" s="30">
        <f t="shared" si="16"/>
        <v>73</v>
      </c>
      <c r="AW24" s="30">
        <f t="shared" si="16"/>
        <v>83</v>
      </c>
      <c r="AX24" s="35">
        <f t="shared" si="16"/>
        <v>73</v>
      </c>
    </row>
    <row r="25" spans="2:64">
      <c r="B25" s="34">
        <f t="shared" si="9"/>
        <v>15</v>
      </c>
      <c r="C25" s="30" t="s">
        <v>128</v>
      </c>
      <c r="D25" s="30" t="s">
        <v>126</v>
      </c>
      <c r="E25" s="30" t="s">
        <v>138</v>
      </c>
      <c r="F25" s="30" t="s">
        <v>128</v>
      </c>
      <c r="G25" s="30" t="s">
        <v>127</v>
      </c>
      <c r="H25" s="35" t="s">
        <v>131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0000001000100</v>
      </c>
      <c r="AC25" s="15" t="str">
        <f t="shared" si="7"/>
        <v>1112111111110</v>
      </c>
      <c r="AD25" s="15" t="str">
        <f t="shared" si="7"/>
        <v>0100000000010</v>
      </c>
      <c r="AE25" s="15" t="str">
        <f t="shared" si="7"/>
        <v>0000002000000</v>
      </c>
      <c r="AF25" s="15" t="str">
        <f t="shared" si="7"/>
        <v>0011000000000</v>
      </c>
      <c r="AG25" s="41" t="str">
        <f t="shared" si="7"/>
        <v>0101000000000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64</v>
      </c>
      <c r="AL25" s="39" cm="1">
        <f t="array" ref="AL25">SUMPRODUCT(--(MID(AC$10:AC$135, SUMIF($Z$9:$Z$21, LEFT($AJ25,2), $Y$9:$Y$21), 1) = RIGHT($AJ25, 1)), K$10:K$135)</f>
        <v>54</v>
      </c>
      <c r="AM25" s="39" cm="1">
        <f t="array" ref="AM25">SUMPRODUCT(--(MID(AD$10:AD$135, SUMIF($Z$9:$Z$21, LEFT($AJ25,2), $Y$9:$Y$21), 1) = RIGHT($AJ25, 1)), L$10:L$135)</f>
        <v>43</v>
      </c>
      <c r="AN25" s="39" cm="1">
        <f t="array" ref="AN25">SUMPRODUCT(--(MID(AE$10:AE$135, SUMIF($Z$9:$Z$21, LEFT($AJ25,2), $Y$9:$Y$21), 1) = RIGHT($AJ25, 1)), M$10:M$135)</f>
        <v>83</v>
      </c>
      <c r="AO25" s="39" cm="1">
        <f t="array" ref="AO25">SUMPRODUCT(--(MID(AF$10:AF$135, SUMIF($Z$9:$Z$21, LEFT($AJ25,2), $Y$9:$Y$21), 1) = RIGHT($AJ25, 1)), N$10:N$135)</f>
        <v>67</v>
      </c>
      <c r="AP25" s="19" cm="1">
        <f t="array" ref="AP25">SUMPRODUCT(--(MID(AG$10:AG$135, SUMIF($Z$9:$Z$21, LEFT($AJ25,2), $Y$9:$Y$21), 1) = RIGHT($AJ25, 1)), O$10:O$135)</f>
        <v>73</v>
      </c>
      <c r="AR25" s="34" t="str">
        <f t="shared" si="15"/>
        <v>BB-0</v>
      </c>
      <c r="AS25" s="30">
        <f t="shared" si="16"/>
        <v>64</v>
      </c>
      <c r="AT25" s="30">
        <f t="shared" si="16"/>
        <v>54</v>
      </c>
      <c r="AU25" s="30">
        <f t="shared" si="16"/>
        <v>43</v>
      </c>
      <c r="AV25" s="30">
        <f t="shared" si="16"/>
        <v>83</v>
      </c>
      <c r="AW25" s="30">
        <f t="shared" si="16"/>
        <v>67</v>
      </c>
      <c r="AX25" s="35">
        <f t="shared" si="16"/>
        <v>73</v>
      </c>
    </row>
    <row r="26" spans="2:64">
      <c r="B26" s="34">
        <f t="shared" si="9"/>
        <v>16</v>
      </c>
      <c r="C26" s="30" t="s">
        <v>128</v>
      </c>
      <c r="D26" s="30" t="s">
        <v>127</v>
      </c>
      <c r="E26" s="30" t="s">
        <v>127</v>
      </c>
      <c r="F26" s="30" t="s">
        <v>128</v>
      </c>
      <c r="G26" s="30" t="s">
        <v>132</v>
      </c>
      <c r="H26" s="35" t="s">
        <v>129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0000002000000</v>
      </c>
      <c r="AC26" s="15" t="str">
        <f t="shared" si="11"/>
        <v>1121111111110</v>
      </c>
      <c r="AD26" s="15" t="str">
        <f t="shared" si="11"/>
        <v>0010000000010</v>
      </c>
      <c r="AE26" s="15" t="str">
        <f t="shared" si="11"/>
        <v>0000002000000</v>
      </c>
      <c r="AF26" s="15" t="str">
        <f t="shared" si="11"/>
        <v>0010000000100</v>
      </c>
      <c r="AG26" s="41" t="str">
        <f t="shared" si="11"/>
        <v>0100000001000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61</v>
      </c>
      <c r="AT26" s="30">
        <f t="shared" si="16"/>
        <v>49</v>
      </c>
      <c r="AU26" s="30">
        <f t="shared" si="16"/>
        <v>50</v>
      </c>
      <c r="AV26" s="30">
        <f t="shared" si="16"/>
        <v>74</v>
      </c>
      <c r="AW26" s="30">
        <f t="shared" si="16"/>
        <v>45</v>
      </c>
      <c r="AX26" s="35">
        <f t="shared" si="16"/>
        <v>65</v>
      </c>
    </row>
    <row r="27" spans="2:64">
      <c r="B27" s="34">
        <f t="shared" si="9"/>
        <v>17</v>
      </c>
      <c r="C27" s="30" t="s">
        <v>128</v>
      </c>
      <c r="D27" s="30" t="s">
        <v>128</v>
      </c>
      <c r="E27" s="30" t="s">
        <v>126</v>
      </c>
      <c r="F27" s="30" t="s">
        <v>136</v>
      </c>
      <c r="G27" s="30" t="s">
        <v>134</v>
      </c>
      <c r="H27" s="35" t="s">
        <v>136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0000002000000</v>
      </c>
      <c r="AC27" s="15" t="str">
        <f t="shared" si="11"/>
        <v>0010001000000</v>
      </c>
      <c r="AD27" s="15" t="str">
        <f t="shared" si="11"/>
        <v>1121111111110</v>
      </c>
      <c r="AE27" s="15" t="str">
        <f t="shared" si="11"/>
        <v>0000101000000</v>
      </c>
      <c r="AF27" s="15" t="str">
        <f t="shared" si="11"/>
        <v>0001000000100</v>
      </c>
      <c r="AG27" s="41" t="str">
        <f t="shared" si="11"/>
        <v>0000100001000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71</v>
      </c>
      <c r="AT27" s="30">
        <f t="shared" si="16"/>
        <v>59</v>
      </c>
      <c r="AU27" s="30">
        <f t="shared" si="16"/>
        <v>60</v>
      </c>
      <c r="AV27" s="30">
        <f t="shared" si="16"/>
        <v>85</v>
      </c>
      <c r="AW27" s="30">
        <f t="shared" si="16"/>
        <v>89</v>
      </c>
      <c r="AX27" s="35">
        <f t="shared" si="16"/>
        <v>43</v>
      </c>
    </row>
    <row r="28" spans="2:64">
      <c r="B28" s="34">
        <f t="shared" si="9"/>
        <v>18</v>
      </c>
      <c r="C28" s="30" t="s">
        <v>133</v>
      </c>
      <c r="D28" s="30" t="s">
        <v>128</v>
      </c>
      <c r="E28" s="30" t="s">
        <v>132</v>
      </c>
      <c r="F28" s="30" t="s">
        <v>132</v>
      </c>
      <c r="G28" s="30" t="s">
        <v>133</v>
      </c>
      <c r="H28" s="35" t="s">
        <v>133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0000001100000</v>
      </c>
      <c r="AC28" s="15" t="str">
        <f t="shared" si="11"/>
        <v>0000002000000</v>
      </c>
      <c r="AD28" s="15" t="str">
        <f t="shared" si="11"/>
        <v>1111111111210</v>
      </c>
      <c r="AE28" s="15" t="str">
        <f t="shared" si="11"/>
        <v>0000100000100</v>
      </c>
      <c r="AF28" s="15" t="str">
        <f t="shared" si="11"/>
        <v>0001000100000</v>
      </c>
      <c r="AG28" s="41" t="str">
        <f t="shared" si="11"/>
        <v>0000100100000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65</v>
      </c>
      <c r="AT28" s="30">
        <f t="shared" si="16"/>
        <v>55</v>
      </c>
      <c r="AU28" s="30">
        <f t="shared" si="16"/>
        <v>60</v>
      </c>
      <c r="AV28" s="30">
        <f t="shared" si="16"/>
        <v>70</v>
      </c>
      <c r="AW28" s="30">
        <f t="shared" si="16"/>
        <v>89</v>
      </c>
      <c r="AX28" s="35">
        <f t="shared" si="16"/>
        <v>95</v>
      </c>
    </row>
    <row r="29" spans="2:64">
      <c r="B29" s="34">
        <f t="shared" si="9"/>
        <v>19</v>
      </c>
      <c r="C29" s="30" t="s">
        <v>127</v>
      </c>
      <c r="D29" s="30" t="s">
        <v>128</v>
      </c>
      <c r="E29" s="30" t="s">
        <v>134</v>
      </c>
      <c r="F29" s="30" t="s">
        <v>132</v>
      </c>
      <c r="G29" s="30" t="s">
        <v>134</v>
      </c>
      <c r="H29" s="35" t="s">
        <v>136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0010000100000</v>
      </c>
      <c r="AC29" s="15" t="str">
        <f t="shared" si="11"/>
        <v>0000002000000</v>
      </c>
      <c r="AD29" s="15" t="str">
        <f t="shared" si="11"/>
        <v>0001000000100</v>
      </c>
      <c r="AE29" s="15" t="str">
        <f t="shared" si="11"/>
        <v>0000000000200</v>
      </c>
      <c r="AF29" s="15" t="str">
        <f t="shared" si="11"/>
        <v>0001000100000</v>
      </c>
      <c r="AG29" s="41" t="str">
        <f t="shared" si="11"/>
        <v>0000100100000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67</v>
      </c>
      <c r="AT29" s="30">
        <f t="shared" si="16"/>
        <v>54</v>
      </c>
      <c r="AU29" s="30">
        <f t="shared" si="16"/>
        <v>50</v>
      </c>
      <c r="AV29" s="30">
        <f t="shared" si="16"/>
        <v>77</v>
      </c>
      <c r="AW29" s="30">
        <f t="shared" si="16"/>
        <v>81</v>
      </c>
      <c r="AX29" s="35">
        <f t="shared" si="16"/>
        <v>95</v>
      </c>
    </row>
    <row r="30" spans="2:64">
      <c r="B30" s="34">
        <f t="shared" si="9"/>
        <v>20</v>
      </c>
      <c r="C30" s="30" t="s">
        <v>127</v>
      </c>
      <c r="D30" s="30" t="s">
        <v>128</v>
      </c>
      <c r="E30" s="30" t="s">
        <v>134</v>
      </c>
      <c r="F30" s="30" t="s">
        <v>132</v>
      </c>
      <c r="G30" s="30" t="s">
        <v>138</v>
      </c>
      <c r="H30" s="35" t="s">
        <v>134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0020000000000</v>
      </c>
      <c r="AC30" s="15" t="str">
        <f t="shared" si="11"/>
        <v>0000002000000</v>
      </c>
      <c r="AD30" s="15" t="str">
        <f t="shared" si="11"/>
        <v>0002000000000</v>
      </c>
      <c r="AE30" s="15" t="str">
        <f t="shared" si="11"/>
        <v>0000000000200</v>
      </c>
      <c r="AF30" s="15" t="str">
        <f t="shared" si="11"/>
        <v>0001000000010</v>
      </c>
      <c r="AG30" s="41" t="str">
        <f t="shared" si="11"/>
        <v>0001100000000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71</v>
      </c>
      <c r="AT30" s="30">
        <f t="shared" si="16"/>
        <v>50</v>
      </c>
      <c r="AU30" s="30">
        <f t="shared" si="16"/>
        <v>50</v>
      </c>
      <c r="AV30" s="30">
        <f t="shared" si="16"/>
        <v>72</v>
      </c>
      <c r="AW30" s="30">
        <f t="shared" si="16"/>
        <v>61</v>
      </c>
      <c r="AX30" s="35">
        <f t="shared" si="16"/>
        <v>83</v>
      </c>
    </row>
    <row r="31" spans="2:64">
      <c r="B31" s="34">
        <f t="shared" si="9"/>
        <v>21</v>
      </c>
      <c r="C31" s="30" t="s">
        <v>127</v>
      </c>
      <c r="D31" s="30" t="s">
        <v>132</v>
      </c>
      <c r="E31" s="30" t="s">
        <v>134</v>
      </c>
      <c r="F31" s="30" t="s">
        <v>129</v>
      </c>
      <c r="G31" s="30" t="s">
        <v>128</v>
      </c>
      <c r="H31" s="35" t="s">
        <v>138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0020000000000</v>
      </c>
      <c r="AC31" s="15" t="str">
        <f t="shared" si="11"/>
        <v>0000001000100</v>
      </c>
      <c r="AD31" s="15" t="str">
        <f t="shared" si="11"/>
        <v>0002000000000</v>
      </c>
      <c r="AE31" s="15" t="str">
        <f t="shared" si="11"/>
        <v>0000000001100</v>
      </c>
      <c r="AF31" s="15" t="str">
        <f t="shared" si="11"/>
        <v>0000001000010</v>
      </c>
      <c r="AG31" s="41" t="str">
        <f t="shared" si="11"/>
        <v>0001000000010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1</v>
      </c>
      <c r="AO31" s="39" cm="1">
        <f t="array" ref="AO31">SUMPRODUCT(--(MID(AF$10:AF$135, SUMIF($Z$9:$Z$21, LEFT($AJ31,2), $Y$9:$Y$21), 1) = RIGHT($AJ31, 1)), N$10:N$135)</f>
        <v>0</v>
      </c>
      <c r="AP31" s="19" cm="1">
        <f t="array" ref="AP31">SUMPRODUCT(--(MID(AG$10:AG$135, SUMIF($Z$9:$Z$21, LEFT($AJ31,2), $Y$9:$Y$21), 1) = RIGHT($AJ31, 1)), O$10:O$135)</f>
        <v>0</v>
      </c>
      <c r="AR31" s="34" t="str">
        <f t="shared" si="15"/>
        <v>HH-0</v>
      </c>
      <c r="AS31" s="30">
        <f t="shared" si="16"/>
        <v>75</v>
      </c>
      <c r="AT31" s="30">
        <f t="shared" si="16"/>
        <v>56</v>
      </c>
      <c r="AU31" s="30">
        <f t="shared" si="16"/>
        <v>60</v>
      </c>
      <c r="AV31" s="30">
        <f t="shared" si="16"/>
        <v>81</v>
      </c>
      <c r="AW31" s="30">
        <f t="shared" si="16"/>
        <v>63</v>
      </c>
      <c r="AX31" s="35">
        <f t="shared" si="16"/>
        <v>91</v>
      </c>
    </row>
    <row r="32" spans="2:64">
      <c r="B32" s="34">
        <f t="shared" si="9"/>
        <v>22</v>
      </c>
      <c r="C32" s="30" t="s">
        <v>127</v>
      </c>
      <c r="D32" s="30" t="s">
        <v>132</v>
      </c>
      <c r="E32" s="30" t="s">
        <v>130</v>
      </c>
      <c r="F32" s="30" t="s">
        <v>127</v>
      </c>
      <c r="G32" s="30" t="s">
        <v>134</v>
      </c>
      <c r="H32" s="35" t="s">
        <v>136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0020000000000</v>
      </c>
      <c r="AC32" s="15" t="str">
        <f t="shared" si="11"/>
        <v>0000000000200</v>
      </c>
      <c r="AD32" s="15" t="str">
        <f t="shared" si="11"/>
        <v>0001000010000</v>
      </c>
      <c r="AE32" s="15" t="str">
        <f t="shared" si="11"/>
        <v>0010000001000</v>
      </c>
      <c r="AF32" s="15" t="str">
        <f t="shared" si="11"/>
        <v>0001001000000</v>
      </c>
      <c r="AG32" s="41" t="str">
        <f t="shared" si="11"/>
        <v>0000100000010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16</v>
      </c>
      <c r="AL32" s="39" cm="1">
        <f t="array" ref="AL32">SUMPRODUCT(--(MID(AC$10:AC$135, SUMIF($Z$9:$Z$21, LEFT($AJ32,2), $Y$9:$Y$21), 1) = RIGHT($AJ32, 1)), K$10:K$135)</f>
        <v>16</v>
      </c>
      <c r="AM32" s="39" cm="1">
        <f t="array" ref="AM32">SUMPRODUCT(--(MID(AD$10:AD$135, SUMIF($Z$9:$Z$21, LEFT($AJ32,2), $Y$9:$Y$21), 1) = RIGHT($AJ32, 1)), L$10:L$135)</f>
        <v>12</v>
      </c>
      <c r="AN32" s="39" cm="1">
        <f t="array" ref="AN32">SUMPRODUCT(--(MID(AE$10:AE$135, SUMIF($Z$9:$Z$21, LEFT($AJ32,2), $Y$9:$Y$21), 1) = RIGHT($AJ32, 1)), M$10:M$135)</f>
        <v>16</v>
      </c>
      <c r="AO32" s="39" cm="1">
        <f t="array" ref="AO32">SUMPRODUCT(--(MID(AF$10:AF$135, SUMIF($Z$9:$Z$21, LEFT($AJ32,2), $Y$9:$Y$21), 1) = RIGHT($AJ32, 1)), N$10:N$135)</f>
        <v>46</v>
      </c>
      <c r="AP32" s="19" cm="1">
        <f t="array" ref="AP32">SUMPRODUCT(--(MID(AG$10:AG$135, SUMIF($Z$9:$Z$21, LEFT($AJ32,2), $Y$9:$Y$21), 1) = RIGHT($AJ32, 1)), O$10:O$135)</f>
        <v>32</v>
      </c>
      <c r="AR32" s="34" t="str">
        <f t="shared" si="15"/>
        <v>JJ-0</v>
      </c>
      <c r="AS32" s="30">
        <f t="shared" si="16"/>
        <v>67</v>
      </c>
      <c r="AT32" s="30">
        <f t="shared" si="16"/>
        <v>47</v>
      </c>
      <c r="AU32" s="30">
        <f t="shared" si="16"/>
        <v>46</v>
      </c>
      <c r="AV32" s="30">
        <f t="shared" si="16"/>
        <v>71</v>
      </c>
      <c r="AW32" s="30">
        <f t="shared" si="16"/>
        <v>83</v>
      </c>
      <c r="AX32" s="35">
        <f t="shared" si="16"/>
        <v>75</v>
      </c>
    </row>
    <row r="33" spans="2:50">
      <c r="B33" s="34">
        <f t="shared" si="9"/>
        <v>23</v>
      </c>
      <c r="C33" s="30" t="s">
        <v>129</v>
      </c>
      <c r="D33" s="30" t="s">
        <v>132</v>
      </c>
      <c r="E33" s="30" t="s">
        <v>134</v>
      </c>
      <c r="F33" s="30" t="s">
        <v>130</v>
      </c>
      <c r="G33" s="30" t="s">
        <v>133</v>
      </c>
      <c r="H33" s="35" t="s">
        <v>133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0010000001000</v>
      </c>
      <c r="AC33" s="15" t="str">
        <f t="shared" si="11"/>
        <v>0000000000200</v>
      </c>
      <c r="AD33" s="15" t="str">
        <f t="shared" si="11"/>
        <v>0001000010000</v>
      </c>
      <c r="AE33" s="15" t="str">
        <f t="shared" si="11"/>
        <v>0010000010000</v>
      </c>
      <c r="AF33" s="15" t="str">
        <f t="shared" si="11"/>
        <v>0001000100000</v>
      </c>
      <c r="AG33" s="41" t="str">
        <f t="shared" si="11"/>
        <v>0000100100000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61</v>
      </c>
      <c r="AL33" s="39" cm="1">
        <f t="array" ref="AL33">SUMPRODUCT(--(MID(AC$10:AC$135, SUMIF($Z$9:$Z$21, LEFT($AJ33,2), $Y$9:$Y$21), 1) = RIGHT($AJ33, 1)), K$10:K$135)</f>
        <v>49</v>
      </c>
      <c r="AM33" s="39" cm="1">
        <f t="array" ref="AM33">SUMPRODUCT(--(MID(AD$10:AD$135, SUMIF($Z$9:$Z$21, LEFT($AJ33,2), $Y$9:$Y$21), 1) = RIGHT($AJ33, 1)), L$10:L$135)</f>
        <v>50</v>
      </c>
      <c r="AN33" s="39" cm="1">
        <f t="array" ref="AN33">SUMPRODUCT(--(MID(AE$10:AE$135, SUMIF($Z$9:$Z$21, LEFT($AJ33,2), $Y$9:$Y$21), 1) = RIGHT($AJ33, 1)), M$10:M$135)</f>
        <v>74</v>
      </c>
      <c r="AO33" s="39" cm="1">
        <f t="array" ref="AO33">SUMPRODUCT(--(MID(AF$10:AF$135, SUMIF($Z$9:$Z$21, LEFT($AJ33,2), $Y$9:$Y$21), 1) = RIGHT($AJ33, 1)), N$10:N$135)</f>
        <v>45</v>
      </c>
      <c r="AP33" s="19" cm="1">
        <f t="array" ref="AP33">SUMPRODUCT(--(MID(AG$10:AG$135, SUMIF($Z$9:$Z$21, LEFT($AJ33,2), $Y$9:$Y$21), 1) = RIGHT($AJ33, 1)), O$10:O$135)</f>
        <v>65</v>
      </c>
      <c r="AR33" s="34" t="str">
        <f t="shared" si="15"/>
        <v>KK-0</v>
      </c>
      <c r="AS33" s="30">
        <f t="shared" si="16"/>
        <v>61</v>
      </c>
      <c r="AT33" s="30">
        <f t="shared" si="16"/>
        <v>45</v>
      </c>
      <c r="AU33" s="30">
        <f t="shared" si="16"/>
        <v>57</v>
      </c>
      <c r="AV33" s="30">
        <f t="shared" si="16"/>
        <v>65</v>
      </c>
      <c r="AW33" s="30">
        <f t="shared" si="16"/>
        <v>81</v>
      </c>
      <c r="AX33" s="35">
        <f t="shared" si="16"/>
        <v>95</v>
      </c>
    </row>
    <row r="34" spans="2:50">
      <c r="B34" s="34">
        <f t="shared" si="9"/>
        <v>24</v>
      </c>
      <c r="C34" s="30" t="s">
        <v>129</v>
      </c>
      <c r="D34" s="30" t="s">
        <v>127</v>
      </c>
      <c r="E34" s="30" t="s">
        <v>129</v>
      </c>
      <c r="F34" s="30" t="s">
        <v>137</v>
      </c>
      <c r="G34" s="30" t="s">
        <v>130</v>
      </c>
      <c r="H34" s="35" t="s">
        <v>127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0000000002000</v>
      </c>
      <c r="AC34" s="15" t="str">
        <f t="shared" si="11"/>
        <v>0010000000100</v>
      </c>
      <c r="AD34" s="15" t="str">
        <f t="shared" si="11"/>
        <v>0001000001000</v>
      </c>
      <c r="AE34" s="15" t="str">
        <f t="shared" si="11"/>
        <v>0000010010000</v>
      </c>
      <c r="AF34" s="15" t="str">
        <f t="shared" si="11"/>
        <v>0000000110000</v>
      </c>
      <c r="AG34" s="41" t="str">
        <f t="shared" si="11"/>
        <v>0010000100000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73</v>
      </c>
      <c r="AT34" s="30">
        <f t="shared" si="16"/>
        <v>48</v>
      </c>
      <c r="AU34" s="30">
        <f t="shared" si="16"/>
        <v>42</v>
      </c>
      <c r="AV34" s="30">
        <f t="shared" si="16"/>
        <v>68</v>
      </c>
      <c r="AW34" s="30">
        <f t="shared" si="16"/>
        <v>77</v>
      </c>
      <c r="AX34" s="35">
        <f t="shared" si="16"/>
        <v>85</v>
      </c>
    </row>
    <row r="35" spans="2:50">
      <c r="B35" s="34">
        <f t="shared" si="9"/>
        <v>25</v>
      </c>
      <c r="C35" s="30" t="s">
        <v>129</v>
      </c>
      <c r="D35" s="30" t="s">
        <v>127</v>
      </c>
      <c r="E35" s="30" t="s">
        <v>129</v>
      </c>
      <c r="F35" s="30" t="s">
        <v>137</v>
      </c>
      <c r="G35" s="30" t="s">
        <v>134</v>
      </c>
      <c r="H35" s="35" t="s">
        <v>134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0000000002000</v>
      </c>
      <c r="AC35" s="15" t="str">
        <f t="shared" si="11"/>
        <v>0020000000000</v>
      </c>
      <c r="AD35" s="15" t="str">
        <f t="shared" si="11"/>
        <v>0000000002000</v>
      </c>
      <c r="AE35" s="15" t="str">
        <f t="shared" si="11"/>
        <v>0000020000000</v>
      </c>
      <c r="AF35" s="15" t="str">
        <f t="shared" si="11"/>
        <v>0001000010000</v>
      </c>
      <c r="AG35" s="41" t="str">
        <f t="shared" si="11"/>
        <v>0011000000000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79</v>
      </c>
      <c r="AT35" s="37">
        <f t="shared" si="16"/>
        <v>67</v>
      </c>
      <c r="AU35" s="37">
        <f t="shared" si="16"/>
        <v>64</v>
      </c>
      <c r="AV35" s="37">
        <f t="shared" si="16"/>
        <v>91</v>
      </c>
      <c r="AW35" s="37">
        <f t="shared" si="16"/>
        <v>91</v>
      </c>
      <c r="AX35" s="38">
        <f t="shared" si="16"/>
        <v>97</v>
      </c>
    </row>
    <row r="36" spans="2:50">
      <c r="B36" s="34">
        <f t="shared" si="9"/>
        <v>26</v>
      </c>
      <c r="C36" s="30" t="s">
        <v>133</v>
      </c>
      <c r="D36" s="30" t="s">
        <v>127</v>
      </c>
      <c r="E36" s="30" t="s">
        <v>129</v>
      </c>
      <c r="F36" s="30" t="s">
        <v>137</v>
      </c>
      <c r="G36" s="30" t="s">
        <v>130</v>
      </c>
      <c r="H36" s="35" t="s">
        <v>138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0000000101000</v>
      </c>
      <c r="AC36" s="15" t="str">
        <f t="shared" si="11"/>
        <v>0020000000000</v>
      </c>
      <c r="AD36" s="15" t="str">
        <f t="shared" si="11"/>
        <v>0000000002000</v>
      </c>
      <c r="AE36" s="15" t="str">
        <f t="shared" si="11"/>
        <v>0000020000000</v>
      </c>
      <c r="AF36" s="15" t="str">
        <f t="shared" si="11"/>
        <v>0001000010000</v>
      </c>
      <c r="AG36" s="41" t="str">
        <f t="shared" si="11"/>
        <v>0001000000010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133</v>
      </c>
      <c r="D37" s="30" t="s">
        <v>129</v>
      </c>
      <c r="E37" s="30" t="s">
        <v>127</v>
      </c>
      <c r="F37" s="30" t="s">
        <v>126</v>
      </c>
      <c r="G37" s="30" t="s">
        <v>128</v>
      </c>
      <c r="H37" s="35" t="s">
        <v>129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0000000200000</v>
      </c>
      <c r="AC37" s="15" t="str">
        <f t="shared" si="11"/>
        <v>0010000001000</v>
      </c>
      <c r="AD37" s="15" t="str">
        <f t="shared" si="11"/>
        <v>0010000001000</v>
      </c>
      <c r="AE37" s="15" t="str">
        <f t="shared" si="11"/>
        <v>1111121111110</v>
      </c>
      <c r="AF37" s="15" t="str">
        <f t="shared" si="11"/>
        <v>0000001010000</v>
      </c>
      <c r="AG37" s="41" t="str">
        <f t="shared" si="11"/>
        <v>0000000001010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133</v>
      </c>
      <c r="D38" s="30" t="s">
        <v>129</v>
      </c>
      <c r="E38" s="30" t="s">
        <v>127</v>
      </c>
      <c r="F38" s="30" t="s">
        <v>134</v>
      </c>
      <c r="G38" s="30" t="s">
        <v>127</v>
      </c>
      <c r="H38" s="35" t="s">
        <v>136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0000000200000</v>
      </c>
      <c r="AC38" s="15" t="str">
        <f t="shared" si="11"/>
        <v>0000000002000</v>
      </c>
      <c r="AD38" s="15" t="str">
        <f t="shared" si="11"/>
        <v>0020000000000</v>
      </c>
      <c r="AE38" s="15" t="str">
        <f t="shared" si="11"/>
        <v>1112111111110</v>
      </c>
      <c r="AF38" s="15" t="str">
        <f t="shared" si="11"/>
        <v>0010001000000</v>
      </c>
      <c r="AG38" s="41" t="str">
        <f t="shared" si="11"/>
        <v>0000100001000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131</v>
      </c>
      <c r="D39" s="30" t="s">
        <v>129</v>
      </c>
      <c r="E39" s="30" t="s">
        <v>127</v>
      </c>
      <c r="F39" s="30" t="s">
        <v>128</v>
      </c>
      <c r="G39" s="30" t="s">
        <v>134</v>
      </c>
      <c r="H39" s="35" t="s">
        <v>138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0100000100000</v>
      </c>
      <c r="AC39" s="15" t="str">
        <f t="shared" si="11"/>
        <v>0000000002000</v>
      </c>
      <c r="AD39" s="15" t="str">
        <f t="shared" si="11"/>
        <v>0020000000000</v>
      </c>
      <c r="AE39" s="15" t="str">
        <f t="shared" si="11"/>
        <v>0001001000000</v>
      </c>
      <c r="AF39" s="15" t="str">
        <f t="shared" si="11"/>
        <v>0011000000000</v>
      </c>
      <c r="AG39" s="41" t="str">
        <f t="shared" si="11"/>
        <v>0000100000010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0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0</v>
      </c>
    </row>
    <row r="40" spans="2:50">
      <c r="B40" s="34">
        <f t="shared" si="9"/>
        <v>30</v>
      </c>
      <c r="C40" s="30" t="s">
        <v>131</v>
      </c>
      <c r="D40" s="30" t="s">
        <v>133</v>
      </c>
      <c r="E40" s="30" t="s">
        <v>132</v>
      </c>
      <c r="F40" s="30" t="s">
        <v>131</v>
      </c>
      <c r="G40" s="30" t="s">
        <v>129</v>
      </c>
      <c r="H40" s="35" t="s">
        <v>133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0200000000000</v>
      </c>
      <c r="AC40" s="15" t="str">
        <f t="shared" si="11"/>
        <v>0000000101000</v>
      </c>
      <c r="AD40" s="15" t="str">
        <f t="shared" si="11"/>
        <v>0010000000100</v>
      </c>
      <c r="AE40" s="15" t="str">
        <f t="shared" si="11"/>
        <v>0100001000000</v>
      </c>
      <c r="AF40" s="15" t="str">
        <f t="shared" si="11"/>
        <v>0001000001000</v>
      </c>
      <c r="AG40" s="41" t="str">
        <f t="shared" si="11"/>
        <v>0000000100010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8</v>
      </c>
      <c r="AL40" s="39" cm="1">
        <f t="array" ref="AL40">SUMPRODUCT(--(MID(AC$10:AC$135, SUMIF($Z$9:$Z$21, LEFT($AJ40,2), $Y$9:$Y$21), 1) = RIGHT($AJ40, 1)), K$10:K$135)</f>
        <v>8</v>
      </c>
      <c r="AM40" s="39" cm="1">
        <f t="array" ref="AM40">SUMPRODUCT(--(MID(AD$10:AD$135, SUMIF($Z$9:$Z$21, LEFT($AJ40,2), $Y$9:$Y$21), 1) = RIGHT($AJ40, 1)), L$10:L$135)</f>
        <v>4</v>
      </c>
      <c r="AN40" s="39" cm="1">
        <f t="array" ref="AN40">SUMPRODUCT(--(MID(AE$10:AE$135, SUMIF($Z$9:$Z$21, LEFT($AJ40,2), $Y$9:$Y$21), 1) = RIGHT($AJ40, 1)), M$10:M$135)</f>
        <v>6</v>
      </c>
      <c r="AO40" s="39" cm="1">
        <f t="array" ref="AO40">SUMPRODUCT(--(MID(AF$10:AF$135, SUMIF($Z$9:$Z$21, LEFT($AJ40,2), $Y$9:$Y$21), 1) = RIGHT($AJ40, 1)), N$10:N$135)</f>
        <v>2</v>
      </c>
      <c r="AP40" s="19" cm="1">
        <f t="array" ref="AP40">SUMPRODUCT(--(MID(AG$10:AG$135, SUMIF($Z$9:$Z$21, LEFT($AJ40,2), $Y$9:$Y$21), 1) = RIGHT($AJ40, 1)), O$10:O$135)</f>
        <v>54</v>
      </c>
    </row>
    <row r="41" spans="2:50">
      <c r="B41" s="34">
        <f t="shared" si="9"/>
        <v>31</v>
      </c>
      <c r="C41" s="30" t="s">
        <v>131</v>
      </c>
      <c r="D41" s="30" t="s">
        <v>133</v>
      </c>
      <c r="E41" s="30" t="s">
        <v>132</v>
      </c>
      <c r="F41" s="30" t="s">
        <v>131</v>
      </c>
      <c r="G41" s="30" t="s">
        <v>134</v>
      </c>
      <c r="H41" s="35" t="s">
        <v>136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0200000000000</v>
      </c>
      <c r="AC41" s="15" t="str">
        <f t="shared" si="11"/>
        <v>0000000200000</v>
      </c>
      <c r="AD41" s="15" t="str">
        <f t="shared" si="11"/>
        <v>0000000000200</v>
      </c>
      <c r="AE41" s="15" t="str">
        <f t="shared" si="11"/>
        <v>0200000000000</v>
      </c>
      <c r="AF41" s="15" t="str">
        <f t="shared" si="11"/>
        <v>0001000001000</v>
      </c>
      <c r="AG41" s="41" t="str">
        <f t="shared" si="11"/>
        <v>0000100100000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71</v>
      </c>
      <c r="AL41" s="39" cm="1">
        <f t="array" ref="AL41">SUMPRODUCT(--(MID(AC$10:AC$135, SUMIF($Z$9:$Z$21, LEFT($AJ41,2), $Y$9:$Y$21), 1) = RIGHT($AJ41, 1)), K$10:K$135)</f>
        <v>59</v>
      </c>
      <c r="AM41" s="39" cm="1">
        <f t="array" ref="AM41">SUMPRODUCT(--(MID(AD$10:AD$135, SUMIF($Z$9:$Z$21, LEFT($AJ41,2), $Y$9:$Y$21), 1) = RIGHT($AJ41, 1)), L$10:L$135)</f>
        <v>60</v>
      </c>
      <c r="AN41" s="39" cm="1">
        <f t="array" ref="AN41">SUMPRODUCT(--(MID(AE$10:AE$135, SUMIF($Z$9:$Z$21, LEFT($AJ41,2), $Y$9:$Y$21), 1) = RIGHT($AJ41, 1)), M$10:M$135)</f>
        <v>85</v>
      </c>
      <c r="AO41" s="39" cm="1">
        <f t="array" ref="AO41">SUMPRODUCT(--(MID(AF$10:AF$135, SUMIF($Z$9:$Z$21, LEFT($AJ41,2), $Y$9:$Y$21), 1) = RIGHT($AJ41, 1)), N$10:N$135)</f>
        <v>89</v>
      </c>
      <c r="AP41" s="19" cm="1">
        <f t="array" ref="AP41">SUMPRODUCT(--(MID(AG$10:AG$135, SUMIF($Z$9:$Z$21, LEFT($AJ41,2), $Y$9:$Y$21), 1) = RIGHT($AJ41, 1)), O$10:O$135)</f>
        <v>43</v>
      </c>
    </row>
    <row r="42" spans="2:50">
      <c r="B42" s="34">
        <f t="shared" si="9"/>
        <v>32</v>
      </c>
      <c r="C42" s="30" t="s">
        <v>132</v>
      </c>
      <c r="D42" s="30" t="s">
        <v>133</v>
      </c>
      <c r="E42" s="30" t="s">
        <v>132</v>
      </c>
      <c r="F42" s="30" t="s">
        <v>131</v>
      </c>
      <c r="G42" s="30" t="s">
        <v>133</v>
      </c>
      <c r="H42" s="35" t="s">
        <v>134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0100000000100</v>
      </c>
      <c r="AC42" s="15" t="str">
        <f t="shared" si="11"/>
        <v>0000000200000</v>
      </c>
      <c r="AD42" s="15" t="str">
        <f t="shared" si="11"/>
        <v>0000000000200</v>
      </c>
      <c r="AE42" s="15" t="str">
        <f t="shared" si="11"/>
        <v>0200000000000</v>
      </c>
      <c r="AF42" s="15" t="str">
        <f t="shared" si="11"/>
        <v>0001000100000</v>
      </c>
      <c r="AG42" s="41" t="str">
        <f t="shared" si="11"/>
        <v>0001100000000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132</v>
      </c>
      <c r="D43" s="30" t="s">
        <v>131</v>
      </c>
      <c r="E43" s="30" t="s">
        <v>133</v>
      </c>
      <c r="F43" s="30" t="s">
        <v>129</v>
      </c>
      <c r="G43" s="30" t="s">
        <v>130</v>
      </c>
      <c r="H43" s="35" t="s">
        <v>131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0000000000200</v>
      </c>
      <c r="AC43" s="15" t="str">
        <f t="shared" si="11"/>
        <v>0100000100000</v>
      </c>
      <c r="AD43" s="15" t="str">
        <f t="shared" si="11"/>
        <v>0000000100100</v>
      </c>
      <c r="AE43" s="15" t="str">
        <f t="shared" si="11"/>
        <v>0100000001000</v>
      </c>
      <c r="AF43" s="15" t="str">
        <f t="shared" si="11"/>
        <v>0000000110000</v>
      </c>
      <c r="AG43" s="41" t="str">
        <f t="shared" si="11"/>
        <v>0101000000000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132</v>
      </c>
      <c r="D44" s="30" t="s">
        <v>131</v>
      </c>
      <c r="E44" s="30" t="s">
        <v>133</v>
      </c>
      <c r="F44" s="30" t="s">
        <v>129</v>
      </c>
      <c r="G44" s="30" t="s">
        <v>133</v>
      </c>
      <c r="H44" s="35" t="s">
        <v>136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0000000000200</v>
      </c>
      <c r="AC44" s="15" t="str">
        <f t="shared" si="11"/>
        <v>0200000000000</v>
      </c>
      <c r="AD44" s="15" t="str">
        <f t="shared" si="11"/>
        <v>0000000200000</v>
      </c>
      <c r="AE44" s="15" t="str">
        <f t="shared" si="11"/>
        <v>0000000002000</v>
      </c>
      <c r="AF44" s="15" t="str">
        <f t="shared" si="11"/>
        <v>0000000110000</v>
      </c>
      <c r="AG44" s="41" t="str">
        <f t="shared" si="11"/>
        <v>0100100000000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137</v>
      </c>
      <c r="D45" s="30" t="s">
        <v>131</v>
      </c>
      <c r="E45" s="30" t="s">
        <v>133</v>
      </c>
      <c r="F45" s="30" t="s">
        <v>129</v>
      </c>
      <c r="G45" s="30" t="s">
        <v>134</v>
      </c>
      <c r="H45" s="35" t="s">
        <v>129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0000010000100</v>
      </c>
      <c r="AC45" s="15" t="str">
        <f t="shared" si="11"/>
        <v>0200000000000</v>
      </c>
      <c r="AD45" s="15" t="str">
        <f t="shared" si="11"/>
        <v>0000000200000</v>
      </c>
      <c r="AE45" s="15" t="str">
        <f t="shared" si="11"/>
        <v>0000000002000</v>
      </c>
      <c r="AF45" s="15" t="str">
        <f t="shared" si="11"/>
        <v>0001000100000</v>
      </c>
      <c r="AG45" s="41" t="str">
        <f t="shared" si="11"/>
        <v>0000100001000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137</v>
      </c>
      <c r="D46" s="30" t="s">
        <v>127</v>
      </c>
      <c r="E46" s="30" t="s">
        <v>128</v>
      </c>
      <c r="F46" s="30" t="s">
        <v>128</v>
      </c>
      <c r="G46" s="30" t="s">
        <v>133</v>
      </c>
      <c r="H46" s="35" t="s">
        <v>134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0000020000000</v>
      </c>
      <c r="AC46" s="15" t="str">
        <f t="shared" si="11"/>
        <v>0110000000000</v>
      </c>
      <c r="AD46" s="15" t="str">
        <f t="shared" si="11"/>
        <v>0000001100000</v>
      </c>
      <c r="AE46" s="15" t="str">
        <f t="shared" si="11"/>
        <v>0000001001000</v>
      </c>
      <c r="AF46" s="15" t="str">
        <f t="shared" si="11"/>
        <v>0001000100000</v>
      </c>
      <c r="AG46" s="41" t="str">
        <f t="shared" si="11"/>
        <v>0001000001000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137</v>
      </c>
      <c r="D47" s="30" t="s">
        <v>132</v>
      </c>
      <c r="E47" s="30" t="s">
        <v>138</v>
      </c>
      <c r="F47" s="30" t="s">
        <v>132</v>
      </c>
      <c r="G47" s="30" t="s">
        <v>131</v>
      </c>
      <c r="H47" s="35" t="s">
        <v>131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0000020000000</v>
      </c>
      <c r="AC47" s="15" t="str">
        <f t="shared" si="11"/>
        <v>0010000000100</v>
      </c>
      <c r="AD47" s="15" t="str">
        <f t="shared" si="11"/>
        <v>0000001000010</v>
      </c>
      <c r="AE47" s="15" t="str">
        <f t="shared" si="11"/>
        <v>0000001000100</v>
      </c>
      <c r="AF47" s="15" t="str">
        <f t="shared" si="11"/>
        <v>0100000100000</v>
      </c>
      <c r="AG47" s="41" t="str">
        <f t="shared" si="11"/>
        <v>0101000000000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2</v>
      </c>
      <c r="AL47" s="39" cm="1">
        <f t="array" ref="AL47">SUMPRODUCT(--(MID(AC$10:AC$135, SUMIF($Z$9:$Z$21, LEFT($AJ47,2), $Y$9:$Y$21), 1) = RIGHT($AJ47, 1)), K$10:K$135)</f>
        <v>2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3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131</v>
      </c>
      <c r="D48" s="30" t="s">
        <v>134</v>
      </c>
      <c r="E48" s="30" t="s">
        <v>129</v>
      </c>
      <c r="F48" s="30" t="s">
        <v>138</v>
      </c>
      <c r="G48" s="30" t="s">
        <v>127</v>
      </c>
      <c r="H48" s="35" t="s">
        <v>129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0100010000000</v>
      </c>
      <c r="AC48" s="15" t="str">
        <f t="shared" si="11"/>
        <v>0001000000100</v>
      </c>
      <c r="AD48" s="15" t="str">
        <f t="shared" si="11"/>
        <v>0000000001010</v>
      </c>
      <c r="AE48" s="15" t="str">
        <f t="shared" si="11"/>
        <v>0000000000110</v>
      </c>
      <c r="AF48" s="15" t="str">
        <f t="shared" si="11"/>
        <v>0110000000000</v>
      </c>
      <c r="AG48" s="41" t="str">
        <f t="shared" si="11"/>
        <v>0100000001000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12</v>
      </c>
      <c r="AL48" s="39" cm="1">
        <f t="array" ref="AL48">SUMPRODUCT(--(MID(AC$10:AC$135, SUMIF($Z$9:$Z$21, LEFT($AJ48,2), $Y$9:$Y$21), 1) = RIGHT($AJ48, 1)), K$10:K$135)</f>
        <v>10</v>
      </c>
      <c r="AM48" s="39" cm="1">
        <f t="array" ref="AM48">SUMPRODUCT(--(MID(AD$10:AD$135, SUMIF($Z$9:$Z$21, LEFT($AJ48,2), $Y$9:$Y$21), 1) = RIGHT($AJ48, 1)), L$10:L$135)</f>
        <v>4</v>
      </c>
      <c r="AN48" s="39" cm="1">
        <f t="array" ref="AN48">SUMPRODUCT(--(MID(AE$10:AE$135, SUMIF($Z$9:$Z$21, LEFT($AJ48,2), $Y$9:$Y$21), 1) = RIGHT($AJ48, 1)), M$10:M$135)</f>
        <v>18</v>
      </c>
      <c r="AO48" s="39" cm="1">
        <f t="array" ref="AO48">SUMPRODUCT(--(MID(AF$10:AF$135, SUMIF($Z$9:$Z$21, LEFT($AJ48,2), $Y$9:$Y$21), 1) = RIGHT($AJ48, 1)), N$10:N$135)</f>
        <v>2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132</v>
      </c>
      <c r="D49" s="30" t="s">
        <v>131</v>
      </c>
      <c r="E49" s="30" t="s">
        <v>133</v>
      </c>
      <c r="F49" s="30" t="s">
        <v>137</v>
      </c>
      <c r="G49" s="30" t="s">
        <v>133</v>
      </c>
      <c r="H49" s="35" t="s">
        <v>136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0100000000100</v>
      </c>
      <c r="AC49" s="15" t="str">
        <f t="shared" si="11"/>
        <v>0101000000000</v>
      </c>
      <c r="AD49" s="15" t="str">
        <f t="shared" si="11"/>
        <v>0000000101000</v>
      </c>
      <c r="AE49" s="15" t="str">
        <f t="shared" si="11"/>
        <v>0000010000010</v>
      </c>
      <c r="AF49" s="15" t="str">
        <f t="shared" si="11"/>
        <v>0010000100000</v>
      </c>
      <c r="AG49" s="41" t="str">
        <f t="shared" si="11"/>
        <v>0000100001000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65</v>
      </c>
      <c r="AL49" s="39" cm="1">
        <f t="array" ref="AL49">SUMPRODUCT(--(MID(AC$10:AC$135, SUMIF($Z$9:$Z$21, LEFT($AJ49,2), $Y$9:$Y$21), 1) = RIGHT($AJ49, 1)), K$10:K$135)</f>
        <v>55</v>
      </c>
      <c r="AM49" s="39" cm="1">
        <f t="array" ref="AM49">SUMPRODUCT(--(MID(AD$10:AD$135, SUMIF($Z$9:$Z$21, LEFT($AJ49,2), $Y$9:$Y$21), 1) = RIGHT($AJ49, 1)), L$10:L$135)</f>
        <v>60</v>
      </c>
      <c r="AN49" s="39" cm="1">
        <f t="array" ref="AN49">SUMPRODUCT(--(MID(AE$10:AE$135, SUMIF($Z$9:$Z$21, LEFT($AJ49,2), $Y$9:$Y$21), 1) = RIGHT($AJ49, 1)), M$10:M$135)</f>
        <v>70</v>
      </c>
      <c r="AO49" s="39" cm="1">
        <f t="array" ref="AO49">SUMPRODUCT(--(MID(AF$10:AF$135, SUMIF($Z$9:$Z$21, LEFT($AJ49,2), $Y$9:$Y$21), 1) = RIGHT($AJ49, 1)), N$10:N$135)</f>
        <v>89</v>
      </c>
      <c r="AP49" s="19" cm="1">
        <f t="array" ref="AP49">SUMPRODUCT(--(MID(AG$10:AG$135, SUMIF($Z$9:$Z$21, LEFT($AJ49,2), $Y$9:$Y$21), 1) = RIGHT($AJ49, 1)), O$10:O$135)</f>
        <v>95</v>
      </c>
    </row>
    <row r="50" spans="2:42">
      <c r="B50" s="34">
        <f t="shared" si="9"/>
        <v>40</v>
      </c>
      <c r="C50" s="30" t="s">
        <v>129</v>
      </c>
      <c r="D50" s="30" t="s">
        <v>134</v>
      </c>
      <c r="E50" s="30" t="s">
        <v>128</v>
      </c>
      <c r="F50" s="30" t="s">
        <v>138</v>
      </c>
      <c r="G50" s="30" t="s">
        <v>134</v>
      </c>
      <c r="H50" s="35" t="s">
        <v>134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0000000001100</v>
      </c>
      <c r="AC50" s="15" t="str">
        <f t="shared" si="11"/>
        <v>0101000000000</v>
      </c>
      <c r="AD50" s="15" t="str">
        <f t="shared" si="11"/>
        <v>0000001100000</v>
      </c>
      <c r="AE50" s="15" t="str">
        <f t="shared" si="11"/>
        <v>0000010000010</v>
      </c>
      <c r="AF50" s="15" t="str">
        <f t="shared" si="11"/>
        <v>0001000100000</v>
      </c>
      <c r="AG50" s="41" t="str">
        <f t="shared" si="11"/>
        <v>0001100000000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134</v>
      </c>
      <c r="D51" s="30" t="s">
        <v>126</v>
      </c>
      <c r="E51" s="30" t="s">
        <v>129</v>
      </c>
      <c r="F51" s="30" t="s">
        <v>132</v>
      </c>
      <c r="G51" s="30" t="s">
        <v>132</v>
      </c>
      <c r="H51" s="35" t="s">
        <v>131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0001000001000</v>
      </c>
      <c r="AC51" s="15" t="str">
        <f t="shared" si="11"/>
        <v>1112111111110</v>
      </c>
      <c r="AD51" s="15" t="str">
        <f t="shared" si="11"/>
        <v>0000001001000</v>
      </c>
      <c r="AE51" s="15" t="str">
        <f t="shared" si="11"/>
        <v>0000000000110</v>
      </c>
      <c r="AF51" s="15" t="str">
        <f t="shared" si="11"/>
        <v>0001000000100</v>
      </c>
      <c r="AG51" s="41" t="str">
        <f t="shared" si="11"/>
        <v>0101000000000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128</v>
      </c>
      <c r="D52" s="30" t="s">
        <v>131</v>
      </c>
      <c r="E52" s="30" t="s">
        <v>138</v>
      </c>
      <c r="F52" s="30" t="s">
        <v>137</v>
      </c>
      <c r="G52" s="30" t="s">
        <v>127</v>
      </c>
      <c r="H52" s="35" t="s">
        <v>127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0001001000000</v>
      </c>
      <c r="AC52" s="15" t="str">
        <f t="shared" si="11"/>
        <v>1211111111110</v>
      </c>
      <c r="AD52" s="15" t="str">
        <f t="shared" si="11"/>
        <v>0000000001010</v>
      </c>
      <c r="AE52" s="15" t="str">
        <f t="shared" si="11"/>
        <v>0000010000100</v>
      </c>
      <c r="AF52" s="15" t="str">
        <f t="shared" si="11"/>
        <v>0010000000100</v>
      </c>
      <c r="AG52" s="41" t="str">
        <f t="shared" si="11"/>
        <v>0110000000000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137</v>
      </c>
      <c r="D53" s="30" t="s">
        <v>134</v>
      </c>
      <c r="E53" s="30" t="s">
        <v>127</v>
      </c>
      <c r="F53" s="30" t="s">
        <v>129</v>
      </c>
      <c r="G53" s="30" t="s">
        <v>130</v>
      </c>
      <c r="H53" s="35" t="s">
        <v>136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0000011000000</v>
      </c>
      <c r="AC53" s="15" t="str">
        <f t="shared" si="11"/>
        <v>0101000000000</v>
      </c>
      <c r="AD53" s="15" t="str">
        <f t="shared" si="11"/>
        <v>0010000000010</v>
      </c>
      <c r="AE53" s="15" t="str">
        <f t="shared" si="11"/>
        <v>0000010001000</v>
      </c>
      <c r="AF53" s="15" t="str">
        <f t="shared" si="11"/>
        <v>0010000010000</v>
      </c>
      <c r="AG53" s="41" t="str">
        <f t="shared" si="11"/>
        <v>0010100000000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131</v>
      </c>
      <c r="D54" s="30" t="s">
        <v>129</v>
      </c>
      <c r="E54" s="30" t="s">
        <v>128</v>
      </c>
      <c r="F54" s="30" t="s">
        <v>131</v>
      </c>
      <c r="G54" s="30" t="s">
        <v>133</v>
      </c>
      <c r="H54" s="35" t="s">
        <v>131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0100010000000</v>
      </c>
      <c r="AC54" s="15" t="str">
        <f t="shared" si="11"/>
        <v>0001000001000</v>
      </c>
      <c r="AD54" s="15" t="str">
        <f t="shared" si="11"/>
        <v>0010001000000</v>
      </c>
      <c r="AE54" s="15" t="str">
        <f t="shared" si="11"/>
        <v>0100000001000</v>
      </c>
      <c r="AF54" s="15" t="str">
        <f t="shared" si="11"/>
        <v>0000000110000</v>
      </c>
      <c r="AG54" s="41" t="str">
        <f t="shared" si="11"/>
        <v>0100100000000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136</v>
      </c>
      <c r="D55" s="30" t="s">
        <v>138</v>
      </c>
      <c r="E55" s="30" t="s">
        <v>138</v>
      </c>
      <c r="F55" s="30" t="s">
        <v>137</v>
      </c>
      <c r="G55" s="30" t="s">
        <v>127</v>
      </c>
      <c r="H55" s="35" t="s">
        <v>136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0100100000000</v>
      </c>
      <c r="AC55" s="15" t="str">
        <f t="shared" si="11"/>
        <v>0000000001010</v>
      </c>
      <c r="AD55" s="15" t="str">
        <f t="shared" si="11"/>
        <v>0000001000010</v>
      </c>
      <c r="AE55" s="15" t="str">
        <f t="shared" si="11"/>
        <v>0100010000000</v>
      </c>
      <c r="AF55" s="15" t="str">
        <f t="shared" si="11"/>
        <v>0010000100000</v>
      </c>
      <c r="AG55" s="41" t="str">
        <f t="shared" si="11"/>
        <v>0100100000000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3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2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0</v>
      </c>
    </row>
    <row r="56" spans="2:42">
      <c r="B56" s="34">
        <f t="shared" si="9"/>
        <v>46</v>
      </c>
      <c r="C56" s="30" t="s">
        <v>131</v>
      </c>
      <c r="D56" s="30" t="s">
        <v>134</v>
      </c>
      <c r="E56" s="30" t="s">
        <v>133</v>
      </c>
      <c r="F56" s="30" t="s">
        <v>134</v>
      </c>
      <c r="G56" s="30" t="s">
        <v>133</v>
      </c>
      <c r="H56" s="35" t="s">
        <v>131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0100100000000</v>
      </c>
      <c r="AC56" s="15" t="str">
        <f t="shared" si="11"/>
        <v>0001000000010</v>
      </c>
      <c r="AD56" s="15" t="str">
        <f t="shared" si="11"/>
        <v>0000000100010</v>
      </c>
      <c r="AE56" s="15" t="str">
        <f t="shared" si="11"/>
        <v>0001010000000</v>
      </c>
      <c r="AF56" s="15" t="str">
        <f t="shared" si="11"/>
        <v>0010000100000</v>
      </c>
      <c r="AG56" s="41" t="str">
        <f t="shared" si="11"/>
        <v>0100100000000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10</v>
      </c>
      <c r="AL56" s="39" cm="1">
        <f t="array" ref="AL56">SUMPRODUCT(--(MID(AC$10:AC$135, SUMIF($Z$9:$Z$21, LEFT($AJ56,2), $Y$9:$Y$21), 1) = RIGHT($AJ56, 1)), K$10:K$135)</f>
        <v>10</v>
      </c>
      <c r="AM56" s="39" cm="1">
        <f t="array" ref="AM56">SUMPRODUCT(--(MID(AD$10:AD$135, SUMIF($Z$9:$Z$21, LEFT($AJ56,2), $Y$9:$Y$21), 1) = RIGHT($AJ56, 1)), L$10:L$135)</f>
        <v>12</v>
      </c>
      <c r="AN56" s="39" cm="1">
        <f t="array" ref="AN56">SUMPRODUCT(--(MID(AE$10:AE$135, SUMIF($Z$9:$Z$21, LEFT($AJ56,2), $Y$9:$Y$21), 1) = RIGHT($AJ56, 1)), M$10:M$135)</f>
        <v>12</v>
      </c>
      <c r="AO56" s="39" cm="1">
        <f t="array" ref="AO56">SUMPRODUCT(--(MID(AF$10:AF$135, SUMIF($Z$9:$Z$21, LEFT($AJ56,2), $Y$9:$Y$21), 1) = RIGHT($AJ56, 1)), N$10:N$135)</f>
        <v>10</v>
      </c>
      <c r="AP56" s="19" cm="1">
        <f t="array" ref="AP56">SUMPRODUCT(--(MID(AG$10:AG$135, SUMIF($Z$9:$Z$21, LEFT($AJ56,2), $Y$9:$Y$21), 1) = RIGHT($AJ56, 1)), O$10:O$135)</f>
        <v>2</v>
      </c>
    </row>
    <row r="57" spans="2:42">
      <c r="B57" s="34">
        <f t="shared" si="9"/>
        <v>47</v>
      </c>
      <c r="C57" s="30" t="s">
        <v>132</v>
      </c>
      <c r="D57" s="30" t="s">
        <v>132</v>
      </c>
      <c r="E57" s="30" t="s">
        <v>129</v>
      </c>
      <c r="F57" s="30" t="s">
        <v>138</v>
      </c>
      <c r="G57" s="30" t="s">
        <v>134</v>
      </c>
      <c r="H57" s="35" t="s">
        <v>134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0100000000100</v>
      </c>
      <c r="AC57" s="15" t="str">
        <f t="shared" si="11"/>
        <v>0001000000100</v>
      </c>
      <c r="AD57" s="15" t="str">
        <f t="shared" si="11"/>
        <v>0000000101000</v>
      </c>
      <c r="AE57" s="15" t="str">
        <f t="shared" si="11"/>
        <v>0001000000010</v>
      </c>
      <c r="AF57" s="15" t="str">
        <f t="shared" si="11"/>
        <v>0001000100000</v>
      </c>
      <c r="AG57" s="41" t="str">
        <f t="shared" si="11"/>
        <v>0101000000000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67</v>
      </c>
      <c r="AL57" s="39" cm="1">
        <f t="array" ref="AL57">SUMPRODUCT(--(MID(AC$10:AC$135, SUMIF($Z$9:$Z$21, LEFT($AJ57,2), $Y$9:$Y$21), 1) = RIGHT($AJ57, 1)), K$10:K$135)</f>
        <v>54</v>
      </c>
      <c r="AM57" s="39" cm="1">
        <f t="array" ref="AM57">SUMPRODUCT(--(MID(AD$10:AD$135, SUMIF($Z$9:$Z$21, LEFT($AJ57,2), $Y$9:$Y$21), 1) = RIGHT($AJ57, 1)), L$10:L$135)</f>
        <v>50</v>
      </c>
      <c r="AN57" s="39" cm="1">
        <f t="array" ref="AN57">SUMPRODUCT(--(MID(AE$10:AE$135, SUMIF($Z$9:$Z$21, LEFT($AJ57,2), $Y$9:$Y$21), 1) = RIGHT($AJ57, 1)), M$10:M$135)</f>
        <v>77</v>
      </c>
      <c r="AO57" s="39" cm="1">
        <f t="array" ref="AO57">SUMPRODUCT(--(MID(AF$10:AF$135, SUMIF($Z$9:$Z$21, LEFT($AJ57,2), $Y$9:$Y$21), 1) = RIGHT($AJ57, 1)), N$10:N$135)</f>
        <v>81</v>
      </c>
      <c r="AP57" s="19" cm="1">
        <f t="array" ref="AP57">SUMPRODUCT(--(MID(AG$10:AG$135, SUMIF($Z$9:$Z$21, LEFT($AJ57,2), $Y$9:$Y$21), 1) = RIGHT($AJ57, 1)), O$10:O$135)</f>
        <v>95</v>
      </c>
    </row>
    <row r="58" spans="2:42">
      <c r="B58" s="34">
        <f t="shared" si="9"/>
        <v>48</v>
      </c>
      <c r="C58" s="30" t="s">
        <v>130</v>
      </c>
      <c r="D58" s="30" t="s">
        <v>130</v>
      </c>
      <c r="E58" s="30" t="s">
        <v>127</v>
      </c>
      <c r="F58" s="30" t="s">
        <v>128</v>
      </c>
      <c r="G58" s="30" t="s">
        <v>131</v>
      </c>
      <c r="H58" s="35" t="s">
        <v>136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0000000010100</v>
      </c>
      <c r="AC58" s="15" t="str">
        <f t="shared" si="11"/>
        <v>0000000010100</v>
      </c>
      <c r="AD58" s="15" t="str">
        <f t="shared" si="11"/>
        <v>0010000001000</v>
      </c>
      <c r="AE58" s="15" t="str">
        <f t="shared" si="11"/>
        <v>0000001000010</v>
      </c>
      <c r="AF58" s="15" t="str">
        <f t="shared" si="11"/>
        <v>0101000000000</v>
      </c>
      <c r="AG58" s="41" t="str">
        <f t="shared" si="11"/>
        <v>0001100000000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134</v>
      </c>
      <c r="D59" s="30" t="s">
        <v>134</v>
      </c>
      <c r="E59" s="30" t="s">
        <v>134</v>
      </c>
      <c r="F59" s="30" t="s">
        <v>137</v>
      </c>
      <c r="G59" s="30" t="s">
        <v>134</v>
      </c>
      <c r="H59" s="35" t="s">
        <v>129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0001000010000</v>
      </c>
      <c r="AC59" s="15" t="str">
        <f t="shared" si="11"/>
        <v>0001000010000</v>
      </c>
      <c r="AD59" s="15" t="str">
        <f t="shared" si="11"/>
        <v>0011000000000</v>
      </c>
      <c r="AE59" s="15" t="str">
        <f t="shared" si="11"/>
        <v>0000011000000</v>
      </c>
      <c r="AF59" s="15" t="str">
        <f t="shared" si="11"/>
        <v>0101000000000</v>
      </c>
      <c r="AG59" s="41" t="str">
        <f t="shared" si="11"/>
        <v>0000100001000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129</v>
      </c>
      <c r="D60" s="30" t="s">
        <v>128</v>
      </c>
      <c r="E60" s="30" t="s">
        <v>129</v>
      </c>
      <c r="F60" s="30" t="s">
        <v>131</v>
      </c>
      <c r="G60" s="30" t="s">
        <v>133</v>
      </c>
      <c r="H60" s="35" t="s">
        <v>130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0001000001000</v>
      </c>
      <c r="AC60" s="15" t="str">
        <f t="shared" si="11"/>
        <v>0001001000000</v>
      </c>
      <c r="AD60" s="15" t="str">
        <f t="shared" si="11"/>
        <v>0001000001000</v>
      </c>
      <c r="AE60" s="15" t="str">
        <f t="shared" si="11"/>
        <v>0100010000000</v>
      </c>
      <c r="AF60" s="15" t="str">
        <f t="shared" si="11"/>
        <v>0001000100000</v>
      </c>
      <c r="AG60" s="41" t="str">
        <f t="shared" si="11"/>
        <v>0000000011000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131</v>
      </c>
      <c r="D61" s="30" t="s">
        <v>129</v>
      </c>
      <c r="E61" s="30" t="s">
        <v>127</v>
      </c>
      <c r="F61" s="30" t="s">
        <v>138</v>
      </c>
      <c r="G61" s="30" t="s">
        <v>138</v>
      </c>
      <c r="H61" s="35" t="s">
        <v>134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0100000001000</v>
      </c>
      <c r="AC61" s="15" t="str">
        <f t="shared" si="11"/>
        <v>0000001001000</v>
      </c>
      <c r="AD61" s="15" t="str">
        <f t="shared" si="11"/>
        <v>0010000001000</v>
      </c>
      <c r="AE61" s="15" t="str">
        <f t="shared" si="11"/>
        <v>0100000000010</v>
      </c>
      <c r="AF61" s="15" t="str">
        <f t="shared" si="11"/>
        <v>0000000100010</v>
      </c>
      <c r="AG61" s="41" t="str">
        <f t="shared" si="11"/>
        <v>0001000010000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133</v>
      </c>
      <c r="D62" s="30" t="s">
        <v>132</v>
      </c>
      <c r="E62" s="30" t="s">
        <v>134</v>
      </c>
      <c r="F62" s="30" t="s">
        <v>134</v>
      </c>
      <c r="G62" s="30" t="s">
        <v>130</v>
      </c>
      <c r="H62" s="35" t="s">
        <v>136</v>
      </c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0100000100000</v>
      </c>
      <c r="AC62" s="15" t="str">
        <f t="shared" si="11"/>
        <v>0000000001100</v>
      </c>
      <c r="AD62" s="15" t="str">
        <f t="shared" si="11"/>
        <v>0011000000000</v>
      </c>
      <c r="AE62" s="15" t="str">
        <f t="shared" si="11"/>
        <v>0001000000010</v>
      </c>
      <c r="AF62" s="15" t="str">
        <f t="shared" si="11"/>
        <v>0000000010010</v>
      </c>
      <c r="AG62" s="41" t="str">
        <f t="shared" si="11"/>
        <v>0001100000000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136</v>
      </c>
      <c r="D63" s="30" t="s">
        <v>138</v>
      </c>
      <c r="E63" s="30" t="s">
        <v>138</v>
      </c>
      <c r="F63" s="30" t="s">
        <v>133</v>
      </c>
      <c r="G63" s="30" t="s">
        <v>129</v>
      </c>
      <c r="H63" s="35" t="s">
        <v>127</v>
      </c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0000100100000</v>
      </c>
      <c r="AC63" s="15" t="str">
        <f t="shared" si="11"/>
        <v>0000000000110</v>
      </c>
      <c r="AD63" s="15" t="str">
        <f t="shared" si="11"/>
        <v>0001000000010</v>
      </c>
      <c r="AE63" s="15" t="str">
        <f t="shared" si="11"/>
        <v>0001000100000</v>
      </c>
      <c r="AF63" s="15" t="str">
        <f t="shared" si="11"/>
        <v>0000000011000</v>
      </c>
      <c r="AG63" s="41" t="str">
        <f t="shared" si="11"/>
        <v>0010100000000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3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3</v>
      </c>
      <c r="AO63" s="39" cm="1">
        <f t="array" ref="AO63">SUMPRODUCT(--(MID(AF$10:AF$135, SUMIF($Z$9:$Z$21, LEFT($AJ63,2), $Y$9:$Y$21), 1) = RIGHT($AJ63, 1)), N$10:N$135)</f>
        <v>0</v>
      </c>
      <c r="AP63" s="19" cm="1">
        <f t="array" ref="AP63">SUMPRODUCT(--(MID(AG$10:AG$135, SUMIF($Z$9:$Z$21, LEFT($AJ63,2), $Y$9:$Y$21), 1) = RIGHT($AJ63, 1)), O$10:O$135)</f>
        <v>0</v>
      </c>
    </row>
    <row r="64" spans="2:42">
      <c r="B64" s="34">
        <f t="shared" si="9"/>
        <v>54</v>
      </c>
      <c r="C64" s="30" t="s">
        <v>131</v>
      </c>
      <c r="D64" s="30" t="s">
        <v>134</v>
      </c>
      <c r="E64" s="30" t="s">
        <v>127</v>
      </c>
      <c r="F64" s="30" t="s">
        <v>132</v>
      </c>
      <c r="G64" s="30" t="s">
        <v>134</v>
      </c>
      <c r="H64" s="35" t="s">
        <v>131</v>
      </c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>
        <f t="shared" si="21"/>
        <v>1</v>
      </c>
      <c r="AB64" s="40" t="str">
        <f t="shared" si="11"/>
        <v>0100100000000</v>
      </c>
      <c r="AC64" s="15" t="str">
        <f t="shared" si="11"/>
        <v>0001000000010</v>
      </c>
      <c r="AD64" s="15" t="str">
        <f t="shared" si="11"/>
        <v>0010000000010</v>
      </c>
      <c r="AE64" s="15" t="str">
        <f t="shared" si="11"/>
        <v>0000000100100</v>
      </c>
      <c r="AF64" s="15" t="str">
        <f t="shared" si="11"/>
        <v>0001000001000</v>
      </c>
      <c r="AG64" s="41" t="str">
        <f t="shared" si="11"/>
        <v>0110000000000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6</v>
      </c>
      <c r="AL64" s="39" cm="1">
        <f t="array" ref="AL64">SUMPRODUCT(--(MID(AC$10:AC$135, SUMIF($Z$9:$Z$21, LEFT($AJ64,2), $Y$9:$Y$21), 1) = RIGHT($AJ64, 1)), K$10:K$135)</f>
        <v>14</v>
      </c>
      <c r="AM64" s="39" cm="1">
        <f t="array" ref="AM64">SUMPRODUCT(--(MID(AD$10:AD$135, SUMIF($Z$9:$Z$21, LEFT($AJ64,2), $Y$9:$Y$21), 1) = RIGHT($AJ64, 1)), L$10:L$135)</f>
        <v>12</v>
      </c>
      <c r="AN64" s="39" cm="1">
        <f t="array" ref="AN64">SUMPRODUCT(--(MID(AE$10:AE$135, SUMIF($Z$9:$Z$21, LEFT($AJ64,2), $Y$9:$Y$21), 1) = RIGHT($AJ64, 1)), M$10:M$135)</f>
        <v>16</v>
      </c>
      <c r="AO64" s="39" cm="1">
        <f t="array" ref="AO64">SUMPRODUCT(--(MID(AF$10:AF$135, SUMIF($Z$9:$Z$21, LEFT($AJ64,2), $Y$9:$Y$21), 1) = RIGHT($AJ64, 1)), N$10:N$135)</f>
        <v>30</v>
      </c>
      <c r="AP64" s="19" cm="1">
        <f t="array" ref="AP64">SUMPRODUCT(--(MID(AG$10:AG$135, SUMIF($Z$9:$Z$21, LEFT($AJ64,2), $Y$9:$Y$21), 1) = RIGHT($AJ64, 1)), O$10:O$135)</f>
        <v>14</v>
      </c>
    </row>
    <row r="65" spans="2:42">
      <c r="B65" s="34">
        <f t="shared" si="9"/>
        <v>55</v>
      </c>
      <c r="C65" s="30" t="s">
        <v>127</v>
      </c>
      <c r="D65" s="30" t="s">
        <v>129</v>
      </c>
      <c r="E65" s="30" t="s">
        <v>133</v>
      </c>
      <c r="F65" s="30" t="s">
        <v>134</v>
      </c>
      <c r="G65" s="30" t="s">
        <v>127</v>
      </c>
      <c r="H65" s="35" t="s">
        <v>136</v>
      </c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>
        <f t="shared" si="21"/>
        <v>1</v>
      </c>
      <c r="N65" s="30">
        <f t="shared" si="21"/>
        <v>1</v>
      </c>
      <c r="O65" s="35">
        <f t="shared" si="21"/>
        <v>1</v>
      </c>
      <c r="AB65" s="40" t="str">
        <f t="shared" si="11"/>
        <v>0110000000000</v>
      </c>
      <c r="AC65" s="15" t="str">
        <f t="shared" si="11"/>
        <v>0001000001000</v>
      </c>
      <c r="AD65" s="15" t="str">
        <f t="shared" si="11"/>
        <v>0010000100000</v>
      </c>
      <c r="AE65" s="15" t="str">
        <f t="shared" si="11"/>
        <v>0001000000100</v>
      </c>
      <c r="AF65" s="15" t="str">
        <f t="shared" si="11"/>
        <v>0011000000000</v>
      </c>
      <c r="AG65" s="41" t="str">
        <f t="shared" si="11"/>
        <v>0100100000000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71</v>
      </c>
      <c r="AL65" s="39" cm="1">
        <f t="array" ref="AL65">SUMPRODUCT(--(MID(AC$10:AC$135, SUMIF($Z$9:$Z$21, LEFT($AJ65,2), $Y$9:$Y$21), 1) = RIGHT($AJ65, 1)), K$10:K$135)</f>
        <v>50</v>
      </c>
      <c r="AM65" s="39" cm="1">
        <f t="array" ref="AM65">SUMPRODUCT(--(MID(AD$10:AD$135, SUMIF($Z$9:$Z$21, LEFT($AJ65,2), $Y$9:$Y$21), 1) = RIGHT($AJ65, 1)), L$10:L$135)</f>
        <v>50</v>
      </c>
      <c r="AN65" s="39" cm="1">
        <f t="array" ref="AN65">SUMPRODUCT(--(MID(AE$10:AE$135, SUMIF($Z$9:$Z$21, LEFT($AJ65,2), $Y$9:$Y$21), 1) = RIGHT($AJ65, 1)), M$10:M$135)</f>
        <v>72</v>
      </c>
      <c r="AO65" s="39" cm="1">
        <f t="array" ref="AO65">SUMPRODUCT(--(MID(AF$10:AF$135, SUMIF($Z$9:$Z$21, LEFT($AJ65,2), $Y$9:$Y$21), 1) = RIGHT($AJ65, 1)), N$10:N$135)</f>
        <v>61</v>
      </c>
      <c r="AP65" s="19" cm="1">
        <f t="array" ref="AP65">SUMPRODUCT(--(MID(AG$10:AG$135, SUMIF($Z$9:$Z$21, LEFT($AJ65,2), $Y$9:$Y$21), 1) = RIGHT($AJ65, 1)), O$10:O$135)</f>
        <v>83</v>
      </c>
    </row>
    <row r="66" spans="2:42">
      <c r="B66" s="34">
        <f t="shared" si="9"/>
        <v>56</v>
      </c>
      <c r="C66" s="30" t="s">
        <v>134</v>
      </c>
      <c r="D66" s="30" t="s">
        <v>133</v>
      </c>
      <c r="E66" s="30" t="s">
        <v>127</v>
      </c>
      <c r="F66" s="30" t="s">
        <v>130</v>
      </c>
      <c r="G66" s="30" t="s">
        <v>134</v>
      </c>
      <c r="H66" s="35" t="s">
        <v>129</v>
      </c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>
        <f t="shared" si="21"/>
        <v>1</v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0011000000000</v>
      </c>
      <c r="AC66" s="15" t="str">
        <f t="shared" si="23"/>
        <v>0000000101000</v>
      </c>
      <c r="AD66" s="15" t="str">
        <f t="shared" si="23"/>
        <v>0010000100000</v>
      </c>
      <c r="AE66" s="15" t="str">
        <f t="shared" si="23"/>
        <v>0001000010000</v>
      </c>
      <c r="AF66" s="15" t="str">
        <f t="shared" si="23"/>
        <v>0011000000000</v>
      </c>
      <c r="AG66" s="41" t="str">
        <f t="shared" si="23"/>
        <v>0000100001000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132</v>
      </c>
      <c r="D67" s="30" t="s">
        <v>132</v>
      </c>
      <c r="E67" s="30" t="s">
        <v>138</v>
      </c>
      <c r="F67" s="30" t="s">
        <v>138</v>
      </c>
      <c r="G67" s="30" t="s">
        <v>128</v>
      </c>
      <c r="H67" s="35" t="s">
        <v>136</v>
      </c>
      <c r="J67" s="34">
        <f t="shared" si="21"/>
        <v>1</v>
      </c>
      <c r="K67" s="30">
        <f t="shared" si="21"/>
        <v>1</v>
      </c>
      <c r="L67" s="30">
        <f t="shared" si="21"/>
        <v>1</v>
      </c>
      <c r="M67" s="30">
        <f t="shared" si="21"/>
        <v>1</v>
      </c>
      <c r="N67" s="30">
        <f t="shared" si="21"/>
        <v>1</v>
      </c>
      <c r="O67" s="35">
        <f t="shared" si="21"/>
        <v>1</v>
      </c>
      <c r="AB67" s="40" t="str">
        <f t="shared" si="23"/>
        <v>0001000000100</v>
      </c>
      <c r="AC67" s="15" t="str">
        <f t="shared" si="23"/>
        <v>0000000100100</v>
      </c>
      <c r="AD67" s="15" t="str">
        <f t="shared" si="23"/>
        <v>0010000000010</v>
      </c>
      <c r="AE67" s="15" t="str">
        <f t="shared" si="23"/>
        <v>0000000010010</v>
      </c>
      <c r="AF67" s="15" t="str">
        <f t="shared" si="23"/>
        <v>0001001000000</v>
      </c>
      <c r="AG67" s="41" t="str">
        <f t="shared" si="23"/>
        <v>0000100001000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131</v>
      </c>
      <c r="D68" s="30" t="s">
        <v>138</v>
      </c>
      <c r="E68" s="30" t="s">
        <v>134</v>
      </c>
      <c r="F68" s="30" t="s">
        <v>133</v>
      </c>
      <c r="G68" s="30" t="s">
        <v>133</v>
      </c>
      <c r="H68" s="35" t="s">
        <v>127</v>
      </c>
      <c r="J68" s="34">
        <f t="shared" si="21"/>
        <v>1</v>
      </c>
      <c r="K68" s="30">
        <f t="shared" si="21"/>
        <v>1</v>
      </c>
      <c r="L68" s="30">
        <f t="shared" si="21"/>
        <v>1</v>
      </c>
      <c r="M68" s="30">
        <f t="shared" si="21"/>
        <v>1</v>
      </c>
      <c r="N68" s="30">
        <f t="shared" si="21"/>
        <v>1</v>
      </c>
      <c r="O68" s="35">
        <f t="shared" si="21"/>
        <v>1</v>
      </c>
      <c r="AB68" s="40" t="str">
        <f t="shared" si="23"/>
        <v>0100000000100</v>
      </c>
      <c r="AC68" s="15" t="str">
        <f t="shared" si="23"/>
        <v>0000000000110</v>
      </c>
      <c r="AD68" s="15" t="str">
        <f t="shared" si="23"/>
        <v>0001000000010</v>
      </c>
      <c r="AE68" s="15" t="str">
        <f t="shared" si="23"/>
        <v>0000000100010</v>
      </c>
      <c r="AF68" s="15" t="str">
        <f t="shared" si="23"/>
        <v>0000001100000</v>
      </c>
      <c r="AG68" s="41" t="str">
        <f t="shared" si="23"/>
        <v>0010100000000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127</v>
      </c>
      <c r="D69" s="30" t="s">
        <v>133</v>
      </c>
      <c r="E69" s="30" t="s">
        <v>127</v>
      </c>
      <c r="F69" s="30" t="s">
        <v>136</v>
      </c>
      <c r="G69" s="30" t="s">
        <v>130</v>
      </c>
      <c r="H69" s="35" t="s">
        <v>138</v>
      </c>
      <c r="J69" s="34">
        <f t="shared" si="21"/>
        <v>1</v>
      </c>
      <c r="K69" s="30">
        <f t="shared" si="21"/>
        <v>1</v>
      </c>
      <c r="L69" s="30">
        <f t="shared" si="21"/>
        <v>1</v>
      </c>
      <c r="M69" s="30">
        <f t="shared" si="21"/>
        <v>1</v>
      </c>
      <c r="N69" s="30">
        <f t="shared" si="21"/>
        <v>1</v>
      </c>
      <c r="O69" s="35">
        <f t="shared" si="21"/>
        <v>1</v>
      </c>
      <c r="AB69" s="40" t="str">
        <f t="shared" si="23"/>
        <v>0110000000000</v>
      </c>
      <c r="AC69" s="15" t="str">
        <f t="shared" si="23"/>
        <v>0000000100010</v>
      </c>
      <c r="AD69" s="15" t="str">
        <f t="shared" si="23"/>
        <v>0011000000000</v>
      </c>
      <c r="AE69" s="15" t="str">
        <f t="shared" si="23"/>
        <v>0000100100000</v>
      </c>
      <c r="AF69" s="15" t="str">
        <f t="shared" si="23"/>
        <v>0000000110000</v>
      </c>
      <c r="AG69" s="41" t="str">
        <f t="shared" si="23"/>
        <v>0010000000010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134</v>
      </c>
      <c r="D70" s="30" t="s">
        <v>126</v>
      </c>
      <c r="E70" s="30" t="s">
        <v>138</v>
      </c>
      <c r="F70" s="30" t="s">
        <v>132</v>
      </c>
      <c r="G70" s="30" t="s">
        <v>134</v>
      </c>
      <c r="H70" s="35" t="s">
        <v>136</v>
      </c>
      <c r="J70" s="34">
        <f t="shared" si="21"/>
        <v>1</v>
      </c>
      <c r="K70" s="30">
        <f t="shared" si="21"/>
        <v>1</v>
      </c>
      <c r="L70" s="30">
        <f t="shared" si="21"/>
        <v>1</v>
      </c>
      <c r="M70" s="30">
        <f t="shared" si="21"/>
        <v>1</v>
      </c>
      <c r="N70" s="30">
        <f t="shared" si="21"/>
        <v>1</v>
      </c>
      <c r="O70" s="35">
        <f t="shared" si="21"/>
        <v>1</v>
      </c>
      <c r="AB70" s="40" t="str">
        <f t="shared" si="23"/>
        <v>0011000000000</v>
      </c>
      <c r="AC70" s="15" t="str">
        <f t="shared" si="23"/>
        <v>1111111211110</v>
      </c>
      <c r="AD70" s="15" t="str">
        <f t="shared" si="23"/>
        <v>0010000000010</v>
      </c>
      <c r="AE70" s="15" t="str">
        <f t="shared" si="23"/>
        <v>0000100000100</v>
      </c>
      <c r="AF70" s="15" t="str">
        <f t="shared" si="23"/>
        <v>0001000010000</v>
      </c>
      <c r="AG70" s="41" t="str">
        <f t="shared" si="23"/>
        <v>0000100000010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129</v>
      </c>
      <c r="D71" s="30" t="s">
        <v>130</v>
      </c>
      <c r="E71" s="30" t="s">
        <v>127</v>
      </c>
      <c r="F71" s="30" t="s">
        <v>137</v>
      </c>
      <c r="G71" s="30" t="s">
        <v>133</v>
      </c>
      <c r="H71" s="35" t="s">
        <v>129</v>
      </c>
      <c r="J71" s="34">
        <f t="shared" si="21"/>
        <v>1</v>
      </c>
      <c r="K71" s="30">
        <f t="shared" si="21"/>
        <v>1</v>
      </c>
      <c r="L71" s="30">
        <f t="shared" si="21"/>
        <v>1</v>
      </c>
      <c r="M71" s="30">
        <f t="shared" si="21"/>
        <v>1</v>
      </c>
      <c r="N71" s="30">
        <f t="shared" si="21"/>
        <v>1</v>
      </c>
      <c r="O71" s="35">
        <f t="shared" si="21"/>
        <v>1</v>
      </c>
      <c r="AB71" s="40" t="str">
        <f t="shared" si="23"/>
        <v>0001000001000</v>
      </c>
      <c r="AC71" s="15" t="str">
        <f t="shared" si="23"/>
        <v>1111111121110</v>
      </c>
      <c r="AD71" s="15" t="str">
        <f t="shared" si="23"/>
        <v>0010000000010</v>
      </c>
      <c r="AE71" s="15" t="str">
        <f t="shared" si="23"/>
        <v>0000010000100</v>
      </c>
      <c r="AF71" s="15" t="str">
        <f t="shared" si="23"/>
        <v>0001000100000</v>
      </c>
      <c r="AG71" s="41" t="str">
        <f t="shared" si="23"/>
        <v>0000100001000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1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132</v>
      </c>
      <c r="D72" s="30" t="s">
        <v>132</v>
      </c>
      <c r="E72" s="30" t="s">
        <v>129</v>
      </c>
      <c r="F72" s="30" t="s">
        <v>132</v>
      </c>
      <c r="G72" s="30" t="s">
        <v>127</v>
      </c>
      <c r="H72" s="35" t="s">
        <v>136</v>
      </c>
      <c r="J72" s="34">
        <f t="shared" si="21"/>
        <v>1</v>
      </c>
      <c r="K72" s="30">
        <f t="shared" si="21"/>
        <v>1</v>
      </c>
      <c r="L72" s="30">
        <f t="shared" si="21"/>
        <v>1</v>
      </c>
      <c r="M72" s="30">
        <f t="shared" si="21"/>
        <v>1</v>
      </c>
      <c r="N72" s="30">
        <f t="shared" si="21"/>
        <v>1</v>
      </c>
      <c r="O72" s="35">
        <f t="shared" si="21"/>
        <v>1</v>
      </c>
      <c r="AB72" s="40" t="str">
        <f t="shared" si="23"/>
        <v>0000000001100</v>
      </c>
      <c r="AC72" s="15" t="str">
        <f t="shared" si="23"/>
        <v>0000000010100</v>
      </c>
      <c r="AD72" s="15" t="str">
        <f t="shared" si="23"/>
        <v>0010000001000</v>
      </c>
      <c r="AE72" s="15" t="str">
        <f t="shared" si="23"/>
        <v>0000010000100</v>
      </c>
      <c r="AF72" s="15" t="str">
        <f t="shared" si="23"/>
        <v>0010000100000</v>
      </c>
      <c r="AG72" s="41" t="str">
        <f t="shared" si="23"/>
        <v>0000100001000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4</v>
      </c>
      <c r="AL72" s="39" cm="1">
        <f t="array" ref="AL72">SUMPRODUCT(--(MID(AC$10:AC$135, SUMIF($Z$9:$Z$21, LEFT($AJ72,2), $Y$9:$Y$21), 1) = RIGHT($AJ72, 1)), K$10:K$135)</f>
        <v>10</v>
      </c>
      <c r="AM72" s="39" cm="1">
        <f t="array" ref="AM72">SUMPRODUCT(--(MID(AD$10:AD$135, SUMIF($Z$9:$Z$21, LEFT($AJ72,2), $Y$9:$Y$21), 1) = RIGHT($AJ72, 1)), L$10:L$135)</f>
        <v>4</v>
      </c>
      <c r="AN72" s="39" cm="1">
        <f t="array" ref="AN72">SUMPRODUCT(--(MID(AE$10:AE$135, SUMIF($Z$9:$Z$21, LEFT($AJ72,2), $Y$9:$Y$21), 1) = RIGHT($AJ72, 1)), M$10:M$135)</f>
        <v>10</v>
      </c>
      <c r="AO72" s="39" cm="1">
        <f t="array" ref="AO72">SUMPRODUCT(--(MID(AF$10:AF$135, SUMIF($Z$9:$Z$21, LEFT($AJ72,2), $Y$9:$Y$21), 1) = RIGHT($AJ72, 1)), N$10:N$135)</f>
        <v>28</v>
      </c>
      <c r="AP72" s="19" cm="1">
        <f t="array" ref="AP72">SUMPRODUCT(--(MID(AG$10:AG$135, SUMIF($Z$9:$Z$21, LEFT($AJ72,2), $Y$9:$Y$21), 1) = RIGHT($AJ72, 1)), O$10:O$135)</f>
        <v>6</v>
      </c>
    </row>
    <row r="73" spans="2:42">
      <c r="B73" s="34">
        <f t="shared" si="9"/>
        <v>63</v>
      </c>
      <c r="C73" s="30" t="s">
        <v>137</v>
      </c>
      <c r="D73" s="30" t="s">
        <v>133</v>
      </c>
      <c r="E73" s="30" t="s">
        <v>138</v>
      </c>
      <c r="F73" s="30" t="s">
        <v>133</v>
      </c>
      <c r="G73" s="30" t="s">
        <v>134</v>
      </c>
      <c r="H73" s="35" t="s">
        <v>134</v>
      </c>
      <c r="J73" s="34">
        <f t="shared" si="21"/>
        <v>1</v>
      </c>
      <c r="K73" s="30">
        <f t="shared" si="21"/>
        <v>1</v>
      </c>
      <c r="L73" s="30">
        <f t="shared" si="21"/>
        <v>1</v>
      </c>
      <c r="M73" s="30">
        <f t="shared" si="21"/>
        <v>1</v>
      </c>
      <c r="N73" s="30">
        <f t="shared" si="21"/>
        <v>1</v>
      </c>
      <c r="O73" s="35">
        <f t="shared" si="21"/>
        <v>1</v>
      </c>
      <c r="AB73" s="40" t="str">
        <f t="shared" si="23"/>
        <v>0000010000100</v>
      </c>
      <c r="AC73" s="15" t="str">
        <f t="shared" si="23"/>
        <v>0000000100100</v>
      </c>
      <c r="AD73" s="15" t="str">
        <f t="shared" si="23"/>
        <v>0000000001010</v>
      </c>
      <c r="AE73" s="15" t="str">
        <f t="shared" si="23"/>
        <v>0000000100100</v>
      </c>
      <c r="AF73" s="15" t="str">
        <f t="shared" si="23"/>
        <v>0011000000000</v>
      </c>
      <c r="AG73" s="41" t="str">
        <f t="shared" si="23"/>
        <v>0001100000000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75</v>
      </c>
      <c r="AL73" s="39" cm="1">
        <f t="array" ref="AL73">SUMPRODUCT(--(MID(AC$10:AC$135, SUMIF($Z$9:$Z$21, LEFT($AJ73,2), $Y$9:$Y$21), 1) = RIGHT($AJ73, 1)), K$10:K$135)</f>
        <v>56</v>
      </c>
      <c r="AM73" s="39" cm="1">
        <f t="array" ref="AM73">SUMPRODUCT(--(MID(AD$10:AD$135, SUMIF($Z$9:$Z$21, LEFT($AJ73,2), $Y$9:$Y$21), 1) = RIGHT($AJ73, 1)), L$10:L$135)</f>
        <v>60</v>
      </c>
      <c r="AN73" s="39" cm="1">
        <f t="array" ref="AN73">SUMPRODUCT(--(MID(AE$10:AE$135, SUMIF($Z$9:$Z$21, LEFT($AJ73,2), $Y$9:$Y$21), 1) = RIGHT($AJ73, 1)), M$10:M$135)</f>
        <v>81</v>
      </c>
      <c r="AO73" s="39" cm="1">
        <f t="array" ref="AO73">SUMPRODUCT(--(MID(AF$10:AF$135, SUMIF($Z$9:$Z$21, LEFT($AJ73,2), $Y$9:$Y$21), 1) = RIGHT($AJ73, 1)), N$10:N$135)</f>
        <v>63</v>
      </c>
      <c r="AP73" s="19" cm="1">
        <f t="array" ref="AP73">SUMPRODUCT(--(MID(AG$10:AG$135, SUMIF($Z$9:$Z$21, LEFT($AJ73,2), $Y$9:$Y$21), 1) = RIGHT($AJ73, 1)), O$10:O$135)</f>
        <v>91</v>
      </c>
    </row>
    <row r="74" spans="2:42">
      <c r="B74" s="34">
        <f t="shared" si="9"/>
        <v>64</v>
      </c>
      <c r="C74" s="30" t="s">
        <v>127</v>
      </c>
      <c r="D74" s="30" t="s">
        <v>138</v>
      </c>
      <c r="E74" s="30"/>
      <c r="F74" s="30" t="s">
        <v>132</v>
      </c>
      <c r="G74" s="30" t="s">
        <v>130</v>
      </c>
      <c r="H74" s="35" t="s">
        <v>127</v>
      </c>
      <c r="J74" s="34">
        <f t="shared" si="21"/>
        <v>1</v>
      </c>
      <c r="K74" s="30">
        <f t="shared" si="21"/>
        <v>1</v>
      </c>
      <c r="L74" s="30" t="str">
        <f t="shared" si="21"/>
        <v/>
      </c>
      <c r="M74" s="30">
        <f t="shared" si="21"/>
        <v>1</v>
      </c>
      <c r="N74" s="30">
        <f t="shared" si="21"/>
        <v>1</v>
      </c>
      <c r="O74" s="35">
        <f t="shared" si="21"/>
        <v>1</v>
      </c>
      <c r="AB74" s="40" t="str">
        <f t="shared" si="23"/>
        <v>0010010000000</v>
      </c>
      <c r="AC74" s="15" t="str">
        <f t="shared" si="23"/>
        <v>0000000100010</v>
      </c>
      <c r="AD74" s="15" t="str">
        <f t="shared" si="23"/>
        <v/>
      </c>
      <c r="AE74" s="15" t="str">
        <f t="shared" si="23"/>
        <v>0000000100100</v>
      </c>
      <c r="AF74" s="15" t="str">
        <f t="shared" si="23"/>
        <v>0001000010000</v>
      </c>
      <c r="AG74" s="41" t="str">
        <f t="shared" si="23"/>
        <v>0011000000000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131</v>
      </c>
      <c r="D75" s="30" t="s">
        <v>129</v>
      </c>
      <c r="E75" s="30"/>
      <c r="F75" s="30" t="s">
        <v>129</v>
      </c>
      <c r="G75" s="30" t="s">
        <v>138</v>
      </c>
      <c r="H75" s="35" t="s">
        <v>136</v>
      </c>
      <c r="J75" s="34">
        <f t="shared" si="21"/>
        <v>1</v>
      </c>
      <c r="K75" s="30">
        <f t="shared" si="21"/>
        <v>1</v>
      </c>
      <c r="L75" s="30" t="str">
        <f t="shared" si="21"/>
        <v/>
      </c>
      <c r="M75" s="30">
        <f t="shared" si="21"/>
        <v>1</v>
      </c>
      <c r="N75" s="30">
        <f t="shared" si="21"/>
        <v>1</v>
      </c>
      <c r="O75" s="35">
        <f t="shared" si="21"/>
        <v>1</v>
      </c>
      <c r="AB75" s="40" t="str">
        <f t="shared" si="23"/>
        <v>0110000000000</v>
      </c>
      <c r="AC75" s="15" t="str">
        <f t="shared" si="23"/>
        <v>0000000001010</v>
      </c>
      <c r="AD75" s="15" t="str">
        <f t="shared" si="23"/>
        <v/>
      </c>
      <c r="AE75" s="15" t="str">
        <f t="shared" si="23"/>
        <v>0000000001100</v>
      </c>
      <c r="AF75" s="15" t="str">
        <f t="shared" si="23"/>
        <v>0000000010010</v>
      </c>
      <c r="AG75" s="41" t="str">
        <f t="shared" si="23"/>
        <v>0010100000000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132</v>
      </c>
      <c r="D76" s="30" t="s">
        <v>131</v>
      </c>
      <c r="E76" s="30"/>
      <c r="F76" s="30" t="s">
        <v>130</v>
      </c>
      <c r="G76" s="30" t="s">
        <v>134</v>
      </c>
      <c r="H76" s="35" t="s">
        <v>130</v>
      </c>
      <c r="J76" s="34">
        <f t="shared" si="21"/>
        <v>1</v>
      </c>
      <c r="K76" s="30">
        <f t="shared" si="21"/>
        <v>1</v>
      </c>
      <c r="L76" s="30" t="str">
        <f t="shared" si="21"/>
        <v/>
      </c>
      <c r="M76" s="30">
        <f t="shared" si="21"/>
        <v>1</v>
      </c>
      <c r="N76" s="30">
        <f t="shared" si="21"/>
        <v>1</v>
      </c>
      <c r="O76" s="35">
        <f t="shared" si="21"/>
        <v>1</v>
      </c>
      <c r="AB76" s="40" t="str">
        <f t="shared" si="23"/>
        <v>0100000000100</v>
      </c>
      <c r="AC76" s="15" t="str">
        <f t="shared" si="23"/>
        <v>0100000001000</v>
      </c>
      <c r="AD76" s="15" t="str">
        <f t="shared" si="23"/>
        <v/>
      </c>
      <c r="AE76" s="15" t="str">
        <f t="shared" si="23"/>
        <v>0000000011000</v>
      </c>
      <c r="AF76" s="15" t="str">
        <f t="shared" si="23"/>
        <v>0001000000010</v>
      </c>
      <c r="AG76" s="41" t="str">
        <f t="shared" si="23"/>
        <v>0000100010000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128</v>
      </c>
      <c r="D77" s="30"/>
      <c r="E77" s="30"/>
      <c r="F77" s="30" t="s">
        <v>129</v>
      </c>
      <c r="G77" s="30" t="s">
        <v>130</v>
      </c>
      <c r="H77" s="35" t="s">
        <v>127</v>
      </c>
      <c r="J77" s="34">
        <f t="shared" si="21"/>
        <v>1</v>
      </c>
      <c r="K77" s="30" t="str">
        <f t="shared" si="21"/>
        <v/>
      </c>
      <c r="L77" s="30" t="str">
        <f t="shared" si="21"/>
        <v/>
      </c>
      <c r="M77" s="30">
        <f t="shared" si="21"/>
        <v>1</v>
      </c>
      <c r="N77" s="30">
        <f t="shared" si="21"/>
        <v>1</v>
      </c>
      <c r="O77" s="35">
        <f t="shared" si="21"/>
        <v>1</v>
      </c>
      <c r="AB77" s="40" t="str">
        <f t="shared" si="23"/>
        <v>0000001000100</v>
      </c>
      <c r="AC77" s="15" t="str">
        <f t="shared" si="23"/>
        <v/>
      </c>
      <c r="AD77" s="15" t="str">
        <f t="shared" si="23"/>
        <v/>
      </c>
      <c r="AE77" s="15" t="str">
        <f t="shared" si="23"/>
        <v>0000000011000</v>
      </c>
      <c r="AF77" s="15" t="str">
        <f t="shared" si="23"/>
        <v>0001000010000</v>
      </c>
      <c r="AG77" s="41" t="str">
        <f t="shared" si="23"/>
        <v>0010000010000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 t="s">
        <v>131</v>
      </c>
      <c r="D78" s="30"/>
      <c r="E78" s="30"/>
      <c r="F78" s="30" t="s">
        <v>128</v>
      </c>
      <c r="G78" s="30" t="s">
        <v>134</v>
      </c>
      <c r="H78" s="35" t="s">
        <v>131</v>
      </c>
      <c r="J78" s="34">
        <f t="shared" si="21"/>
        <v>1</v>
      </c>
      <c r="K78" s="30" t="str">
        <f t="shared" si="21"/>
        <v/>
      </c>
      <c r="L78" s="30" t="str">
        <f t="shared" si="21"/>
        <v/>
      </c>
      <c r="M78" s="30">
        <f t="shared" si="21"/>
        <v>1</v>
      </c>
      <c r="N78" s="30">
        <f t="shared" si="21"/>
        <v>1</v>
      </c>
      <c r="O78" s="35">
        <f t="shared" si="21"/>
        <v>1</v>
      </c>
      <c r="AB78" s="40" t="str">
        <f t="shared" si="23"/>
        <v>0100001000000</v>
      </c>
      <c r="AC78" s="15" t="str">
        <f t="shared" si="23"/>
        <v/>
      </c>
      <c r="AD78" s="15" t="str">
        <f t="shared" si="23"/>
        <v/>
      </c>
      <c r="AE78" s="15" t="str">
        <f t="shared" si="23"/>
        <v>0000001001000</v>
      </c>
      <c r="AF78" s="15" t="str">
        <f t="shared" si="23"/>
        <v>0001000010000</v>
      </c>
      <c r="AG78" s="41" t="str">
        <f t="shared" si="23"/>
        <v>0110000000000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 t="s">
        <v>134</v>
      </c>
      <c r="D79" s="30"/>
      <c r="E79" s="30"/>
      <c r="F79" s="30" t="s">
        <v>134</v>
      </c>
      <c r="G79" s="30" t="s">
        <v>133</v>
      </c>
      <c r="H79" s="35" t="s">
        <v>129</v>
      </c>
      <c r="J79" s="34">
        <f t="shared" si="21"/>
        <v>1</v>
      </c>
      <c r="K79" s="30" t="str">
        <f t="shared" si="21"/>
        <v/>
      </c>
      <c r="L79" s="30" t="str">
        <f t="shared" si="21"/>
        <v/>
      </c>
      <c r="M79" s="30">
        <f t="shared" si="21"/>
        <v>1</v>
      </c>
      <c r="N79" s="30">
        <f t="shared" si="21"/>
        <v>1</v>
      </c>
      <c r="O79" s="35">
        <f t="shared" si="21"/>
        <v>1</v>
      </c>
      <c r="AB79" s="40" t="str">
        <f t="shared" si="23"/>
        <v>0101000000000</v>
      </c>
      <c r="AC79" s="15" t="str">
        <f t="shared" si="23"/>
        <v/>
      </c>
      <c r="AD79" s="15" t="str">
        <f t="shared" si="23"/>
        <v/>
      </c>
      <c r="AE79" s="15" t="str">
        <f t="shared" si="23"/>
        <v>0001001000000</v>
      </c>
      <c r="AF79" s="15" t="str">
        <f t="shared" si="23"/>
        <v>0001000100000</v>
      </c>
      <c r="AG79" s="41" t="str">
        <f t="shared" si="23"/>
        <v>0100000001000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2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0</v>
      </c>
      <c r="AP79" s="19" cm="1">
        <f t="array" ref="AP79">SUMPRODUCT(--(MID(AG$10:AG$135, SUMIF($Z$9:$Z$21, LEFT($AJ79,2), $Y$9:$Y$21), 1) = RIGHT($AJ79, 1)), O$10:O$135)</f>
        <v>0</v>
      </c>
    </row>
    <row r="80" spans="2:42">
      <c r="B80" s="34">
        <f t="shared" si="25"/>
        <v>70</v>
      </c>
      <c r="C80" s="30" t="s">
        <v>132</v>
      </c>
      <c r="D80" s="30"/>
      <c r="E80" s="30"/>
      <c r="F80" s="30" t="s">
        <v>138</v>
      </c>
      <c r="G80" s="30" t="s">
        <v>130</v>
      </c>
      <c r="H80" s="35" t="s">
        <v>136</v>
      </c>
      <c r="J80" s="34">
        <f t="shared" si="21"/>
        <v>1</v>
      </c>
      <c r="K80" s="30" t="str">
        <f t="shared" si="21"/>
        <v/>
      </c>
      <c r="L80" s="30" t="str">
        <f t="shared" si="21"/>
        <v/>
      </c>
      <c r="M80" s="30">
        <f t="shared" si="21"/>
        <v>1</v>
      </c>
      <c r="N80" s="30">
        <f t="shared" si="21"/>
        <v>1</v>
      </c>
      <c r="O80" s="35">
        <f t="shared" si="21"/>
        <v>1</v>
      </c>
      <c r="AB80" s="40" t="str">
        <f t="shared" si="23"/>
        <v>0001000000100</v>
      </c>
      <c r="AC80" s="15" t="str">
        <f t="shared" si="23"/>
        <v/>
      </c>
      <c r="AD80" s="15" t="str">
        <f t="shared" si="23"/>
        <v/>
      </c>
      <c r="AE80" s="15" t="str">
        <f t="shared" si="23"/>
        <v>0001000000010</v>
      </c>
      <c r="AF80" s="15" t="str">
        <f t="shared" si="23"/>
        <v>0000000110000</v>
      </c>
      <c r="AG80" s="41" t="str">
        <f t="shared" si="23"/>
        <v>0000100001000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10</v>
      </c>
      <c r="AL80" s="39" cm="1">
        <f t="array" ref="AL80">SUMPRODUCT(--(MID(AC$10:AC$135, SUMIF($Z$9:$Z$21, LEFT($AJ80,2), $Y$9:$Y$21), 1) = RIGHT($AJ80, 1)), K$10:K$135)</f>
        <v>18</v>
      </c>
      <c r="AM80" s="39" cm="1">
        <f t="array" ref="AM80">SUMPRODUCT(--(MID(AD$10:AD$135, SUMIF($Z$9:$Z$21, LEFT($AJ80,2), $Y$9:$Y$21), 1) = RIGHT($AJ80, 1)), L$10:L$135)</f>
        <v>16</v>
      </c>
      <c r="AN80" s="39" cm="1">
        <f t="array" ref="AN80">SUMPRODUCT(--(MID(AE$10:AE$135, SUMIF($Z$9:$Z$21, LEFT($AJ80,2), $Y$9:$Y$21), 1) = RIGHT($AJ80, 1)), M$10:M$135)</f>
        <v>18</v>
      </c>
      <c r="AO80" s="39" cm="1">
        <f t="array" ref="AO80">SUMPRODUCT(--(MID(AF$10:AF$135, SUMIF($Z$9:$Z$21, LEFT($AJ80,2), $Y$9:$Y$21), 1) = RIGHT($AJ80, 1)), N$10:N$135)</f>
        <v>8</v>
      </c>
      <c r="AP80" s="19" cm="1">
        <f t="array" ref="AP80">SUMPRODUCT(--(MID(AG$10:AG$135, SUMIF($Z$9:$Z$21, LEFT($AJ80,2), $Y$9:$Y$21), 1) = RIGHT($AJ80, 1)), O$10:O$135)</f>
        <v>22</v>
      </c>
    </row>
    <row r="81" spans="2:42">
      <c r="B81" s="34">
        <f t="shared" si="25"/>
        <v>71</v>
      </c>
      <c r="C81" s="30" t="s">
        <v>137</v>
      </c>
      <c r="D81" s="30"/>
      <c r="E81" s="30"/>
      <c r="F81" s="30" t="s">
        <v>132</v>
      </c>
      <c r="G81" s="30" t="s">
        <v>134</v>
      </c>
      <c r="H81" s="35" t="s">
        <v>129</v>
      </c>
      <c r="J81" s="34">
        <f t="shared" si="21"/>
        <v>1</v>
      </c>
      <c r="K81" s="30" t="str">
        <f t="shared" si="21"/>
        <v/>
      </c>
      <c r="L81" s="30" t="str">
        <f t="shared" si="21"/>
        <v/>
      </c>
      <c r="M81" s="30">
        <f t="shared" si="21"/>
        <v>1</v>
      </c>
      <c r="N81" s="30">
        <f t="shared" si="21"/>
        <v>1</v>
      </c>
      <c r="O81" s="35">
        <f t="shared" si="21"/>
        <v>1</v>
      </c>
      <c r="AB81" s="40" t="str">
        <f t="shared" si="23"/>
        <v>0000010000100</v>
      </c>
      <c r="AC81" s="15" t="str">
        <f t="shared" si="23"/>
        <v/>
      </c>
      <c r="AD81" s="15" t="str">
        <f t="shared" si="23"/>
        <v/>
      </c>
      <c r="AE81" s="15" t="str">
        <f t="shared" si="23"/>
        <v>0000000000110</v>
      </c>
      <c r="AF81" s="15" t="str">
        <f t="shared" si="23"/>
        <v>0001000010000</v>
      </c>
      <c r="AG81" s="41" t="str">
        <f t="shared" si="23"/>
        <v>0000100001000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67</v>
      </c>
      <c r="AL81" s="39" cm="1">
        <f t="array" ref="AL81">SUMPRODUCT(--(MID(AC$10:AC$135, SUMIF($Z$9:$Z$21, LEFT($AJ81,2), $Y$9:$Y$21), 1) = RIGHT($AJ81, 1)), K$10:K$135)</f>
        <v>47</v>
      </c>
      <c r="AM81" s="39" cm="1">
        <f t="array" ref="AM81">SUMPRODUCT(--(MID(AD$10:AD$135, SUMIF($Z$9:$Z$21, LEFT($AJ81,2), $Y$9:$Y$21), 1) = RIGHT($AJ81, 1)), L$10:L$135)</f>
        <v>46</v>
      </c>
      <c r="AN81" s="39" cm="1">
        <f t="array" ref="AN81">SUMPRODUCT(--(MID(AE$10:AE$135, SUMIF($Z$9:$Z$21, LEFT($AJ81,2), $Y$9:$Y$21), 1) = RIGHT($AJ81, 1)), M$10:M$135)</f>
        <v>71</v>
      </c>
      <c r="AO81" s="39" cm="1">
        <f t="array" ref="AO81">SUMPRODUCT(--(MID(AF$10:AF$135, SUMIF($Z$9:$Z$21, LEFT($AJ81,2), $Y$9:$Y$21), 1) = RIGHT($AJ81, 1)), N$10:N$135)</f>
        <v>83</v>
      </c>
      <c r="AP81" s="19" cm="1">
        <f t="array" ref="AP81">SUMPRODUCT(--(MID(AG$10:AG$135, SUMIF($Z$9:$Z$21, LEFT($AJ81,2), $Y$9:$Y$21), 1) = RIGHT($AJ81, 1)), O$10:O$135)</f>
        <v>75</v>
      </c>
    </row>
    <row r="82" spans="2:42">
      <c r="B82" s="34">
        <f t="shared" si="25"/>
        <v>72</v>
      </c>
      <c r="C82" s="30" t="s">
        <v>127</v>
      </c>
      <c r="D82" s="30"/>
      <c r="E82" s="30"/>
      <c r="F82" s="30" t="s">
        <v>133</v>
      </c>
      <c r="G82" s="30" t="s">
        <v>127</v>
      </c>
      <c r="H82" s="35" t="s">
        <v>134</v>
      </c>
      <c r="J82" s="34">
        <f t="shared" si="21"/>
        <v>1</v>
      </c>
      <c r="K82" s="30" t="str">
        <f t="shared" si="21"/>
        <v/>
      </c>
      <c r="L82" s="30" t="str">
        <f t="shared" si="21"/>
        <v/>
      </c>
      <c r="M82" s="30">
        <f t="shared" si="21"/>
        <v>1</v>
      </c>
      <c r="N82" s="30">
        <f t="shared" si="21"/>
        <v>1</v>
      </c>
      <c r="O82" s="35">
        <f t="shared" si="21"/>
        <v>1</v>
      </c>
      <c r="AB82" s="40" t="str">
        <f t="shared" si="23"/>
        <v>0010010000000</v>
      </c>
      <c r="AC82" s="15" t="str">
        <f t="shared" si="23"/>
        <v/>
      </c>
      <c r="AD82" s="15" t="str">
        <f t="shared" si="23"/>
        <v/>
      </c>
      <c r="AE82" s="15" t="str">
        <f t="shared" si="23"/>
        <v>0000000100100</v>
      </c>
      <c r="AF82" s="15" t="str">
        <f t="shared" si="23"/>
        <v>0011000000000</v>
      </c>
      <c r="AG82" s="41" t="str">
        <f t="shared" si="23"/>
        <v>0001000001000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 t="s">
        <v>134</v>
      </c>
      <c r="D83" s="30"/>
      <c r="E83" s="30"/>
      <c r="F83" s="30" t="s">
        <v>131</v>
      </c>
      <c r="G83" s="30" t="s">
        <v>134</v>
      </c>
      <c r="H83" s="35" t="s">
        <v>129</v>
      </c>
      <c r="J83" s="34">
        <f t="shared" si="21"/>
        <v>1</v>
      </c>
      <c r="K83" s="30" t="str">
        <f t="shared" si="21"/>
        <v/>
      </c>
      <c r="L83" s="30" t="str">
        <f t="shared" si="21"/>
        <v/>
      </c>
      <c r="M83" s="30">
        <f t="shared" si="21"/>
        <v>1</v>
      </c>
      <c r="N83" s="30">
        <f t="shared" si="21"/>
        <v>1</v>
      </c>
      <c r="O83" s="35">
        <f t="shared" si="21"/>
        <v>1</v>
      </c>
      <c r="AB83" s="40" t="str">
        <f t="shared" si="23"/>
        <v>0011000000000</v>
      </c>
      <c r="AC83" s="15" t="str">
        <f t="shared" si="23"/>
        <v/>
      </c>
      <c r="AD83" s="15" t="str">
        <f t="shared" si="23"/>
        <v/>
      </c>
      <c r="AE83" s="15" t="str">
        <f t="shared" si="23"/>
        <v>0100000100000</v>
      </c>
      <c r="AF83" s="15" t="str">
        <f t="shared" si="23"/>
        <v>0011000000000</v>
      </c>
      <c r="AG83" s="41" t="str">
        <f t="shared" si="23"/>
        <v>0001000001000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 t="s">
        <v>131</v>
      </c>
      <c r="D84" s="30"/>
      <c r="E84" s="30"/>
      <c r="F84" s="30" t="s">
        <v>137</v>
      </c>
      <c r="G84" s="30" t="s">
        <v>128</v>
      </c>
      <c r="H84" s="35" t="s">
        <v>136</v>
      </c>
      <c r="J84" s="34">
        <f t="shared" si="21"/>
        <v>1</v>
      </c>
      <c r="K84" s="30" t="str">
        <f t="shared" si="21"/>
        <v/>
      </c>
      <c r="L84" s="30" t="str">
        <f t="shared" si="21"/>
        <v/>
      </c>
      <c r="M84" s="30">
        <f t="shared" si="21"/>
        <v>1</v>
      </c>
      <c r="N84" s="30">
        <f t="shared" si="21"/>
        <v>1</v>
      </c>
      <c r="O84" s="35">
        <f t="shared" si="21"/>
        <v>1</v>
      </c>
      <c r="AB84" s="40" t="str">
        <f t="shared" si="23"/>
        <v>0101000000000</v>
      </c>
      <c r="AC84" s="15" t="str">
        <f t="shared" si="23"/>
        <v/>
      </c>
      <c r="AD84" s="15" t="str">
        <f t="shared" si="23"/>
        <v/>
      </c>
      <c r="AE84" s="15" t="str">
        <f t="shared" si="23"/>
        <v>0100010000000</v>
      </c>
      <c r="AF84" s="15" t="str">
        <f t="shared" si="23"/>
        <v>0001001000000</v>
      </c>
      <c r="AG84" s="41" t="str">
        <f t="shared" si="23"/>
        <v>0000100001000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 t="s">
        <v>137</v>
      </c>
      <c r="D85" s="30"/>
      <c r="E85" s="30"/>
      <c r="F85" s="30" t="s">
        <v>134</v>
      </c>
      <c r="G85" s="30" t="s">
        <v>138</v>
      </c>
      <c r="H85" s="35" t="s">
        <v>134</v>
      </c>
      <c r="J85" s="34">
        <f t="shared" si="21"/>
        <v>1</v>
      </c>
      <c r="K85" s="30" t="str">
        <f t="shared" si="21"/>
        <v/>
      </c>
      <c r="L85" s="30" t="str">
        <f t="shared" si="21"/>
        <v/>
      </c>
      <c r="M85" s="30">
        <f t="shared" si="21"/>
        <v>1</v>
      </c>
      <c r="N85" s="30">
        <f t="shared" si="21"/>
        <v>1</v>
      </c>
      <c r="O85" s="35">
        <f t="shared" si="21"/>
        <v>1</v>
      </c>
      <c r="AB85" s="40" t="str">
        <f t="shared" si="23"/>
        <v>0100010000000</v>
      </c>
      <c r="AC85" s="15" t="str">
        <f t="shared" si="23"/>
        <v/>
      </c>
      <c r="AD85" s="15" t="str">
        <f t="shared" si="23"/>
        <v/>
      </c>
      <c r="AE85" s="15" t="str">
        <f t="shared" si="23"/>
        <v>0001010000000</v>
      </c>
      <c r="AF85" s="15" t="str">
        <f t="shared" si="23"/>
        <v>0000001000010</v>
      </c>
      <c r="AG85" s="41" t="str">
        <f t="shared" si="23"/>
        <v>0001100000000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 t="s">
        <v>136</v>
      </c>
      <c r="D86" s="30"/>
      <c r="E86" s="30"/>
      <c r="F86" s="30" t="s">
        <v>133</v>
      </c>
      <c r="G86" s="30" t="s">
        <v>130</v>
      </c>
      <c r="H86" s="35" t="s">
        <v>127</v>
      </c>
      <c r="J86" s="34">
        <f t="shared" si="21"/>
        <v>1</v>
      </c>
      <c r="K86" s="30" t="str">
        <f t="shared" si="21"/>
        <v/>
      </c>
      <c r="L86" s="30" t="str">
        <f t="shared" si="21"/>
        <v/>
      </c>
      <c r="M86" s="30">
        <f t="shared" si="21"/>
        <v>1</v>
      </c>
      <c r="N86" s="30">
        <f t="shared" si="21"/>
        <v>1</v>
      </c>
      <c r="O86" s="35">
        <f t="shared" si="21"/>
        <v>1</v>
      </c>
      <c r="AB86" s="40" t="str">
        <f t="shared" si="23"/>
        <v>0000110000000</v>
      </c>
      <c r="AC86" s="15" t="str">
        <f t="shared" si="23"/>
        <v/>
      </c>
      <c r="AD86" s="15" t="str">
        <f t="shared" si="23"/>
        <v/>
      </c>
      <c r="AE86" s="15" t="str">
        <f t="shared" si="23"/>
        <v>0001000100000</v>
      </c>
      <c r="AF86" s="15" t="str">
        <f t="shared" si="23"/>
        <v>0000000010010</v>
      </c>
      <c r="AG86" s="41" t="str">
        <f t="shared" si="23"/>
        <v>0011000000000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 t="s">
        <v>127</v>
      </c>
      <c r="D87" s="30"/>
      <c r="E87" s="30"/>
      <c r="F87" s="30" t="s">
        <v>129</v>
      </c>
      <c r="G87" s="30" t="s">
        <v>132</v>
      </c>
      <c r="H87" s="35" t="s">
        <v>134</v>
      </c>
      <c r="J87" s="34">
        <f t="shared" si="21"/>
        <v>1</v>
      </c>
      <c r="K87" s="30" t="str">
        <f t="shared" si="21"/>
        <v/>
      </c>
      <c r="L87" s="30" t="str">
        <f t="shared" si="21"/>
        <v/>
      </c>
      <c r="M87" s="30">
        <f t="shared" si="21"/>
        <v>1</v>
      </c>
      <c r="N87" s="30">
        <f t="shared" si="21"/>
        <v>1</v>
      </c>
      <c r="O87" s="35">
        <f t="shared" si="21"/>
        <v>1</v>
      </c>
      <c r="AB87" s="40" t="str">
        <f t="shared" si="23"/>
        <v>0010100000000</v>
      </c>
      <c r="AC87" s="15" t="str">
        <f t="shared" si="23"/>
        <v/>
      </c>
      <c r="AD87" s="15" t="str">
        <f t="shared" si="23"/>
        <v/>
      </c>
      <c r="AE87" s="15" t="str">
        <f t="shared" si="23"/>
        <v>0000000101000</v>
      </c>
      <c r="AF87" s="15" t="str">
        <f t="shared" si="23"/>
        <v>0000000010100</v>
      </c>
      <c r="AG87" s="41" t="str">
        <f t="shared" si="23"/>
        <v>0011000000000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3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0</v>
      </c>
      <c r="AP87" s="19" cm="1">
        <f t="array" ref="AP87">SUMPRODUCT(--(MID(AG$10:AG$135, SUMIF($Z$9:$Z$21, LEFT($AJ87,2), $Y$9:$Y$21), 1) = RIGHT($AJ87, 1)), O$10:O$135)</f>
        <v>0</v>
      </c>
    </row>
    <row r="88" spans="2:42">
      <c r="B88" s="34">
        <f t="shared" si="25"/>
        <v>78</v>
      </c>
      <c r="C88" s="30" t="s">
        <v>128</v>
      </c>
      <c r="D88" s="30"/>
      <c r="E88" s="30"/>
      <c r="F88" s="30" t="s">
        <v>138</v>
      </c>
      <c r="G88" s="30" t="s">
        <v>127</v>
      </c>
      <c r="H88" s="35" t="s">
        <v>136</v>
      </c>
      <c r="J88" s="34">
        <f t="shared" si="21"/>
        <v>1</v>
      </c>
      <c r="K88" s="30" t="str">
        <f t="shared" si="21"/>
        <v/>
      </c>
      <c r="L88" s="30" t="str">
        <f t="shared" si="21"/>
        <v/>
      </c>
      <c r="M88" s="30">
        <f t="shared" si="21"/>
        <v>1</v>
      </c>
      <c r="N88" s="30">
        <f t="shared" si="21"/>
        <v>1</v>
      </c>
      <c r="O88" s="35">
        <f t="shared" si="21"/>
        <v>1</v>
      </c>
      <c r="AB88" s="40" t="str">
        <f t="shared" si="23"/>
        <v>0010001000000</v>
      </c>
      <c r="AC88" s="15" t="str">
        <f t="shared" si="23"/>
        <v/>
      </c>
      <c r="AD88" s="15" t="str">
        <f t="shared" si="23"/>
        <v/>
      </c>
      <c r="AE88" s="15" t="str">
        <f t="shared" si="23"/>
        <v>0000000001010</v>
      </c>
      <c r="AF88" s="15" t="str">
        <f t="shared" si="23"/>
        <v>0010000000100</v>
      </c>
      <c r="AG88" s="41" t="str">
        <f t="shared" si="23"/>
        <v>0001100000000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16</v>
      </c>
      <c r="AL88" s="39" cm="1">
        <f t="array" ref="AL88">SUMPRODUCT(--(MID(AC$10:AC$135, SUMIF($Z$9:$Z$21, LEFT($AJ88,2), $Y$9:$Y$21), 1) = RIGHT($AJ88, 1)), K$10:K$135)</f>
        <v>20</v>
      </c>
      <c r="AM88" s="39" cm="1">
        <f t="array" ref="AM88">SUMPRODUCT(--(MID(AD$10:AD$135, SUMIF($Z$9:$Z$21, LEFT($AJ88,2), $Y$9:$Y$21), 1) = RIGHT($AJ88, 1)), L$10:L$135)</f>
        <v>4</v>
      </c>
      <c r="AN88" s="39" cm="1">
        <f t="array" ref="AN88">SUMPRODUCT(--(MID(AE$10:AE$135, SUMIF($Z$9:$Z$21, LEFT($AJ88,2), $Y$9:$Y$21), 1) = RIGHT($AJ88, 1)), M$10:M$135)</f>
        <v>24</v>
      </c>
      <c r="AO88" s="39" cm="1">
        <f t="array" ref="AO88">SUMPRODUCT(--(MID(AF$10:AF$135, SUMIF($Z$9:$Z$21, LEFT($AJ88,2), $Y$9:$Y$21), 1) = RIGHT($AJ88, 1)), N$10:N$135)</f>
        <v>10</v>
      </c>
      <c r="AP88" s="19" cm="1">
        <f t="array" ref="AP88">SUMPRODUCT(--(MID(AG$10:AG$135, SUMIF($Z$9:$Z$21, LEFT($AJ88,2), $Y$9:$Y$21), 1) = RIGHT($AJ88, 1)), O$10:O$135)</f>
        <v>2</v>
      </c>
    </row>
    <row r="89" spans="2:42">
      <c r="B89" s="34">
        <f t="shared" si="25"/>
        <v>79</v>
      </c>
      <c r="C89" s="30"/>
      <c r="D89" s="30"/>
      <c r="E89" s="30"/>
      <c r="F89" s="30" t="s">
        <v>134</v>
      </c>
      <c r="G89" s="30" t="s">
        <v>134</v>
      </c>
      <c r="H89" s="35" t="s">
        <v>127</v>
      </c>
      <c r="J89" s="34" t="str">
        <f t="shared" si="21"/>
        <v/>
      </c>
      <c r="K89" s="30" t="str">
        <f t="shared" si="21"/>
        <v/>
      </c>
      <c r="L89" s="30" t="str">
        <f t="shared" si="21"/>
        <v/>
      </c>
      <c r="M89" s="30">
        <f t="shared" si="21"/>
        <v>1</v>
      </c>
      <c r="N89" s="30">
        <f t="shared" si="21"/>
        <v>1</v>
      </c>
      <c r="O89" s="35">
        <f t="shared" si="21"/>
        <v>1</v>
      </c>
      <c r="AB89" s="40" t="str">
        <f t="shared" si="23"/>
        <v/>
      </c>
      <c r="AC89" s="15" t="str">
        <f t="shared" si="23"/>
        <v/>
      </c>
      <c r="AD89" s="15" t="str">
        <f t="shared" si="23"/>
        <v/>
      </c>
      <c r="AE89" s="15" t="str">
        <f t="shared" si="23"/>
        <v>0001000000010</v>
      </c>
      <c r="AF89" s="15" t="str">
        <f t="shared" si="23"/>
        <v>0011000000000</v>
      </c>
      <c r="AG89" s="41" t="str">
        <f t="shared" si="23"/>
        <v>0010100000000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61</v>
      </c>
      <c r="AL89" s="39" cm="1">
        <f t="array" ref="AL89">SUMPRODUCT(--(MID(AC$10:AC$135, SUMIF($Z$9:$Z$21, LEFT($AJ89,2), $Y$9:$Y$21), 1) = RIGHT($AJ89, 1)), K$10:K$135)</f>
        <v>45</v>
      </c>
      <c r="AM89" s="39" cm="1">
        <f t="array" ref="AM89">SUMPRODUCT(--(MID(AD$10:AD$135, SUMIF($Z$9:$Z$21, LEFT($AJ89,2), $Y$9:$Y$21), 1) = RIGHT($AJ89, 1)), L$10:L$135)</f>
        <v>57</v>
      </c>
      <c r="AN89" s="39" cm="1">
        <f t="array" ref="AN89">SUMPRODUCT(--(MID(AE$10:AE$135, SUMIF($Z$9:$Z$21, LEFT($AJ89,2), $Y$9:$Y$21), 1) = RIGHT($AJ89, 1)), M$10:M$135)</f>
        <v>65</v>
      </c>
      <c r="AO89" s="39" cm="1">
        <f t="array" ref="AO89">SUMPRODUCT(--(MID(AF$10:AF$135, SUMIF($Z$9:$Z$21, LEFT($AJ89,2), $Y$9:$Y$21), 1) = RIGHT($AJ89, 1)), N$10:N$135)</f>
        <v>81</v>
      </c>
      <c r="AP89" s="19" cm="1">
        <f t="array" ref="AP89">SUMPRODUCT(--(MID(AG$10:AG$135, SUMIF($Z$9:$Z$21, LEFT($AJ89,2), $Y$9:$Y$21), 1) = RIGHT($AJ89, 1)), O$10:O$135)</f>
        <v>95</v>
      </c>
    </row>
    <row r="90" spans="2:42">
      <c r="B90" s="34">
        <f t="shared" si="25"/>
        <v>80</v>
      </c>
      <c r="C90" s="30"/>
      <c r="D90" s="30"/>
      <c r="E90" s="30"/>
      <c r="F90" s="30" t="s">
        <v>137</v>
      </c>
      <c r="G90" s="30" t="s">
        <v>130</v>
      </c>
      <c r="H90" s="35" t="s">
        <v>133</v>
      </c>
      <c r="J90" s="34" t="str">
        <f t="shared" si="21"/>
        <v/>
      </c>
      <c r="K90" s="30" t="str">
        <f t="shared" si="21"/>
        <v/>
      </c>
      <c r="L90" s="30" t="str">
        <f t="shared" si="21"/>
        <v/>
      </c>
      <c r="M90" s="30">
        <f t="shared" si="21"/>
        <v>1</v>
      </c>
      <c r="N90" s="30">
        <f t="shared" si="21"/>
        <v>1</v>
      </c>
      <c r="O90" s="35">
        <f t="shared" si="21"/>
        <v>1</v>
      </c>
      <c r="AB90" s="40" t="str">
        <f t="shared" si="23"/>
        <v/>
      </c>
      <c r="AC90" s="15" t="str">
        <f t="shared" si="23"/>
        <v/>
      </c>
      <c r="AD90" s="15" t="str">
        <f t="shared" si="23"/>
        <v/>
      </c>
      <c r="AE90" s="15" t="str">
        <f t="shared" si="23"/>
        <v>0001010000000</v>
      </c>
      <c r="AF90" s="15" t="str">
        <f t="shared" si="23"/>
        <v>0001000010000</v>
      </c>
      <c r="AG90" s="41" t="str">
        <f t="shared" si="23"/>
        <v>0010000100000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/>
      <c r="E91" s="30"/>
      <c r="F91" s="30" t="s">
        <v>131</v>
      </c>
      <c r="G91" s="30" t="s">
        <v>132</v>
      </c>
      <c r="H91" s="35" t="s">
        <v>134</v>
      </c>
      <c r="J91" s="34" t="str">
        <f t="shared" si="21"/>
        <v/>
      </c>
      <c r="K91" s="30" t="str">
        <f t="shared" si="21"/>
        <v/>
      </c>
      <c r="L91" s="30" t="str">
        <f t="shared" si="21"/>
        <v/>
      </c>
      <c r="M91" s="30">
        <f t="shared" si="21"/>
        <v>1</v>
      </c>
      <c r="N91" s="30">
        <f t="shared" si="21"/>
        <v>1</v>
      </c>
      <c r="O91" s="35">
        <f t="shared" si="21"/>
        <v>1</v>
      </c>
      <c r="AB91" s="40" t="str">
        <f t="shared" si="23"/>
        <v/>
      </c>
      <c r="AC91" s="15" t="str">
        <f t="shared" si="23"/>
        <v/>
      </c>
      <c r="AD91" s="15" t="str">
        <f t="shared" si="23"/>
        <v/>
      </c>
      <c r="AE91" s="15" t="str">
        <f t="shared" si="23"/>
        <v>0100010000000</v>
      </c>
      <c r="AF91" s="15" t="str">
        <f t="shared" si="23"/>
        <v>0000000010100</v>
      </c>
      <c r="AG91" s="41" t="str">
        <f t="shared" si="23"/>
        <v>0001000100000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/>
      <c r="E92" s="30"/>
      <c r="F92" s="30" t="s">
        <v>132</v>
      </c>
      <c r="G92" s="30" t="s">
        <v>130</v>
      </c>
      <c r="H92" s="35" t="s">
        <v>136</v>
      </c>
      <c r="J92" s="34" t="str">
        <f t="shared" si="21"/>
        <v/>
      </c>
      <c r="K92" s="30" t="str">
        <f t="shared" si="21"/>
        <v/>
      </c>
      <c r="L92" s="30" t="str">
        <f t="shared" si="21"/>
        <v/>
      </c>
      <c r="M92" s="30">
        <f t="shared" si="21"/>
        <v>1</v>
      </c>
      <c r="N92" s="30">
        <f t="shared" si="21"/>
        <v>1</v>
      </c>
      <c r="O92" s="35">
        <f t="shared" si="21"/>
        <v>1</v>
      </c>
      <c r="AB92" s="40" t="str">
        <f t="shared" si="23"/>
        <v/>
      </c>
      <c r="AC92" s="15" t="str">
        <f t="shared" si="23"/>
        <v/>
      </c>
      <c r="AD92" s="15" t="str">
        <f t="shared" si="23"/>
        <v/>
      </c>
      <c r="AE92" s="15" t="str">
        <f t="shared" si="23"/>
        <v>0100000000100</v>
      </c>
      <c r="AF92" s="15" t="str">
        <f t="shared" si="23"/>
        <v>0000000010100</v>
      </c>
      <c r="AG92" s="41" t="str">
        <f t="shared" si="23"/>
        <v>0001100000000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/>
      <c r="E93" s="30"/>
      <c r="F93" s="30" t="s">
        <v>138</v>
      </c>
      <c r="G93" s="30" t="s">
        <v>138</v>
      </c>
      <c r="H93" s="35" t="s">
        <v>127</v>
      </c>
      <c r="J93" s="34" t="str">
        <f t="shared" si="21"/>
        <v/>
      </c>
      <c r="K93" s="30" t="str">
        <f t="shared" si="21"/>
        <v/>
      </c>
      <c r="L93" s="30" t="str">
        <f t="shared" si="21"/>
        <v/>
      </c>
      <c r="M93" s="30">
        <f t="shared" si="21"/>
        <v>1</v>
      </c>
      <c r="N93" s="30">
        <f t="shared" si="21"/>
        <v>1</v>
      </c>
      <c r="O93" s="35">
        <f t="shared" si="21"/>
        <v>1</v>
      </c>
      <c r="AB93" s="40" t="str">
        <f t="shared" si="23"/>
        <v/>
      </c>
      <c r="AC93" s="15" t="str">
        <f t="shared" si="23"/>
        <v/>
      </c>
      <c r="AD93" s="15" t="str">
        <f t="shared" si="23"/>
        <v/>
      </c>
      <c r="AE93" s="15" t="str">
        <f t="shared" si="23"/>
        <v>0000000000110</v>
      </c>
      <c r="AF93" s="15" t="str">
        <f t="shared" si="23"/>
        <v>0000000010010</v>
      </c>
      <c r="AG93" s="41" t="str">
        <f t="shared" si="23"/>
        <v>0010100000000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/>
      <c r="E94" s="30"/>
      <c r="F94" s="30" t="s">
        <v>129</v>
      </c>
      <c r="G94" s="30" t="s">
        <v>131</v>
      </c>
      <c r="H94" s="35" t="s">
        <v>138</v>
      </c>
      <c r="J94" s="34" t="str">
        <f t="shared" si="21"/>
        <v/>
      </c>
      <c r="K94" s="30" t="str">
        <f t="shared" si="21"/>
        <v/>
      </c>
      <c r="L94" s="30" t="str">
        <f t="shared" si="21"/>
        <v/>
      </c>
      <c r="M94" s="30">
        <f t="shared" si="21"/>
        <v>1</v>
      </c>
      <c r="N94" s="30">
        <f t="shared" si="21"/>
        <v>1</v>
      </c>
      <c r="O94" s="35">
        <f t="shared" si="21"/>
        <v>1</v>
      </c>
      <c r="AB94" s="40" t="str">
        <f t="shared" si="23"/>
        <v/>
      </c>
      <c r="AC94" s="15" t="str">
        <f t="shared" si="23"/>
        <v/>
      </c>
      <c r="AD94" s="15" t="str">
        <f t="shared" si="23"/>
        <v/>
      </c>
      <c r="AE94" s="15" t="str">
        <f t="shared" si="23"/>
        <v>0000000001010</v>
      </c>
      <c r="AF94" s="15" t="str">
        <f t="shared" si="23"/>
        <v>0100000000010</v>
      </c>
      <c r="AG94" s="41" t="str">
        <f t="shared" si="23"/>
        <v>0010000000010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/>
      <c r="E95" s="30"/>
      <c r="F95" s="30" t="s">
        <v>132</v>
      </c>
      <c r="G95" s="30" t="s">
        <v>133</v>
      </c>
      <c r="H95" s="35" t="s">
        <v>136</v>
      </c>
      <c r="J95" s="34" t="str">
        <f t="shared" si="21"/>
        <v/>
      </c>
      <c r="K95" s="30" t="str">
        <f t="shared" si="21"/>
        <v/>
      </c>
      <c r="L95" s="30" t="str">
        <f t="shared" si="21"/>
        <v/>
      </c>
      <c r="M95" s="30">
        <f t="shared" si="21"/>
        <v>1</v>
      </c>
      <c r="N95" s="30">
        <f t="shared" si="21"/>
        <v>1</v>
      </c>
      <c r="O95" s="35">
        <f t="shared" si="21"/>
        <v>1</v>
      </c>
      <c r="AB95" s="40" t="str">
        <f t="shared" si="23"/>
        <v/>
      </c>
      <c r="AC95" s="15" t="str">
        <f t="shared" si="23"/>
        <v/>
      </c>
      <c r="AD95" s="15" t="str">
        <f t="shared" si="23"/>
        <v/>
      </c>
      <c r="AE95" s="15" t="str">
        <f t="shared" si="23"/>
        <v>0000000001100</v>
      </c>
      <c r="AF95" s="15" t="str">
        <f t="shared" si="23"/>
        <v>0100000100000</v>
      </c>
      <c r="AG95" s="41" t="str">
        <f t="shared" si="23"/>
        <v>0000100000010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3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3</v>
      </c>
      <c r="AO95" s="39" cm="1">
        <f t="array" ref="AO95">SUMPRODUCT(--(MID(AF$10:AF$135, SUMIF($Z$9:$Z$21, LEFT($AJ95,2), $Y$9:$Y$21), 1) = RIGHT($AJ95, 1)), N$10:N$135)</f>
        <v>0</v>
      </c>
      <c r="AP95" s="19" cm="1">
        <f t="array" ref="AP95">SUMPRODUCT(--(MID(AG$10:AG$135, SUMIF($Z$9:$Z$21, LEFT($AJ95,2), $Y$9:$Y$21), 1) = RIGHT($AJ95, 1)), O$10:O$135)</f>
        <v>0</v>
      </c>
    </row>
    <row r="96" spans="2:42">
      <c r="B96" s="34">
        <f t="shared" si="25"/>
        <v>86</v>
      </c>
      <c r="C96" s="30"/>
      <c r="D96" s="30"/>
      <c r="E96" s="30"/>
      <c r="F96" s="30" t="s">
        <v>133</v>
      </c>
      <c r="G96" s="30" t="s">
        <v>134</v>
      </c>
      <c r="H96" s="35" t="s">
        <v>134</v>
      </c>
      <c r="J96" s="34" t="str">
        <f t="shared" si="21"/>
        <v/>
      </c>
      <c r="K96" s="30" t="str">
        <f t="shared" si="21"/>
        <v/>
      </c>
      <c r="L96" s="30" t="str">
        <f t="shared" si="21"/>
        <v/>
      </c>
      <c r="M96" s="30">
        <f t="shared" si="21"/>
        <v>1</v>
      </c>
      <c r="N96" s="30">
        <f t="shared" si="21"/>
        <v>1</v>
      </c>
      <c r="O96" s="35">
        <f t="shared" si="21"/>
        <v>1</v>
      </c>
      <c r="AB96" s="40" t="str">
        <f t="shared" si="23"/>
        <v/>
      </c>
      <c r="AC96" s="15" t="str">
        <f t="shared" si="23"/>
        <v/>
      </c>
      <c r="AD96" s="15" t="str">
        <f t="shared" si="23"/>
        <v/>
      </c>
      <c r="AE96" s="15" t="str">
        <f t="shared" si="23"/>
        <v>0000000100100</v>
      </c>
      <c r="AF96" s="15" t="str">
        <f t="shared" si="23"/>
        <v>0001000100000</v>
      </c>
      <c r="AG96" s="41" t="str">
        <f t="shared" si="23"/>
        <v>0001100000000</v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4</v>
      </c>
      <c r="AL96" s="39" cm="1">
        <f t="array" ref="AL96">SUMPRODUCT(--(MID(AC$10:AC$135, SUMIF($Z$9:$Z$21, LEFT($AJ96,2), $Y$9:$Y$21), 1) = RIGHT($AJ96, 1)), K$10:K$135)</f>
        <v>16</v>
      </c>
      <c r="AM96" s="39" cm="1">
        <f t="array" ref="AM96">SUMPRODUCT(--(MID(AD$10:AD$135, SUMIF($Z$9:$Z$21, LEFT($AJ96,2), $Y$9:$Y$21), 1) = RIGHT($AJ96, 1)), L$10:L$135)</f>
        <v>20</v>
      </c>
      <c r="AN96" s="39" cm="1">
        <f t="array" ref="AN96">SUMPRODUCT(--(MID(AE$10:AE$135, SUMIF($Z$9:$Z$21, LEFT($AJ96,2), $Y$9:$Y$21), 1) = RIGHT($AJ96, 1)), M$10:M$135)</f>
        <v>20</v>
      </c>
      <c r="AO96" s="39" cm="1">
        <f t="array" ref="AO96">SUMPRODUCT(--(MID(AF$10:AF$135, SUMIF($Z$9:$Z$21, LEFT($AJ96,2), $Y$9:$Y$21), 1) = RIGHT($AJ96, 1)), N$10:N$135)</f>
        <v>14</v>
      </c>
      <c r="AP96" s="19" cm="1">
        <f t="array" ref="AP96">SUMPRODUCT(--(MID(AG$10:AG$135, SUMIF($Z$9:$Z$21, LEFT($AJ96,2), $Y$9:$Y$21), 1) = RIGHT($AJ96, 1)), O$10:O$135)</f>
        <v>12</v>
      </c>
    </row>
    <row r="97" spans="2:44">
      <c r="B97" s="34">
        <f t="shared" si="25"/>
        <v>87</v>
      </c>
      <c r="C97" s="30"/>
      <c r="D97" s="30"/>
      <c r="E97" s="30"/>
      <c r="F97" s="30" t="s">
        <v>129</v>
      </c>
      <c r="G97" s="30" t="s">
        <v>133</v>
      </c>
      <c r="H97" s="35" t="s">
        <v>131</v>
      </c>
      <c r="J97" s="34" t="str">
        <f t="shared" si="21"/>
        <v/>
      </c>
      <c r="K97" s="30" t="str">
        <f t="shared" si="21"/>
        <v/>
      </c>
      <c r="L97" s="30" t="str">
        <f t="shared" si="21"/>
        <v/>
      </c>
      <c r="M97" s="30">
        <f t="shared" si="21"/>
        <v>1</v>
      </c>
      <c r="N97" s="30">
        <f t="shared" si="21"/>
        <v>1</v>
      </c>
      <c r="O97" s="35">
        <f t="shared" si="21"/>
        <v>1</v>
      </c>
      <c r="AB97" s="40" t="str">
        <f t="shared" si="23"/>
        <v/>
      </c>
      <c r="AC97" s="15" t="str">
        <f t="shared" si="23"/>
        <v/>
      </c>
      <c r="AD97" s="15" t="str">
        <f t="shared" si="23"/>
        <v/>
      </c>
      <c r="AE97" s="15" t="str">
        <f t="shared" si="23"/>
        <v>0000000101000</v>
      </c>
      <c r="AF97" s="15" t="str">
        <f t="shared" si="23"/>
        <v>0001000100000</v>
      </c>
      <c r="AG97" s="41" t="str">
        <f t="shared" si="23"/>
        <v>0101000000000</v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73</v>
      </c>
      <c r="AL97" s="39" cm="1">
        <f t="array" ref="AL97">SUMPRODUCT(--(MID(AC$10:AC$135, SUMIF($Z$9:$Z$21, LEFT($AJ97,2), $Y$9:$Y$21), 1) = RIGHT($AJ97, 1)), K$10:K$135)</f>
        <v>48</v>
      </c>
      <c r="AM97" s="39" cm="1">
        <f t="array" ref="AM97">SUMPRODUCT(--(MID(AD$10:AD$135, SUMIF($Z$9:$Z$21, LEFT($AJ97,2), $Y$9:$Y$21), 1) = RIGHT($AJ97, 1)), L$10:L$135)</f>
        <v>42</v>
      </c>
      <c r="AN97" s="39" cm="1">
        <f t="array" ref="AN97">SUMPRODUCT(--(MID(AE$10:AE$135, SUMIF($Z$9:$Z$21, LEFT($AJ97,2), $Y$9:$Y$21), 1) = RIGHT($AJ97, 1)), M$10:M$135)</f>
        <v>68</v>
      </c>
      <c r="AO97" s="39" cm="1">
        <f t="array" ref="AO97">SUMPRODUCT(--(MID(AF$10:AF$135, SUMIF($Z$9:$Z$21, LEFT($AJ97,2), $Y$9:$Y$21), 1) = RIGHT($AJ97, 1)), N$10:N$135)</f>
        <v>77</v>
      </c>
      <c r="AP97" s="19" cm="1">
        <f t="array" ref="AP97">SUMPRODUCT(--(MID(AG$10:AG$135, SUMIF($Z$9:$Z$21, LEFT($AJ97,2), $Y$9:$Y$21), 1) = RIGHT($AJ97, 1)), O$10:O$135)</f>
        <v>85</v>
      </c>
    </row>
    <row r="98" spans="2:44">
      <c r="B98" s="34">
        <f t="shared" si="25"/>
        <v>88</v>
      </c>
      <c r="C98" s="30"/>
      <c r="D98" s="30"/>
      <c r="E98" s="30"/>
      <c r="F98" s="30" t="s">
        <v>130</v>
      </c>
      <c r="G98" s="30" t="s">
        <v>138</v>
      </c>
      <c r="H98" s="35" t="s">
        <v>136</v>
      </c>
      <c r="J98" s="34" t="str">
        <f t="shared" si="21"/>
        <v/>
      </c>
      <c r="K98" s="30" t="str">
        <f t="shared" si="21"/>
        <v/>
      </c>
      <c r="L98" s="30" t="str">
        <f t="shared" si="21"/>
        <v/>
      </c>
      <c r="M98" s="30">
        <f t="shared" si="21"/>
        <v>1</v>
      </c>
      <c r="N98" s="30">
        <f t="shared" si="21"/>
        <v>1</v>
      </c>
      <c r="O98" s="35">
        <f t="shared" si="21"/>
        <v>1</v>
      </c>
      <c r="AB98" s="40" t="str">
        <f t="shared" si="23"/>
        <v/>
      </c>
      <c r="AC98" s="15" t="str">
        <f t="shared" si="23"/>
        <v/>
      </c>
      <c r="AD98" s="15" t="str">
        <f t="shared" si="23"/>
        <v/>
      </c>
      <c r="AE98" s="15" t="str">
        <f t="shared" si="23"/>
        <v>0000000011000</v>
      </c>
      <c r="AF98" s="15" t="str">
        <f t="shared" si="23"/>
        <v>0000000100010</v>
      </c>
      <c r="AG98" s="41" t="str">
        <f t="shared" si="23"/>
        <v>0100100000000</v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/>
      <c r="F99" s="30" t="s">
        <v>131</v>
      </c>
      <c r="G99" s="30" t="s">
        <v>127</v>
      </c>
      <c r="H99" s="35" t="s">
        <v>133</v>
      </c>
      <c r="J99" s="34" t="str">
        <f t="shared" si="21"/>
        <v/>
      </c>
      <c r="K99" s="30" t="str">
        <f t="shared" si="21"/>
        <v/>
      </c>
      <c r="L99" s="30" t="str">
        <f t="shared" si="21"/>
        <v/>
      </c>
      <c r="M99" s="30">
        <f t="shared" si="21"/>
        <v>1</v>
      </c>
      <c r="N99" s="30">
        <f t="shared" si="21"/>
        <v>1</v>
      </c>
      <c r="O99" s="35">
        <f t="shared" si="21"/>
        <v>1</v>
      </c>
      <c r="AB99" s="40" t="str">
        <f t="shared" si="23"/>
        <v/>
      </c>
      <c r="AC99" s="15" t="str">
        <f t="shared" si="23"/>
        <v/>
      </c>
      <c r="AD99" s="15" t="str">
        <f t="shared" si="23"/>
        <v/>
      </c>
      <c r="AE99" s="15" t="str">
        <f t="shared" si="23"/>
        <v>0100000010000</v>
      </c>
      <c r="AF99" s="15" t="str">
        <f t="shared" si="23"/>
        <v>0010000000010</v>
      </c>
      <c r="AG99" s="41" t="str">
        <f t="shared" si="23"/>
        <v>0000100100000</v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 t="s">
        <v>134</v>
      </c>
      <c r="G100" s="30" t="s">
        <v>130</v>
      </c>
      <c r="H100" s="35" t="s">
        <v>131</v>
      </c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>
        <f t="shared" si="21"/>
        <v>1</v>
      </c>
      <c r="N100" s="30">
        <f t="shared" si="21"/>
        <v>1</v>
      </c>
      <c r="O100" s="35">
        <f t="shared" si="21"/>
        <v>1</v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>0101000000000</v>
      </c>
      <c r="AF100" s="15" t="str">
        <f t="shared" si="23"/>
        <v>0010000010000</v>
      </c>
      <c r="AG100" s="41" t="str">
        <f t="shared" si="23"/>
        <v>0100000100000</v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 t="s">
        <v>127</v>
      </c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>
        <f t="shared" si="21"/>
        <v>1</v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>0110000000000</v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 t="s">
        <v>136</v>
      </c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>
        <f t="shared" si="30"/>
        <v>1</v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>0010100000000</v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 t="s">
        <v>133</v>
      </c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>
        <f t="shared" si="30"/>
        <v>1</v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>0000100100000</v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 t="s">
        <v>127</v>
      </c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>
        <f t="shared" si="30"/>
        <v>1</v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>0010000100000</v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 t="s">
        <v>134</v>
      </c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>
        <f t="shared" si="30"/>
        <v>1</v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>0011000000000</v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79</v>
      </c>
      <c r="AL105" s="39" cm="1">
        <f t="array" ref="AL105">SUMPRODUCT(--(MID(AC$10:AC$135, SUMIF($Z$9:$Z$21, LEFT($AJ105,2), $Y$9:$Y$21), 1) = RIGHT($AJ105, 1)), K$10:K$135)</f>
        <v>67</v>
      </c>
      <c r="AM105" s="39" cm="1">
        <f t="array" ref="AM105">SUMPRODUCT(--(MID(AD$10:AD$135, SUMIF($Z$9:$Z$21, LEFT($AJ105,2), $Y$9:$Y$21), 1) = RIGHT($AJ105, 1)), L$10:L$135)</f>
        <v>64</v>
      </c>
      <c r="AN105" s="39" cm="1">
        <f t="array" ref="AN105">SUMPRODUCT(--(MID(AE$10:AE$135, SUMIF($Z$9:$Z$21, LEFT($AJ105,2), $Y$9:$Y$21), 1) = RIGHT($AJ105, 1)), M$10:M$135)</f>
        <v>91</v>
      </c>
      <c r="AO105" s="39" cm="1">
        <f t="array" ref="AO105">SUMPRODUCT(--(MID(AF$10:AF$135, SUMIF($Z$9:$Z$21, LEFT($AJ105,2), $Y$9:$Y$21), 1) = RIGHT($AJ105, 1)), N$10:N$135)</f>
        <v>91</v>
      </c>
      <c r="AP105" s="19" cm="1">
        <f t="array" ref="AP105">SUMPRODUCT(--(MID(AG$10:AG$135, SUMIF($Z$9:$Z$21, LEFT($AJ105,2), $Y$9:$Y$21), 1) = RIGHT($AJ105, 1)), O$10:O$135)</f>
        <v>97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 t="s">
        <v>136</v>
      </c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>
        <f t="shared" si="30"/>
        <v>1</v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>0001100000000</v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6</v>
      </c>
      <c r="AM112" s="39" cm="1">
        <f t="array" ref="AM112">SUMPRODUCT(--(MID(AD$10:AD$135, SUMIF($Z$9:$Z$21, LEFT($AJ112,2), $Y$9:$Y$21), 1) = RIGHT($AJ112, 1)), L$10:L$135)</f>
        <v>2</v>
      </c>
      <c r="AN112" s="39" cm="1">
        <f t="array" ref="AN112">SUMPRODUCT(--(MID(AE$10:AE$135, SUMIF($Z$9:$Z$21, LEFT($AJ112,2), $Y$9:$Y$21), 1) = RIGHT($AJ112, 1)), M$10:M$135)</f>
        <v>2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79</v>
      </c>
      <c r="AL113" s="17" cm="1">
        <f t="array" ref="AL113">SUMPRODUCT(--(MID(AC$10:AC$135, SUMIF($Z$9:$Z$21, LEFT($AJ113,2), $Y$9:$Y$21), 1) = RIGHT($AJ113, 1)), K$10:K$135)</f>
        <v>61</v>
      </c>
      <c r="AM113" s="17" cm="1">
        <f t="array" ref="AM113">SUMPRODUCT(--(MID(AD$10:AD$135, SUMIF($Z$9:$Z$21, LEFT($AJ113,2), $Y$9:$Y$21), 1) = RIGHT($AJ113, 1)), L$10:L$135)</f>
        <v>62</v>
      </c>
      <c r="AN113" s="17" cm="1">
        <f t="array" ref="AN113">SUMPRODUCT(--(MID(AE$10:AE$135, SUMIF($Z$9:$Z$21, LEFT($AJ113,2), $Y$9:$Y$21), 1) = RIGHT($AJ113, 1)), M$10:M$135)</f>
        <v>89</v>
      </c>
      <c r="AO113" s="17" cm="1">
        <f t="array" ref="AO113">SUMPRODUCT(--(MID(AF$10:AF$135, SUMIF($Z$9:$Z$21, LEFT($AJ113,2), $Y$9:$Y$21), 1) = RIGHT($AJ113, 1)), N$10:N$135)</f>
        <v>91</v>
      </c>
      <c r="AP113" s="16" cm="1">
        <f t="array" ref="AP113">SUMPRODUCT(--(MID(AG$10:AG$135, SUMIF($Z$9:$Z$21, LEFT($AJ113,2), $Y$9:$Y$21), 1) = RIGHT($AJ113, 1)), O$10:O$135)</f>
        <v>97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23" priority="1" operator="equal">
      <formula>"WC"</formula>
    </cfRule>
    <cfRule type="cellIs" dxfId="22" priority="2" operator="equal">
      <formula>"FG"</formula>
    </cfRule>
  </conditionalFormatting>
  <conditionalFormatting sqref="J3:O3">
    <cfRule type="cellIs" dxfId="21" priority="3" operator="equal">
      <formula>$E$24</formula>
    </cfRule>
    <cfRule type="cellIs" dxfId="20" priority="4" operator="equal">
      <formula>$C$20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453C-4A95-4C59-AE02-12EC8D249F4C}">
  <dimension ref="B1:AR132"/>
  <sheetViews>
    <sheetView topLeftCell="Z1" zoomScale="83" zoomScaleNormal="57" workbookViewId="0">
      <selection activeCell="AJ4" sqref="AJ4"/>
    </sheetView>
  </sheetViews>
  <sheetFormatPr defaultRowHeight="14.25"/>
  <cols>
    <col min="3" max="6" width="9.28515625" bestFit="1" customWidth="1"/>
    <col min="7" max="9" width="9.42578125" bestFit="1" customWidth="1"/>
    <col min="10" max="10" width="12.7109375" bestFit="1" customWidth="1"/>
    <col min="11" max="11" width="12.28515625" bestFit="1" customWidth="1"/>
    <col min="12" max="12" width="10" bestFit="1" customWidth="1"/>
    <col min="13" max="13" width="9.7109375" bestFit="1" customWidth="1"/>
    <col min="14" max="14" width="12" bestFit="1" customWidth="1"/>
    <col min="15" max="15" width="9.42578125" bestFit="1" customWidth="1"/>
    <col min="16" max="16" width="12.140625" bestFit="1" customWidth="1"/>
    <col min="17" max="17" width="9.28515625" bestFit="1" customWidth="1"/>
    <col min="18" max="18" width="11.85546875" bestFit="1" customWidth="1"/>
    <col min="19" max="22" width="9.28515625" bestFit="1" customWidth="1"/>
    <col min="26" max="26" width="12.42578125" bestFit="1" customWidth="1"/>
    <col min="30" max="30" width="16.5703125" bestFit="1" customWidth="1"/>
    <col min="31" max="31" width="14.5703125" bestFit="1" customWidth="1"/>
    <col min="33" max="33" width="10.85546875" bestFit="1" customWidth="1"/>
    <col min="35" max="35" width="14.5703125" bestFit="1" customWidth="1"/>
  </cols>
  <sheetData>
    <row r="1" spans="2:44">
      <c r="R1" s="8"/>
      <c r="S1" s="7"/>
      <c r="T1" s="7"/>
      <c r="U1" s="7"/>
      <c r="V1" s="6"/>
    </row>
    <row r="2" spans="2:44">
      <c r="B2" s="29"/>
      <c r="C2" s="28" t="str">
        <f>'FG1 Reel'!AS9</f>
        <v>R1</v>
      </c>
      <c r="D2" s="28" t="str">
        <f>'FG1 Reel'!AT9</f>
        <v>R2</v>
      </c>
      <c r="E2" s="28" t="str">
        <f>'FG1 Reel'!AU9</f>
        <v>R3</v>
      </c>
      <c r="F2" s="28" t="str">
        <f>'FG1 Reel'!AV9</f>
        <v>R4</v>
      </c>
      <c r="G2" s="28" t="str">
        <f>'FG1 Reel'!AW9</f>
        <v>R5</v>
      </c>
      <c r="H2" s="27" t="str">
        <f>'FG1 Reel'!AX9</f>
        <v>R6</v>
      </c>
      <c r="J2" s="29"/>
      <c r="K2" s="28" t="str">
        <f>'FG1 Reel'!R9</f>
        <v>R1</v>
      </c>
      <c r="L2" s="28" t="str">
        <f>'FG1 Reel'!S9</f>
        <v>R2</v>
      </c>
      <c r="M2" s="28" t="str">
        <f>'FG1 Reel'!T9</f>
        <v>R3</v>
      </c>
      <c r="N2" s="28" t="str">
        <f>'FG1 Reel'!U9</f>
        <v>R4</v>
      </c>
      <c r="O2" s="28" t="str">
        <f>'FG1 Reel'!V9</f>
        <v>R5</v>
      </c>
      <c r="P2" s="27" t="str">
        <f>'FG1 Reel'!W9</f>
        <v>R6</v>
      </c>
      <c r="R2" s="29"/>
      <c r="S2" s="28">
        <v>6</v>
      </c>
      <c r="T2" s="28">
        <v>5</v>
      </c>
      <c r="U2" s="28">
        <v>4</v>
      </c>
      <c r="V2" s="27">
        <v>3</v>
      </c>
      <c r="Z2" s="29" t="s">
        <v>84</v>
      </c>
      <c r="AA2" s="27" t="s">
        <v>85</v>
      </c>
      <c r="AD2" s="29" t="s">
        <v>139</v>
      </c>
      <c r="AE2" s="27" t="s">
        <v>140</v>
      </c>
      <c r="AI2" s="29" t="s">
        <v>141</v>
      </c>
      <c r="AJ2" s="27" t="s">
        <v>85</v>
      </c>
      <c r="AL2" s="11" t="s">
        <v>142</v>
      </c>
      <c r="AM2" s="9" t="s">
        <v>85</v>
      </c>
    </row>
    <row r="3" spans="2:44">
      <c r="B3" s="34" t="str">
        <f>'FG1 Reel'!AR10</f>
        <v>WC</v>
      </c>
      <c r="C3" s="30">
        <f>'FG1 Reel'!AS10</f>
        <v>0</v>
      </c>
      <c r="D3" s="30">
        <f>'FG1 Reel'!AT10</f>
        <v>0</v>
      </c>
      <c r="E3" s="30">
        <f>'FG1 Reel'!AU10</f>
        <v>0</v>
      </c>
      <c r="F3" s="30">
        <f>'FG1 Reel'!AV10</f>
        <v>0</v>
      </c>
      <c r="G3" s="30">
        <f>'FG1 Reel'!AW10</f>
        <v>0</v>
      </c>
      <c r="H3" s="35">
        <f>'FG1 Reel'!AX10</f>
        <v>0</v>
      </c>
      <c r="J3" s="31" t="str">
        <f>'FG1 Reel'!Q10</f>
        <v>WC</v>
      </c>
      <c r="K3" s="32">
        <f>'FG1 Reel'!R10</f>
        <v>0</v>
      </c>
      <c r="L3" s="32">
        <f>'FG1 Reel'!S10</f>
        <v>0</v>
      </c>
      <c r="M3" s="32">
        <f>'FG1 Reel'!T10</f>
        <v>0</v>
      </c>
      <c r="N3" s="32">
        <f>'FG1 Reel'!U10</f>
        <v>0</v>
      </c>
      <c r="O3" s="32">
        <f>'FG1 Reel'!V10</f>
        <v>0</v>
      </c>
      <c r="P3" s="33">
        <f>'FG1 Reel'!W10</f>
        <v>0</v>
      </c>
      <c r="R3" s="34" t="str">
        <f>'FG1 Reel'!Q10</f>
        <v>WC</v>
      </c>
      <c r="S3" s="30">
        <f>'BG Calc'!S3</f>
        <v>0</v>
      </c>
      <c r="T3" s="30">
        <f>'BG Calc'!T3</f>
        <v>0</v>
      </c>
      <c r="U3" s="30">
        <f>'BG Calc'!U3</f>
        <v>0</v>
      </c>
      <c r="V3" s="35">
        <f>'BG Calc'!V3</f>
        <v>0</v>
      </c>
      <c r="Z3" s="34">
        <v>1</v>
      </c>
      <c r="AA3" s="35">
        <v>1000</v>
      </c>
      <c r="AD3" s="34">
        <v>3</v>
      </c>
      <c r="AE3" s="35">
        <v>15</v>
      </c>
      <c r="AI3" s="34">
        <v>0</v>
      </c>
      <c r="AJ3" s="35">
        <v>838</v>
      </c>
      <c r="AL3" s="5" t="s">
        <v>109</v>
      </c>
      <c r="AM3" s="4">
        <v>1</v>
      </c>
      <c r="AQ3" s="50"/>
      <c r="AR3" s="12"/>
    </row>
    <row r="4" spans="2:44">
      <c r="B4" s="34" t="str">
        <f>'FG1 Reel'!AR11</f>
        <v>AA</v>
      </c>
      <c r="C4" s="30">
        <f>'FG1 Reel'!AS11</f>
        <v>10</v>
      </c>
      <c r="D4" s="30">
        <f>'FG1 Reel'!AT11</f>
        <v>28</v>
      </c>
      <c r="E4" s="30">
        <f>'FG1 Reel'!AU11</f>
        <v>16</v>
      </c>
      <c r="F4" s="30">
        <f>'FG1 Reel'!AV11</f>
        <v>18</v>
      </c>
      <c r="G4" s="30">
        <f>'FG1 Reel'!AW11</f>
        <v>10</v>
      </c>
      <c r="H4" s="35">
        <f>'FG1 Reel'!AX11</f>
        <v>16</v>
      </c>
      <c r="J4" s="34" t="str">
        <f>'FG1 Reel'!Q11</f>
        <v>AA</v>
      </c>
      <c r="K4" s="30">
        <f>'FG1 Reel'!R11</f>
        <v>5</v>
      </c>
      <c r="L4" s="30">
        <f>'FG1 Reel'!S11</f>
        <v>14</v>
      </c>
      <c r="M4" s="30">
        <f>'FG1 Reel'!T11</f>
        <v>8</v>
      </c>
      <c r="N4" s="30">
        <f>'FG1 Reel'!U11</f>
        <v>9</v>
      </c>
      <c r="O4" s="30">
        <f>'FG1 Reel'!V11</f>
        <v>5</v>
      </c>
      <c r="P4" s="35">
        <f>'FG1 Reel'!W11</f>
        <v>8</v>
      </c>
      <c r="R4" s="34" t="str">
        <f>'FG1 Reel'!Q11</f>
        <v>AA</v>
      </c>
      <c r="S4" s="30">
        <f>'BG Calc'!S4</f>
        <v>150</v>
      </c>
      <c r="T4" s="30">
        <f>'BG Calc'!T4</f>
        <v>60</v>
      </c>
      <c r="U4" s="30">
        <f>'BG Calc'!U4</f>
        <v>40</v>
      </c>
      <c r="V4" s="35">
        <f>'BG Calc'!V4</f>
        <v>15</v>
      </c>
      <c r="Z4" s="34">
        <v>2</v>
      </c>
      <c r="AA4" s="35">
        <v>500</v>
      </c>
      <c r="AD4" s="34">
        <v>4</v>
      </c>
      <c r="AE4" s="35">
        <v>18</v>
      </c>
      <c r="AI4" s="34">
        <v>1</v>
      </c>
      <c r="AJ4" s="35">
        <v>200</v>
      </c>
      <c r="AL4" s="5" t="s">
        <v>110</v>
      </c>
      <c r="AM4" s="4">
        <v>1</v>
      </c>
    </row>
    <row r="5" spans="2:44">
      <c r="B5" s="34" t="str">
        <f>'FG1 Reel'!AR12</f>
        <v>BB</v>
      </c>
      <c r="C5" s="30">
        <f>'FG1 Reel'!AS12</f>
        <v>10</v>
      </c>
      <c r="D5" s="30">
        <f>'FG1 Reel'!AT12</f>
        <v>24</v>
      </c>
      <c r="E5" s="30">
        <f>'FG1 Reel'!AU12</f>
        <v>14</v>
      </c>
      <c r="F5" s="30">
        <f>'FG1 Reel'!AV12</f>
        <v>14</v>
      </c>
      <c r="G5" s="30">
        <f>'FG1 Reel'!AW12</f>
        <v>16</v>
      </c>
      <c r="H5" s="35">
        <f>'FG1 Reel'!AX12</f>
        <v>26</v>
      </c>
      <c r="J5" s="34" t="str">
        <f>'FG1 Reel'!Q12</f>
        <v>BB</v>
      </c>
      <c r="K5" s="30">
        <f>'FG1 Reel'!R12</f>
        <v>5</v>
      </c>
      <c r="L5" s="30">
        <f>'FG1 Reel'!S12</f>
        <v>12</v>
      </c>
      <c r="M5" s="30">
        <f>'FG1 Reel'!T12</f>
        <v>7</v>
      </c>
      <c r="N5" s="30">
        <f>'FG1 Reel'!U12</f>
        <v>7</v>
      </c>
      <c r="O5" s="30">
        <f>'FG1 Reel'!V12</f>
        <v>8</v>
      </c>
      <c r="P5" s="35">
        <f>'FG1 Reel'!W12</f>
        <v>13</v>
      </c>
      <c r="R5" s="34" t="str">
        <f>'FG1 Reel'!Q12</f>
        <v>BB</v>
      </c>
      <c r="S5" s="30">
        <f>'BG Calc'!S5</f>
        <v>60</v>
      </c>
      <c r="T5" s="30">
        <f>'BG Calc'!T5</f>
        <v>30</v>
      </c>
      <c r="U5" s="30">
        <f>'BG Calc'!U5</f>
        <v>20</v>
      </c>
      <c r="V5" s="35">
        <f>'BG Calc'!V5</f>
        <v>10</v>
      </c>
      <c r="Z5" s="36">
        <v>3</v>
      </c>
      <c r="AA5" s="38">
        <v>189</v>
      </c>
      <c r="AD5" s="34">
        <v>5</v>
      </c>
      <c r="AE5" s="35">
        <v>25</v>
      </c>
      <c r="AI5" s="34">
        <v>2</v>
      </c>
      <c r="AJ5" s="35">
        <v>500</v>
      </c>
      <c r="AL5" s="5" t="s">
        <v>111</v>
      </c>
      <c r="AM5" s="4">
        <v>1</v>
      </c>
    </row>
    <row r="6" spans="2:44">
      <c r="B6" s="34" t="str">
        <f>'FG1 Reel'!AR13</f>
        <v>CC</v>
      </c>
      <c r="C6" s="30">
        <f>'FG1 Reel'!AS13</f>
        <v>20</v>
      </c>
      <c r="D6" s="30">
        <f>'FG1 Reel'!AT13</f>
        <v>20</v>
      </c>
      <c r="E6" s="30">
        <f>'FG1 Reel'!AU13</f>
        <v>8</v>
      </c>
      <c r="F6" s="30">
        <f>'FG1 Reel'!AV13</f>
        <v>8</v>
      </c>
      <c r="G6" s="30">
        <f>'FG1 Reel'!AW13</f>
        <v>22</v>
      </c>
      <c r="H6" s="35">
        <f>'FG1 Reel'!AX13</f>
        <v>22</v>
      </c>
      <c r="J6" s="34" t="str">
        <f>'FG1 Reel'!Q13</f>
        <v>CC</v>
      </c>
      <c r="K6" s="30">
        <f>'FG1 Reel'!R13</f>
        <v>10</v>
      </c>
      <c r="L6" s="30">
        <f>'FG1 Reel'!S13</f>
        <v>10</v>
      </c>
      <c r="M6" s="30">
        <f>'FG1 Reel'!T13</f>
        <v>4</v>
      </c>
      <c r="N6" s="30">
        <f>'FG1 Reel'!U13</f>
        <v>4</v>
      </c>
      <c r="O6" s="30">
        <f>'FG1 Reel'!V13</f>
        <v>11</v>
      </c>
      <c r="P6" s="35">
        <f>'FG1 Reel'!W13</f>
        <v>11</v>
      </c>
      <c r="R6" s="34" t="str">
        <f>'FG1 Reel'!Q13</f>
        <v>CC</v>
      </c>
      <c r="S6" s="30">
        <f>'BG Calc'!S6</f>
        <v>40</v>
      </c>
      <c r="T6" s="30">
        <f>'BG Calc'!T6</f>
        <v>20</v>
      </c>
      <c r="U6" s="30">
        <f>'BG Calc'!U6</f>
        <v>15</v>
      </c>
      <c r="V6" s="35">
        <f>'BG Calc'!V6</f>
        <v>7</v>
      </c>
      <c r="AD6" s="36">
        <v>6</v>
      </c>
      <c r="AE6" s="38">
        <v>30</v>
      </c>
      <c r="AI6" s="34">
        <v>3</v>
      </c>
      <c r="AJ6" s="35">
        <v>200</v>
      </c>
      <c r="AL6" s="3" t="s">
        <v>112</v>
      </c>
      <c r="AM6" s="1">
        <v>1</v>
      </c>
    </row>
    <row r="7" spans="2:44">
      <c r="B7" s="34" t="str">
        <f>'FG1 Reel'!AR14</f>
        <v>DD</v>
      </c>
      <c r="C7" s="30">
        <f>'FG1 Reel'!AS14</f>
        <v>10</v>
      </c>
      <c r="D7" s="30">
        <f>'FG1 Reel'!AT14</f>
        <v>4</v>
      </c>
      <c r="E7" s="30">
        <f>'FG1 Reel'!AU14</f>
        <v>2</v>
      </c>
      <c r="F7" s="30">
        <f>'FG1 Reel'!AV14</f>
        <v>2</v>
      </c>
      <c r="G7" s="30">
        <f>'FG1 Reel'!AW14</f>
        <v>4</v>
      </c>
      <c r="H7" s="35">
        <f>'FG1 Reel'!AX14</f>
        <v>18</v>
      </c>
      <c r="J7" s="34" t="str">
        <f>'FG1 Reel'!Q14</f>
        <v>DD</v>
      </c>
      <c r="K7" s="30">
        <f>'FG1 Reel'!R14</f>
        <v>5</v>
      </c>
      <c r="L7" s="30">
        <f>'FG1 Reel'!S14</f>
        <v>2</v>
      </c>
      <c r="M7" s="30">
        <f>'FG1 Reel'!T14</f>
        <v>1</v>
      </c>
      <c r="N7" s="30">
        <f>'FG1 Reel'!U14</f>
        <v>1</v>
      </c>
      <c r="O7" s="30">
        <f>'FG1 Reel'!V14</f>
        <v>2</v>
      </c>
      <c r="P7" s="35">
        <f>'FG1 Reel'!W14</f>
        <v>9</v>
      </c>
      <c r="R7" s="34" t="str">
        <f>'FG1 Reel'!Q14</f>
        <v>DD</v>
      </c>
      <c r="S7" s="30">
        <f>'BG Calc'!S7</f>
        <v>30</v>
      </c>
      <c r="T7" s="30">
        <f>'BG Calc'!T7</f>
        <v>15</v>
      </c>
      <c r="U7" s="30">
        <f>'BG Calc'!U7</f>
        <v>10</v>
      </c>
      <c r="V7" s="35">
        <f>'BG Calc'!V7</f>
        <v>4</v>
      </c>
      <c r="AI7" s="34">
        <v>4</v>
      </c>
      <c r="AJ7" s="35">
        <v>50</v>
      </c>
    </row>
    <row r="8" spans="2:44">
      <c r="B8" s="34" t="str">
        <f>'FG1 Reel'!AR15</f>
        <v>EE</v>
      </c>
      <c r="C8" s="30">
        <f>'FG1 Reel'!AS15</f>
        <v>2</v>
      </c>
      <c r="D8" s="30">
        <f>'FG1 Reel'!AT15</f>
        <v>4</v>
      </c>
      <c r="E8" s="30">
        <f>'FG1 Reel'!AU15</f>
        <v>6</v>
      </c>
      <c r="F8" s="30">
        <f>'FG1 Reel'!AV15</f>
        <v>2</v>
      </c>
      <c r="G8" s="30">
        <f>'FG1 Reel'!AW15</f>
        <v>4</v>
      </c>
      <c r="H8" s="35">
        <f>'FG1 Reel'!AX15</f>
        <v>6</v>
      </c>
      <c r="J8" s="34" t="str">
        <f>'FG1 Reel'!Q15</f>
        <v>EE</v>
      </c>
      <c r="K8" s="30">
        <f>'FG1 Reel'!R15</f>
        <v>1</v>
      </c>
      <c r="L8" s="30">
        <f>'FG1 Reel'!S15</f>
        <v>2</v>
      </c>
      <c r="M8" s="30">
        <f>'FG1 Reel'!T15</f>
        <v>3</v>
      </c>
      <c r="N8" s="30">
        <f>'FG1 Reel'!U15</f>
        <v>1</v>
      </c>
      <c r="O8" s="30">
        <f>'FG1 Reel'!V15</f>
        <v>2</v>
      </c>
      <c r="P8" s="35">
        <f>'FG1 Reel'!W15</f>
        <v>3</v>
      </c>
      <c r="R8" s="34" t="str">
        <f>'FG1 Reel'!Q15</f>
        <v>EE</v>
      </c>
      <c r="S8" s="30">
        <f>'BG Calc'!S8</f>
        <v>30</v>
      </c>
      <c r="T8" s="30">
        <f>'BG Calc'!T8</f>
        <v>10</v>
      </c>
      <c r="U8" s="30">
        <f>'BG Calc'!U8</f>
        <v>8</v>
      </c>
      <c r="V8" s="35">
        <f>'BG Calc'!V8</f>
        <v>3</v>
      </c>
      <c r="AI8" s="34">
        <v>5</v>
      </c>
      <c r="AJ8" s="35">
        <v>25</v>
      </c>
      <c r="AL8" t="s">
        <v>143</v>
      </c>
    </row>
    <row r="9" spans="2:44">
      <c r="B9" s="34" t="str">
        <f>'FG1 Reel'!AR16</f>
        <v>FF</v>
      </c>
      <c r="C9" s="30">
        <f>'FG1 Reel'!AS16</f>
        <v>12</v>
      </c>
      <c r="D9" s="30">
        <f>'FG1 Reel'!AT16</f>
        <v>16</v>
      </c>
      <c r="E9" s="30">
        <f>'FG1 Reel'!AU16</f>
        <v>10</v>
      </c>
      <c r="F9" s="30">
        <f>'FG1 Reel'!AV16</f>
        <v>2</v>
      </c>
      <c r="G9" s="30">
        <f>'FG1 Reel'!AW16</f>
        <v>12</v>
      </c>
      <c r="H9" s="35">
        <f>'FG1 Reel'!AX16</f>
        <v>24</v>
      </c>
      <c r="J9" s="34" t="str">
        <f>'FG1 Reel'!Q16</f>
        <v>FF</v>
      </c>
      <c r="K9" s="30">
        <f>'FG1 Reel'!R16</f>
        <v>6</v>
      </c>
      <c r="L9" s="30">
        <f>'FG1 Reel'!S16</f>
        <v>8</v>
      </c>
      <c r="M9" s="30">
        <f>'FG1 Reel'!T16</f>
        <v>5</v>
      </c>
      <c r="N9" s="30">
        <f>'FG1 Reel'!U16</f>
        <v>1</v>
      </c>
      <c r="O9" s="30">
        <f>'FG1 Reel'!V16</f>
        <v>6</v>
      </c>
      <c r="P9" s="35">
        <f>'FG1 Reel'!W16</f>
        <v>12</v>
      </c>
      <c r="R9" s="34" t="str">
        <f>'FG1 Reel'!Q16</f>
        <v>FF</v>
      </c>
      <c r="S9" s="30">
        <f>'BG Calc'!S9</f>
        <v>30</v>
      </c>
      <c r="T9" s="30">
        <f>'BG Calc'!T9</f>
        <v>10</v>
      </c>
      <c r="U9" s="30">
        <f>'BG Calc'!U9</f>
        <v>8</v>
      </c>
      <c r="V9" s="35">
        <f>'BG Calc'!V9</f>
        <v>3</v>
      </c>
      <c r="AI9" s="36">
        <v>6</v>
      </c>
      <c r="AJ9" s="38">
        <v>10</v>
      </c>
    </row>
    <row r="10" spans="2:44">
      <c r="B10" s="34" t="str">
        <f>'FG1 Reel'!AR17</f>
        <v>GG</v>
      </c>
      <c r="C10" s="30">
        <f>'FG1 Reel'!AS17</f>
        <v>16</v>
      </c>
      <c r="D10" s="30">
        <f>'FG1 Reel'!AT17</f>
        <v>8</v>
      </c>
      <c r="E10" s="30">
        <f>'FG1 Reel'!AU17</f>
        <v>10</v>
      </c>
      <c r="F10" s="30">
        <f>'FG1 Reel'!AV17</f>
        <v>16</v>
      </c>
      <c r="G10" s="30">
        <f>'FG1 Reel'!AW17</f>
        <v>8</v>
      </c>
      <c r="H10" s="35">
        <f>'FG1 Reel'!AX17</f>
        <v>8</v>
      </c>
      <c r="J10" s="34" t="str">
        <f>'FG1 Reel'!Q17</f>
        <v>GG</v>
      </c>
      <c r="K10" s="30">
        <f>'FG1 Reel'!R17</f>
        <v>8</v>
      </c>
      <c r="L10" s="30">
        <f>'FG1 Reel'!S17</f>
        <v>4</v>
      </c>
      <c r="M10" s="30">
        <f>'FG1 Reel'!T17</f>
        <v>5</v>
      </c>
      <c r="N10" s="30">
        <f>'FG1 Reel'!U17</f>
        <v>8</v>
      </c>
      <c r="O10" s="30">
        <f>'FG1 Reel'!V17</f>
        <v>4</v>
      </c>
      <c r="P10" s="35">
        <f>'FG1 Reel'!W17</f>
        <v>4</v>
      </c>
      <c r="R10" s="34" t="str">
        <f>'FG1 Reel'!Q17</f>
        <v>GG</v>
      </c>
      <c r="S10" s="30">
        <f>'BG Calc'!S10</f>
        <v>20</v>
      </c>
      <c r="T10" s="30">
        <f>'BG Calc'!T10</f>
        <v>6</v>
      </c>
      <c r="U10" s="30">
        <f>'BG Calc'!U10</f>
        <v>4</v>
      </c>
      <c r="V10" s="35">
        <f>'BG Calc'!V10</f>
        <v>2</v>
      </c>
    </row>
    <row r="11" spans="2:44">
      <c r="B11" s="34" t="str">
        <f>'FG1 Reel'!AR18</f>
        <v>HH</v>
      </c>
      <c r="C11" s="30">
        <f>'FG1 Reel'!AS18</f>
        <v>4</v>
      </c>
      <c r="D11" s="30">
        <f>'FG1 Reel'!AT18</f>
        <v>10</v>
      </c>
      <c r="E11" s="30">
        <f>'FG1 Reel'!AU18</f>
        <v>14</v>
      </c>
      <c r="F11" s="30">
        <f>'FG1 Reel'!AV18</f>
        <v>4</v>
      </c>
      <c r="G11" s="30">
        <f>'FG1 Reel'!AW18</f>
        <v>2</v>
      </c>
      <c r="H11" s="35">
        <f>'FG1 Reel'!AX18</f>
        <v>4</v>
      </c>
      <c r="J11" s="34" t="str">
        <f>'FG1 Reel'!Q18</f>
        <v>HH</v>
      </c>
      <c r="K11" s="30">
        <f>'FG1 Reel'!R18</f>
        <v>2</v>
      </c>
      <c r="L11" s="30">
        <f>'FG1 Reel'!S18</f>
        <v>5</v>
      </c>
      <c r="M11" s="30">
        <f>'FG1 Reel'!T18</f>
        <v>7</v>
      </c>
      <c r="N11" s="30">
        <f>'FG1 Reel'!U18</f>
        <v>2</v>
      </c>
      <c r="O11" s="30">
        <f>'FG1 Reel'!V18</f>
        <v>1</v>
      </c>
      <c r="P11" s="35">
        <f>'FG1 Reel'!W18</f>
        <v>2</v>
      </c>
      <c r="R11" s="34" t="str">
        <f>'FG1 Reel'!Q18</f>
        <v>HH</v>
      </c>
      <c r="S11" s="30">
        <f>'BG Calc'!S11</f>
        <v>20</v>
      </c>
      <c r="T11" s="30">
        <f>'BG Calc'!T11</f>
        <v>6</v>
      </c>
      <c r="U11" s="30">
        <f>'BG Calc'!U11</f>
        <v>4</v>
      </c>
      <c r="V11" s="35">
        <f>'BG Calc'!V11</f>
        <v>2</v>
      </c>
      <c r="AI11" s="30"/>
    </row>
    <row r="12" spans="2:44">
      <c r="B12" s="34" t="str">
        <f>'FG1 Reel'!AR19</f>
        <v>JJ</v>
      </c>
      <c r="C12" s="30">
        <f>'FG1 Reel'!AS19</f>
        <v>14</v>
      </c>
      <c r="D12" s="30">
        <f>'FG1 Reel'!AT19</f>
        <v>20</v>
      </c>
      <c r="E12" s="30">
        <f>'FG1 Reel'!AU19</f>
        <v>18</v>
      </c>
      <c r="F12" s="30">
        <f>'FG1 Reel'!AV19</f>
        <v>20</v>
      </c>
      <c r="G12" s="30">
        <f>'FG1 Reel'!AW19</f>
        <v>32</v>
      </c>
      <c r="H12" s="35">
        <f>'FG1 Reel'!AX19</f>
        <v>18</v>
      </c>
      <c r="J12" s="34" t="str">
        <f>'FG1 Reel'!Q19</f>
        <v>JJ</v>
      </c>
      <c r="K12" s="30">
        <f>'FG1 Reel'!R19</f>
        <v>7</v>
      </c>
      <c r="L12" s="30">
        <f>'FG1 Reel'!S19</f>
        <v>10</v>
      </c>
      <c r="M12" s="30">
        <f>'FG1 Reel'!T19</f>
        <v>9</v>
      </c>
      <c r="N12" s="30">
        <f>'FG1 Reel'!U19</f>
        <v>10</v>
      </c>
      <c r="O12" s="30">
        <f>'FG1 Reel'!V19</f>
        <v>16</v>
      </c>
      <c r="P12" s="35">
        <f>'FG1 Reel'!W19</f>
        <v>9</v>
      </c>
      <c r="R12" s="34" t="str">
        <f>'FG1 Reel'!Q19</f>
        <v>JJ</v>
      </c>
      <c r="S12" s="30">
        <f>'BG Calc'!S12</f>
        <v>20</v>
      </c>
      <c r="T12" s="30">
        <f>'BG Calc'!T12</f>
        <v>6</v>
      </c>
      <c r="U12" s="30">
        <f>'BG Calc'!U12</f>
        <v>4</v>
      </c>
      <c r="V12" s="35">
        <f>'BG Calc'!V12</f>
        <v>2</v>
      </c>
    </row>
    <row r="13" spans="2:44">
      <c r="B13" s="34" t="str">
        <f>'FG1 Reel'!AR20</f>
        <v>KK</v>
      </c>
      <c r="C13" s="30">
        <f>'FG1 Reel'!AS20</f>
        <v>16</v>
      </c>
      <c r="D13" s="30">
        <f>'FG1 Reel'!AT20</f>
        <v>24</v>
      </c>
      <c r="E13" s="30">
        <f>'FG1 Reel'!AU20</f>
        <v>18</v>
      </c>
      <c r="F13" s="30">
        <f>'FG1 Reel'!AV20</f>
        <v>10</v>
      </c>
      <c r="G13" s="30">
        <f>'FG1 Reel'!AW20</f>
        <v>10</v>
      </c>
      <c r="H13" s="35">
        <f>'FG1 Reel'!AX20</f>
        <v>20</v>
      </c>
      <c r="J13" s="34" t="str">
        <f>'FG1 Reel'!Q20</f>
        <v>KK</v>
      </c>
      <c r="K13" s="30">
        <f>'FG1 Reel'!R20</f>
        <v>8</v>
      </c>
      <c r="L13" s="30">
        <f>'FG1 Reel'!S20</f>
        <v>12</v>
      </c>
      <c r="M13" s="30">
        <f>'FG1 Reel'!T20</f>
        <v>9</v>
      </c>
      <c r="N13" s="30">
        <f>'FG1 Reel'!U20</f>
        <v>5</v>
      </c>
      <c r="O13" s="30">
        <f>'FG1 Reel'!V20</f>
        <v>5</v>
      </c>
      <c r="P13" s="35">
        <f>'FG1 Reel'!W20</f>
        <v>10</v>
      </c>
      <c r="R13" s="34" t="str">
        <f>'FG1 Reel'!Q20</f>
        <v>KK</v>
      </c>
      <c r="S13" s="30">
        <f>'BG Calc'!S13</f>
        <v>10</v>
      </c>
      <c r="T13" s="30">
        <f>'BG Calc'!T13</f>
        <v>4</v>
      </c>
      <c r="U13" s="30">
        <f>'BG Calc'!U13</f>
        <v>2</v>
      </c>
      <c r="V13" s="35">
        <f>'BG Calc'!V13</f>
        <v>1</v>
      </c>
    </row>
    <row r="14" spans="2:44">
      <c r="B14" s="34" t="str">
        <f>'FG1 Reel'!AR21</f>
        <v>LL</v>
      </c>
      <c r="C14" s="30">
        <f>'FG1 Reel'!AS21</f>
        <v>22</v>
      </c>
      <c r="D14" s="30">
        <f>'FG1 Reel'!AT21</f>
        <v>22</v>
      </c>
      <c r="E14" s="30">
        <f>'FG1 Reel'!AU21</f>
        <v>8</v>
      </c>
      <c r="F14" s="30">
        <f>'FG1 Reel'!AV21</f>
        <v>14</v>
      </c>
      <c r="G14" s="30">
        <f>'FG1 Reel'!AW21</f>
        <v>12</v>
      </c>
      <c r="H14" s="35">
        <f>'FG1 Reel'!AX21</f>
        <v>34</v>
      </c>
      <c r="J14" s="34" t="str">
        <f>'FG1 Reel'!Q21</f>
        <v>LL</v>
      </c>
      <c r="K14" s="30">
        <f>'FG1 Reel'!R21</f>
        <v>11</v>
      </c>
      <c r="L14" s="30">
        <f>'FG1 Reel'!S21</f>
        <v>11</v>
      </c>
      <c r="M14" s="30">
        <f>'FG1 Reel'!T21</f>
        <v>4</v>
      </c>
      <c r="N14" s="30">
        <f>'FG1 Reel'!U21</f>
        <v>7</v>
      </c>
      <c r="O14" s="30">
        <f>'FG1 Reel'!V21</f>
        <v>6</v>
      </c>
      <c r="P14" s="35">
        <f>'FG1 Reel'!W21</f>
        <v>17</v>
      </c>
      <c r="R14" s="34" t="str">
        <f>'FG1 Reel'!Q21</f>
        <v>LL</v>
      </c>
      <c r="S14" s="30">
        <f>'BG Calc'!S14</f>
        <v>10</v>
      </c>
      <c r="T14" s="30">
        <f>'BG Calc'!T14</f>
        <v>4</v>
      </c>
      <c r="U14" s="30">
        <f>'BG Calc'!U14</f>
        <v>2</v>
      </c>
      <c r="V14" s="35">
        <f>'BG Calc'!V14</f>
        <v>1</v>
      </c>
    </row>
    <row r="15" spans="2:44">
      <c r="B15" s="34" t="str">
        <f>'FG1 Reel'!AR22</f>
        <v>BN</v>
      </c>
      <c r="C15" s="30">
        <f>'FG1 Reel'!AS22</f>
        <v>0</v>
      </c>
      <c r="D15" s="30">
        <f>'FG1 Reel'!AT22</f>
        <v>0</v>
      </c>
      <c r="E15" s="30">
        <f>'FG1 Reel'!AU22</f>
        <v>0</v>
      </c>
      <c r="F15" s="30">
        <f>'FG1 Reel'!AV22</f>
        <v>0</v>
      </c>
      <c r="G15" s="30">
        <f>'FG1 Reel'!AW22</f>
        <v>0</v>
      </c>
      <c r="H15" s="35">
        <f>'FG1 Reel'!AX22</f>
        <v>0</v>
      </c>
      <c r="J15" s="34" t="str">
        <f>'FG1 Reel'!Q22</f>
        <v>BN</v>
      </c>
      <c r="K15" s="30">
        <f>'FG1 Reel'!R22</f>
        <v>0</v>
      </c>
      <c r="L15" s="30">
        <f>'FG1 Reel'!S22</f>
        <v>0</v>
      </c>
      <c r="M15" s="30">
        <f>'FG1 Reel'!T22</f>
        <v>0</v>
      </c>
      <c r="N15" s="30">
        <f>'FG1 Reel'!U22</f>
        <v>0</v>
      </c>
      <c r="O15" s="30">
        <f>'FG1 Reel'!V22</f>
        <v>0</v>
      </c>
      <c r="P15" s="35">
        <f>'FG1 Reel'!W22</f>
        <v>0</v>
      </c>
      <c r="R15" s="36" t="str">
        <f>'FG1 Reel'!Q22</f>
        <v>BN</v>
      </c>
      <c r="S15" s="37">
        <f>'BG Calc'!S15</f>
        <v>0</v>
      </c>
      <c r="T15" s="37">
        <f>'BG Calc'!T15</f>
        <v>0</v>
      </c>
      <c r="U15" s="37">
        <f>'BG Calc'!U15</f>
        <v>0</v>
      </c>
      <c r="V15" s="38">
        <f>'BG Calc'!V15</f>
        <v>0</v>
      </c>
    </row>
    <row r="16" spans="2:44">
      <c r="B16" s="34" t="str">
        <f>'FG1 Reel'!AR23</f>
        <v>WC-0</v>
      </c>
      <c r="C16" s="30">
        <f>'FG1 Reel'!AS23</f>
        <v>68</v>
      </c>
      <c r="D16" s="30">
        <f>'FG1 Reel'!AT23</f>
        <v>90</v>
      </c>
      <c r="E16" s="30">
        <f>'FG1 Reel'!AU23</f>
        <v>62</v>
      </c>
      <c r="F16" s="30">
        <f>'FG1 Reel'!AV23</f>
        <v>55</v>
      </c>
      <c r="G16" s="30">
        <f>'FG1 Reel'!AW23</f>
        <v>66</v>
      </c>
      <c r="H16" s="35">
        <f>'FG1 Reel'!AX23</f>
        <v>98</v>
      </c>
      <c r="J16" s="48" t="s">
        <v>14</v>
      </c>
      <c r="K16" s="28">
        <f>SUM(K3:K15)</f>
        <v>68</v>
      </c>
      <c r="L16" s="28">
        <f t="shared" ref="L16:P16" si="0">SUM(L3:L15)</f>
        <v>90</v>
      </c>
      <c r="M16" s="28">
        <f t="shared" si="0"/>
        <v>62</v>
      </c>
      <c r="N16" s="28">
        <f t="shared" si="0"/>
        <v>55</v>
      </c>
      <c r="O16" s="28">
        <f t="shared" si="0"/>
        <v>66</v>
      </c>
      <c r="P16" s="27">
        <f t="shared" si="0"/>
        <v>98</v>
      </c>
    </row>
    <row r="17" spans="2:41">
      <c r="B17" s="34" t="str">
        <f>'FG1 Reel'!AR24</f>
        <v>AA-0</v>
      </c>
      <c r="C17" s="30">
        <f>'FG1 Reel'!AS24</f>
        <v>60</v>
      </c>
      <c r="D17" s="30">
        <f>'FG1 Reel'!AT24</f>
        <v>65</v>
      </c>
      <c r="E17" s="30">
        <f>'FG1 Reel'!AU24</f>
        <v>48</v>
      </c>
      <c r="F17" s="30">
        <f>'FG1 Reel'!AV24</f>
        <v>39</v>
      </c>
      <c r="G17" s="30">
        <f>'FG1 Reel'!AW24</f>
        <v>58</v>
      </c>
      <c r="H17" s="35">
        <f>'FG1 Reel'!AX24</f>
        <v>85</v>
      </c>
      <c r="J17" s="36" t="s">
        <v>96</v>
      </c>
      <c r="K17" s="79">
        <f>PRODUCT(K16:P16)</f>
        <v>134981985600</v>
      </c>
      <c r="L17" s="79"/>
      <c r="M17" s="79"/>
      <c r="N17" s="79"/>
      <c r="O17" s="79"/>
      <c r="P17" s="80"/>
      <c r="Z17" s="52" t="s">
        <v>97</v>
      </c>
      <c r="AA17" s="81" t="s">
        <v>98</v>
      </c>
      <c r="AB17" s="81"/>
      <c r="AC17" s="81"/>
      <c r="AD17" s="81"/>
      <c r="AE17" s="81"/>
      <c r="AF17" s="81"/>
      <c r="AG17" s="52" t="s">
        <v>144</v>
      </c>
      <c r="AJ17" s="53"/>
      <c r="AK17" s="81" t="s">
        <v>31</v>
      </c>
      <c r="AL17" s="81"/>
      <c r="AO17">
        <v>512154</v>
      </c>
    </row>
    <row r="18" spans="2:41">
      <c r="B18" s="34" t="str">
        <f>'FG1 Reel'!AR25</f>
        <v>BB-0</v>
      </c>
      <c r="C18" s="30">
        <f>'FG1 Reel'!AS25</f>
        <v>61</v>
      </c>
      <c r="D18" s="30">
        <f>'FG1 Reel'!AT25</f>
        <v>68</v>
      </c>
      <c r="E18" s="30">
        <f>'FG1 Reel'!AU25</f>
        <v>50</v>
      </c>
      <c r="F18" s="30">
        <f>'FG1 Reel'!AV25</f>
        <v>43</v>
      </c>
      <c r="G18" s="30">
        <f>'FG1 Reel'!AW25</f>
        <v>53</v>
      </c>
      <c r="H18" s="35">
        <f>'FG1 Reel'!AX25</f>
        <v>74</v>
      </c>
      <c r="Z18" s="53">
        <v>1</v>
      </c>
      <c r="AA18" s="53">
        <v>0</v>
      </c>
      <c r="AB18" s="53">
        <v>0</v>
      </c>
      <c r="AC18" s="53">
        <v>0</v>
      </c>
      <c r="AD18" s="53">
        <v>0</v>
      </c>
      <c r="AE18" s="53">
        <v>1</v>
      </c>
      <c r="AF18" s="53">
        <v>1</v>
      </c>
      <c r="AG18" s="53">
        <v>10</v>
      </c>
      <c r="AJ18" s="53"/>
      <c r="AK18" s="81" t="s">
        <v>101</v>
      </c>
      <c r="AL18" s="81"/>
      <c r="AO18">
        <v>52050</v>
      </c>
    </row>
    <row r="19" spans="2:41">
      <c r="B19" s="34" t="str">
        <f>'FG1 Reel'!AR26</f>
        <v>CC-0</v>
      </c>
      <c r="C19" s="30">
        <f>'FG1 Reel'!AS26</f>
        <v>50</v>
      </c>
      <c r="D19" s="30">
        <f>'FG1 Reel'!AT26</f>
        <v>73</v>
      </c>
      <c r="E19" s="30">
        <f>'FG1 Reel'!AU26</f>
        <v>56</v>
      </c>
      <c r="F19" s="30">
        <f>'FG1 Reel'!AV26</f>
        <v>49</v>
      </c>
      <c r="G19" s="30">
        <f>'FG1 Reel'!AW26</f>
        <v>46</v>
      </c>
      <c r="H19" s="35">
        <f>'FG1 Reel'!AX26</f>
        <v>78</v>
      </c>
      <c r="J19" s="8" t="s">
        <v>102</v>
      </c>
      <c r="K19" s="6">
        <v>20</v>
      </c>
      <c r="Z19" s="53">
        <v>2</v>
      </c>
      <c r="AA19" s="53">
        <v>0</v>
      </c>
      <c r="AB19" s="53">
        <v>0</v>
      </c>
      <c r="AC19" s="53">
        <v>0</v>
      </c>
      <c r="AD19" s="53">
        <v>1</v>
      </c>
      <c r="AE19" s="53">
        <v>0</v>
      </c>
      <c r="AF19" s="53">
        <v>1</v>
      </c>
      <c r="AG19" s="53">
        <v>10</v>
      </c>
      <c r="AJ19" s="52" t="s">
        <v>103</v>
      </c>
      <c r="AK19" s="52" t="s">
        <v>104</v>
      </c>
      <c r="AL19" s="52" t="s">
        <v>105</v>
      </c>
      <c r="AO19">
        <f>AO17/AO18</f>
        <v>9.8396541786743512</v>
      </c>
    </row>
    <row r="20" spans="2:41">
      <c r="B20" s="34" t="str">
        <f>'FG1 Reel'!AR27</f>
        <v>DD-0</v>
      </c>
      <c r="C20" s="30">
        <f>'FG1 Reel'!AS27</f>
        <v>60</v>
      </c>
      <c r="D20" s="30">
        <f>'FG1 Reel'!AT27</f>
        <v>86</v>
      </c>
      <c r="E20" s="30">
        <f>'FG1 Reel'!AU27</f>
        <v>60</v>
      </c>
      <c r="F20" s="30">
        <f>'FG1 Reel'!AV27</f>
        <v>53</v>
      </c>
      <c r="G20" s="30">
        <f>'FG1 Reel'!AW27</f>
        <v>62</v>
      </c>
      <c r="H20" s="35">
        <f>'FG1 Reel'!AX27</f>
        <v>82</v>
      </c>
      <c r="J20" s="5" t="s">
        <v>6</v>
      </c>
      <c r="K20" s="14">
        <f>R86/(K19*K17)</f>
        <v>7.5379769396428264E-2</v>
      </c>
      <c r="Z20" s="53">
        <v>3</v>
      </c>
      <c r="AA20" s="53">
        <v>0</v>
      </c>
      <c r="AB20" s="53">
        <v>0</v>
      </c>
      <c r="AC20" s="53">
        <v>1</v>
      </c>
      <c r="AD20" s="53">
        <v>0</v>
      </c>
      <c r="AE20" s="53">
        <v>0</v>
      </c>
      <c r="AF20" s="53">
        <v>1</v>
      </c>
      <c r="AG20" s="53">
        <v>10</v>
      </c>
      <c r="AJ20" s="53">
        <v>2</v>
      </c>
      <c r="AK20" s="53">
        <v>100</v>
      </c>
      <c r="AL20" s="53">
        <v>25</v>
      </c>
      <c r="AO20" s="74">
        <v>782707</v>
      </c>
    </row>
    <row r="21" spans="2:41">
      <c r="B21" s="34" t="str">
        <f>'FG1 Reel'!AR28</f>
        <v>EE-0</v>
      </c>
      <c r="C21" s="30">
        <f>'FG1 Reel'!AS28</f>
        <v>66</v>
      </c>
      <c r="D21" s="30">
        <f>'FG1 Reel'!AT28</f>
        <v>86</v>
      </c>
      <c r="E21" s="30">
        <f>'FG1 Reel'!AU28</f>
        <v>56</v>
      </c>
      <c r="F21" s="30">
        <f>'FG1 Reel'!AV28</f>
        <v>53</v>
      </c>
      <c r="G21" s="30">
        <f>'FG1 Reel'!AW28</f>
        <v>62</v>
      </c>
      <c r="H21" s="35">
        <f>'FG1 Reel'!AX28</f>
        <v>92</v>
      </c>
      <c r="J21" s="3" t="s">
        <v>106</v>
      </c>
      <c r="K21" s="13" t="e">
        <f>K17/SUM(N88:N132)</f>
        <v>#DIV/0!</v>
      </c>
      <c r="Z21" s="53">
        <v>4</v>
      </c>
      <c r="AA21" s="53">
        <v>0</v>
      </c>
      <c r="AB21" s="53">
        <v>1</v>
      </c>
      <c r="AC21" s="53">
        <v>0</v>
      </c>
      <c r="AD21" s="53">
        <v>0</v>
      </c>
      <c r="AE21" s="53">
        <v>0</v>
      </c>
      <c r="AF21" s="53">
        <v>1</v>
      </c>
      <c r="AG21" s="53">
        <v>10</v>
      </c>
      <c r="AJ21" s="53">
        <v>3</v>
      </c>
      <c r="AK21" s="53">
        <v>200</v>
      </c>
      <c r="AL21" s="53">
        <v>75</v>
      </c>
      <c r="AO21">
        <f>AO20/AO18</f>
        <v>15.03759846301633</v>
      </c>
    </row>
    <row r="22" spans="2:41">
      <c r="B22" s="34" t="str">
        <f>'FG1 Reel'!AR29</f>
        <v>FF-0</v>
      </c>
      <c r="C22" s="30">
        <f>'FG1 Reel'!AS29</f>
        <v>58</v>
      </c>
      <c r="D22" s="30">
        <f>'FG1 Reel'!AT29</f>
        <v>76</v>
      </c>
      <c r="E22" s="30">
        <f>'FG1 Reel'!AU29</f>
        <v>54</v>
      </c>
      <c r="F22" s="30">
        <f>'FG1 Reel'!AV29</f>
        <v>53</v>
      </c>
      <c r="G22" s="30">
        <f>'FG1 Reel'!AW29</f>
        <v>54</v>
      </c>
      <c r="H22" s="35">
        <f>'FG1 Reel'!AX29</f>
        <v>76</v>
      </c>
      <c r="M22" s="12"/>
      <c r="Z22" s="53">
        <v>5</v>
      </c>
      <c r="AA22" s="53">
        <v>1</v>
      </c>
      <c r="AB22" s="53">
        <v>0</v>
      </c>
      <c r="AC22" s="53">
        <v>0</v>
      </c>
      <c r="AD22" s="53">
        <v>0</v>
      </c>
      <c r="AE22" s="53">
        <v>0</v>
      </c>
      <c r="AF22" s="53">
        <v>1</v>
      </c>
      <c r="AG22" s="53">
        <v>10</v>
      </c>
      <c r="AJ22" s="53">
        <v>4</v>
      </c>
      <c r="AK22" s="53">
        <v>75</v>
      </c>
      <c r="AL22" s="53">
        <v>75</v>
      </c>
    </row>
    <row r="23" spans="2:41">
      <c r="B23" s="34" t="str">
        <f>'FG1 Reel'!AR30</f>
        <v>GG-0</v>
      </c>
      <c r="C23" s="30">
        <f>'FG1 Reel'!AS30</f>
        <v>54</v>
      </c>
      <c r="D23" s="30">
        <f>'FG1 Reel'!AT30</f>
        <v>84</v>
      </c>
      <c r="E23" s="30">
        <f>'FG1 Reel'!AU30</f>
        <v>54</v>
      </c>
      <c r="F23" s="30">
        <f>'FG1 Reel'!AV30</f>
        <v>41</v>
      </c>
      <c r="G23" s="30">
        <f>'FG1 Reel'!AW30</f>
        <v>60</v>
      </c>
      <c r="H23" s="35">
        <f>'FG1 Reel'!AX30</f>
        <v>92</v>
      </c>
      <c r="J23" s="11" t="s">
        <v>107</v>
      </c>
      <c r="K23" s="49">
        <v>222222</v>
      </c>
      <c r="Z23" s="53">
        <v>6</v>
      </c>
      <c r="AA23" s="53">
        <v>0</v>
      </c>
      <c r="AB23" s="53">
        <v>0</v>
      </c>
      <c r="AC23" s="53">
        <v>0</v>
      </c>
      <c r="AD23" s="53">
        <v>1</v>
      </c>
      <c r="AE23" s="53">
        <v>1</v>
      </c>
      <c r="AF23" s="53">
        <v>0</v>
      </c>
      <c r="AG23" s="53">
        <v>10</v>
      </c>
      <c r="AJ23" s="53">
        <v>5</v>
      </c>
      <c r="AK23" s="53">
        <v>50</v>
      </c>
      <c r="AL23" s="53">
        <v>75</v>
      </c>
    </row>
    <row r="24" spans="2:41">
      <c r="B24" s="34" t="str">
        <f>'FG1 Reel'!AR31</f>
        <v>HH-0</v>
      </c>
      <c r="C24" s="30">
        <f>'FG1 Reel'!AS31</f>
        <v>64</v>
      </c>
      <c r="D24" s="30">
        <f>'FG1 Reel'!AT31</f>
        <v>80</v>
      </c>
      <c r="E24" s="30">
        <f>'FG1 Reel'!AU31</f>
        <v>48</v>
      </c>
      <c r="F24" s="30">
        <f>'FG1 Reel'!AV31</f>
        <v>51</v>
      </c>
      <c r="G24" s="30">
        <f>'FG1 Reel'!AW31</f>
        <v>64</v>
      </c>
      <c r="H24" s="35">
        <f>'FG1 Reel'!AX31</f>
        <v>94</v>
      </c>
      <c r="Z24" s="53">
        <v>7</v>
      </c>
      <c r="AA24" s="53">
        <v>0</v>
      </c>
      <c r="AB24" s="53">
        <v>0</v>
      </c>
      <c r="AC24" s="53">
        <v>1</v>
      </c>
      <c r="AD24" s="53">
        <v>0</v>
      </c>
      <c r="AE24" s="53">
        <v>1</v>
      </c>
      <c r="AF24" s="53">
        <v>0</v>
      </c>
      <c r="AG24" s="53">
        <v>10</v>
      </c>
      <c r="AJ24" s="53">
        <v>6</v>
      </c>
      <c r="AK24" s="53">
        <v>15</v>
      </c>
      <c r="AL24" s="53">
        <v>75</v>
      </c>
    </row>
    <row r="25" spans="2:41">
      <c r="B25" s="34" t="str">
        <f>'FG1 Reel'!AR32</f>
        <v>JJ-0</v>
      </c>
      <c r="C25" s="30">
        <f>'FG1 Reel'!AS32</f>
        <v>56</v>
      </c>
      <c r="D25" s="30">
        <f>'FG1 Reel'!AT32</f>
        <v>72</v>
      </c>
      <c r="E25" s="30">
        <f>'FG1 Reel'!AU32</f>
        <v>47</v>
      </c>
      <c r="F25" s="30">
        <f>'FG1 Reel'!AV32</f>
        <v>37</v>
      </c>
      <c r="G25" s="30">
        <f>'FG1 Reel'!AW32</f>
        <v>36</v>
      </c>
      <c r="H25" s="35">
        <f>'FG1 Reel'!AX32</f>
        <v>82</v>
      </c>
      <c r="J25" s="11"/>
      <c r="K25" s="28" t="s">
        <v>108</v>
      </c>
      <c r="L25" s="28" t="s">
        <v>109</v>
      </c>
      <c r="M25" s="28" t="s">
        <v>110</v>
      </c>
      <c r="N25" s="28" t="s">
        <v>111</v>
      </c>
      <c r="O25" s="28" t="s">
        <v>112</v>
      </c>
      <c r="P25" s="27" t="s">
        <v>113</v>
      </c>
      <c r="Z25" s="53">
        <v>8</v>
      </c>
      <c r="AA25" s="53">
        <v>0</v>
      </c>
      <c r="AB25" s="53">
        <v>1</v>
      </c>
      <c r="AC25" s="53">
        <v>0</v>
      </c>
      <c r="AD25" s="53">
        <v>0</v>
      </c>
      <c r="AE25" s="53">
        <v>1</v>
      </c>
      <c r="AF25" s="53">
        <v>0</v>
      </c>
      <c r="AG25" s="53">
        <v>10</v>
      </c>
      <c r="AJ25" s="53">
        <v>7</v>
      </c>
      <c r="AK25" s="53">
        <v>10</v>
      </c>
      <c r="AL25" s="53">
        <v>75</v>
      </c>
    </row>
    <row r="26" spans="2:41">
      <c r="B26" s="34" t="str">
        <f>'FG1 Reel'!AR33</f>
        <v>KK-0</v>
      </c>
      <c r="C26" s="30">
        <f>'FG1 Reel'!AS33</f>
        <v>54</v>
      </c>
      <c r="D26" s="30">
        <f>'FG1 Reel'!AT33</f>
        <v>68</v>
      </c>
      <c r="E26" s="30">
        <f>'FG1 Reel'!AU33</f>
        <v>46</v>
      </c>
      <c r="F26" s="30">
        <f>'FG1 Reel'!AV33</f>
        <v>47</v>
      </c>
      <c r="G26" s="30">
        <f>'FG1 Reel'!AW33</f>
        <v>58</v>
      </c>
      <c r="H26" s="35">
        <f>'FG1 Reel'!AX33</f>
        <v>80</v>
      </c>
      <c r="J26" s="36" t="s">
        <v>114</v>
      </c>
      <c r="K26" s="37">
        <f t="shared" ref="K26:P26" si="1">VALUE(MID($K$23,RIGHT(K25,1),1))</f>
        <v>2</v>
      </c>
      <c r="L26" s="37">
        <f t="shared" si="1"/>
        <v>2</v>
      </c>
      <c r="M26" s="37">
        <f t="shared" si="1"/>
        <v>2</v>
      </c>
      <c r="N26" s="37">
        <f t="shared" si="1"/>
        <v>2</v>
      </c>
      <c r="O26" s="37">
        <f t="shared" si="1"/>
        <v>2</v>
      </c>
      <c r="P26" s="38">
        <f t="shared" si="1"/>
        <v>2</v>
      </c>
      <c r="Z26" s="53">
        <v>9</v>
      </c>
      <c r="AA26" s="53">
        <v>1</v>
      </c>
      <c r="AB26" s="53">
        <v>0</v>
      </c>
      <c r="AC26" s="53">
        <v>0</v>
      </c>
      <c r="AD26" s="53">
        <v>0</v>
      </c>
      <c r="AE26" s="53">
        <v>1</v>
      </c>
      <c r="AF26" s="53">
        <v>0</v>
      </c>
      <c r="AG26" s="53">
        <v>10</v>
      </c>
    </row>
    <row r="27" spans="2:41">
      <c r="B27" s="34" t="str">
        <f>'FG1 Reel'!AR34</f>
        <v>LL-0</v>
      </c>
      <c r="C27" s="30">
        <f>'FG1 Reel'!AS34</f>
        <v>48</v>
      </c>
      <c r="D27" s="30">
        <f>'FG1 Reel'!AT34</f>
        <v>70</v>
      </c>
      <c r="E27" s="30">
        <f>'FG1 Reel'!AU34</f>
        <v>56</v>
      </c>
      <c r="F27" s="30">
        <f>'FG1 Reel'!AV34</f>
        <v>44</v>
      </c>
      <c r="G27" s="30">
        <f>'FG1 Reel'!AW34</f>
        <v>56</v>
      </c>
      <c r="H27" s="35">
        <f>'FG1 Reel'!AX34</f>
        <v>66</v>
      </c>
      <c r="Z27" s="53">
        <v>10</v>
      </c>
      <c r="AA27" s="53">
        <v>0</v>
      </c>
      <c r="AB27" s="53">
        <v>0</v>
      </c>
      <c r="AC27" s="53">
        <v>1</v>
      </c>
      <c r="AD27" s="53">
        <v>1</v>
      </c>
      <c r="AE27" s="53">
        <v>0</v>
      </c>
      <c r="AF27" s="53">
        <v>0</v>
      </c>
      <c r="AG27" s="53">
        <v>10</v>
      </c>
    </row>
    <row r="28" spans="2:41">
      <c r="B28" s="34" t="str">
        <f>'FG1 Reel'!AR35</f>
        <v>BN-0</v>
      </c>
      <c r="C28" s="30">
        <f>'FG1 Reel'!AS35</f>
        <v>68</v>
      </c>
      <c r="D28" s="30">
        <f>'FG1 Reel'!AT35</f>
        <v>90</v>
      </c>
      <c r="E28" s="30">
        <f>'FG1 Reel'!AU35</f>
        <v>62</v>
      </c>
      <c r="F28" s="30">
        <f>'FG1 Reel'!AV35</f>
        <v>55</v>
      </c>
      <c r="G28" s="30">
        <f>'FG1 Reel'!AW35</f>
        <v>66</v>
      </c>
      <c r="H28" s="35">
        <f>'FG1 Reel'!AX35</f>
        <v>98</v>
      </c>
      <c r="Z28" s="53">
        <v>11</v>
      </c>
      <c r="AA28" s="53">
        <v>0</v>
      </c>
      <c r="AB28" s="53">
        <v>1</v>
      </c>
      <c r="AC28" s="53">
        <v>0</v>
      </c>
      <c r="AD28" s="53">
        <v>1</v>
      </c>
      <c r="AE28" s="53">
        <v>0</v>
      </c>
      <c r="AF28" s="53">
        <v>0</v>
      </c>
      <c r="AG28" s="53">
        <v>10</v>
      </c>
    </row>
    <row r="29" spans="2:41">
      <c r="B29" s="48" t="s">
        <v>115</v>
      </c>
      <c r="C29" s="28">
        <f t="shared" ref="C29:H29" si="2">K16</f>
        <v>68</v>
      </c>
      <c r="D29" s="28">
        <f t="shared" si="2"/>
        <v>90</v>
      </c>
      <c r="E29" s="28">
        <f t="shared" si="2"/>
        <v>62</v>
      </c>
      <c r="F29" s="28">
        <f t="shared" si="2"/>
        <v>55</v>
      </c>
      <c r="G29" s="28">
        <f t="shared" si="2"/>
        <v>66</v>
      </c>
      <c r="H29" s="27">
        <f t="shared" si="2"/>
        <v>98</v>
      </c>
      <c r="Z29" s="53">
        <v>12</v>
      </c>
      <c r="AA29" s="53">
        <v>1</v>
      </c>
      <c r="AB29" s="53">
        <v>0</v>
      </c>
      <c r="AC29" s="53">
        <v>0</v>
      </c>
      <c r="AD29" s="53">
        <v>1</v>
      </c>
      <c r="AE29" s="53">
        <v>0</v>
      </c>
      <c r="AF29" s="53">
        <v>0</v>
      </c>
      <c r="AG29" s="53">
        <v>10</v>
      </c>
    </row>
    <row r="30" spans="2:41">
      <c r="Z30" s="53">
        <v>13</v>
      </c>
      <c r="AA30" s="53">
        <v>0</v>
      </c>
      <c r="AB30" s="53">
        <v>1</v>
      </c>
      <c r="AC30" s="53">
        <v>1</v>
      </c>
      <c r="AD30" s="53">
        <v>0</v>
      </c>
      <c r="AE30" s="53">
        <v>0</v>
      </c>
      <c r="AF30" s="53">
        <v>0</v>
      </c>
      <c r="AG30" s="53">
        <v>10</v>
      </c>
    </row>
    <row r="31" spans="2:41">
      <c r="B31" s="11" t="s">
        <v>108</v>
      </c>
      <c r="C31" s="10" t="s">
        <v>109</v>
      </c>
      <c r="D31" s="10" t="s">
        <v>110</v>
      </c>
      <c r="E31" s="10" t="s">
        <v>111</v>
      </c>
      <c r="F31" s="10" t="s">
        <v>112</v>
      </c>
      <c r="G31" s="10" t="s">
        <v>113</v>
      </c>
      <c r="H31" s="10" t="s">
        <v>108</v>
      </c>
      <c r="I31" s="10" t="s">
        <v>109</v>
      </c>
      <c r="J31" s="10" t="s">
        <v>110</v>
      </c>
      <c r="K31" s="10" t="s">
        <v>111</v>
      </c>
      <c r="L31" s="10" t="s">
        <v>112</v>
      </c>
      <c r="M31" s="10" t="s">
        <v>113</v>
      </c>
      <c r="N31" s="10" t="s">
        <v>116</v>
      </c>
      <c r="O31" s="10"/>
      <c r="P31" s="10"/>
      <c r="Q31" s="10" t="s">
        <v>117</v>
      </c>
      <c r="R31" s="9" t="s">
        <v>118</v>
      </c>
      <c r="Z31" s="53">
        <v>14</v>
      </c>
      <c r="AA31" s="53">
        <v>1</v>
      </c>
      <c r="AB31" s="53">
        <v>0</v>
      </c>
      <c r="AC31" s="53">
        <v>1</v>
      </c>
      <c r="AD31" s="53">
        <v>0</v>
      </c>
      <c r="AE31" s="53">
        <v>0</v>
      </c>
      <c r="AF31" s="53">
        <v>0</v>
      </c>
      <c r="AG31" s="53">
        <v>10</v>
      </c>
    </row>
    <row r="32" spans="2:41">
      <c r="B32" s="8" t="str">
        <f>$B$4</f>
        <v>AA</v>
      </c>
      <c r="C32" s="7" t="str">
        <f>$B32</f>
        <v>AA</v>
      </c>
      <c r="D32" s="7" t="str">
        <f>$B32</f>
        <v>AA</v>
      </c>
      <c r="E32" s="7" t="str">
        <f>$B32</f>
        <v>AA</v>
      </c>
      <c r="F32" s="7" t="str">
        <f>$B32</f>
        <v>AA</v>
      </c>
      <c r="G32" s="7" t="str">
        <f>$B32</f>
        <v>AA</v>
      </c>
      <c r="H32" s="7">
        <f>SUMIF($B$3:$B$29,B32,C$3:C$29)</f>
        <v>10</v>
      </c>
      <c r="I32" s="7">
        <f t="shared" ref="I32:M35" si="3">SUMIF($B$3:$B$29,C32,D$3:D$29)</f>
        <v>28</v>
      </c>
      <c r="J32" s="7">
        <f t="shared" si="3"/>
        <v>16</v>
      </c>
      <c r="K32" s="7">
        <f t="shared" si="3"/>
        <v>18</v>
      </c>
      <c r="L32" s="7">
        <f t="shared" si="3"/>
        <v>10</v>
      </c>
      <c r="M32" s="7">
        <f t="shared" si="3"/>
        <v>16</v>
      </c>
      <c r="N32" s="7">
        <f>PRODUCT(H32:M32)</f>
        <v>12902400</v>
      </c>
      <c r="O32" s="7">
        <v>6</v>
      </c>
      <c r="P32" s="7" t="str">
        <f>B32</f>
        <v>AA</v>
      </c>
      <c r="Q32" s="7">
        <f>INDEX($S$3:$V$15,MATCH(P32,$R$3:$R$15,0),MATCH(O32,$S$2:$V$2,0))</f>
        <v>150</v>
      </c>
      <c r="R32" s="6">
        <f>Q32*N32</f>
        <v>1935360000</v>
      </c>
      <c r="Z32" s="53">
        <v>15</v>
      </c>
      <c r="AA32" s="53">
        <v>1</v>
      </c>
      <c r="AB32" s="53">
        <v>1</v>
      </c>
      <c r="AC32" s="53">
        <v>0</v>
      </c>
      <c r="AD32" s="53">
        <v>0</v>
      </c>
      <c r="AE32" s="53">
        <v>0</v>
      </c>
      <c r="AF32" s="53">
        <v>0</v>
      </c>
      <c r="AG32" s="53">
        <v>10</v>
      </c>
    </row>
    <row r="33" spans="2:33">
      <c r="B33" s="5" t="str">
        <f>$B32</f>
        <v>AA</v>
      </c>
      <c r="C33" t="str">
        <f>$B32</f>
        <v>AA</v>
      </c>
      <c r="D33" t="str">
        <f>$B32</f>
        <v>AA</v>
      </c>
      <c r="E33" t="str">
        <f>$B32</f>
        <v>AA</v>
      </c>
      <c r="F33" t="str">
        <f>$B32</f>
        <v>AA</v>
      </c>
      <c r="G33" t="str">
        <f>F33&amp;"-0"</f>
        <v>AA-0</v>
      </c>
      <c r="H33">
        <f>SUMIF($B$3:$B$29,B33,C$3:C$29)</f>
        <v>10</v>
      </c>
      <c r="I33">
        <f t="shared" si="3"/>
        <v>28</v>
      </c>
      <c r="J33">
        <f t="shared" si="3"/>
        <v>16</v>
      </c>
      <c r="K33">
        <f t="shared" si="3"/>
        <v>18</v>
      </c>
      <c r="L33">
        <f t="shared" si="3"/>
        <v>10</v>
      </c>
      <c r="M33">
        <f t="shared" si="3"/>
        <v>85</v>
      </c>
      <c r="N33">
        <f>PRODUCT(H33:M33)</f>
        <v>68544000</v>
      </c>
      <c r="O33">
        <v>5</v>
      </c>
      <c r="P33" t="str">
        <f>B33</f>
        <v>AA</v>
      </c>
      <c r="Q33">
        <f>INDEX($S$3:$V$15,MATCH(P33,$R$3:$R$15,0),MATCH(O33,$S$2:$V$2,0))</f>
        <v>60</v>
      </c>
      <c r="R33" s="4">
        <f>Q33*N33</f>
        <v>4112640000</v>
      </c>
      <c r="Z33" s="53">
        <v>16</v>
      </c>
      <c r="AA33" s="53">
        <v>0</v>
      </c>
      <c r="AB33" s="53">
        <v>0</v>
      </c>
      <c r="AC33" s="53">
        <v>0</v>
      </c>
      <c r="AD33" s="53">
        <v>1</v>
      </c>
      <c r="AE33" s="53">
        <v>1</v>
      </c>
      <c r="AF33" s="53">
        <v>1</v>
      </c>
      <c r="AG33" s="53">
        <v>500</v>
      </c>
    </row>
    <row r="34" spans="2:33">
      <c r="B34" s="5" t="str">
        <f>$B32</f>
        <v>AA</v>
      </c>
      <c r="C34" t="str">
        <f>$B32</f>
        <v>AA</v>
      </c>
      <c r="D34" t="str">
        <f>$B32</f>
        <v>AA</v>
      </c>
      <c r="E34" t="str">
        <f>$B32</f>
        <v>AA</v>
      </c>
      <c r="F34" t="str">
        <f>E34&amp;"-0"</f>
        <v>AA-0</v>
      </c>
      <c r="G34" t="str">
        <f>$B$29</f>
        <v>---</v>
      </c>
      <c r="H34">
        <f t="shared" ref="H34:H35" si="4">SUMIF($B$3:$B$29,B34,C$3:C$29)</f>
        <v>10</v>
      </c>
      <c r="I34">
        <f t="shared" si="3"/>
        <v>28</v>
      </c>
      <c r="J34">
        <f t="shared" si="3"/>
        <v>16</v>
      </c>
      <c r="K34">
        <f t="shared" si="3"/>
        <v>18</v>
      </c>
      <c r="L34">
        <f t="shared" si="3"/>
        <v>58</v>
      </c>
      <c r="M34">
        <f t="shared" si="3"/>
        <v>98</v>
      </c>
      <c r="N34">
        <f t="shared" ref="N34:N35" si="5">PRODUCT(H34:M34)</f>
        <v>458357760</v>
      </c>
      <c r="O34">
        <v>5</v>
      </c>
      <c r="P34" t="str">
        <f t="shared" ref="P34:P35" si="6">B34</f>
        <v>AA</v>
      </c>
      <c r="Q34">
        <f t="shared" ref="Q34:Q35" si="7">INDEX($S$3:$V$15,MATCH(P34,$R$3:$R$15,0),MATCH(O34,$S$2:$V$2,0))</f>
        <v>60</v>
      </c>
      <c r="R34" s="4">
        <f t="shared" ref="R34:R35" si="8">Q34*N34</f>
        <v>27501465600</v>
      </c>
      <c r="Z34" s="53">
        <v>17</v>
      </c>
      <c r="AA34" s="53">
        <v>0</v>
      </c>
      <c r="AB34" s="53">
        <v>0</v>
      </c>
      <c r="AC34" s="53">
        <v>1</v>
      </c>
      <c r="AD34" s="53">
        <v>0</v>
      </c>
      <c r="AE34" s="53">
        <v>1</v>
      </c>
      <c r="AF34" s="53">
        <v>1</v>
      </c>
      <c r="AG34" s="53">
        <v>500</v>
      </c>
    </row>
    <row r="35" spans="2:33">
      <c r="B35" s="5" t="str">
        <f>$B33</f>
        <v>AA</v>
      </c>
      <c r="C35" t="str">
        <f>$B32</f>
        <v>AA</v>
      </c>
      <c r="D35" t="str">
        <f>$B32</f>
        <v>AA</v>
      </c>
      <c r="E35" t="str">
        <f>D35&amp;"-0"</f>
        <v>AA-0</v>
      </c>
      <c r="F35" t="str">
        <f>$B$29</f>
        <v>---</v>
      </c>
      <c r="G35" t="str">
        <f>$B$29</f>
        <v>---</v>
      </c>
      <c r="H35">
        <f t="shared" si="4"/>
        <v>10</v>
      </c>
      <c r="I35">
        <f t="shared" si="3"/>
        <v>28</v>
      </c>
      <c r="J35">
        <f t="shared" si="3"/>
        <v>16</v>
      </c>
      <c r="K35">
        <f t="shared" si="3"/>
        <v>39</v>
      </c>
      <c r="L35">
        <f t="shared" si="3"/>
        <v>66</v>
      </c>
      <c r="M35">
        <f t="shared" si="3"/>
        <v>98</v>
      </c>
      <c r="N35">
        <f t="shared" si="5"/>
        <v>1130088960</v>
      </c>
      <c r="O35">
        <v>5</v>
      </c>
      <c r="P35" t="str">
        <f t="shared" si="6"/>
        <v>AA</v>
      </c>
      <c r="Q35">
        <f t="shared" si="7"/>
        <v>60</v>
      </c>
      <c r="R35" s="4">
        <f t="shared" si="8"/>
        <v>67805337600</v>
      </c>
      <c r="Z35" s="53">
        <v>18</v>
      </c>
      <c r="AA35" s="53">
        <v>0</v>
      </c>
      <c r="AB35" s="53">
        <v>1</v>
      </c>
      <c r="AC35" s="53">
        <v>0</v>
      </c>
      <c r="AD35" s="53">
        <v>0</v>
      </c>
      <c r="AE35" s="53">
        <v>1</v>
      </c>
      <c r="AF35" s="53">
        <v>1</v>
      </c>
      <c r="AG35" s="53">
        <v>500</v>
      </c>
    </row>
    <row r="36" spans="2:33">
      <c r="B36" s="5"/>
      <c r="R36" s="4"/>
      <c r="Z36" s="53">
        <v>19</v>
      </c>
      <c r="AA36" s="53">
        <v>1</v>
      </c>
      <c r="AB36" s="53">
        <v>0</v>
      </c>
      <c r="AC36" s="53">
        <v>0</v>
      </c>
      <c r="AD36" s="53">
        <v>0</v>
      </c>
      <c r="AE36" s="53">
        <v>1</v>
      </c>
      <c r="AF36" s="53">
        <v>1</v>
      </c>
      <c r="AG36" s="53">
        <v>500</v>
      </c>
    </row>
    <row r="37" spans="2:33">
      <c r="B37" s="8" t="str">
        <f>$B$5</f>
        <v>BB</v>
      </c>
      <c r="C37" s="7" t="str">
        <f>$B37</f>
        <v>BB</v>
      </c>
      <c r="D37" s="7" t="str">
        <f>$B37</f>
        <v>BB</v>
      </c>
      <c r="E37" s="7" t="str">
        <f>$B37</f>
        <v>BB</v>
      </c>
      <c r="F37" s="7" t="str">
        <f>$B37</f>
        <v>BB</v>
      </c>
      <c r="G37" s="7" t="str">
        <f>$B37</f>
        <v>BB</v>
      </c>
      <c r="H37" s="7">
        <f>SUMIF($B$3:$B$29,B37,C$3:C$29)</f>
        <v>10</v>
      </c>
      <c r="I37" s="7">
        <f t="shared" ref="I37:M40" si="9">SUMIF($B$3:$B$29,C37,D$3:D$29)</f>
        <v>24</v>
      </c>
      <c r="J37" s="7">
        <f t="shared" si="9"/>
        <v>14</v>
      </c>
      <c r="K37" s="7">
        <f t="shared" si="9"/>
        <v>14</v>
      </c>
      <c r="L37" s="7">
        <f t="shared" si="9"/>
        <v>16</v>
      </c>
      <c r="M37" s="7">
        <f t="shared" si="9"/>
        <v>26</v>
      </c>
      <c r="N37" s="7">
        <f>PRODUCT(H37:M37)</f>
        <v>19568640</v>
      </c>
      <c r="O37" s="7">
        <v>6</v>
      </c>
      <c r="P37" s="7" t="str">
        <f>B37</f>
        <v>BB</v>
      </c>
      <c r="Q37" s="7">
        <f>INDEX($S$3:$V$15,MATCH(P37,$R$3:$R$15,0),MATCH(O37,$S$2:$V$2,0))</f>
        <v>60</v>
      </c>
      <c r="R37" s="6">
        <f>Q37*N37</f>
        <v>1174118400</v>
      </c>
      <c r="Z37" s="53">
        <v>20</v>
      </c>
      <c r="AA37" s="53">
        <v>0</v>
      </c>
      <c r="AB37" s="53">
        <v>0</v>
      </c>
      <c r="AC37" s="53">
        <v>1</v>
      </c>
      <c r="AD37" s="53">
        <v>1</v>
      </c>
      <c r="AE37" s="53">
        <v>0</v>
      </c>
      <c r="AF37" s="53">
        <v>1</v>
      </c>
      <c r="AG37" s="53">
        <v>500</v>
      </c>
    </row>
    <row r="38" spans="2:33">
      <c r="B38" s="5" t="str">
        <f>$B37</f>
        <v>BB</v>
      </c>
      <c r="C38" t="str">
        <f>$B37</f>
        <v>BB</v>
      </c>
      <c r="D38" t="str">
        <f>$B37</f>
        <v>BB</v>
      </c>
      <c r="E38" t="str">
        <f>$B37</f>
        <v>BB</v>
      </c>
      <c r="F38" t="str">
        <f>$B37</f>
        <v>BB</v>
      </c>
      <c r="G38" t="str">
        <f>F38&amp;"-0"</f>
        <v>BB-0</v>
      </c>
      <c r="H38">
        <f>SUMIF($B$3:$B$29,B38,C$3:C$29)</f>
        <v>10</v>
      </c>
      <c r="I38">
        <f t="shared" si="9"/>
        <v>24</v>
      </c>
      <c r="J38">
        <f t="shared" si="9"/>
        <v>14</v>
      </c>
      <c r="K38">
        <f t="shared" si="9"/>
        <v>14</v>
      </c>
      <c r="L38">
        <f t="shared" si="9"/>
        <v>16</v>
      </c>
      <c r="M38">
        <f t="shared" si="9"/>
        <v>74</v>
      </c>
      <c r="N38">
        <f>PRODUCT(H38:M38)</f>
        <v>55695360</v>
      </c>
      <c r="O38">
        <v>5</v>
      </c>
      <c r="P38" t="str">
        <f>B38</f>
        <v>BB</v>
      </c>
      <c r="Q38">
        <f>INDEX($S$3:$V$15,MATCH(P38,$R$3:$R$15,0),MATCH(O38,$S$2:$V$2,0))</f>
        <v>30</v>
      </c>
      <c r="R38" s="4">
        <f>Q38*N38</f>
        <v>1670860800</v>
      </c>
      <c r="Z38" s="53">
        <v>21</v>
      </c>
      <c r="AA38" s="53">
        <v>0</v>
      </c>
      <c r="AB38" s="53">
        <v>1</v>
      </c>
      <c r="AC38" s="53">
        <v>0</v>
      </c>
      <c r="AD38" s="53">
        <v>1</v>
      </c>
      <c r="AE38" s="53">
        <v>0</v>
      </c>
      <c r="AF38" s="53">
        <v>1</v>
      </c>
      <c r="AG38" s="53">
        <v>500</v>
      </c>
    </row>
    <row r="39" spans="2:33">
      <c r="B39" s="5" t="str">
        <f>$B37</f>
        <v>BB</v>
      </c>
      <c r="C39" t="str">
        <f>$B37</f>
        <v>BB</v>
      </c>
      <c r="D39" t="str">
        <f>$B37</f>
        <v>BB</v>
      </c>
      <c r="E39" t="str">
        <f>$B37</f>
        <v>BB</v>
      </c>
      <c r="F39" t="str">
        <f>E39&amp;"-0"</f>
        <v>BB-0</v>
      </c>
      <c r="G39" t="str">
        <f>$B$29</f>
        <v>---</v>
      </c>
      <c r="H39">
        <f t="shared" ref="H39:H40" si="10">SUMIF($B$3:$B$29,B39,C$3:C$29)</f>
        <v>10</v>
      </c>
      <c r="I39">
        <f t="shared" si="9"/>
        <v>24</v>
      </c>
      <c r="J39">
        <f t="shared" si="9"/>
        <v>14</v>
      </c>
      <c r="K39">
        <f t="shared" si="9"/>
        <v>14</v>
      </c>
      <c r="L39">
        <f t="shared" si="9"/>
        <v>53</v>
      </c>
      <c r="M39">
        <f t="shared" si="9"/>
        <v>98</v>
      </c>
      <c r="N39">
        <f t="shared" ref="N39:N40" si="11">PRODUCT(H39:M39)</f>
        <v>244325760</v>
      </c>
      <c r="O39">
        <v>5</v>
      </c>
      <c r="P39" t="str">
        <f t="shared" ref="P39:P40" si="12">B39</f>
        <v>BB</v>
      </c>
      <c r="Q39">
        <f t="shared" ref="Q39:Q40" si="13">INDEX($S$3:$V$15,MATCH(P39,$R$3:$R$15,0),MATCH(O39,$S$2:$V$2,0))</f>
        <v>30</v>
      </c>
      <c r="R39" s="4">
        <f t="shared" ref="R39:R40" si="14">Q39*N39</f>
        <v>7329772800</v>
      </c>
      <c r="Z39" s="53">
        <v>22</v>
      </c>
      <c r="AA39" s="53">
        <v>1</v>
      </c>
      <c r="AB39" s="53">
        <v>0</v>
      </c>
      <c r="AC39" s="53">
        <v>0</v>
      </c>
      <c r="AD39" s="53">
        <v>1</v>
      </c>
      <c r="AE39" s="53">
        <v>0</v>
      </c>
      <c r="AF39" s="53">
        <v>1</v>
      </c>
      <c r="AG39" s="53">
        <v>500</v>
      </c>
    </row>
    <row r="40" spans="2:33">
      <c r="B40" s="5" t="str">
        <f>$B38</f>
        <v>BB</v>
      </c>
      <c r="C40" t="str">
        <f>$B37</f>
        <v>BB</v>
      </c>
      <c r="D40" t="str">
        <f>$B37</f>
        <v>BB</v>
      </c>
      <c r="E40" t="str">
        <f>D40&amp;"-0"</f>
        <v>BB-0</v>
      </c>
      <c r="F40" t="str">
        <f>$B$29</f>
        <v>---</v>
      </c>
      <c r="G40" t="str">
        <f>$B$29</f>
        <v>---</v>
      </c>
      <c r="H40">
        <f t="shared" si="10"/>
        <v>10</v>
      </c>
      <c r="I40">
        <f t="shared" si="9"/>
        <v>24</v>
      </c>
      <c r="J40">
        <f t="shared" si="9"/>
        <v>14</v>
      </c>
      <c r="K40">
        <f t="shared" si="9"/>
        <v>43</v>
      </c>
      <c r="L40">
        <f t="shared" si="9"/>
        <v>66</v>
      </c>
      <c r="M40">
        <f t="shared" si="9"/>
        <v>98</v>
      </c>
      <c r="N40">
        <f t="shared" si="11"/>
        <v>934496640</v>
      </c>
      <c r="O40">
        <v>5</v>
      </c>
      <c r="P40" t="str">
        <f t="shared" si="12"/>
        <v>BB</v>
      </c>
      <c r="Q40">
        <f t="shared" si="13"/>
        <v>30</v>
      </c>
      <c r="R40" s="4">
        <f t="shared" si="14"/>
        <v>28034899200</v>
      </c>
      <c r="Z40" s="53">
        <v>23</v>
      </c>
      <c r="AA40" s="53">
        <v>0</v>
      </c>
      <c r="AB40" s="53">
        <v>1</v>
      </c>
      <c r="AC40" s="53">
        <v>1</v>
      </c>
      <c r="AD40" s="53">
        <v>0</v>
      </c>
      <c r="AE40" s="53">
        <v>0</v>
      </c>
      <c r="AF40" s="53">
        <v>1</v>
      </c>
      <c r="AG40" s="53">
        <v>500</v>
      </c>
    </row>
    <row r="41" spans="2:33">
      <c r="B41" s="5"/>
      <c r="R41" s="4"/>
      <c r="Z41" s="53">
        <v>24</v>
      </c>
      <c r="AA41" s="53">
        <v>1</v>
      </c>
      <c r="AB41" s="53">
        <v>0</v>
      </c>
      <c r="AC41" s="53">
        <v>1</v>
      </c>
      <c r="AD41" s="53">
        <v>0</v>
      </c>
      <c r="AE41" s="53">
        <v>0</v>
      </c>
      <c r="AF41" s="53">
        <v>1</v>
      </c>
      <c r="AG41" s="53">
        <v>500</v>
      </c>
    </row>
    <row r="42" spans="2:33">
      <c r="B42" s="8" t="str">
        <f>$B$6</f>
        <v>CC</v>
      </c>
      <c r="C42" s="7" t="str">
        <f>$B42</f>
        <v>CC</v>
      </c>
      <c r="D42" s="7" t="str">
        <f>$B42</f>
        <v>CC</v>
      </c>
      <c r="E42" s="7" t="str">
        <f>$B42</f>
        <v>CC</v>
      </c>
      <c r="F42" s="7" t="str">
        <f>$B42</f>
        <v>CC</v>
      </c>
      <c r="G42" s="7" t="str">
        <f>$B42</f>
        <v>CC</v>
      </c>
      <c r="H42" s="7">
        <f>SUMIF($B$3:$B$29,B42,C$3:C$29)</f>
        <v>20</v>
      </c>
      <c r="I42" s="7">
        <f t="shared" ref="I42:M45" si="15">SUMIF($B$3:$B$29,C42,D$3:D$29)</f>
        <v>20</v>
      </c>
      <c r="J42" s="7">
        <f t="shared" si="15"/>
        <v>8</v>
      </c>
      <c r="K42" s="7">
        <f t="shared" si="15"/>
        <v>8</v>
      </c>
      <c r="L42" s="7">
        <f t="shared" si="15"/>
        <v>22</v>
      </c>
      <c r="M42" s="7">
        <f t="shared" si="15"/>
        <v>22</v>
      </c>
      <c r="N42" s="7">
        <f>PRODUCT(H42:M42)</f>
        <v>12390400</v>
      </c>
      <c r="O42" s="7">
        <v>6</v>
      </c>
      <c r="P42" s="7" t="str">
        <f>B42</f>
        <v>CC</v>
      </c>
      <c r="Q42" s="7">
        <f>INDEX($S$3:$V$15,MATCH(P42,$R$3:$R$15,0),MATCH(O42,$S$2:$V$2,0))</f>
        <v>40</v>
      </c>
      <c r="R42" s="6">
        <f>Q42*N42</f>
        <v>495616000</v>
      </c>
      <c r="Z42" s="53">
        <v>25</v>
      </c>
      <c r="AA42" s="53">
        <v>1</v>
      </c>
      <c r="AB42" s="53">
        <v>1</v>
      </c>
      <c r="AC42" s="53">
        <v>0</v>
      </c>
      <c r="AD42" s="53">
        <v>0</v>
      </c>
      <c r="AE42" s="53">
        <v>0</v>
      </c>
      <c r="AF42" s="53">
        <v>1</v>
      </c>
      <c r="AG42" s="53">
        <v>500</v>
      </c>
    </row>
    <row r="43" spans="2:33">
      <c r="B43" s="5" t="str">
        <f>$B42</f>
        <v>CC</v>
      </c>
      <c r="C43" t="str">
        <f>$B42</f>
        <v>CC</v>
      </c>
      <c r="D43" t="str">
        <f>$B42</f>
        <v>CC</v>
      </c>
      <c r="E43" t="str">
        <f>$B42</f>
        <v>CC</v>
      </c>
      <c r="F43" t="str">
        <f>$B42</f>
        <v>CC</v>
      </c>
      <c r="G43" t="str">
        <f>F43&amp;"-0"</f>
        <v>CC-0</v>
      </c>
      <c r="H43">
        <f>SUMIF($B$3:$B$29,B43,C$3:C$29)</f>
        <v>20</v>
      </c>
      <c r="I43">
        <f t="shared" si="15"/>
        <v>20</v>
      </c>
      <c r="J43">
        <f t="shared" si="15"/>
        <v>8</v>
      </c>
      <c r="K43">
        <f t="shared" si="15"/>
        <v>8</v>
      </c>
      <c r="L43">
        <f t="shared" si="15"/>
        <v>22</v>
      </c>
      <c r="M43">
        <f t="shared" si="15"/>
        <v>78</v>
      </c>
      <c r="N43">
        <f>PRODUCT(H43:M43)</f>
        <v>43929600</v>
      </c>
      <c r="O43">
        <v>5</v>
      </c>
      <c r="P43" t="str">
        <f>B43</f>
        <v>CC</v>
      </c>
      <c r="Q43">
        <f>INDEX($S$3:$V$15,MATCH(P43,$R$3:$R$15,0),MATCH(O43,$S$2:$V$2,0))</f>
        <v>20</v>
      </c>
      <c r="R43" s="4">
        <f>Q43*N43</f>
        <v>878592000</v>
      </c>
      <c r="Z43" s="53">
        <v>26</v>
      </c>
      <c r="AA43" s="53">
        <v>0</v>
      </c>
      <c r="AB43" s="53">
        <v>0</v>
      </c>
      <c r="AC43" s="53">
        <v>1</v>
      </c>
      <c r="AD43" s="53">
        <v>1</v>
      </c>
      <c r="AE43" s="53">
        <v>1</v>
      </c>
      <c r="AF43" s="53">
        <v>0</v>
      </c>
      <c r="AG43" s="53">
        <v>500</v>
      </c>
    </row>
    <row r="44" spans="2:33">
      <c r="B44" s="5" t="str">
        <f>$B42</f>
        <v>CC</v>
      </c>
      <c r="C44" t="str">
        <f>$B42</f>
        <v>CC</v>
      </c>
      <c r="D44" t="str">
        <f>$B42</f>
        <v>CC</v>
      </c>
      <c r="E44" t="str">
        <f>$B42</f>
        <v>CC</v>
      </c>
      <c r="F44" t="str">
        <f>E44&amp;"-0"</f>
        <v>CC-0</v>
      </c>
      <c r="G44" t="str">
        <f>$B$29</f>
        <v>---</v>
      </c>
      <c r="H44">
        <f t="shared" ref="H44:H45" si="16">SUMIF($B$3:$B$29,B44,C$3:C$29)</f>
        <v>20</v>
      </c>
      <c r="I44">
        <f t="shared" si="15"/>
        <v>20</v>
      </c>
      <c r="J44">
        <f t="shared" si="15"/>
        <v>8</v>
      </c>
      <c r="K44">
        <f t="shared" si="15"/>
        <v>8</v>
      </c>
      <c r="L44">
        <f t="shared" si="15"/>
        <v>46</v>
      </c>
      <c r="M44">
        <f t="shared" si="15"/>
        <v>98</v>
      </c>
      <c r="N44">
        <f t="shared" ref="N44:N45" si="17">PRODUCT(H44:M44)</f>
        <v>115404800</v>
      </c>
      <c r="O44">
        <v>5</v>
      </c>
      <c r="P44" t="str">
        <f t="shared" ref="P44:P45" si="18">B44</f>
        <v>CC</v>
      </c>
      <c r="Q44">
        <f t="shared" ref="Q44:Q45" si="19">INDEX($S$3:$V$15,MATCH(P44,$R$3:$R$15,0),MATCH(O44,$S$2:$V$2,0))</f>
        <v>20</v>
      </c>
      <c r="R44" s="4">
        <f t="shared" ref="R44:R45" si="20">Q44*N44</f>
        <v>2308096000</v>
      </c>
      <c r="Z44" s="53">
        <v>27</v>
      </c>
      <c r="AA44" s="53">
        <v>0</v>
      </c>
      <c r="AB44" s="53">
        <v>1</v>
      </c>
      <c r="AC44" s="53">
        <v>0</v>
      </c>
      <c r="AD44" s="53">
        <v>1</v>
      </c>
      <c r="AE44" s="53">
        <v>1</v>
      </c>
      <c r="AF44" s="53">
        <v>0</v>
      </c>
      <c r="AG44" s="53">
        <v>500</v>
      </c>
    </row>
    <row r="45" spans="2:33">
      <c r="B45" s="5" t="str">
        <f>$B43</f>
        <v>CC</v>
      </c>
      <c r="C45" t="str">
        <f>$B42</f>
        <v>CC</v>
      </c>
      <c r="D45" t="str">
        <f>$B42</f>
        <v>CC</v>
      </c>
      <c r="E45" t="str">
        <f>D45&amp;"-0"</f>
        <v>CC-0</v>
      </c>
      <c r="F45" t="str">
        <f>$B$29</f>
        <v>---</v>
      </c>
      <c r="G45" t="str">
        <f>$B$29</f>
        <v>---</v>
      </c>
      <c r="H45">
        <f t="shared" si="16"/>
        <v>20</v>
      </c>
      <c r="I45">
        <f t="shared" si="15"/>
        <v>20</v>
      </c>
      <c r="J45">
        <f t="shared" si="15"/>
        <v>8</v>
      </c>
      <c r="K45">
        <f t="shared" si="15"/>
        <v>49</v>
      </c>
      <c r="L45">
        <f t="shared" si="15"/>
        <v>66</v>
      </c>
      <c r="M45">
        <f t="shared" si="15"/>
        <v>98</v>
      </c>
      <c r="N45">
        <f t="shared" si="17"/>
        <v>1014182400</v>
      </c>
      <c r="O45">
        <v>5</v>
      </c>
      <c r="P45" t="str">
        <f t="shared" si="18"/>
        <v>CC</v>
      </c>
      <c r="Q45">
        <f t="shared" si="19"/>
        <v>20</v>
      </c>
      <c r="R45" s="4">
        <f t="shared" si="20"/>
        <v>20283648000</v>
      </c>
      <c r="Z45" s="53">
        <v>28</v>
      </c>
      <c r="AA45" s="53">
        <v>1</v>
      </c>
      <c r="AB45" s="53">
        <v>0</v>
      </c>
      <c r="AC45" s="53">
        <v>0</v>
      </c>
      <c r="AD45" s="53">
        <v>1</v>
      </c>
      <c r="AE45" s="53">
        <v>1</v>
      </c>
      <c r="AF45" s="53">
        <v>0</v>
      </c>
      <c r="AG45" s="53">
        <v>500</v>
      </c>
    </row>
    <row r="46" spans="2:33">
      <c r="B46" s="5"/>
      <c r="R46" s="4"/>
      <c r="Z46" s="53">
        <v>29</v>
      </c>
      <c r="AA46" s="53">
        <v>0</v>
      </c>
      <c r="AB46" s="53">
        <v>1</v>
      </c>
      <c r="AC46" s="53">
        <v>1</v>
      </c>
      <c r="AD46" s="53">
        <v>0</v>
      </c>
      <c r="AE46" s="53">
        <v>1</v>
      </c>
      <c r="AF46" s="53">
        <v>0</v>
      </c>
      <c r="AG46" s="53">
        <v>500</v>
      </c>
    </row>
    <row r="47" spans="2:33">
      <c r="B47" s="8" t="str">
        <f>$B$7</f>
        <v>DD</v>
      </c>
      <c r="C47" s="7" t="str">
        <f>$B47</f>
        <v>DD</v>
      </c>
      <c r="D47" s="7" t="str">
        <f>$B47</f>
        <v>DD</v>
      </c>
      <c r="E47" s="7" t="str">
        <f>$B47</f>
        <v>DD</v>
      </c>
      <c r="F47" s="7" t="str">
        <f>$B47</f>
        <v>DD</v>
      </c>
      <c r="G47" s="7" t="str">
        <f>$B47</f>
        <v>DD</v>
      </c>
      <c r="H47" s="7">
        <f>SUMIF($B$3:$B$29,B47,C$3:C$29)</f>
        <v>10</v>
      </c>
      <c r="I47" s="7">
        <f t="shared" ref="I47:M50" si="21">SUMIF($B$3:$B$29,C47,D$3:D$29)</f>
        <v>4</v>
      </c>
      <c r="J47" s="7">
        <f t="shared" si="21"/>
        <v>2</v>
      </c>
      <c r="K47" s="7">
        <f t="shared" si="21"/>
        <v>2</v>
      </c>
      <c r="L47" s="7">
        <f t="shared" si="21"/>
        <v>4</v>
      </c>
      <c r="M47" s="7">
        <f t="shared" si="21"/>
        <v>18</v>
      </c>
      <c r="N47" s="7">
        <f>PRODUCT(H47:M47)</f>
        <v>11520</v>
      </c>
      <c r="O47" s="7">
        <v>6</v>
      </c>
      <c r="P47" s="7" t="str">
        <f>B47</f>
        <v>DD</v>
      </c>
      <c r="Q47" s="7">
        <f>INDEX($S$3:$V$15,MATCH(P47,$R$3:$R$15,0),MATCH(O47,$S$2:$V$2,0))</f>
        <v>30</v>
      </c>
      <c r="R47" s="6">
        <f>Q47*N47</f>
        <v>345600</v>
      </c>
      <c r="Z47" s="53">
        <v>30</v>
      </c>
      <c r="AA47" s="53">
        <v>1</v>
      </c>
      <c r="AB47" s="53">
        <v>0</v>
      </c>
      <c r="AC47" s="53">
        <v>1</v>
      </c>
      <c r="AD47" s="53">
        <v>0</v>
      </c>
      <c r="AE47" s="53">
        <v>1</v>
      </c>
      <c r="AF47" s="53">
        <v>0</v>
      </c>
      <c r="AG47" s="53">
        <v>500</v>
      </c>
    </row>
    <row r="48" spans="2:33">
      <c r="B48" s="5" t="str">
        <f>$B47</f>
        <v>DD</v>
      </c>
      <c r="C48" t="str">
        <f>$B47</f>
        <v>DD</v>
      </c>
      <c r="D48" t="str">
        <f>$B47</f>
        <v>DD</v>
      </c>
      <c r="E48" t="str">
        <f>$B47</f>
        <v>DD</v>
      </c>
      <c r="F48" t="str">
        <f>$B47</f>
        <v>DD</v>
      </c>
      <c r="G48" t="str">
        <f>F48&amp;"-0"</f>
        <v>DD-0</v>
      </c>
      <c r="H48">
        <f>SUMIF($B$3:$B$29,B48,C$3:C$29)</f>
        <v>10</v>
      </c>
      <c r="I48">
        <f t="shared" si="21"/>
        <v>4</v>
      </c>
      <c r="J48">
        <f t="shared" si="21"/>
        <v>2</v>
      </c>
      <c r="K48">
        <f t="shared" si="21"/>
        <v>2</v>
      </c>
      <c r="L48">
        <f t="shared" si="21"/>
        <v>4</v>
      </c>
      <c r="M48">
        <f t="shared" si="21"/>
        <v>82</v>
      </c>
      <c r="N48">
        <f>PRODUCT(H48:M48)</f>
        <v>52480</v>
      </c>
      <c r="O48">
        <v>5</v>
      </c>
      <c r="P48" t="str">
        <f>B48</f>
        <v>DD</v>
      </c>
      <c r="Q48">
        <f>INDEX($S$3:$V$15,MATCH(P48,$R$3:$R$15,0),MATCH(O48,$S$2:$V$2,0))</f>
        <v>15</v>
      </c>
      <c r="R48" s="4">
        <f>Q48*N48</f>
        <v>787200</v>
      </c>
      <c r="Z48" s="53">
        <v>31</v>
      </c>
      <c r="AA48" s="53">
        <v>1</v>
      </c>
      <c r="AB48" s="53">
        <v>1</v>
      </c>
      <c r="AC48" s="53">
        <v>0</v>
      </c>
      <c r="AD48" s="53">
        <v>0</v>
      </c>
      <c r="AE48" s="53">
        <v>1</v>
      </c>
      <c r="AF48" s="53">
        <v>0</v>
      </c>
      <c r="AG48" s="53">
        <v>500</v>
      </c>
    </row>
    <row r="49" spans="2:33">
      <c r="B49" s="5" t="str">
        <f>$B47</f>
        <v>DD</v>
      </c>
      <c r="C49" t="str">
        <f>$B47</f>
        <v>DD</v>
      </c>
      <c r="D49" t="str">
        <f>$B47</f>
        <v>DD</v>
      </c>
      <c r="E49" t="str">
        <f>$B47</f>
        <v>DD</v>
      </c>
      <c r="F49" t="str">
        <f>E49&amp;"-0"</f>
        <v>DD-0</v>
      </c>
      <c r="G49" t="str">
        <f>$B$29</f>
        <v>---</v>
      </c>
      <c r="H49">
        <f t="shared" ref="H49:H50" si="22">SUMIF($B$3:$B$29,B49,C$3:C$29)</f>
        <v>10</v>
      </c>
      <c r="I49">
        <f t="shared" si="21"/>
        <v>4</v>
      </c>
      <c r="J49">
        <f t="shared" si="21"/>
        <v>2</v>
      </c>
      <c r="K49">
        <f t="shared" si="21"/>
        <v>2</v>
      </c>
      <c r="L49">
        <f t="shared" si="21"/>
        <v>62</v>
      </c>
      <c r="M49">
        <f t="shared" si="21"/>
        <v>98</v>
      </c>
      <c r="N49">
        <f t="shared" ref="N49:N50" si="23">PRODUCT(H49:M49)</f>
        <v>972160</v>
      </c>
      <c r="O49">
        <v>5</v>
      </c>
      <c r="P49" t="str">
        <f t="shared" ref="P49:P50" si="24">B49</f>
        <v>DD</v>
      </c>
      <c r="Q49">
        <f t="shared" ref="Q49:Q50" si="25">INDEX($S$3:$V$15,MATCH(P49,$R$3:$R$15,0),MATCH(O49,$S$2:$V$2,0))</f>
        <v>15</v>
      </c>
      <c r="R49" s="4">
        <f t="shared" ref="R49:R50" si="26">Q49*N49</f>
        <v>14582400</v>
      </c>
      <c r="Z49" s="53">
        <v>32</v>
      </c>
      <c r="AA49" s="53">
        <v>0</v>
      </c>
      <c r="AB49" s="53">
        <v>1</v>
      </c>
      <c r="AC49" s="53">
        <v>1</v>
      </c>
      <c r="AD49" s="53">
        <v>1</v>
      </c>
      <c r="AE49" s="53">
        <v>0</v>
      </c>
      <c r="AF49" s="53">
        <v>0</v>
      </c>
      <c r="AG49" s="53">
        <v>500</v>
      </c>
    </row>
    <row r="50" spans="2:33">
      <c r="B50" s="5" t="str">
        <f>$B48</f>
        <v>DD</v>
      </c>
      <c r="C50" t="str">
        <f>$B47</f>
        <v>DD</v>
      </c>
      <c r="D50" t="str">
        <f>$B47</f>
        <v>DD</v>
      </c>
      <c r="E50" t="str">
        <f>D50&amp;"-0"</f>
        <v>DD-0</v>
      </c>
      <c r="F50" t="str">
        <f>$B$29</f>
        <v>---</v>
      </c>
      <c r="G50" t="str">
        <f>$B$29</f>
        <v>---</v>
      </c>
      <c r="H50">
        <f t="shared" si="22"/>
        <v>10</v>
      </c>
      <c r="I50">
        <f t="shared" si="21"/>
        <v>4</v>
      </c>
      <c r="J50">
        <f t="shared" si="21"/>
        <v>2</v>
      </c>
      <c r="K50">
        <f t="shared" si="21"/>
        <v>53</v>
      </c>
      <c r="L50">
        <f t="shared" si="21"/>
        <v>66</v>
      </c>
      <c r="M50">
        <f t="shared" si="21"/>
        <v>98</v>
      </c>
      <c r="N50">
        <f t="shared" si="23"/>
        <v>27424320</v>
      </c>
      <c r="O50">
        <v>5</v>
      </c>
      <c r="P50" t="str">
        <f t="shared" si="24"/>
        <v>DD</v>
      </c>
      <c r="Q50">
        <f t="shared" si="25"/>
        <v>15</v>
      </c>
      <c r="R50" s="4">
        <f t="shared" si="26"/>
        <v>411364800</v>
      </c>
      <c r="Z50" s="53">
        <v>33</v>
      </c>
      <c r="AA50" s="53">
        <v>1</v>
      </c>
      <c r="AB50" s="53">
        <v>0</v>
      </c>
      <c r="AC50" s="53">
        <v>1</v>
      </c>
      <c r="AD50" s="53">
        <v>1</v>
      </c>
      <c r="AE50" s="53">
        <v>0</v>
      </c>
      <c r="AF50" s="53">
        <v>0</v>
      </c>
      <c r="AG50" s="53">
        <v>500</v>
      </c>
    </row>
    <row r="51" spans="2:33">
      <c r="B51" s="5"/>
      <c r="R51" s="4"/>
      <c r="Z51" s="53">
        <v>34</v>
      </c>
      <c r="AA51" s="53">
        <v>1</v>
      </c>
      <c r="AB51" s="53">
        <v>1</v>
      </c>
      <c r="AC51" s="53">
        <v>0</v>
      </c>
      <c r="AD51" s="53">
        <v>1</v>
      </c>
      <c r="AE51" s="53">
        <v>0</v>
      </c>
      <c r="AF51" s="53">
        <v>0</v>
      </c>
      <c r="AG51" s="53">
        <v>500</v>
      </c>
    </row>
    <row r="52" spans="2:33">
      <c r="B52" s="8" t="str">
        <f>$B$8</f>
        <v>EE</v>
      </c>
      <c r="C52" s="7" t="str">
        <f>$B52</f>
        <v>EE</v>
      </c>
      <c r="D52" s="7" t="str">
        <f>$B52</f>
        <v>EE</v>
      </c>
      <c r="E52" s="7" t="str">
        <f>$B52</f>
        <v>EE</v>
      </c>
      <c r="F52" s="7" t="str">
        <f>$B52</f>
        <v>EE</v>
      </c>
      <c r="G52" s="7" t="str">
        <f>$B52</f>
        <v>EE</v>
      </c>
      <c r="H52" s="7">
        <f>SUMIF($B$3:$B$29,B52,C$3:C$29)</f>
        <v>2</v>
      </c>
      <c r="I52" s="7">
        <f t="shared" ref="I52:M55" si="27">SUMIF($B$3:$B$29,C52,D$3:D$29)</f>
        <v>4</v>
      </c>
      <c r="J52" s="7">
        <f t="shared" si="27"/>
        <v>6</v>
      </c>
      <c r="K52" s="7">
        <f t="shared" si="27"/>
        <v>2</v>
      </c>
      <c r="L52" s="7">
        <f t="shared" si="27"/>
        <v>4</v>
      </c>
      <c r="M52" s="7">
        <f t="shared" si="27"/>
        <v>6</v>
      </c>
      <c r="N52" s="7">
        <f>PRODUCT(H52:M52)</f>
        <v>2304</v>
      </c>
      <c r="O52" s="7">
        <v>6</v>
      </c>
      <c r="P52" s="7" t="str">
        <f>B52</f>
        <v>EE</v>
      </c>
      <c r="Q52" s="7">
        <f>INDEX($S$3:$V$15,MATCH(P52,$R$3:$R$15,0),MATCH(O52,$S$2:$V$2,0))</f>
        <v>30</v>
      </c>
      <c r="R52" s="6">
        <f>Q52*N52</f>
        <v>69120</v>
      </c>
      <c r="Z52" s="53">
        <v>35</v>
      </c>
      <c r="AA52" s="53">
        <v>1</v>
      </c>
      <c r="AB52" s="53">
        <v>1</v>
      </c>
      <c r="AC52" s="53">
        <v>1</v>
      </c>
      <c r="AD52" s="53">
        <v>0</v>
      </c>
      <c r="AE52" s="53">
        <v>0</v>
      </c>
      <c r="AF52" s="53">
        <v>0</v>
      </c>
      <c r="AG52" s="53">
        <v>500</v>
      </c>
    </row>
    <row r="53" spans="2:33">
      <c r="B53" s="5" t="str">
        <f>$B52</f>
        <v>EE</v>
      </c>
      <c r="C53" t="str">
        <f>$B52</f>
        <v>EE</v>
      </c>
      <c r="D53" t="str">
        <f>$B52</f>
        <v>EE</v>
      </c>
      <c r="E53" t="str">
        <f>$B52</f>
        <v>EE</v>
      </c>
      <c r="F53" t="str">
        <f>$B52</f>
        <v>EE</v>
      </c>
      <c r="G53" t="str">
        <f>F53&amp;"-0"</f>
        <v>EE-0</v>
      </c>
      <c r="H53">
        <f>SUMIF($B$3:$B$29,B53,C$3:C$29)</f>
        <v>2</v>
      </c>
      <c r="I53">
        <f t="shared" si="27"/>
        <v>4</v>
      </c>
      <c r="J53">
        <f t="shared" si="27"/>
        <v>6</v>
      </c>
      <c r="K53">
        <f t="shared" si="27"/>
        <v>2</v>
      </c>
      <c r="L53">
        <f t="shared" si="27"/>
        <v>4</v>
      </c>
      <c r="M53">
        <f t="shared" si="27"/>
        <v>92</v>
      </c>
      <c r="N53">
        <f>PRODUCT(H53:M53)</f>
        <v>35328</v>
      </c>
      <c r="O53">
        <v>5</v>
      </c>
      <c r="P53" t="str">
        <f>B53</f>
        <v>EE</v>
      </c>
      <c r="Q53">
        <f>INDEX($S$3:$V$15,MATCH(P53,$R$3:$R$15,0),MATCH(O53,$S$2:$V$2,0))</f>
        <v>10</v>
      </c>
      <c r="R53" s="4">
        <f>Q53*N53</f>
        <v>353280</v>
      </c>
    </row>
    <row r="54" spans="2:33">
      <c r="B54" s="5" t="str">
        <f>$B52</f>
        <v>EE</v>
      </c>
      <c r="C54" t="str">
        <f>$B52</f>
        <v>EE</v>
      </c>
      <c r="D54" t="str">
        <f>$B52</f>
        <v>EE</v>
      </c>
      <c r="E54" t="str">
        <f>$B52</f>
        <v>EE</v>
      </c>
      <c r="F54" t="str">
        <f>E54&amp;"-0"</f>
        <v>EE-0</v>
      </c>
      <c r="G54" t="str">
        <f>$B$29</f>
        <v>---</v>
      </c>
      <c r="H54">
        <f t="shared" ref="H54:H55" si="28">SUMIF($B$3:$B$29,B54,C$3:C$29)</f>
        <v>2</v>
      </c>
      <c r="I54">
        <f t="shared" si="27"/>
        <v>4</v>
      </c>
      <c r="J54">
        <f t="shared" si="27"/>
        <v>6</v>
      </c>
      <c r="K54">
        <f t="shared" si="27"/>
        <v>2</v>
      </c>
      <c r="L54">
        <f t="shared" si="27"/>
        <v>62</v>
      </c>
      <c r="M54">
        <f t="shared" si="27"/>
        <v>98</v>
      </c>
      <c r="N54">
        <f t="shared" ref="N54:N55" si="29">PRODUCT(H54:M54)</f>
        <v>583296</v>
      </c>
      <c r="O54">
        <v>5</v>
      </c>
      <c r="P54" t="str">
        <f t="shared" ref="P54:P55" si="30">B54</f>
        <v>EE</v>
      </c>
      <c r="Q54">
        <f t="shared" ref="Q54:Q55" si="31">INDEX($S$3:$V$15,MATCH(P54,$R$3:$R$15,0),MATCH(O54,$S$2:$V$2,0))</f>
        <v>10</v>
      </c>
      <c r="R54" s="4">
        <f t="shared" ref="R54:R55" si="32">Q54*N54</f>
        <v>5832960</v>
      </c>
    </row>
    <row r="55" spans="2:33">
      <c r="B55" s="5" t="str">
        <f>$B53</f>
        <v>EE</v>
      </c>
      <c r="C55" t="str">
        <f>$B52</f>
        <v>EE</v>
      </c>
      <c r="D55" t="str">
        <f>$B52</f>
        <v>EE</v>
      </c>
      <c r="E55" t="str">
        <f>D55&amp;"-0"</f>
        <v>EE-0</v>
      </c>
      <c r="F55" t="str">
        <f>$B$29</f>
        <v>---</v>
      </c>
      <c r="G55" t="str">
        <f>$B$29</f>
        <v>---</v>
      </c>
      <c r="H55">
        <f t="shared" si="28"/>
        <v>2</v>
      </c>
      <c r="I55">
        <f t="shared" si="27"/>
        <v>4</v>
      </c>
      <c r="J55">
        <f t="shared" si="27"/>
        <v>6</v>
      </c>
      <c r="K55">
        <f t="shared" si="27"/>
        <v>53</v>
      </c>
      <c r="L55">
        <f t="shared" si="27"/>
        <v>66</v>
      </c>
      <c r="M55">
        <f t="shared" si="27"/>
        <v>98</v>
      </c>
      <c r="N55">
        <f t="shared" si="29"/>
        <v>16454592</v>
      </c>
      <c r="O55">
        <v>5</v>
      </c>
      <c r="P55" t="str">
        <f t="shared" si="30"/>
        <v>EE</v>
      </c>
      <c r="Q55">
        <f t="shared" si="31"/>
        <v>10</v>
      </c>
      <c r="R55" s="4">
        <f t="shared" si="32"/>
        <v>164545920</v>
      </c>
    </row>
    <row r="56" spans="2:33">
      <c r="B56" s="5"/>
      <c r="R56" s="4"/>
    </row>
    <row r="57" spans="2:33">
      <c r="B57" s="8" t="str">
        <f>$B$9</f>
        <v>FF</v>
      </c>
      <c r="C57" s="7" t="str">
        <f>$B57</f>
        <v>FF</v>
      </c>
      <c r="D57" s="7" t="str">
        <f>$B57</f>
        <v>FF</v>
      </c>
      <c r="E57" s="7" t="str">
        <f>$B57</f>
        <v>FF</v>
      </c>
      <c r="F57" s="7" t="str">
        <f>$B57</f>
        <v>FF</v>
      </c>
      <c r="G57" s="7" t="str">
        <f>$B57</f>
        <v>FF</v>
      </c>
      <c r="H57" s="7">
        <f>SUMIF($B$3:$B$29,B57,C$3:C$29)</f>
        <v>12</v>
      </c>
      <c r="I57" s="7">
        <f t="shared" ref="I57:M60" si="33">SUMIF($B$3:$B$29,C57,D$3:D$29)</f>
        <v>16</v>
      </c>
      <c r="J57" s="7">
        <f t="shared" si="33"/>
        <v>10</v>
      </c>
      <c r="K57" s="7">
        <f t="shared" si="33"/>
        <v>2</v>
      </c>
      <c r="L57" s="7">
        <f t="shared" si="33"/>
        <v>12</v>
      </c>
      <c r="M57" s="7">
        <f t="shared" si="33"/>
        <v>24</v>
      </c>
      <c r="N57" s="7">
        <f>PRODUCT(H57:M57)</f>
        <v>1105920</v>
      </c>
      <c r="O57" s="7">
        <v>6</v>
      </c>
      <c r="P57" s="7" t="str">
        <f>B57</f>
        <v>FF</v>
      </c>
      <c r="Q57" s="7">
        <f>INDEX($S$3:$V$15,MATCH(P57,$R$3:$R$15,0),MATCH(O57,$S$2:$V$2,0))</f>
        <v>30</v>
      </c>
      <c r="R57" s="6">
        <f>Q57*N57</f>
        <v>33177600</v>
      </c>
    </row>
    <row r="58" spans="2:33">
      <c r="B58" s="5" t="str">
        <f>$B57</f>
        <v>FF</v>
      </c>
      <c r="C58" t="str">
        <f>$B57</f>
        <v>FF</v>
      </c>
      <c r="D58" t="str">
        <f>$B57</f>
        <v>FF</v>
      </c>
      <c r="E58" t="str">
        <f>$B57</f>
        <v>FF</v>
      </c>
      <c r="F58" t="str">
        <f>$B57</f>
        <v>FF</v>
      </c>
      <c r="G58" t="str">
        <f>F58&amp;"-0"</f>
        <v>FF-0</v>
      </c>
      <c r="H58">
        <f>SUMIF($B$3:$B$29,B58,C$3:C$29)</f>
        <v>12</v>
      </c>
      <c r="I58">
        <f t="shared" si="33"/>
        <v>16</v>
      </c>
      <c r="J58">
        <f t="shared" si="33"/>
        <v>10</v>
      </c>
      <c r="K58">
        <f t="shared" si="33"/>
        <v>2</v>
      </c>
      <c r="L58">
        <f t="shared" si="33"/>
        <v>12</v>
      </c>
      <c r="M58">
        <f t="shared" si="33"/>
        <v>76</v>
      </c>
      <c r="N58">
        <f>PRODUCT(H58:M58)</f>
        <v>3502080</v>
      </c>
      <c r="O58">
        <v>5</v>
      </c>
      <c r="P58" t="str">
        <f>B58</f>
        <v>FF</v>
      </c>
      <c r="Q58">
        <f>INDEX($S$3:$V$15,MATCH(P58,$R$3:$R$15,0),MATCH(O58,$S$2:$V$2,0))</f>
        <v>10</v>
      </c>
      <c r="R58" s="4">
        <f>Q58*N58</f>
        <v>35020800</v>
      </c>
    </row>
    <row r="59" spans="2:33">
      <c r="B59" s="5" t="str">
        <f>$B57</f>
        <v>FF</v>
      </c>
      <c r="C59" t="str">
        <f>$B57</f>
        <v>FF</v>
      </c>
      <c r="D59" t="str">
        <f>$B57</f>
        <v>FF</v>
      </c>
      <c r="E59" t="str">
        <f>$B57</f>
        <v>FF</v>
      </c>
      <c r="F59" t="str">
        <f>E59&amp;"-0"</f>
        <v>FF-0</v>
      </c>
      <c r="G59" t="str">
        <f>$B$29</f>
        <v>---</v>
      </c>
      <c r="H59">
        <f t="shared" ref="H59:H60" si="34">SUMIF($B$3:$B$29,B59,C$3:C$29)</f>
        <v>12</v>
      </c>
      <c r="I59">
        <f t="shared" si="33"/>
        <v>16</v>
      </c>
      <c r="J59">
        <f t="shared" si="33"/>
        <v>10</v>
      </c>
      <c r="K59">
        <f t="shared" si="33"/>
        <v>2</v>
      </c>
      <c r="L59">
        <f t="shared" si="33"/>
        <v>54</v>
      </c>
      <c r="M59">
        <f t="shared" si="33"/>
        <v>98</v>
      </c>
      <c r="N59">
        <f t="shared" ref="N59:N60" si="35">PRODUCT(H59:M59)</f>
        <v>20321280</v>
      </c>
      <c r="O59">
        <v>5</v>
      </c>
      <c r="P59" t="str">
        <f t="shared" ref="P59:P60" si="36">B59</f>
        <v>FF</v>
      </c>
      <c r="Q59">
        <f t="shared" ref="Q59:Q60" si="37">INDEX($S$3:$V$15,MATCH(P59,$R$3:$R$15,0),MATCH(O59,$S$2:$V$2,0))</f>
        <v>10</v>
      </c>
      <c r="R59" s="4">
        <f t="shared" ref="R59:R60" si="38">Q59*N59</f>
        <v>203212800</v>
      </c>
    </row>
    <row r="60" spans="2:33">
      <c r="B60" s="5" t="str">
        <f>$B58</f>
        <v>FF</v>
      </c>
      <c r="C60" t="str">
        <f>$B57</f>
        <v>FF</v>
      </c>
      <c r="D60" t="str">
        <f>$B57</f>
        <v>FF</v>
      </c>
      <c r="E60" t="str">
        <f>D60&amp;"-0"</f>
        <v>FF-0</v>
      </c>
      <c r="F60" t="str">
        <f>$B$29</f>
        <v>---</v>
      </c>
      <c r="G60" t="str">
        <f>$B$29</f>
        <v>---</v>
      </c>
      <c r="H60">
        <f t="shared" si="34"/>
        <v>12</v>
      </c>
      <c r="I60">
        <f t="shared" si="33"/>
        <v>16</v>
      </c>
      <c r="J60">
        <f t="shared" si="33"/>
        <v>10</v>
      </c>
      <c r="K60">
        <f t="shared" si="33"/>
        <v>53</v>
      </c>
      <c r="L60">
        <f t="shared" si="33"/>
        <v>66</v>
      </c>
      <c r="M60">
        <f t="shared" si="33"/>
        <v>98</v>
      </c>
      <c r="N60">
        <f t="shared" si="35"/>
        <v>658183680</v>
      </c>
      <c r="O60">
        <v>5</v>
      </c>
      <c r="P60" t="str">
        <f t="shared" si="36"/>
        <v>FF</v>
      </c>
      <c r="Q60">
        <f t="shared" si="37"/>
        <v>10</v>
      </c>
      <c r="R60" s="4">
        <f t="shared" si="38"/>
        <v>6581836800</v>
      </c>
    </row>
    <row r="61" spans="2:33">
      <c r="B61" s="5"/>
      <c r="R61" s="4"/>
    </row>
    <row r="62" spans="2:33">
      <c r="B62" s="8" t="str">
        <f>$B$10</f>
        <v>GG</v>
      </c>
      <c r="C62" s="7" t="str">
        <f>$B62</f>
        <v>GG</v>
      </c>
      <c r="D62" s="7" t="str">
        <f>$B62</f>
        <v>GG</v>
      </c>
      <c r="E62" s="7" t="str">
        <f>$B62</f>
        <v>GG</v>
      </c>
      <c r="F62" s="7" t="str">
        <f>$B62</f>
        <v>GG</v>
      </c>
      <c r="G62" s="7" t="str">
        <f>$B62</f>
        <v>GG</v>
      </c>
      <c r="H62" s="7">
        <f>SUMIF($B$3:$B$29,B62,C$3:C$29)</f>
        <v>16</v>
      </c>
      <c r="I62" s="7">
        <f t="shared" ref="I62:M65" si="39">SUMIF($B$3:$B$29,C62,D$3:D$29)</f>
        <v>8</v>
      </c>
      <c r="J62" s="7">
        <f t="shared" si="39"/>
        <v>10</v>
      </c>
      <c r="K62" s="7">
        <f t="shared" si="39"/>
        <v>16</v>
      </c>
      <c r="L62" s="7">
        <f t="shared" si="39"/>
        <v>8</v>
      </c>
      <c r="M62" s="7">
        <f t="shared" si="39"/>
        <v>8</v>
      </c>
      <c r="N62" s="7">
        <f>PRODUCT(H62:M62)</f>
        <v>1310720</v>
      </c>
      <c r="O62" s="7">
        <v>6</v>
      </c>
      <c r="P62" s="7" t="str">
        <f>B62</f>
        <v>GG</v>
      </c>
      <c r="Q62" s="7">
        <f>INDEX($S$3:$V$15,MATCH(P62,$R$3:$R$15,0),MATCH(O62,$S$2:$V$2,0))</f>
        <v>20</v>
      </c>
      <c r="R62" s="6">
        <f>Q62*N62</f>
        <v>26214400</v>
      </c>
    </row>
    <row r="63" spans="2:33">
      <c r="B63" s="5" t="str">
        <f>$B62</f>
        <v>GG</v>
      </c>
      <c r="C63" t="str">
        <f>$B62</f>
        <v>GG</v>
      </c>
      <c r="D63" t="str">
        <f>$B62</f>
        <v>GG</v>
      </c>
      <c r="E63" t="str">
        <f>$B62</f>
        <v>GG</v>
      </c>
      <c r="F63" t="str">
        <f>$B62</f>
        <v>GG</v>
      </c>
      <c r="G63" t="str">
        <f>F63&amp;"-0"</f>
        <v>GG-0</v>
      </c>
      <c r="H63">
        <f>SUMIF($B$3:$B$29,B63,C$3:C$29)</f>
        <v>16</v>
      </c>
      <c r="I63">
        <f t="shared" si="39"/>
        <v>8</v>
      </c>
      <c r="J63">
        <f t="shared" si="39"/>
        <v>10</v>
      </c>
      <c r="K63">
        <f t="shared" si="39"/>
        <v>16</v>
      </c>
      <c r="L63">
        <f t="shared" si="39"/>
        <v>8</v>
      </c>
      <c r="M63">
        <f t="shared" si="39"/>
        <v>92</v>
      </c>
      <c r="N63">
        <f>PRODUCT(H63:M63)</f>
        <v>15073280</v>
      </c>
      <c r="O63">
        <v>5</v>
      </c>
      <c r="P63" t="str">
        <f>B63</f>
        <v>GG</v>
      </c>
      <c r="Q63">
        <f>INDEX($S$3:$V$15,MATCH(P63,$R$3:$R$15,0),MATCH(O63,$S$2:$V$2,0))</f>
        <v>6</v>
      </c>
      <c r="R63" s="4">
        <f>Q63*N63</f>
        <v>90439680</v>
      </c>
    </row>
    <row r="64" spans="2:33">
      <c r="B64" s="5" t="str">
        <f>$B62</f>
        <v>GG</v>
      </c>
      <c r="C64" t="str">
        <f>$B62</f>
        <v>GG</v>
      </c>
      <c r="D64" t="str">
        <f>$B62</f>
        <v>GG</v>
      </c>
      <c r="E64" t="str">
        <f>$B62</f>
        <v>GG</v>
      </c>
      <c r="F64" t="str">
        <f>E64&amp;"-0"</f>
        <v>GG-0</v>
      </c>
      <c r="G64" t="str">
        <f>$B$29</f>
        <v>---</v>
      </c>
      <c r="H64">
        <f t="shared" ref="H64:H65" si="40">SUMIF($B$3:$B$29,B64,C$3:C$29)</f>
        <v>16</v>
      </c>
      <c r="I64">
        <f t="shared" si="39"/>
        <v>8</v>
      </c>
      <c r="J64">
        <f t="shared" si="39"/>
        <v>10</v>
      </c>
      <c r="K64">
        <f t="shared" si="39"/>
        <v>16</v>
      </c>
      <c r="L64">
        <f t="shared" si="39"/>
        <v>60</v>
      </c>
      <c r="M64">
        <f t="shared" si="39"/>
        <v>98</v>
      </c>
      <c r="N64">
        <f t="shared" ref="N64:N65" si="41">PRODUCT(H64:M64)</f>
        <v>120422400</v>
      </c>
      <c r="O64">
        <v>5</v>
      </c>
      <c r="P64" t="str">
        <f t="shared" ref="P64:P65" si="42">B64</f>
        <v>GG</v>
      </c>
      <c r="Q64">
        <f t="shared" ref="Q64:Q65" si="43">INDEX($S$3:$V$15,MATCH(P64,$R$3:$R$15,0),MATCH(O64,$S$2:$V$2,0))</f>
        <v>6</v>
      </c>
      <c r="R64" s="4">
        <f t="shared" ref="R64:R65" si="44">Q64*N64</f>
        <v>722534400</v>
      </c>
    </row>
    <row r="65" spans="2:18">
      <c r="B65" s="5" t="str">
        <f>$B63</f>
        <v>GG</v>
      </c>
      <c r="C65" t="str">
        <f>$B62</f>
        <v>GG</v>
      </c>
      <c r="D65" t="str">
        <f>$B62</f>
        <v>GG</v>
      </c>
      <c r="E65" t="str">
        <f>D65&amp;"-0"</f>
        <v>GG-0</v>
      </c>
      <c r="F65" t="str">
        <f>$B$29</f>
        <v>---</v>
      </c>
      <c r="G65" t="str">
        <f>$B$29</f>
        <v>---</v>
      </c>
      <c r="H65">
        <f t="shared" si="40"/>
        <v>16</v>
      </c>
      <c r="I65">
        <f t="shared" si="39"/>
        <v>8</v>
      </c>
      <c r="J65">
        <f t="shared" si="39"/>
        <v>10</v>
      </c>
      <c r="K65">
        <f t="shared" si="39"/>
        <v>41</v>
      </c>
      <c r="L65">
        <f t="shared" si="39"/>
        <v>66</v>
      </c>
      <c r="M65">
        <f t="shared" si="39"/>
        <v>98</v>
      </c>
      <c r="N65">
        <f t="shared" si="41"/>
        <v>339440640</v>
      </c>
      <c r="O65">
        <v>5</v>
      </c>
      <c r="P65" t="str">
        <f t="shared" si="42"/>
        <v>GG</v>
      </c>
      <c r="Q65">
        <f t="shared" si="43"/>
        <v>6</v>
      </c>
      <c r="R65" s="4">
        <f t="shared" si="44"/>
        <v>2036643840</v>
      </c>
    </row>
    <row r="66" spans="2:18">
      <c r="B66" s="5"/>
      <c r="R66" s="4"/>
    </row>
    <row r="67" spans="2:18">
      <c r="B67" s="8" t="str">
        <f>$B$11</f>
        <v>HH</v>
      </c>
      <c r="C67" s="7" t="str">
        <f>$B67</f>
        <v>HH</v>
      </c>
      <c r="D67" s="7" t="str">
        <f>$B67</f>
        <v>HH</v>
      </c>
      <c r="E67" s="7" t="str">
        <f>$B67</f>
        <v>HH</v>
      </c>
      <c r="F67" s="7" t="str">
        <f>$B67</f>
        <v>HH</v>
      </c>
      <c r="G67" s="7" t="str">
        <f>$B67</f>
        <v>HH</v>
      </c>
      <c r="H67" s="7">
        <f>SUMIF($B$3:$B$29,B67,C$3:C$29)</f>
        <v>4</v>
      </c>
      <c r="I67" s="7">
        <f t="shared" ref="I67:M70" si="45">SUMIF($B$3:$B$29,C67,D$3:D$29)</f>
        <v>10</v>
      </c>
      <c r="J67" s="7">
        <f t="shared" si="45"/>
        <v>14</v>
      </c>
      <c r="K67" s="7">
        <f t="shared" si="45"/>
        <v>4</v>
      </c>
      <c r="L67" s="7">
        <f t="shared" si="45"/>
        <v>2</v>
      </c>
      <c r="M67" s="7">
        <f t="shared" si="45"/>
        <v>4</v>
      </c>
      <c r="N67" s="7">
        <f>PRODUCT(H67:M67)</f>
        <v>17920</v>
      </c>
      <c r="O67" s="7">
        <v>6</v>
      </c>
      <c r="P67" s="7" t="str">
        <f>B67</f>
        <v>HH</v>
      </c>
      <c r="Q67" s="7">
        <f>INDEX($S$3:$V$15,MATCH(P67,$R$3:$R$15,0),MATCH(O67,$S$2:$V$2,0))</f>
        <v>20</v>
      </c>
      <c r="R67" s="6">
        <f>Q67*N67</f>
        <v>358400</v>
      </c>
    </row>
    <row r="68" spans="2:18">
      <c r="B68" s="5" t="str">
        <f>$B67</f>
        <v>HH</v>
      </c>
      <c r="C68" t="str">
        <f>$B67</f>
        <v>HH</v>
      </c>
      <c r="D68" t="str">
        <f>$B67</f>
        <v>HH</v>
      </c>
      <c r="E68" t="str">
        <f>$B67</f>
        <v>HH</v>
      </c>
      <c r="F68" t="str">
        <f>$B67</f>
        <v>HH</v>
      </c>
      <c r="G68" t="str">
        <f>F68&amp;"-0"</f>
        <v>HH-0</v>
      </c>
      <c r="H68">
        <f>SUMIF($B$3:$B$29,B68,C$3:C$29)</f>
        <v>4</v>
      </c>
      <c r="I68">
        <f t="shared" si="45"/>
        <v>10</v>
      </c>
      <c r="J68">
        <f t="shared" si="45"/>
        <v>14</v>
      </c>
      <c r="K68">
        <f t="shared" si="45"/>
        <v>4</v>
      </c>
      <c r="L68">
        <f t="shared" si="45"/>
        <v>2</v>
      </c>
      <c r="M68">
        <f t="shared" si="45"/>
        <v>94</v>
      </c>
      <c r="N68">
        <f>PRODUCT(H68:M68)</f>
        <v>421120</v>
      </c>
      <c r="O68">
        <v>5</v>
      </c>
      <c r="P68" t="str">
        <f>B68</f>
        <v>HH</v>
      </c>
      <c r="Q68">
        <f>INDEX($S$3:$V$15,MATCH(P68,$R$3:$R$15,0),MATCH(O68,$S$2:$V$2,0))</f>
        <v>6</v>
      </c>
      <c r="R68" s="4">
        <f>Q68*N68</f>
        <v>2526720</v>
      </c>
    </row>
    <row r="69" spans="2:18">
      <c r="B69" s="5" t="str">
        <f>$B67</f>
        <v>HH</v>
      </c>
      <c r="C69" t="str">
        <f>$B67</f>
        <v>HH</v>
      </c>
      <c r="D69" t="str">
        <f>$B67</f>
        <v>HH</v>
      </c>
      <c r="E69" t="str">
        <f>$B67</f>
        <v>HH</v>
      </c>
      <c r="F69" t="str">
        <f>E69&amp;"-0"</f>
        <v>HH-0</v>
      </c>
      <c r="G69" t="str">
        <f>$B$29</f>
        <v>---</v>
      </c>
      <c r="H69">
        <f t="shared" ref="H69:H70" si="46">SUMIF($B$3:$B$29,B69,C$3:C$29)</f>
        <v>4</v>
      </c>
      <c r="I69">
        <f t="shared" si="45"/>
        <v>10</v>
      </c>
      <c r="J69">
        <f t="shared" si="45"/>
        <v>14</v>
      </c>
      <c r="K69">
        <f t="shared" si="45"/>
        <v>4</v>
      </c>
      <c r="L69">
        <f t="shared" si="45"/>
        <v>64</v>
      </c>
      <c r="M69">
        <f t="shared" si="45"/>
        <v>98</v>
      </c>
      <c r="N69">
        <f t="shared" ref="N69:N70" si="47">PRODUCT(H69:M69)</f>
        <v>14049280</v>
      </c>
      <c r="O69">
        <v>5</v>
      </c>
      <c r="P69" t="str">
        <f t="shared" ref="P69:P70" si="48">B69</f>
        <v>HH</v>
      </c>
      <c r="Q69">
        <f t="shared" ref="Q69:Q70" si="49">INDEX($S$3:$V$15,MATCH(P69,$R$3:$R$15,0),MATCH(O69,$S$2:$V$2,0))</f>
        <v>6</v>
      </c>
      <c r="R69" s="4">
        <f t="shared" ref="R69:R70" si="50">Q69*N69</f>
        <v>84295680</v>
      </c>
    </row>
    <row r="70" spans="2:18">
      <c r="B70" s="5" t="str">
        <f>$B68</f>
        <v>HH</v>
      </c>
      <c r="C70" t="str">
        <f>$B67</f>
        <v>HH</v>
      </c>
      <c r="D70" t="str">
        <f>$B67</f>
        <v>HH</v>
      </c>
      <c r="E70" t="str">
        <f>D70&amp;"-0"</f>
        <v>HH-0</v>
      </c>
      <c r="F70" t="str">
        <f>$B$29</f>
        <v>---</v>
      </c>
      <c r="G70" t="str">
        <f>$B$29</f>
        <v>---</v>
      </c>
      <c r="H70">
        <f t="shared" si="46"/>
        <v>4</v>
      </c>
      <c r="I70">
        <f t="shared" si="45"/>
        <v>10</v>
      </c>
      <c r="J70">
        <f t="shared" si="45"/>
        <v>14</v>
      </c>
      <c r="K70">
        <f t="shared" si="45"/>
        <v>51</v>
      </c>
      <c r="L70">
        <f t="shared" si="45"/>
        <v>66</v>
      </c>
      <c r="M70">
        <f t="shared" si="45"/>
        <v>98</v>
      </c>
      <c r="N70">
        <f t="shared" si="47"/>
        <v>184726080</v>
      </c>
      <c r="O70">
        <v>5</v>
      </c>
      <c r="P70" t="str">
        <f t="shared" si="48"/>
        <v>HH</v>
      </c>
      <c r="Q70">
        <f t="shared" si="49"/>
        <v>6</v>
      </c>
      <c r="R70" s="4">
        <f t="shared" si="50"/>
        <v>1108356480</v>
      </c>
    </row>
    <row r="71" spans="2:18">
      <c r="B71" s="5"/>
      <c r="R71" s="4"/>
    </row>
    <row r="72" spans="2:18">
      <c r="B72" s="8" t="str">
        <f>$B$12</f>
        <v>JJ</v>
      </c>
      <c r="C72" s="7" t="str">
        <f>$B72</f>
        <v>JJ</v>
      </c>
      <c r="D72" s="7" t="str">
        <f>$B72</f>
        <v>JJ</v>
      </c>
      <c r="E72" s="7" t="str">
        <f>$B72</f>
        <v>JJ</v>
      </c>
      <c r="F72" s="7" t="str">
        <f>$B72</f>
        <v>JJ</v>
      </c>
      <c r="G72" s="7" t="str">
        <f>$B72</f>
        <v>JJ</v>
      </c>
      <c r="H72" s="7">
        <f>SUMIF($B$3:$B$29,B72,C$3:C$29)</f>
        <v>14</v>
      </c>
      <c r="I72" s="7">
        <f t="shared" ref="I72:M75" si="51">SUMIF($B$3:$B$29,C72,D$3:D$29)</f>
        <v>20</v>
      </c>
      <c r="J72" s="7">
        <f t="shared" si="51"/>
        <v>18</v>
      </c>
      <c r="K72" s="7">
        <f t="shared" si="51"/>
        <v>20</v>
      </c>
      <c r="L72" s="7">
        <f t="shared" si="51"/>
        <v>32</v>
      </c>
      <c r="M72" s="7">
        <f t="shared" si="51"/>
        <v>18</v>
      </c>
      <c r="N72" s="7">
        <f>PRODUCT(H72:M72)</f>
        <v>58060800</v>
      </c>
      <c r="O72" s="7">
        <v>6</v>
      </c>
      <c r="P72" s="7" t="str">
        <f>B72</f>
        <v>JJ</v>
      </c>
      <c r="Q72" s="7">
        <f>INDEX($S$3:$V$15,MATCH(P72,$R$3:$R$15,0),MATCH(O72,$S$2:$V$2,0))</f>
        <v>20</v>
      </c>
      <c r="R72" s="6">
        <f>Q72*N72</f>
        <v>1161216000</v>
      </c>
    </row>
    <row r="73" spans="2:18">
      <c r="B73" s="5" t="str">
        <f>$B72</f>
        <v>JJ</v>
      </c>
      <c r="C73" t="str">
        <f>$B72</f>
        <v>JJ</v>
      </c>
      <c r="D73" t="str">
        <f>$B72</f>
        <v>JJ</v>
      </c>
      <c r="E73" t="str">
        <f>$B72</f>
        <v>JJ</v>
      </c>
      <c r="F73" t="str">
        <f>$B72</f>
        <v>JJ</v>
      </c>
      <c r="G73" t="str">
        <f>F73&amp;"-0"</f>
        <v>JJ-0</v>
      </c>
      <c r="H73">
        <f>SUMIF($B$3:$B$29,B73,C$3:C$29)</f>
        <v>14</v>
      </c>
      <c r="I73">
        <f t="shared" si="51"/>
        <v>20</v>
      </c>
      <c r="J73">
        <f t="shared" si="51"/>
        <v>18</v>
      </c>
      <c r="K73">
        <f t="shared" si="51"/>
        <v>20</v>
      </c>
      <c r="L73">
        <f t="shared" si="51"/>
        <v>32</v>
      </c>
      <c r="M73">
        <f t="shared" si="51"/>
        <v>82</v>
      </c>
      <c r="N73">
        <f>PRODUCT(H73:M73)</f>
        <v>264499200</v>
      </c>
      <c r="O73">
        <v>5</v>
      </c>
      <c r="P73" t="str">
        <f>B73</f>
        <v>JJ</v>
      </c>
      <c r="Q73">
        <f>INDEX($S$3:$V$15,MATCH(P73,$R$3:$R$15,0),MATCH(O73,$S$2:$V$2,0))</f>
        <v>6</v>
      </c>
      <c r="R73" s="4">
        <f>Q73*N73</f>
        <v>1586995200</v>
      </c>
    </row>
    <row r="74" spans="2:18">
      <c r="B74" s="5" t="str">
        <f>$B72</f>
        <v>JJ</v>
      </c>
      <c r="C74" t="str">
        <f>$B72</f>
        <v>JJ</v>
      </c>
      <c r="D74" t="str">
        <f>$B72</f>
        <v>JJ</v>
      </c>
      <c r="E74" t="str">
        <f>$B72</f>
        <v>JJ</v>
      </c>
      <c r="F74" t="str">
        <f>E74&amp;"-0"</f>
        <v>JJ-0</v>
      </c>
      <c r="G74" t="str">
        <f>$B$29</f>
        <v>---</v>
      </c>
      <c r="H74">
        <f t="shared" ref="H74:H75" si="52">SUMIF($B$3:$B$29,B74,C$3:C$29)</f>
        <v>14</v>
      </c>
      <c r="I74">
        <f t="shared" si="51"/>
        <v>20</v>
      </c>
      <c r="J74">
        <f t="shared" si="51"/>
        <v>18</v>
      </c>
      <c r="K74">
        <f t="shared" si="51"/>
        <v>20</v>
      </c>
      <c r="L74">
        <f t="shared" si="51"/>
        <v>36</v>
      </c>
      <c r="M74">
        <f t="shared" si="51"/>
        <v>98</v>
      </c>
      <c r="N74">
        <f t="shared" ref="N74:N75" si="53">PRODUCT(H74:M74)</f>
        <v>355622400</v>
      </c>
      <c r="O74">
        <v>5</v>
      </c>
      <c r="P74" t="str">
        <f t="shared" ref="P74:P75" si="54">B74</f>
        <v>JJ</v>
      </c>
      <c r="Q74">
        <f t="shared" ref="Q74:Q75" si="55">INDEX($S$3:$V$15,MATCH(P74,$R$3:$R$15,0),MATCH(O74,$S$2:$V$2,0))</f>
        <v>6</v>
      </c>
      <c r="R74" s="4">
        <f t="shared" ref="R74:R75" si="56">Q74*N74</f>
        <v>2133734400</v>
      </c>
    </row>
    <row r="75" spans="2:18">
      <c r="B75" s="5" t="str">
        <f>$B73</f>
        <v>JJ</v>
      </c>
      <c r="C75" t="str">
        <f>$B72</f>
        <v>JJ</v>
      </c>
      <c r="D75" t="str">
        <f>$B72</f>
        <v>JJ</v>
      </c>
      <c r="E75" t="str">
        <f>D75&amp;"-0"</f>
        <v>JJ-0</v>
      </c>
      <c r="F75" t="str">
        <f>$B$29</f>
        <v>---</v>
      </c>
      <c r="G75" t="str">
        <f>$B$29</f>
        <v>---</v>
      </c>
      <c r="H75">
        <f t="shared" si="52"/>
        <v>14</v>
      </c>
      <c r="I75">
        <f t="shared" si="51"/>
        <v>20</v>
      </c>
      <c r="J75">
        <f t="shared" si="51"/>
        <v>18</v>
      </c>
      <c r="K75">
        <f t="shared" si="51"/>
        <v>37</v>
      </c>
      <c r="L75">
        <f t="shared" si="51"/>
        <v>66</v>
      </c>
      <c r="M75">
        <f t="shared" si="51"/>
        <v>98</v>
      </c>
      <c r="N75">
        <f t="shared" si="53"/>
        <v>1206152640</v>
      </c>
      <c r="O75">
        <v>5</v>
      </c>
      <c r="P75" t="str">
        <f t="shared" si="54"/>
        <v>JJ</v>
      </c>
      <c r="Q75">
        <f t="shared" si="55"/>
        <v>6</v>
      </c>
      <c r="R75" s="4">
        <f t="shared" si="56"/>
        <v>7236915840</v>
      </c>
    </row>
    <row r="76" spans="2:18">
      <c r="B76" s="5"/>
      <c r="R76" s="4"/>
    </row>
    <row r="77" spans="2:18">
      <c r="B77" s="8" t="str">
        <f>$B$13</f>
        <v>KK</v>
      </c>
      <c r="C77" s="7" t="str">
        <f>$B77</f>
        <v>KK</v>
      </c>
      <c r="D77" s="7" t="str">
        <f>$B77</f>
        <v>KK</v>
      </c>
      <c r="E77" s="7" t="str">
        <f>$B77</f>
        <v>KK</v>
      </c>
      <c r="F77" s="7" t="str">
        <f>$B77</f>
        <v>KK</v>
      </c>
      <c r="G77" s="7" t="str">
        <f>$B77</f>
        <v>KK</v>
      </c>
      <c r="H77" s="7">
        <f>SUMIF($B$3:$B$29,B77,C$3:C$29)</f>
        <v>16</v>
      </c>
      <c r="I77" s="7">
        <f t="shared" ref="I77:M80" si="57">SUMIF($B$3:$B$29,C77,D$3:D$29)</f>
        <v>24</v>
      </c>
      <c r="J77" s="7">
        <f t="shared" si="57"/>
        <v>18</v>
      </c>
      <c r="K77" s="7">
        <f t="shared" si="57"/>
        <v>10</v>
      </c>
      <c r="L77" s="7">
        <f t="shared" si="57"/>
        <v>10</v>
      </c>
      <c r="M77" s="7">
        <f t="shared" si="57"/>
        <v>20</v>
      </c>
      <c r="N77" s="7">
        <f>PRODUCT(H77:M77)</f>
        <v>13824000</v>
      </c>
      <c r="O77" s="7">
        <v>6</v>
      </c>
      <c r="P77" s="7" t="str">
        <f>B77</f>
        <v>KK</v>
      </c>
      <c r="Q77" s="7">
        <f>INDEX($S$3:$V$15,MATCH(P77,$R$3:$R$15,0),MATCH(O77,$S$2:$V$2,0))</f>
        <v>10</v>
      </c>
      <c r="R77" s="6">
        <f>Q77*N77</f>
        <v>138240000</v>
      </c>
    </row>
    <row r="78" spans="2:18">
      <c r="B78" s="5" t="str">
        <f>$B77</f>
        <v>KK</v>
      </c>
      <c r="C78" t="str">
        <f>$B77</f>
        <v>KK</v>
      </c>
      <c r="D78" t="str">
        <f>$B77</f>
        <v>KK</v>
      </c>
      <c r="E78" t="str">
        <f>$B77</f>
        <v>KK</v>
      </c>
      <c r="F78" t="str">
        <f>$B77</f>
        <v>KK</v>
      </c>
      <c r="G78" t="str">
        <f>F78&amp;"-0"</f>
        <v>KK-0</v>
      </c>
      <c r="H78">
        <f>SUMIF($B$3:$B$29,B78,C$3:C$29)</f>
        <v>16</v>
      </c>
      <c r="I78">
        <f t="shared" si="57"/>
        <v>24</v>
      </c>
      <c r="J78">
        <f t="shared" si="57"/>
        <v>18</v>
      </c>
      <c r="K78">
        <f t="shared" si="57"/>
        <v>10</v>
      </c>
      <c r="L78">
        <f t="shared" si="57"/>
        <v>10</v>
      </c>
      <c r="M78">
        <f t="shared" si="57"/>
        <v>80</v>
      </c>
      <c r="N78">
        <f>PRODUCT(H78:M78)</f>
        <v>55296000</v>
      </c>
      <c r="O78">
        <v>5</v>
      </c>
      <c r="P78" t="str">
        <f>B78</f>
        <v>KK</v>
      </c>
      <c r="Q78">
        <f>INDEX($S$3:$V$15,MATCH(P78,$R$3:$R$15,0),MATCH(O78,$S$2:$V$2,0))</f>
        <v>4</v>
      </c>
      <c r="R78" s="4">
        <f>Q78*N78</f>
        <v>221184000</v>
      </c>
    </row>
    <row r="79" spans="2:18">
      <c r="B79" s="5" t="str">
        <f>$B77</f>
        <v>KK</v>
      </c>
      <c r="C79" t="str">
        <f>$B77</f>
        <v>KK</v>
      </c>
      <c r="D79" t="str">
        <f>$B77</f>
        <v>KK</v>
      </c>
      <c r="E79" t="str">
        <f>$B77</f>
        <v>KK</v>
      </c>
      <c r="F79" t="str">
        <f>E79&amp;"-0"</f>
        <v>KK-0</v>
      </c>
      <c r="G79" t="str">
        <f>$B$29</f>
        <v>---</v>
      </c>
      <c r="H79">
        <f t="shared" ref="H79:H80" si="58">SUMIF($B$3:$B$29,B79,C$3:C$29)</f>
        <v>16</v>
      </c>
      <c r="I79">
        <f t="shared" si="57"/>
        <v>24</v>
      </c>
      <c r="J79">
        <f t="shared" si="57"/>
        <v>18</v>
      </c>
      <c r="K79">
        <f t="shared" si="57"/>
        <v>10</v>
      </c>
      <c r="L79">
        <f t="shared" si="57"/>
        <v>58</v>
      </c>
      <c r="M79">
        <f t="shared" si="57"/>
        <v>98</v>
      </c>
      <c r="N79">
        <f t="shared" ref="N79:N80" si="59">PRODUCT(H79:M79)</f>
        <v>392878080</v>
      </c>
      <c r="O79">
        <v>5</v>
      </c>
      <c r="P79" t="str">
        <f t="shared" ref="P79:P80" si="60">B79</f>
        <v>KK</v>
      </c>
      <c r="Q79">
        <f t="shared" ref="Q79:Q80" si="61">INDEX($S$3:$V$15,MATCH(P79,$R$3:$R$15,0),MATCH(O79,$S$2:$V$2,0))</f>
        <v>4</v>
      </c>
      <c r="R79" s="4">
        <f t="shared" ref="R79:R80" si="62">Q79*N79</f>
        <v>1571512320</v>
      </c>
    </row>
    <row r="80" spans="2:18">
      <c r="B80" s="5" t="str">
        <f>$B78</f>
        <v>KK</v>
      </c>
      <c r="C80" t="str">
        <f>$B77</f>
        <v>KK</v>
      </c>
      <c r="D80" t="str">
        <f>$B77</f>
        <v>KK</v>
      </c>
      <c r="E80" t="str">
        <f>D80&amp;"-0"</f>
        <v>KK-0</v>
      </c>
      <c r="F80" t="str">
        <f>$B$29</f>
        <v>---</v>
      </c>
      <c r="G80" t="str">
        <f>$B$29</f>
        <v>---</v>
      </c>
      <c r="H80">
        <f t="shared" si="58"/>
        <v>16</v>
      </c>
      <c r="I80">
        <f t="shared" si="57"/>
        <v>24</v>
      </c>
      <c r="J80">
        <f t="shared" si="57"/>
        <v>18</v>
      </c>
      <c r="K80">
        <f t="shared" si="57"/>
        <v>47</v>
      </c>
      <c r="L80">
        <f t="shared" si="57"/>
        <v>66</v>
      </c>
      <c r="M80">
        <f t="shared" si="57"/>
        <v>98</v>
      </c>
      <c r="N80">
        <f t="shared" si="59"/>
        <v>2101220352</v>
      </c>
      <c r="O80">
        <v>5</v>
      </c>
      <c r="P80" t="str">
        <f t="shared" si="60"/>
        <v>KK</v>
      </c>
      <c r="Q80">
        <f t="shared" si="61"/>
        <v>4</v>
      </c>
      <c r="R80" s="4">
        <f t="shared" si="62"/>
        <v>8404881408</v>
      </c>
    </row>
    <row r="81" spans="2:18">
      <c r="B81" s="5"/>
      <c r="R81" s="4"/>
    </row>
    <row r="82" spans="2:18">
      <c r="B82" s="8" t="str">
        <f>$B$14</f>
        <v>LL</v>
      </c>
      <c r="C82" s="7" t="str">
        <f>$B82</f>
        <v>LL</v>
      </c>
      <c r="D82" s="7" t="str">
        <f>$B82</f>
        <v>LL</v>
      </c>
      <c r="E82" s="7" t="str">
        <f>$B82</f>
        <v>LL</v>
      </c>
      <c r="F82" s="7" t="str">
        <f>$B82</f>
        <v>LL</v>
      </c>
      <c r="G82" s="7" t="str">
        <f>$B82</f>
        <v>LL</v>
      </c>
      <c r="H82" s="7">
        <f>SUMIF($B$3:$B$29,B82,C$3:C$29)</f>
        <v>22</v>
      </c>
      <c r="I82" s="7">
        <f t="shared" ref="I82:M85" si="63">SUMIF($B$3:$B$29,C82,D$3:D$29)</f>
        <v>22</v>
      </c>
      <c r="J82" s="7">
        <f t="shared" si="63"/>
        <v>8</v>
      </c>
      <c r="K82" s="7">
        <f t="shared" si="63"/>
        <v>14</v>
      </c>
      <c r="L82" s="7">
        <f t="shared" si="63"/>
        <v>12</v>
      </c>
      <c r="M82" s="7">
        <f t="shared" si="63"/>
        <v>34</v>
      </c>
      <c r="N82" s="7">
        <f>PRODUCT(H82:M82)</f>
        <v>22116864</v>
      </c>
      <c r="O82" s="7">
        <v>6</v>
      </c>
      <c r="P82" s="7" t="str">
        <f>B82</f>
        <v>LL</v>
      </c>
      <c r="Q82" s="7">
        <f>INDEX($S$3:$V$15,MATCH(P82,$R$3:$R$15,0),MATCH(O82,$S$2:$V$2,0))</f>
        <v>10</v>
      </c>
      <c r="R82" s="6">
        <f>Q82*N82</f>
        <v>221168640</v>
      </c>
    </row>
    <row r="83" spans="2:18">
      <c r="B83" s="5" t="str">
        <f>$B82</f>
        <v>LL</v>
      </c>
      <c r="C83" t="str">
        <f>$B82</f>
        <v>LL</v>
      </c>
      <c r="D83" t="str">
        <f>$B82</f>
        <v>LL</v>
      </c>
      <c r="E83" t="str">
        <f>$B82</f>
        <v>LL</v>
      </c>
      <c r="F83" t="str">
        <f>$B82</f>
        <v>LL</v>
      </c>
      <c r="G83" t="str">
        <f>F83&amp;"-0"</f>
        <v>LL-0</v>
      </c>
      <c r="H83">
        <f>SUMIF($B$3:$B$29,B83,C$3:C$29)</f>
        <v>22</v>
      </c>
      <c r="I83">
        <f t="shared" si="63"/>
        <v>22</v>
      </c>
      <c r="J83">
        <f t="shared" si="63"/>
        <v>8</v>
      </c>
      <c r="K83">
        <f t="shared" si="63"/>
        <v>14</v>
      </c>
      <c r="L83">
        <f t="shared" si="63"/>
        <v>12</v>
      </c>
      <c r="M83">
        <f t="shared" si="63"/>
        <v>66</v>
      </c>
      <c r="N83">
        <f>PRODUCT(H83:M83)</f>
        <v>42932736</v>
      </c>
      <c r="O83">
        <v>5</v>
      </c>
      <c r="P83" t="str">
        <f>B83</f>
        <v>LL</v>
      </c>
      <c r="Q83">
        <f>INDEX($S$3:$V$15,MATCH(P83,$R$3:$R$15,0),MATCH(O83,$S$2:$V$2,0))</f>
        <v>4</v>
      </c>
      <c r="R83" s="4">
        <f>Q83*N83</f>
        <v>171730944</v>
      </c>
    </row>
    <row r="84" spans="2:18">
      <c r="B84" s="5" t="str">
        <f>$B82</f>
        <v>LL</v>
      </c>
      <c r="C84" t="str">
        <f>$B82</f>
        <v>LL</v>
      </c>
      <c r="D84" t="str">
        <f>$B82</f>
        <v>LL</v>
      </c>
      <c r="E84" t="str">
        <f>$B82</f>
        <v>LL</v>
      </c>
      <c r="F84" t="str">
        <f>E84&amp;"-0"</f>
        <v>LL-0</v>
      </c>
      <c r="G84" t="str">
        <f>$B$29</f>
        <v>---</v>
      </c>
      <c r="H84">
        <f t="shared" ref="H84:H85" si="64">SUMIF($B$3:$B$29,B84,C$3:C$29)</f>
        <v>22</v>
      </c>
      <c r="I84">
        <f t="shared" si="63"/>
        <v>22</v>
      </c>
      <c r="J84">
        <f t="shared" si="63"/>
        <v>8</v>
      </c>
      <c r="K84">
        <f t="shared" si="63"/>
        <v>14</v>
      </c>
      <c r="L84">
        <f t="shared" si="63"/>
        <v>56</v>
      </c>
      <c r="M84">
        <f t="shared" si="63"/>
        <v>98</v>
      </c>
      <c r="N84">
        <f t="shared" ref="N84:N85" si="65">PRODUCT(H84:M84)</f>
        <v>297493504</v>
      </c>
      <c r="O84">
        <v>5</v>
      </c>
      <c r="P84" t="str">
        <f t="shared" ref="P84:P85" si="66">B84</f>
        <v>LL</v>
      </c>
      <c r="Q84">
        <f t="shared" ref="Q84:Q85" si="67">INDEX($S$3:$V$15,MATCH(P84,$R$3:$R$15,0),MATCH(O84,$S$2:$V$2,0))</f>
        <v>4</v>
      </c>
      <c r="R84" s="4">
        <f t="shared" ref="R84:R85" si="68">Q84*N84</f>
        <v>1189974016</v>
      </c>
    </row>
    <row r="85" spans="2:18">
      <c r="B85" s="5" t="str">
        <f>$B83</f>
        <v>LL</v>
      </c>
      <c r="C85" t="str">
        <f>$B82</f>
        <v>LL</v>
      </c>
      <c r="D85" t="str">
        <f>$B82</f>
        <v>LL</v>
      </c>
      <c r="E85" t="str">
        <f>D85&amp;"-0"</f>
        <v>LL-0</v>
      </c>
      <c r="F85" t="str">
        <f>$B$29</f>
        <v>---</v>
      </c>
      <c r="G85" t="str">
        <f>$B$29</f>
        <v>---</v>
      </c>
      <c r="H85">
        <f t="shared" si="64"/>
        <v>22</v>
      </c>
      <c r="I85">
        <f t="shared" si="63"/>
        <v>22</v>
      </c>
      <c r="J85">
        <f t="shared" si="63"/>
        <v>8</v>
      </c>
      <c r="K85">
        <f t="shared" si="63"/>
        <v>44</v>
      </c>
      <c r="L85">
        <f t="shared" si="63"/>
        <v>66</v>
      </c>
      <c r="M85">
        <f t="shared" si="63"/>
        <v>98</v>
      </c>
      <c r="N85">
        <f t="shared" si="65"/>
        <v>1101940224</v>
      </c>
      <c r="O85">
        <v>5</v>
      </c>
      <c r="P85" t="str">
        <f t="shared" si="66"/>
        <v>LL</v>
      </c>
      <c r="Q85">
        <f t="shared" si="67"/>
        <v>4</v>
      </c>
      <c r="R85" s="4">
        <f t="shared" si="68"/>
        <v>4407760896</v>
      </c>
    </row>
    <row r="86" spans="2:18"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>
        <f>SUM(R32:R85)</f>
        <v>203498218944</v>
      </c>
    </row>
    <row r="88" spans="2:18">
      <c r="B88" s="8" t="str">
        <f>$B$15</f>
        <v>BN</v>
      </c>
      <c r="C88" s="7" t="str">
        <f t="shared" ref="C88:G105" si="69">$B$15</f>
        <v>BN</v>
      </c>
      <c r="D88" s="7" t="str">
        <f t="shared" si="69"/>
        <v>BN</v>
      </c>
      <c r="E88" s="7" t="str">
        <f t="shared" si="69"/>
        <v>BN</v>
      </c>
      <c r="F88" s="7" t="str">
        <f t="shared" si="69"/>
        <v>BN</v>
      </c>
      <c r="G88" s="7" t="str">
        <f t="shared" si="69"/>
        <v>BN</v>
      </c>
      <c r="H88" s="7">
        <f>SUMIF($B$3:$B$28,B88,C$3:C$28)</f>
        <v>0</v>
      </c>
      <c r="I88" s="7">
        <f t="shared" ref="I88:M88" si="70">SUMIF($B$3:$B$28,C88,D$3:D$28)</f>
        <v>0</v>
      </c>
      <c r="J88" s="7">
        <f t="shared" si="70"/>
        <v>0</v>
      </c>
      <c r="K88" s="7">
        <f t="shared" si="70"/>
        <v>0</v>
      </c>
      <c r="L88" s="7">
        <f t="shared" si="70"/>
        <v>0</v>
      </c>
      <c r="M88" s="7">
        <f t="shared" si="70"/>
        <v>0</v>
      </c>
      <c r="N88" s="6">
        <f>PRODUCT(H88:M88)</f>
        <v>0</v>
      </c>
    </row>
    <row r="89" spans="2:18">
      <c r="B89" s="5"/>
      <c r="N89" s="4"/>
    </row>
    <row r="90" spans="2:18">
      <c r="B90" s="5" t="str">
        <f t="shared" ref="B90:G116" si="71">$B$15</f>
        <v>BN</v>
      </c>
      <c r="C90" t="str">
        <f t="shared" si="69"/>
        <v>BN</v>
      </c>
      <c r="D90" t="str">
        <f t="shared" si="69"/>
        <v>BN</v>
      </c>
      <c r="E90" t="str">
        <f t="shared" si="69"/>
        <v>BN</v>
      </c>
      <c r="F90" t="str">
        <f t="shared" si="69"/>
        <v>BN</v>
      </c>
      <c r="G90" t="str">
        <f>$B$28</f>
        <v>BN-0</v>
      </c>
      <c r="H90">
        <f>SUMIF($B$3:$B$28,B90,C$3:C$28)</f>
        <v>0</v>
      </c>
      <c r="I90">
        <f t="shared" ref="I90:M105" si="72">SUMIF($B$3:$B$28,C90,D$3:D$28)</f>
        <v>0</v>
      </c>
      <c r="J90">
        <f t="shared" si="72"/>
        <v>0</v>
      </c>
      <c r="K90">
        <f t="shared" si="72"/>
        <v>0</v>
      </c>
      <c r="L90">
        <f t="shared" si="72"/>
        <v>0</v>
      </c>
      <c r="M90">
        <f t="shared" si="72"/>
        <v>98</v>
      </c>
      <c r="N90" s="4">
        <f>PRODUCT(H90:M90)</f>
        <v>0</v>
      </c>
    </row>
    <row r="91" spans="2:18">
      <c r="B91" s="5" t="str">
        <f t="shared" si="71"/>
        <v>BN</v>
      </c>
      <c r="C91" t="str">
        <f t="shared" si="69"/>
        <v>BN</v>
      </c>
      <c r="D91" t="str">
        <f t="shared" si="69"/>
        <v>BN</v>
      </c>
      <c r="E91" t="str">
        <f t="shared" si="69"/>
        <v>BN</v>
      </c>
      <c r="F91" t="str">
        <f>$B$28</f>
        <v>BN-0</v>
      </c>
      <c r="G91" t="str">
        <f t="shared" si="69"/>
        <v>BN</v>
      </c>
      <c r="H91">
        <f t="shared" ref="H91:M115" si="73">SUMIF($B$3:$B$28,B91,C$3:C$28)</f>
        <v>0</v>
      </c>
      <c r="I91">
        <f t="shared" si="72"/>
        <v>0</v>
      </c>
      <c r="J91">
        <f t="shared" si="72"/>
        <v>0</v>
      </c>
      <c r="K91">
        <f t="shared" si="72"/>
        <v>0</v>
      </c>
      <c r="L91">
        <f t="shared" si="72"/>
        <v>66</v>
      </c>
      <c r="M91">
        <f t="shared" si="72"/>
        <v>0</v>
      </c>
      <c r="N91" s="4">
        <f t="shared" ref="N91:N132" si="74">PRODUCT(H91:M91)</f>
        <v>0</v>
      </c>
    </row>
    <row r="92" spans="2:18">
      <c r="B92" s="5" t="str">
        <f t="shared" si="71"/>
        <v>BN</v>
      </c>
      <c r="C92" t="str">
        <f t="shared" si="69"/>
        <v>BN</v>
      </c>
      <c r="D92" t="str">
        <f t="shared" si="69"/>
        <v>BN</v>
      </c>
      <c r="E92" t="str">
        <f>$B$28</f>
        <v>BN-0</v>
      </c>
      <c r="F92" t="str">
        <f t="shared" si="69"/>
        <v>BN</v>
      </c>
      <c r="G92" t="str">
        <f t="shared" si="69"/>
        <v>BN</v>
      </c>
      <c r="H92">
        <f t="shared" si="73"/>
        <v>0</v>
      </c>
      <c r="I92">
        <f t="shared" si="72"/>
        <v>0</v>
      </c>
      <c r="J92">
        <f t="shared" si="72"/>
        <v>0</v>
      </c>
      <c r="K92">
        <f t="shared" si="72"/>
        <v>55</v>
      </c>
      <c r="L92">
        <f t="shared" si="72"/>
        <v>0</v>
      </c>
      <c r="M92">
        <f t="shared" si="72"/>
        <v>0</v>
      </c>
      <c r="N92" s="4">
        <f t="shared" si="74"/>
        <v>0</v>
      </c>
    </row>
    <row r="93" spans="2:18">
      <c r="B93" s="5" t="str">
        <f t="shared" si="71"/>
        <v>BN</v>
      </c>
      <c r="C93" t="str">
        <f t="shared" si="69"/>
        <v>BN</v>
      </c>
      <c r="D93" t="str">
        <f>$B$28</f>
        <v>BN-0</v>
      </c>
      <c r="E93" t="str">
        <f t="shared" si="69"/>
        <v>BN</v>
      </c>
      <c r="F93" t="str">
        <f t="shared" si="69"/>
        <v>BN</v>
      </c>
      <c r="G93" t="str">
        <f t="shared" si="69"/>
        <v>BN</v>
      </c>
      <c r="H93">
        <f t="shared" si="73"/>
        <v>0</v>
      </c>
      <c r="I93">
        <f t="shared" si="72"/>
        <v>0</v>
      </c>
      <c r="J93">
        <f t="shared" si="72"/>
        <v>62</v>
      </c>
      <c r="K93">
        <f t="shared" si="72"/>
        <v>0</v>
      </c>
      <c r="L93">
        <f t="shared" si="72"/>
        <v>0</v>
      </c>
      <c r="M93">
        <f t="shared" si="72"/>
        <v>0</v>
      </c>
      <c r="N93" s="4">
        <f t="shared" si="74"/>
        <v>0</v>
      </c>
    </row>
    <row r="94" spans="2:18">
      <c r="B94" s="5" t="str">
        <f t="shared" si="71"/>
        <v>BN</v>
      </c>
      <c r="C94" t="str">
        <f>$B$28</f>
        <v>BN-0</v>
      </c>
      <c r="D94" t="str">
        <f t="shared" si="69"/>
        <v>BN</v>
      </c>
      <c r="E94" t="str">
        <f t="shared" si="69"/>
        <v>BN</v>
      </c>
      <c r="F94" t="str">
        <f t="shared" si="69"/>
        <v>BN</v>
      </c>
      <c r="G94" t="str">
        <f t="shared" si="69"/>
        <v>BN</v>
      </c>
      <c r="H94">
        <f t="shared" si="73"/>
        <v>0</v>
      </c>
      <c r="I94">
        <f t="shared" si="72"/>
        <v>90</v>
      </c>
      <c r="J94">
        <f t="shared" si="72"/>
        <v>0</v>
      </c>
      <c r="K94">
        <f t="shared" si="72"/>
        <v>0</v>
      </c>
      <c r="L94">
        <f t="shared" si="72"/>
        <v>0</v>
      </c>
      <c r="M94">
        <f t="shared" si="72"/>
        <v>0</v>
      </c>
      <c r="N94" s="4">
        <f t="shared" si="74"/>
        <v>0</v>
      </c>
    </row>
    <row r="95" spans="2:18">
      <c r="B95" s="5" t="str">
        <f>$B$28</f>
        <v>BN-0</v>
      </c>
      <c r="C95" t="str">
        <f t="shared" si="69"/>
        <v>BN</v>
      </c>
      <c r="D95" t="str">
        <f t="shared" si="69"/>
        <v>BN</v>
      </c>
      <c r="E95" t="str">
        <f t="shared" si="69"/>
        <v>BN</v>
      </c>
      <c r="F95" t="str">
        <f t="shared" si="69"/>
        <v>BN</v>
      </c>
      <c r="G95" t="str">
        <f t="shared" si="69"/>
        <v>BN</v>
      </c>
      <c r="H95">
        <f t="shared" si="73"/>
        <v>68</v>
      </c>
      <c r="I95">
        <f t="shared" si="72"/>
        <v>0</v>
      </c>
      <c r="J95">
        <f t="shared" si="72"/>
        <v>0</v>
      </c>
      <c r="K95">
        <f t="shared" si="72"/>
        <v>0</v>
      </c>
      <c r="L95">
        <f t="shared" si="72"/>
        <v>0</v>
      </c>
      <c r="M95">
        <f t="shared" si="72"/>
        <v>0</v>
      </c>
      <c r="N95" s="4">
        <f t="shared" si="74"/>
        <v>0</v>
      </c>
    </row>
    <row r="96" spans="2:18">
      <c r="B96" s="5"/>
      <c r="N96" s="4"/>
    </row>
    <row r="97" spans="2:14">
      <c r="B97" s="5" t="str">
        <f t="shared" si="71"/>
        <v>BN</v>
      </c>
      <c r="C97" t="str">
        <f t="shared" si="69"/>
        <v>BN</v>
      </c>
      <c r="D97" t="str">
        <f t="shared" si="69"/>
        <v>BN</v>
      </c>
      <c r="E97" t="str">
        <f t="shared" si="69"/>
        <v>BN</v>
      </c>
      <c r="F97" t="str">
        <f>$B$28</f>
        <v>BN-0</v>
      </c>
      <c r="G97" t="str">
        <f>$B$28</f>
        <v>BN-0</v>
      </c>
      <c r="H97">
        <f t="shared" si="73"/>
        <v>0</v>
      </c>
      <c r="I97">
        <f t="shared" si="72"/>
        <v>0</v>
      </c>
      <c r="J97">
        <f t="shared" si="72"/>
        <v>0</v>
      </c>
      <c r="K97">
        <f t="shared" si="72"/>
        <v>0</v>
      </c>
      <c r="L97">
        <f t="shared" si="72"/>
        <v>66</v>
      </c>
      <c r="M97">
        <f t="shared" si="72"/>
        <v>98</v>
      </c>
      <c r="N97" s="4">
        <f t="shared" si="74"/>
        <v>0</v>
      </c>
    </row>
    <row r="98" spans="2:14">
      <c r="B98" s="5" t="str">
        <f t="shared" si="71"/>
        <v>BN</v>
      </c>
      <c r="C98" t="str">
        <f t="shared" si="69"/>
        <v>BN</v>
      </c>
      <c r="D98" t="str">
        <f t="shared" si="69"/>
        <v>BN</v>
      </c>
      <c r="E98" t="str">
        <f>$B$28</f>
        <v>BN-0</v>
      </c>
      <c r="F98" t="str">
        <f t="shared" si="69"/>
        <v>BN</v>
      </c>
      <c r="G98" t="str">
        <f>$B$28</f>
        <v>BN-0</v>
      </c>
      <c r="H98">
        <f t="shared" si="73"/>
        <v>0</v>
      </c>
      <c r="I98">
        <f t="shared" si="72"/>
        <v>0</v>
      </c>
      <c r="J98">
        <f t="shared" si="72"/>
        <v>0</v>
      </c>
      <c r="K98">
        <f t="shared" si="72"/>
        <v>55</v>
      </c>
      <c r="L98">
        <f t="shared" si="72"/>
        <v>0</v>
      </c>
      <c r="M98">
        <f t="shared" si="72"/>
        <v>98</v>
      </c>
      <c r="N98" s="4">
        <f t="shared" si="74"/>
        <v>0</v>
      </c>
    </row>
    <row r="99" spans="2:14">
      <c r="B99" s="5" t="str">
        <f t="shared" si="71"/>
        <v>BN</v>
      </c>
      <c r="C99" t="str">
        <f t="shared" si="69"/>
        <v>BN</v>
      </c>
      <c r="D99" t="str">
        <f>$B$28</f>
        <v>BN-0</v>
      </c>
      <c r="E99" t="str">
        <f t="shared" si="69"/>
        <v>BN</v>
      </c>
      <c r="F99" t="str">
        <f t="shared" si="69"/>
        <v>BN</v>
      </c>
      <c r="G99" t="str">
        <f>$B$28</f>
        <v>BN-0</v>
      </c>
      <c r="H99">
        <f t="shared" si="73"/>
        <v>0</v>
      </c>
      <c r="I99">
        <f t="shared" si="72"/>
        <v>0</v>
      </c>
      <c r="J99">
        <f t="shared" si="72"/>
        <v>62</v>
      </c>
      <c r="K99">
        <f t="shared" si="72"/>
        <v>0</v>
      </c>
      <c r="L99">
        <f t="shared" si="72"/>
        <v>0</v>
      </c>
      <c r="M99">
        <f t="shared" si="72"/>
        <v>98</v>
      </c>
      <c r="N99" s="4">
        <f t="shared" si="74"/>
        <v>0</v>
      </c>
    </row>
    <row r="100" spans="2:14">
      <c r="B100" s="5" t="str">
        <f t="shared" si="71"/>
        <v>BN</v>
      </c>
      <c r="C100" t="str">
        <f>$B$28</f>
        <v>BN-0</v>
      </c>
      <c r="D100" t="str">
        <f t="shared" si="69"/>
        <v>BN</v>
      </c>
      <c r="E100" t="str">
        <f t="shared" si="69"/>
        <v>BN</v>
      </c>
      <c r="F100" t="str">
        <f t="shared" si="69"/>
        <v>BN</v>
      </c>
      <c r="G100" t="str">
        <f>$B$28</f>
        <v>BN-0</v>
      </c>
      <c r="H100">
        <f t="shared" si="73"/>
        <v>0</v>
      </c>
      <c r="I100">
        <f t="shared" si="72"/>
        <v>90</v>
      </c>
      <c r="J100">
        <f t="shared" si="72"/>
        <v>0</v>
      </c>
      <c r="K100">
        <f t="shared" si="72"/>
        <v>0</v>
      </c>
      <c r="L100">
        <f t="shared" si="72"/>
        <v>0</v>
      </c>
      <c r="M100">
        <f t="shared" si="72"/>
        <v>98</v>
      </c>
      <c r="N100" s="4">
        <f t="shared" si="74"/>
        <v>0</v>
      </c>
    </row>
    <row r="101" spans="2:14">
      <c r="B101" s="5" t="str">
        <f>$B$28</f>
        <v>BN-0</v>
      </c>
      <c r="C101" t="str">
        <f t="shared" si="69"/>
        <v>BN</v>
      </c>
      <c r="D101" t="str">
        <f t="shared" si="69"/>
        <v>BN</v>
      </c>
      <c r="E101" t="str">
        <f t="shared" si="69"/>
        <v>BN</v>
      </c>
      <c r="F101" t="str">
        <f t="shared" si="69"/>
        <v>BN</v>
      </c>
      <c r="G101" t="str">
        <f>$B$28</f>
        <v>BN-0</v>
      </c>
      <c r="H101">
        <f t="shared" si="73"/>
        <v>68</v>
      </c>
      <c r="I101">
        <f t="shared" si="72"/>
        <v>0</v>
      </c>
      <c r="J101">
        <f t="shared" si="72"/>
        <v>0</v>
      </c>
      <c r="K101">
        <f t="shared" si="72"/>
        <v>0</v>
      </c>
      <c r="L101">
        <f t="shared" si="72"/>
        <v>0</v>
      </c>
      <c r="M101">
        <f t="shared" si="72"/>
        <v>98</v>
      </c>
      <c r="N101" s="4">
        <f t="shared" si="74"/>
        <v>0</v>
      </c>
    </row>
    <row r="102" spans="2:14">
      <c r="B102" s="5" t="str">
        <f t="shared" si="71"/>
        <v>BN</v>
      </c>
      <c r="C102" t="str">
        <f t="shared" si="69"/>
        <v>BN</v>
      </c>
      <c r="D102" t="str">
        <f t="shared" si="69"/>
        <v>BN</v>
      </c>
      <c r="E102" t="str">
        <f>$B$28</f>
        <v>BN-0</v>
      </c>
      <c r="F102" t="str">
        <f>$B$28</f>
        <v>BN-0</v>
      </c>
      <c r="G102" t="str">
        <f t="shared" si="69"/>
        <v>BN</v>
      </c>
      <c r="H102">
        <f t="shared" si="73"/>
        <v>0</v>
      </c>
      <c r="I102">
        <f t="shared" si="72"/>
        <v>0</v>
      </c>
      <c r="J102">
        <f t="shared" si="72"/>
        <v>0</v>
      </c>
      <c r="K102">
        <f t="shared" si="72"/>
        <v>55</v>
      </c>
      <c r="L102">
        <f t="shared" si="72"/>
        <v>66</v>
      </c>
      <c r="M102">
        <f t="shared" si="72"/>
        <v>0</v>
      </c>
      <c r="N102" s="4">
        <f t="shared" si="74"/>
        <v>0</v>
      </c>
    </row>
    <row r="103" spans="2:14">
      <c r="B103" s="5" t="str">
        <f t="shared" si="71"/>
        <v>BN</v>
      </c>
      <c r="C103" t="str">
        <f t="shared" si="69"/>
        <v>BN</v>
      </c>
      <c r="D103" t="str">
        <f>$B$28</f>
        <v>BN-0</v>
      </c>
      <c r="E103" t="str">
        <f t="shared" si="69"/>
        <v>BN</v>
      </c>
      <c r="F103" t="str">
        <f>$B$28</f>
        <v>BN-0</v>
      </c>
      <c r="G103" t="str">
        <f t="shared" si="69"/>
        <v>BN</v>
      </c>
      <c r="H103">
        <f t="shared" si="73"/>
        <v>0</v>
      </c>
      <c r="I103">
        <f t="shared" si="72"/>
        <v>0</v>
      </c>
      <c r="J103">
        <f t="shared" si="72"/>
        <v>62</v>
      </c>
      <c r="K103">
        <f t="shared" si="72"/>
        <v>0</v>
      </c>
      <c r="L103">
        <f t="shared" si="72"/>
        <v>66</v>
      </c>
      <c r="M103">
        <f t="shared" si="72"/>
        <v>0</v>
      </c>
      <c r="N103" s="4">
        <f t="shared" si="74"/>
        <v>0</v>
      </c>
    </row>
    <row r="104" spans="2:14">
      <c r="B104" s="5" t="str">
        <f t="shared" si="71"/>
        <v>BN</v>
      </c>
      <c r="C104" t="str">
        <f>$B$28</f>
        <v>BN-0</v>
      </c>
      <c r="D104" t="str">
        <f t="shared" si="69"/>
        <v>BN</v>
      </c>
      <c r="E104" t="str">
        <f t="shared" si="69"/>
        <v>BN</v>
      </c>
      <c r="F104" t="str">
        <f>$B$28</f>
        <v>BN-0</v>
      </c>
      <c r="G104" t="str">
        <f t="shared" si="69"/>
        <v>BN</v>
      </c>
      <c r="H104">
        <f t="shared" si="73"/>
        <v>0</v>
      </c>
      <c r="I104">
        <f t="shared" si="72"/>
        <v>90</v>
      </c>
      <c r="J104">
        <f t="shared" si="72"/>
        <v>0</v>
      </c>
      <c r="K104">
        <f t="shared" si="72"/>
        <v>0</v>
      </c>
      <c r="L104">
        <f t="shared" si="72"/>
        <v>66</v>
      </c>
      <c r="M104">
        <f t="shared" si="72"/>
        <v>0</v>
      </c>
      <c r="N104" s="4">
        <f t="shared" si="74"/>
        <v>0</v>
      </c>
    </row>
    <row r="105" spans="2:14">
      <c r="B105" s="5" t="str">
        <f>$B$28</f>
        <v>BN-0</v>
      </c>
      <c r="C105" t="str">
        <f t="shared" si="69"/>
        <v>BN</v>
      </c>
      <c r="D105" t="str">
        <f t="shared" si="69"/>
        <v>BN</v>
      </c>
      <c r="E105" t="str">
        <f t="shared" si="69"/>
        <v>BN</v>
      </c>
      <c r="F105" t="str">
        <f>$B$28</f>
        <v>BN-0</v>
      </c>
      <c r="G105" t="str">
        <f t="shared" si="69"/>
        <v>BN</v>
      </c>
      <c r="H105">
        <f t="shared" si="73"/>
        <v>68</v>
      </c>
      <c r="I105">
        <f t="shared" si="72"/>
        <v>0</v>
      </c>
      <c r="J105">
        <f t="shared" si="72"/>
        <v>0</v>
      </c>
      <c r="K105">
        <f t="shared" si="72"/>
        <v>0</v>
      </c>
      <c r="L105">
        <f t="shared" si="72"/>
        <v>66</v>
      </c>
      <c r="M105">
        <f t="shared" si="72"/>
        <v>0</v>
      </c>
      <c r="N105" s="4">
        <f t="shared" si="74"/>
        <v>0</v>
      </c>
    </row>
    <row r="106" spans="2:14">
      <c r="B106" s="5" t="str">
        <f t="shared" si="71"/>
        <v>BN</v>
      </c>
      <c r="C106" t="str">
        <f t="shared" si="71"/>
        <v>BN</v>
      </c>
      <c r="D106" t="str">
        <f>$B$28</f>
        <v>BN-0</v>
      </c>
      <c r="E106" t="str">
        <f>$B$28</f>
        <v>BN-0</v>
      </c>
      <c r="F106" t="str">
        <f t="shared" si="71"/>
        <v>BN</v>
      </c>
      <c r="G106" t="str">
        <f t="shared" si="71"/>
        <v>BN</v>
      </c>
      <c r="H106">
        <f t="shared" si="73"/>
        <v>0</v>
      </c>
      <c r="I106">
        <f t="shared" si="73"/>
        <v>0</v>
      </c>
      <c r="J106">
        <f t="shared" si="73"/>
        <v>62</v>
      </c>
      <c r="K106">
        <f t="shared" si="73"/>
        <v>55</v>
      </c>
      <c r="L106">
        <f t="shared" si="73"/>
        <v>0</v>
      </c>
      <c r="M106">
        <f t="shared" si="73"/>
        <v>0</v>
      </c>
      <c r="N106" s="4">
        <f t="shared" si="74"/>
        <v>0</v>
      </c>
    </row>
    <row r="107" spans="2:14">
      <c r="B107" s="5" t="str">
        <f t="shared" si="71"/>
        <v>BN</v>
      </c>
      <c r="C107" t="str">
        <f>$B$28</f>
        <v>BN-0</v>
      </c>
      <c r="D107" t="str">
        <f t="shared" si="71"/>
        <v>BN</v>
      </c>
      <c r="E107" t="str">
        <f>$B$28</f>
        <v>BN-0</v>
      </c>
      <c r="F107" t="str">
        <f t="shared" si="71"/>
        <v>BN</v>
      </c>
      <c r="G107" t="str">
        <f t="shared" si="71"/>
        <v>BN</v>
      </c>
      <c r="H107">
        <f t="shared" si="73"/>
        <v>0</v>
      </c>
      <c r="I107">
        <f t="shared" si="73"/>
        <v>90</v>
      </c>
      <c r="J107">
        <f t="shared" si="73"/>
        <v>0</v>
      </c>
      <c r="K107">
        <f t="shared" si="73"/>
        <v>55</v>
      </c>
      <c r="L107">
        <f t="shared" si="73"/>
        <v>0</v>
      </c>
      <c r="M107">
        <f t="shared" si="73"/>
        <v>0</v>
      </c>
      <c r="N107" s="4">
        <f t="shared" si="74"/>
        <v>0</v>
      </c>
    </row>
    <row r="108" spans="2:14">
      <c r="B108" s="5" t="str">
        <f>$B$28</f>
        <v>BN-0</v>
      </c>
      <c r="C108" t="str">
        <f t="shared" si="71"/>
        <v>BN</v>
      </c>
      <c r="D108" t="str">
        <f t="shared" si="71"/>
        <v>BN</v>
      </c>
      <c r="E108" t="str">
        <f>$B$28</f>
        <v>BN-0</v>
      </c>
      <c r="F108" t="str">
        <f t="shared" si="71"/>
        <v>BN</v>
      </c>
      <c r="G108" t="str">
        <f t="shared" si="71"/>
        <v>BN</v>
      </c>
      <c r="H108">
        <f t="shared" si="73"/>
        <v>68</v>
      </c>
      <c r="I108">
        <f t="shared" si="73"/>
        <v>0</v>
      </c>
      <c r="J108">
        <f t="shared" si="73"/>
        <v>0</v>
      </c>
      <c r="K108">
        <f t="shared" si="73"/>
        <v>55</v>
      </c>
      <c r="L108">
        <f t="shared" si="73"/>
        <v>0</v>
      </c>
      <c r="M108">
        <f t="shared" si="73"/>
        <v>0</v>
      </c>
      <c r="N108" s="4">
        <f t="shared" si="74"/>
        <v>0</v>
      </c>
    </row>
    <row r="109" spans="2:14">
      <c r="B109" s="5" t="str">
        <f t="shared" si="71"/>
        <v>BN</v>
      </c>
      <c r="C109" t="str">
        <f>$B$28</f>
        <v>BN-0</v>
      </c>
      <c r="D109" t="str">
        <f>$B$28</f>
        <v>BN-0</v>
      </c>
      <c r="E109" t="str">
        <f t="shared" si="71"/>
        <v>BN</v>
      </c>
      <c r="F109" t="str">
        <f t="shared" si="71"/>
        <v>BN</v>
      </c>
      <c r="G109" t="str">
        <f t="shared" si="71"/>
        <v>BN</v>
      </c>
      <c r="H109">
        <f t="shared" si="73"/>
        <v>0</v>
      </c>
      <c r="I109">
        <f t="shared" si="73"/>
        <v>90</v>
      </c>
      <c r="J109">
        <f t="shared" si="73"/>
        <v>62</v>
      </c>
      <c r="K109">
        <f t="shared" si="73"/>
        <v>0</v>
      </c>
      <c r="L109">
        <f t="shared" si="73"/>
        <v>0</v>
      </c>
      <c r="M109">
        <f t="shared" si="73"/>
        <v>0</v>
      </c>
      <c r="N109" s="4">
        <f t="shared" si="74"/>
        <v>0</v>
      </c>
    </row>
    <row r="110" spans="2:14">
      <c r="B110" s="5" t="str">
        <f>$B$28</f>
        <v>BN-0</v>
      </c>
      <c r="C110" t="str">
        <f t="shared" si="71"/>
        <v>BN</v>
      </c>
      <c r="D110" t="str">
        <f>$B$28</f>
        <v>BN-0</v>
      </c>
      <c r="E110" t="str">
        <f t="shared" si="71"/>
        <v>BN</v>
      </c>
      <c r="F110" t="str">
        <f t="shared" si="71"/>
        <v>BN</v>
      </c>
      <c r="G110" t="str">
        <f t="shared" si="71"/>
        <v>BN</v>
      </c>
      <c r="H110">
        <f t="shared" si="73"/>
        <v>68</v>
      </c>
      <c r="I110">
        <f t="shared" si="73"/>
        <v>0</v>
      </c>
      <c r="J110">
        <f t="shared" si="73"/>
        <v>62</v>
      </c>
      <c r="K110">
        <f t="shared" si="73"/>
        <v>0</v>
      </c>
      <c r="L110">
        <f t="shared" si="73"/>
        <v>0</v>
      </c>
      <c r="M110">
        <f t="shared" si="73"/>
        <v>0</v>
      </c>
      <c r="N110" s="4">
        <f t="shared" si="74"/>
        <v>0</v>
      </c>
    </row>
    <row r="111" spans="2:14">
      <c r="B111" s="5" t="str">
        <f>$B$28</f>
        <v>BN-0</v>
      </c>
      <c r="C111" t="str">
        <f>$B$28</f>
        <v>BN-0</v>
      </c>
      <c r="D111" t="str">
        <f t="shared" si="71"/>
        <v>BN</v>
      </c>
      <c r="E111" t="str">
        <f t="shared" si="71"/>
        <v>BN</v>
      </c>
      <c r="F111" t="str">
        <f t="shared" si="71"/>
        <v>BN</v>
      </c>
      <c r="G111" t="str">
        <f t="shared" si="71"/>
        <v>BN</v>
      </c>
      <c r="H111">
        <f t="shared" si="73"/>
        <v>68</v>
      </c>
      <c r="I111">
        <f t="shared" si="73"/>
        <v>90</v>
      </c>
      <c r="J111">
        <f t="shared" si="73"/>
        <v>0</v>
      </c>
      <c r="K111">
        <f t="shared" si="73"/>
        <v>0</v>
      </c>
      <c r="L111">
        <f t="shared" si="73"/>
        <v>0</v>
      </c>
      <c r="M111">
        <f t="shared" si="73"/>
        <v>0</v>
      </c>
      <c r="N111" s="4">
        <f t="shared" si="74"/>
        <v>0</v>
      </c>
    </row>
    <row r="112" spans="2:14">
      <c r="B112" s="5"/>
      <c r="N112" s="4"/>
    </row>
    <row r="113" spans="2:14">
      <c r="B113" s="5" t="str">
        <f t="shared" si="71"/>
        <v>BN</v>
      </c>
      <c r="C113" t="str">
        <f t="shared" si="71"/>
        <v>BN</v>
      </c>
      <c r="D113" t="str">
        <f t="shared" si="71"/>
        <v>BN</v>
      </c>
      <c r="E113" t="str">
        <f>$B$28</f>
        <v>BN-0</v>
      </c>
      <c r="F113" t="str">
        <f>$B$28</f>
        <v>BN-0</v>
      </c>
      <c r="G113" t="str">
        <f>$B$28</f>
        <v>BN-0</v>
      </c>
      <c r="H113">
        <f t="shared" si="73"/>
        <v>0</v>
      </c>
      <c r="I113">
        <f t="shared" si="73"/>
        <v>0</v>
      </c>
      <c r="J113">
        <f t="shared" si="73"/>
        <v>0</v>
      </c>
      <c r="K113">
        <f t="shared" si="73"/>
        <v>55</v>
      </c>
      <c r="L113">
        <f t="shared" si="73"/>
        <v>66</v>
      </c>
      <c r="M113">
        <f t="shared" si="73"/>
        <v>98</v>
      </c>
      <c r="N113" s="4">
        <f t="shared" si="74"/>
        <v>0</v>
      </c>
    </row>
    <row r="114" spans="2:14">
      <c r="B114" s="5" t="str">
        <f t="shared" si="71"/>
        <v>BN</v>
      </c>
      <c r="C114" t="str">
        <f t="shared" si="71"/>
        <v>BN</v>
      </c>
      <c r="D114" t="str">
        <f>$B$28</f>
        <v>BN-0</v>
      </c>
      <c r="E114" t="str">
        <f t="shared" si="71"/>
        <v>BN</v>
      </c>
      <c r="F114" t="str">
        <f>$B$28</f>
        <v>BN-0</v>
      </c>
      <c r="G114" t="str">
        <f>$B$28</f>
        <v>BN-0</v>
      </c>
      <c r="H114">
        <f t="shared" si="73"/>
        <v>0</v>
      </c>
      <c r="I114">
        <f t="shared" si="73"/>
        <v>0</v>
      </c>
      <c r="J114">
        <f t="shared" si="73"/>
        <v>62</v>
      </c>
      <c r="K114">
        <f t="shared" si="73"/>
        <v>0</v>
      </c>
      <c r="L114">
        <f t="shared" si="73"/>
        <v>66</v>
      </c>
      <c r="M114">
        <f t="shared" si="73"/>
        <v>98</v>
      </c>
      <c r="N114" s="4">
        <f t="shared" si="74"/>
        <v>0</v>
      </c>
    </row>
    <row r="115" spans="2:14">
      <c r="B115" s="5" t="str">
        <f t="shared" si="71"/>
        <v>BN</v>
      </c>
      <c r="C115" t="str">
        <f>$B$28</f>
        <v>BN-0</v>
      </c>
      <c r="D115" t="str">
        <f t="shared" si="71"/>
        <v>BN</v>
      </c>
      <c r="E115" t="str">
        <f t="shared" si="71"/>
        <v>BN</v>
      </c>
      <c r="F115" t="str">
        <f t="shared" ref="B115:G132" si="75">$B$28</f>
        <v>BN-0</v>
      </c>
      <c r="G115" t="str">
        <f t="shared" si="75"/>
        <v>BN-0</v>
      </c>
      <c r="H115">
        <f t="shared" si="73"/>
        <v>0</v>
      </c>
      <c r="I115">
        <f t="shared" si="73"/>
        <v>90</v>
      </c>
      <c r="J115">
        <f t="shared" si="73"/>
        <v>0</v>
      </c>
      <c r="K115">
        <f t="shared" si="73"/>
        <v>0</v>
      </c>
      <c r="L115">
        <f t="shared" si="73"/>
        <v>66</v>
      </c>
      <c r="M115">
        <f t="shared" si="73"/>
        <v>98</v>
      </c>
      <c r="N115" s="4">
        <f t="shared" si="74"/>
        <v>0</v>
      </c>
    </row>
    <row r="116" spans="2:14">
      <c r="B116" s="5" t="str">
        <f>$B$28</f>
        <v>BN-0</v>
      </c>
      <c r="C116" t="str">
        <f t="shared" si="71"/>
        <v>BN</v>
      </c>
      <c r="D116" t="str">
        <f t="shared" si="71"/>
        <v>BN</v>
      </c>
      <c r="E116" t="str">
        <f t="shared" si="71"/>
        <v>BN</v>
      </c>
      <c r="F116" t="str">
        <f t="shared" si="75"/>
        <v>BN-0</v>
      </c>
      <c r="G116" t="str">
        <f t="shared" si="75"/>
        <v>BN-0</v>
      </c>
      <c r="H116">
        <f t="shared" ref="H116:M131" si="76">SUMIF($B$3:$B$28,B116,C$3:C$28)</f>
        <v>68</v>
      </c>
      <c r="I116">
        <f t="shared" si="76"/>
        <v>0</v>
      </c>
      <c r="J116">
        <f t="shared" si="76"/>
        <v>0</v>
      </c>
      <c r="K116">
        <f t="shared" si="76"/>
        <v>0</v>
      </c>
      <c r="L116">
        <f t="shared" si="76"/>
        <v>66</v>
      </c>
      <c r="M116">
        <f t="shared" si="76"/>
        <v>98</v>
      </c>
      <c r="N116" s="4">
        <f t="shared" si="74"/>
        <v>0</v>
      </c>
    </row>
    <row r="117" spans="2:14">
      <c r="B117" s="5" t="str">
        <f t="shared" ref="B117:G132" si="77">$B$15</f>
        <v>BN</v>
      </c>
      <c r="C117" t="str">
        <f t="shared" si="77"/>
        <v>BN</v>
      </c>
      <c r="D117" t="str">
        <f t="shared" si="75"/>
        <v>BN-0</v>
      </c>
      <c r="E117" t="str">
        <f t="shared" si="75"/>
        <v>BN-0</v>
      </c>
      <c r="F117" t="str">
        <f t="shared" si="77"/>
        <v>BN</v>
      </c>
      <c r="G117" t="str">
        <f t="shared" si="75"/>
        <v>BN-0</v>
      </c>
      <c r="H117">
        <f t="shared" si="76"/>
        <v>0</v>
      </c>
      <c r="I117">
        <f t="shared" si="76"/>
        <v>0</v>
      </c>
      <c r="J117">
        <f t="shared" si="76"/>
        <v>62</v>
      </c>
      <c r="K117">
        <f t="shared" si="76"/>
        <v>55</v>
      </c>
      <c r="L117">
        <f t="shared" si="76"/>
        <v>0</v>
      </c>
      <c r="M117">
        <f t="shared" si="76"/>
        <v>98</v>
      </c>
      <c r="N117" s="4">
        <f t="shared" si="74"/>
        <v>0</v>
      </c>
    </row>
    <row r="118" spans="2:14">
      <c r="B118" s="5" t="str">
        <f t="shared" si="77"/>
        <v>BN</v>
      </c>
      <c r="C118" t="str">
        <f t="shared" si="75"/>
        <v>BN-0</v>
      </c>
      <c r="D118" t="str">
        <f t="shared" si="77"/>
        <v>BN</v>
      </c>
      <c r="E118" t="str">
        <f t="shared" si="75"/>
        <v>BN-0</v>
      </c>
      <c r="F118" t="str">
        <f t="shared" si="77"/>
        <v>BN</v>
      </c>
      <c r="G118" t="str">
        <f t="shared" si="75"/>
        <v>BN-0</v>
      </c>
      <c r="H118">
        <f t="shared" si="76"/>
        <v>0</v>
      </c>
      <c r="I118">
        <f t="shared" si="76"/>
        <v>90</v>
      </c>
      <c r="J118">
        <f t="shared" si="76"/>
        <v>0</v>
      </c>
      <c r="K118">
        <f t="shared" si="76"/>
        <v>55</v>
      </c>
      <c r="L118">
        <f t="shared" si="76"/>
        <v>0</v>
      </c>
      <c r="M118">
        <f t="shared" si="76"/>
        <v>98</v>
      </c>
      <c r="N118" s="4">
        <f t="shared" si="74"/>
        <v>0</v>
      </c>
    </row>
    <row r="119" spans="2:14">
      <c r="B119" s="5" t="str">
        <f t="shared" si="75"/>
        <v>BN-0</v>
      </c>
      <c r="C119" t="str">
        <f t="shared" si="77"/>
        <v>BN</v>
      </c>
      <c r="D119" t="str">
        <f t="shared" si="77"/>
        <v>BN</v>
      </c>
      <c r="E119" t="str">
        <f t="shared" si="75"/>
        <v>BN-0</v>
      </c>
      <c r="F119" t="str">
        <f t="shared" si="77"/>
        <v>BN</v>
      </c>
      <c r="G119" t="str">
        <f t="shared" si="75"/>
        <v>BN-0</v>
      </c>
      <c r="H119">
        <f t="shared" si="76"/>
        <v>68</v>
      </c>
      <c r="I119">
        <f t="shared" si="76"/>
        <v>0</v>
      </c>
      <c r="J119">
        <f t="shared" si="76"/>
        <v>0</v>
      </c>
      <c r="K119">
        <f t="shared" si="76"/>
        <v>55</v>
      </c>
      <c r="L119">
        <f t="shared" si="76"/>
        <v>0</v>
      </c>
      <c r="M119">
        <f t="shared" si="76"/>
        <v>98</v>
      </c>
      <c r="N119" s="4">
        <f t="shared" si="74"/>
        <v>0</v>
      </c>
    </row>
    <row r="120" spans="2:14">
      <c r="B120" s="5" t="str">
        <f t="shared" si="77"/>
        <v>BN</v>
      </c>
      <c r="C120" t="str">
        <f t="shared" si="75"/>
        <v>BN-0</v>
      </c>
      <c r="D120" t="str">
        <f t="shared" si="75"/>
        <v>BN-0</v>
      </c>
      <c r="E120" t="str">
        <f t="shared" si="77"/>
        <v>BN</v>
      </c>
      <c r="F120" t="str">
        <f t="shared" si="77"/>
        <v>BN</v>
      </c>
      <c r="G120" t="str">
        <f t="shared" si="75"/>
        <v>BN-0</v>
      </c>
      <c r="H120">
        <f t="shared" si="76"/>
        <v>0</v>
      </c>
      <c r="I120">
        <f t="shared" si="76"/>
        <v>90</v>
      </c>
      <c r="J120">
        <f t="shared" si="76"/>
        <v>62</v>
      </c>
      <c r="K120">
        <f t="shared" si="76"/>
        <v>0</v>
      </c>
      <c r="L120">
        <f t="shared" si="76"/>
        <v>0</v>
      </c>
      <c r="M120">
        <f t="shared" si="76"/>
        <v>98</v>
      </c>
      <c r="N120" s="4">
        <f t="shared" si="74"/>
        <v>0</v>
      </c>
    </row>
    <row r="121" spans="2:14">
      <c r="B121" s="5" t="str">
        <f t="shared" si="75"/>
        <v>BN-0</v>
      </c>
      <c r="C121" t="str">
        <f t="shared" si="77"/>
        <v>BN</v>
      </c>
      <c r="D121" t="str">
        <f t="shared" si="75"/>
        <v>BN-0</v>
      </c>
      <c r="E121" t="str">
        <f t="shared" si="77"/>
        <v>BN</v>
      </c>
      <c r="F121" t="str">
        <f t="shared" si="77"/>
        <v>BN</v>
      </c>
      <c r="G121" t="str">
        <f t="shared" si="75"/>
        <v>BN-0</v>
      </c>
      <c r="H121">
        <f t="shared" si="76"/>
        <v>68</v>
      </c>
      <c r="I121">
        <f t="shared" si="76"/>
        <v>0</v>
      </c>
      <c r="J121">
        <f t="shared" si="76"/>
        <v>62</v>
      </c>
      <c r="K121">
        <f t="shared" si="76"/>
        <v>0</v>
      </c>
      <c r="L121">
        <f t="shared" si="76"/>
        <v>0</v>
      </c>
      <c r="M121">
        <f t="shared" si="76"/>
        <v>98</v>
      </c>
      <c r="N121" s="4">
        <f t="shared" si="74"/>
        <v>0</v>
      </c>
    </row>
    <row r="122" spans="2:14">
      <c r="B122" s="5" t="str">
        <f t="shared" si="75"/>
        <v>BN-0</v>
      </c>
      <c r="C122" t="str">
        <f t="shared" si="75"/>
        <v>BN-0</v>
      </c>
      <c r="D122" t="str">
        <f t="shared" si="77"/>
        <v>BN</v>
      </c>
      <c r="E122" t="str">
        <f t="shared" si="77"/>
        <v>BN</v>
      </c>
      <c r="F122" t="str">
        <f t="shared" si="77"/>
        <v>BN</v>
      </c>
      <c r="G122" t="str">
        <f t="shared" si="75"/>
        <v>BN-0</v>
      </c>
      <c r="H122">
        <f t="shared" si="76"/>
        <v>68</v>
      </c>
      <c r="I122">
        <f t="shared" si="76"/>
        <v>90</v>
      </c>
      <c r="J122">
        <f t="shared" si="76"/>
        <v>0</v>
      </c>
      <c r="K122">
        <f t="shared" si="76"/>
        <v>0</v>
      </c>
      <c r="L122">
        <f t="shared" si="76"/>
        <v>0</v>
      </c>
      <c r="M122">
        <f t="shared" si="76"/>
        <v>98</v>
      </c>
      <c r="N122" s="4">
        <f t="shared" si="74"/>
        <v>0</v>
      </c>
    </row>
    <row r="123" spans="2:14">
      <c r="B123" s="5" t="str">
        <f t="shared" si="77"/>
        <v>BN</v>
      </c>
      <c r="C123" t="str">
        <f t="shared" si="77"/>
        <v>BN</v>
      </c>
      <c r="D123" t="str">
        <f t="shared" si="75"/>
        <v>BN-0</v>
      </c>
      <c r="E123" t="str">
        <f t="shared" si="75"/>
        <v>BN-0</v>
      </c>
      <c r="F123" t="str">
        <f t="shared" si="75"/>
        <v>BN-0</v>
      </c>
      <c r="G123" t="str">
        <f t="shared" si="77"/>
        <v>BN</v>
      </c>
      <c r="H123">
        <f t="shared" si="76"/>
        <v>0</v>
      </c>
      <c r="I123">
        <f t="shared" si="76"/>
        <v>0</v>
      </c>
      <c r="J123">
        <f t="shared" si="76"/>
        <v>62</v>
      </c>
      <c r="K123">
        <f t="shared" si="76"/>
        <v>55</v>
      </c>
      <c r="L123">
        <f t="shared" si="76"/>
        <v>66</v>
      </c>
      <c r="M123">
        <f t="shared" si="76"/>
        <v>0</v>
      </c>
      <c r="N123" s="4">
        <f t="shared" si="74"/>
        <v>0</v>
      </c>
    </row>
    <row r="124" spans="2:14">
      <c r="B124" s="5" t="str">
        <f t="shared" si="77"/>
        <v>BN</v>
      </c>
      <c r="C124" t="str">
        <f t="shared" si="75"/>
        <v>BN-0</v>
      </c>
      <c r="D124" t="str">
        <f t="shared" si="77"/>
        <v>BN</v>
      </c>
      <c r="E124" t="str">
        <f t="shared" si="75"/>
        <v>BN-0</v>
      </c>
      <c r="F124" t="str">
        <f t="shared" si="75"/>
        <v>BN-0</v>
      </c>
      <c r="G124" t="str">
        <f t="shared" si="77"/>
        <v>BN</v>
      </c>
      <c r="H124">
        <f t="shared" si="76"/>
        <v>0</v>
      </c>
      <c r="I124">
        <f t="shared" si="76"/>
        <v>90</v>
      </c>
      <c r="J124">
        <f t="shared" si="76"/>
        <v>0</v>
      </c>
      <c r="K124">
        <f t="shared" si="76"/>
        <v>55</v>
      </c>
      <c r="L124">
        <f t="shared" si="76"/>
        <v>66</v>
      </c>
      <c r="M124">
        <f t="shared" si="76"/>
        <v>0</v>
      </c>
      <c r="N124" s="4">
        <f t="shared" si="74"/>
        <v>0</v>
      </c>
    </row>
    <row r="125" spans="2:14">
      <c r="B125" s="5" t="str">
        <f t="shared" si="75"/>
        <v>BN-0</v>
      </c>
      <c r="C125" t="str">
        <f t="shared" si="77"/>
        <v>BN</v>
      </c>
      <c r="D125" t="str">
        <f t="shared" si="77"/>
        <v>BN</v>
      </c>
      <c r="E125" t="str">
        <f t="shared" si="75"/>
        <v>BN-0</v>
      </c>
      <c r="F125" t="str">
        <f t="shared" si="75"/>
        <v>BN-0</v>
      </c>
      <c r="G125" t="str">
        <f t="shared" si="77"/>
        <v>BN</v>
      </c>
      <c r="H125">
        <f t="shared" si="76"/>
        <v>68</v>
      </c>
      <c r="I125">
        <f t="shared" si="76"/>
        <v>0</v>
      </c>
      <c r="J125">
        <f t="shared" si="76"/>
        <v>0</v>
      </c>
      <c r="K125">
        <f t="shared" si="76"/>
        <v>55</v>
      </c>
      <c r="L125">
        <f t="shared" si="76"/>
        <v>66</v>
      </c>
      <c r="M125">
        <f t="shared" si="76"/>
        <v>0</v>
      </c>
      <c r="N125" s="4">
        <f t="shared" si="74"/>
        <v>0</v>
      </c>
    </row>
    <row r="126" spans="2:14">
      <c r="B126" s="5" t="str">
        <f t="shared" si="77"/>
        <v>BN</v>
      </c>
      <c r="C126" t="str">
        <f t="shared" si="75"/>
        <v>BN-0</v>
      </c>
      <c r="D126" t="str">
        <f t="shared" si="75"/>
        <v>BN-0</v>
      </c>
      <c r="E126" t="str">
        <f t="shared" si="77"/>
        <v>BN</v>
      </c>
      <c r="F126" t="str">
        <f t="shared" si="75"/>
        <v>BN-0</v>
      </c>
      <c r="G126" t="str">
        <f t="shared" si="77"/>
        <v>BN</v>
      </c>
      <c r="H126">
        <f t="shared" si="76"/>
        <v>0</v>
      </c>
      <c r="I126">
        <f t="shared" si="76"/>
        <v>90</v>
      </c>
      <c r="J126">
        <f t="shared" si="76"/>
        <v>62</v>
      </c>
      <c r="K126">
        <f t="shared" si="76"/>
        <v>0</v>
      </c>
      <c r="L126">
        <f t="shared" si="76"/>
        <v>66</v>
      </c>
      <c r="M126">
        <f t="shared" si="76"/>
        <v>0</v>
      </c>
      <c r="N126" s="4">
        <f t="shared" si="74"/>
        <v>0</v>
      </c>
    </row>
    <row r="127" spans="2:14">
      <c r="B127" s="5" t="str">
        <f t="shared" si="75"/>
        <v>BN-0</v>
      </c>
      <c r="C127" t="str">
        <f t="shared" si="77"/>
        <v>BN</v>
      </c>
      <c r="D127" t="str">
        <f t="shared" si="75"/>
        <v>BN-0</v>
      </c>
      <c r="E127" t="str">
        <f t="shared" si="77"/>
        <v>BN</v>
      </c>
      <c r="F127" t="str">
        <f t="shared" si="75"/>
        <v>BN-0</v>
      </c>
      <c r="G127" t="str">
        <f t="shared" si="77"/>
        <v>BN</v>
      </c>
      <c r="H127">
        <f t="shared" si="76"/>
        <v>68</v>
      </c>
      <c r="I127">
        <f t="shared" si="76"/>
        <v>0</v>
      </c>
      <c r="J127">
        <f t="shared" si="76"/>
        <v>62</v>
      </c>
      <c r="K127">
        <f t="shared" si="76"/>
        <v>0</v>
      </c>
      <c r="L127">
        <f t="shared" si="76"/>
        <v>66</v>
      </c>
      <c r="M127">
        <f t="shared" si="76"/>
        <v>0</v>
      </c>
      <c r="N127" s="4">
        <f t="shared" si="74"/>
        <v>0</v>
      </c>
    </row>
    <row r="128" spans="2:14">
      <c r="B128" s="5" t="str">
        <f t="shared" si="75"/>
        <v>BN-0</v>
      </c>
      <c r="C128" t="str">
        <f t="shared" si="75"/>
        <v>BN-0</v>
      </c>
      <c r="D128" t="str">
        <f t="shared" si="77"/>
        <v>BN</v>
      </c>
      <c r="E128" t="str">
        <f t="shared" si="77"/>
        <v>BN</v>
      </c>
      <c r="F128" t="str">
        <f t="shared" si="75"/>
        <v>BN-0</v>
      </c>
      <c r="G128" t="str">
        <f t="shared" si="77"/>
        <v>BN</v>
      </c>
      <c r="H128">
        <f t="shared" si="76"/>
        <v>68</v>
      </c>
      <c r="I128">
        <f t="shared" si="76"/>
        <v>90</v>
      </c>
      <c r="J128">
        <f t="shared" si="76"/>
        <v>0</v>
      </c>
      <c r="K128">
        <f t="shared" si="76"/>
        <v>0</v>
      </c>
      <c r="L128">
        <f t="shared" si="76"/>
        <v>66</v>
      </c>
      <c r="M128">
        <f t="shared" si="76"/>
        <v>0</v>
      </c>
      <c r="N128" s="4">
        <f t="shared" si="74"/>
        <v>0</v>
      </c>
    </row>
    <row r="129" spans="2:14">
      <c r="B129" s="5" t="str">
        <f t="shared" si="77"/>
        <v>BN</v>
      </c>
      <c r="C129" t="str">
        <f t="shared" si="75"/>
        <v>BN-0</v>
      </c>
      <c r="D129" t="str">
        <f t="shared" si="75"/>
        <v>BN-0</v>
      </c>
      <c r="E129" t="str">
        <f t="shared" si="75"/>
        <v>BN-0</v>
      </c>
      <c r="F129" t="str">
        <f t="shared" si="77"/>
        <v>BN</v>
      </c>
      <c r="G129" t="str">
        <f t="shared" si="77"/>
        <v>BN</v>
      </c>
      <c r="H129">
        <f t="shared" si="76"/>
        <v>0</v>
      </c>
      <c r="I129">
        <f t="shared" si="76"/>
        <v>90</v>
      </c>
      <c r="J129">
        <f t="shared" si="76"/>
        <v>62</v>
      </c>
      <c r="K129">
        <f t="shared" si="76"/>
        <v>55</v>
      </c>
      <c r="L129">
        <f t="shared" si="76"/>
        <v>0</v>
      </c>
      <c r="M129">
        <f t="shared" si="76"/>
        <v>0</v>
      </c>
      <c r="N129" s="4">
        <f t="shared" si="74"/>
        <v>0</v>
      </c>
    </row>
    <row r="130" spans="2:14">
      <c r="B130" s="5" t="str">
        <f t="shared" si="75"/>
        <v>BN-0</v>
      </c>
      <c r="C130" t="str">
        <f t="shared" si="77"/>
        <v>BN</v>
      </c>
      <c r="D130" t="str">
        <f t="shared" si="75"/>
        <v>BN-0</v>
      </c>
      <c r="E130" t="str">
        <f t="shared" si="75"/>
        <v>BN-0</v>
      </c>
      <c r="F130" t="str">
        <f t="shared" si="77"/>
        <v>BN</v>
      </c>
      <c r="G130" t="str">
        <f t="shared" si="77"/>
        <v>BN</v>
      </c>
      <c r="H130">
        <f t="shared" si="76"/>
        <v>68</v>
      </c>
      <c r="I130">
        <f t="shared" si="76"/>
        <v>0</v>
      </c>
      <c r="J130">
        <f t="shared" si="76"/>
        <v>62</v>
      </c>
      <c r="K130">
        <f t="shared" si="76"/>
        <v>55</v>
      </c>
      <c r="L130">
        <f t="shared" si="76"/>
        <v>0</v>
      </c>
      <c r="M130">
        <f t="shared" si="76"/>
        <v>0</v>
      </c>
      <c r="N130" s="4">
        <f t="shared" si="74"/>
        <v>0</v>
      </c>
    </row>
    <row r="131" spans="2:14">
      <c r="B131" s="5" t="str">
        <f t="shared" si="75"/>
        <v>BN-0</v>
      </c>
      <c r="C131" t="str">
        <f t="shared" si="75"/>
        <v>BN-0</v>
      </c>
      <c r="D131" t="str">
        <f t="shared" si="77"/>
        <v>BN</v>
      </c>
      <c r="E131" t="str">
        <f t="shared" si="75"/>
        <v>BN-0</v>
      </c>
      <c r="F131" t="str">
        <f t="shared" si="77"/>
        <v>BN</v>
      </c>
      <c r="G131" t="str">
        <f t="shared" si="77"/>
        <v>BN</v>
      </c>
      <c r="H131">
        <f t="shared" si="76"/>
        <v>68</v>
      </c>
      <c r="I131">
        <f t="shared" si="76"/>
        <v>90</v>
      </c>
      <c r="J131">
        <f t="shared" si="76"/>
        <v>0</v>
      </c>
      <c r="K131">
        <f t="shared" si="76"/>
        <v>55</v>
      </c>
      <c r="L131">
        <f t="shared" si="76"/>
        <v>0</v>
      </c>
      <c r="M131">
        <f t="shared" si="76"/>
        <v>0</v>
      </c>
      <c r="N131" s="4">
        <f t="shared" si="74"/>
        <v>0</v>
      </c>
    </row>
    <row r="132" spans="2:14">
      <c r="B132" s="3" t="str">
        <f t="shared" si="75"/>
        <v>BN-0</v>
      </c>
      <c r="C132" s="2" t="str">
        <f t="shared" si="75"/>
        <v>BN-0</v>
      </c>
      <c r="D132" s="2" t="str">
        <f t="shared" si="75"/>
        <v>BN-0</v>
      </c>
      <c r="E132" s="2" t="str">
        <f t="shared" si="77"/>
        <v>BN</v>
      </c>
      <c r="F132" s="2" t="str">
        <f t="shared" si="77"/>
        <v>BN</v>
      </c>
      <c r="G132" s="2" t="str">
        <f t="shared" si="77"/>
        <v>BN</v>
      </c>
      <c r="H132" s="2">
        <f t="shared" ref="H132:M132" si="78">SUMIF($B$3:$B$28,B132,C$3:C$28)</f>
        <v>68</v>
      </c>
      <c r="I132" s="2">
        <f t="shared" si="78"/>
        <v>90</v>
      </c>
      <c r="J132" s="2">
        <f t="shared" si="78"/>
        <v>62</v>
      </c>
      <c r="K132" s="2">
        <f t="shared" si="78"/>
        <v>0</v>
      </c>
      <c r="L132" s="2">
        <f t="shared" si="78"/>
        <v>0</v>
      </c>
      <c r="M132" s="2">
        <f t="shared" si="78"/>
        <v>0</v>
      </c>
      <c r="N132" s="1">
        <f t="shared" si="74"/>
        <v>0</v>
      </c>
    </row>
  </sheetData>
  <mergeCells count="4">
    <mergeCell ref="K17:P17"/>
    <mergeCell ref="AA17:AF17"/>
    <mergeCell ref="AK17:AL17"/>
    <mergeCell ref="AK18:AL18"/>
  </mergeCells>
  <conditionalFormatting sqref="AA18:AF52">
    <cfRule type="cellIs" dxfId="19" priority="1" operator="equal">
      <formula>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A111-7BFD-4340-A39E-AAD8FDC7860D}">
  <dimension ref="B2:BL135"/>
  <sheetViews>
    <sheetView topLeftCell="E1" zoomScale="66" zoomScaleNormal="84" workbookViewId="0">
      <selection activeCell="AJ4" sqref="AJ4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'FG1 Calc'!K26</f>
        <v>2</v>
      </c>
      <c r="S3" s="37">
        <f>'FG1 Calc'!L26</f>
        <v>2</v>
      </c>
      <c r="T3" s="37">
        <f>'FG1 Calc'!M26</f>
        <v>2</v>
      </c>
      <c r="U3" s="37">
        <f>'FG1 Calc'!N26</f>
        <v>2</v>
      </c>
      <c r="V3" s="37">
        <f>'FG1 Calc'!O26</f>
        <v>2</v>
      </c>
      <c r="W3" s="38">
        <f>'FG1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LL</v>
      </c>
      <c r="D4" s="32" t="str">
        <f t="shared" si="1"/>
        <v>KK</v>
      </c>
      <c r="E4" s="32" t="str">
        <f t="shared" si="1"/>
        <v>JJ</v>
      </c>
      <c r="F4" s="32" t="str">
        <f t="shared" si="1"/>
        <v>KK</v>
      </c>
      <c r="G4" s="32" t="str">
        <f t="shared" si="1"/>
        <v>KK</v>
      </c>
      <c r="H4" s="33" t="str">
        <f t="shared" si="1"/>
        <v>BB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JJ</v>
      </c>
      <c r="D5" s="30" t="str">
        <f t="shared" si="1"/>
        <v>HH</v>
      </c>
      <c r="E5" s="30" t="str">
        <f t="shared" si="1"/>
        <v>AA</v>
      </c>
      <c r="F5" s="30" t="str">
        <f t="shared" si="1"/>
        <v>AA</v>
      </c>
      <c r="G5" s="30" t="str">
        <f t="shared" si="1"/>
        <v>JJ</v>
      </c>
      <c r="H5" s="35" t="str">
        <f t="shared" si="1"/>
        <v>KK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GG</v>
      </c>
      <c r="D6" s="30" t="str">
        <f t="shared" si="1"/>
        <v>LL</v>
      </c>
      <c r="E6" s="30" t="str">
        <f t="shared" si="1"/>
        <v>HH</v>
      </c>
      <c r="F6" s="30" t="str">
        <f t="shared" si="1"/>
        <v>LL</v>
      </c>
      <c r="G6" s="30" t="str">
        <f t="shared" si="1"/>
        <v>CC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LL</v>
      </c>
      <c r="D7" s="30" t="str">
        <f t="shared" si="1"/>
        <v>JJ</v>
      </c>
      <c r="E7" s="30" t="str">
        <f t="shared" si="1"/>
        <v>KK</v>
      </c>
      <c r="F7" s="30" t="str">
        <f t="shared" si="1"/>
        <v>GG</v>
      </c>
      <c r="G7" s="30" t="str">
        <f t="shared" si="1"/>
        <v>JJ</v>
      </c>
      <c r="H7" s="35" t="str">
        <f t="shared" si="1"/>
        <v>LL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KK</v>
      </c>
      <c r="D8" s="30" t="str">
        <f t="shared" si="1"/>
        <v>AA</v>
      </c>
      <c r="E8" s="30" t="str">
        <f t="shared" si="1"/>
        <v>JJ</v>
      </c>
      <c r="F8" s="30" t="str">
        <f t="shared" si="1"/>
        <v>AA</v>
      </c>
      <c r="G8" s="30" t="str">
        <f t="shared" si="1"/>
        <v>FF</v>
      </c>
      <c r="H8" s="35" t="str">
        <f t="shared" si="1"/>
        <v>DD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FF</v>
      </c>
      <c r="D9" s="37" t="str">
        <f t="shared" si="1"/>
        <v>BB</v>
      </c>
      <c r="E9" s="37" t="str">
        <f t="shared" si="1"/>
        <v>AA</v>
      </c>
      <c r="F9" s="37" t="str">
        <f t="shared" si="1"/>
        <v>JJ</v>
      </c>
      <c r="G9" s="37" t="str">
        <f t="shared" si="1"/>
        <v>CC</v>
      </c>
      <c r="H9" s="38" t="str">
        <f t="shared" si="1"/>
        <v>CC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137</v>
      </c>
      <c r="D10" s="30" t="s">
        <v>133</v>
      </c>
      <c r="E10" s="30" t="s">
        <v>138</v>
      </c>
      <c r="F10" s="30" t="s">
        <v>128</v>
      </c>
      <c r="G10" s="30" t="s">
        <v>133</v>
      </c>
      <c r="H10" s="35" t="s">
        <v>133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0000011000000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0010000100000</v>
      </c>
      <c r="AD10" s="15" t="str">
        <f t="shared" si="7"/>
        <v>0100000000010</v>
      </c>
      <c r="AE10" s="15" t="str">
        <f t="shared" si="7"/>
        <v>0000001001000</v>
      </c>
      <c r="AF10" s="15" t="str">
        <f t="shared" si="7"/>
        <v>0001000100000</v>
      </c>
      <c r="AG10" s="41" t="str">
        <f t="shared" si="7"/>
        <v>0001000100000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134</v>
      </c>
      <c r="D11" s="30" t="s">
        <v>133</v>
      </c>
      <c r="E11" s="30" t="s">
        <v>128</v>
      </c>
      <c r="F11" s="30" t="s">
        <v>132</v>
      </c>
      <c r="G11" s="30" t="s">
        <v>134</v>
      </c>
      <c r="H11" s="35" t="s">
        <v>133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5</v>
      </c>
      <c r="S11" s="30">
        <f t="shared" si="5"/>
        <v>14</v>
      </c>
      <c r="T11" s="30">
        <f t="shared" si="5"/>
        <v>8</v>
      </c>
      <c r="U11" s="30">
        <f t="shared" si="5"/>
        <v>9</v>
      </c>
      <c r="V11" s="30">
        <f t="shared" si="5"/>
        <v>5</v>
      </c>
      <c r="W11" s="35">
        <f t="shared" si="5"/>
        <v>8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0001010000000</v>
      </c>
      <c r="AC11" s="15" t="str">
        <f t="shared" si="7"/>
        <v>0000000200000</v>
      </c>
      <c r="AD11" s="15" t="str">
        <f t="shared" si="7"/>
        <v>0000001000010</v>
      </c>
      <c r="AE11" s="15" t="str">
        <f t="shared" si="7"/>
        <v>0000001000100</v>
      </c>
      <c r="AF11" s="15" t="str">
        <f t="shared" si="7"/>
        <v>0001000100000</v>
      </c>
      <c r="AG11" s="41" t="str">
        <f t="shared" si="7"/>
        <v>0000000200000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10</v>
      </c>
      <c r="AT11" s="30" cm="1">
        <f t="array" ref="AT11">SUMPRODUCT($AI$10:$AI$113,AL$10:AL$113,IF(LEFT($AJ$10:$AJ$113,2)=$AR11,1,0))</f>
        <v>28</v>
      </c>
      <c r="AU11" s="30" cm="1">
        <f t="array" ref="AU11">SUMPRODUCT($AI$10:$AI$113,AM$10:AM$113,IF(LEFT($AJ$10:$AJ$113,2)=$AR11,1,0))</f>
        <v>16</v>
      </c>
      <c r="AV11" s="30" cm="1">
        <f t="array" ref="AV11">SUMPRODUCT($AI$10:$AI$113,AN$10:AN$113,IF(LEFT($AJ$10:$AJ$113,2)=$AR11,1,0))</f>
        <v>18</v>
      </c>
      <c r="AW11" s="30" cm="1">
        <f t="array" ref="AW11">SUMPRODUCT($AI$10:$AI$113,AO$10:AO$113,IF(LEFT($AJ$10:$AJ$113,2)=$AR11,1,0))</f>
        <v>10</v>
      </c>
      <c r="AX11" s="35" cm="1">
        <f t="array" ref="AX11">SUMPRODUCT($AI$10:$AI$113,AP$10:AP$113,IF(LEFT($AJ$10:$AJ$113,2)=$AR11,1,0))</f>
        <v>16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128</v>
      </c>
      <c r="D12" s="30" t="s">
        <v>133</v>
      </c>
      <c r="E12" s="30" t="s">
        <v>128</v>
      </c>
      <c r="F12" s="30" t="s">
        <v>131</v>
      </c>
      <c r="G12" s="30" t="s">
        <v>136</v>
      </c>
      <c r="H12" s="35" t="s">
        <v>133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5</v>
      </c>
      <c r="S12" s="30">
        <f t="shared" si="5"/>
        <v>12</v>
      </c>
      <c r="T12" s="30">
        <f t="shared" si="5"/>
        <v>7</v>
      </c>
      <c r="U12" s="30">
        <f t="shared" si="5"/>
        <v>7</v>
      </c>
      <c r="V12" s="30">
        <f t="shared" si="5"/>
        <v>8</v>
      </c>
      <c r="W12" s="35">
        <f t="shared" si="5"/>
        <v>13</v>
      </c>
      <c r="Y12" s="20">
        <f t="shared" si="6"/>
        <v>4</v>
      </c>
      <c r="Z12" s="23" t="s">
        <v>134</v>
      </c>
      <c r="AB12" s="40" t="str">
        <f t="shared" si="11"/>
        <v>0001001000000</v>
      </c>
      <c r="AC12" s="15" t="str">
        <f t="shared" si="7"/>
        <v>0000000200000</v>
      </c>
      <c r="AD12" s="15" t="str">
        <f t="shared" si="7"/>
        <v>0000002000000</v>
      </c>
      <c r="AE12" s="15" t="str">
        <f t="shared" si="7"/>
        <v>0100000000100</v>
      </c>
      <c r="AF12" s="15" t="str">
        <f t="shared" si="7"/>
        <v>0001100000000</v>
      </c>
      <c r="AG12" s="41" t="str">
        <f t="shared" si="7"/>
        <v>0000000200000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10</v>
      </c>
      <c r="AT12" s="30" cm="1">
        <f t="array" ref="AT12">SUMPRODUCT($AI$10:$AI$113,AL$10:AL$113,IF(LEFT($AJ$10:$AJ$113,2)=$AR12,1,0))</f>
        <v>24</v>
      </c>
      <c r="AU12" s="30" cm="1">
        <f t="array" ref="AU12">SUMPRODUCT($AI$10:$AI$113,AM$10:AM$113,IF(LEFT($AJ$10:$AJ$113,2)=$AR12,1,0))</f>
        <v>14</v>
      </c>
      <c r="AV12" s="30" cm="1">
        <f t="array" ref="AV12">SUMPRODUCT($AI$10:$AI$113,AN$10:AN$113,IF(LEFT($AJ$10:$AJ$113,2)=$AR12,1,0))</f>
        <v>14</v>
      </c>
      <c r="AW12" s="30" cm="1">
        <f t="array" ref="AW12">SUMPRODUCT($AI$10:$AI$113,AO$10:AO$113,IF(LEFT($AJ$10:$AJ$113,2)=$AR12,1,0))</f>
        <v>16</v>
      </c>
      <c r="AX12" s="35" cm="1">
        <f t="array" ref="AX12">SUMPRODUCT($AI$10:$AI$113,AP$10:AP$113,IF(LEFT($AJ$10:$AJ$113,2)=$AR12,1,0))</f>
        <v>26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129</v>
      </c>
      <c r="D13" s="30" t="s">
        <v>128</v>
      </c>
      <c r="E13" s="30" t="s">
        <v>128</v>
      </c>
      <c r="F13" s="30" t="s">
        <v>132</v>
      </c>
      <c r="G13" s="30" t="s">
        <v>129</v>
      </c>
      <c r="H13" s="35" t="s">
        <v>132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10</v>
      </c>
      <c r="S13" s="30">
        <f t="shared" si="5"/>
        <v>10</v>
      </c>
      <c r="T13" s="30">
        <f t="shared" si="5"/>
        <v>4</v>
      </c>
      <c r="U13" s="30">
        <f t="shared" si="5"/>
        <v>4</v>
      </c>
      <c r="V13" s="30">
        <f t="shared" si="5"/>
        <v>11</v>
      </c>
      <c r="W13" s="35">
        <f t="shared" si="5"/>
        <v>11</v>
      </c>
      <c r="Y13" s="20">
        <f t="shared" si="6"/>
        <v>5</v>
      </c>
      <c r="Z13" s="23" t="s">
        <v>136</v>
      </c>
      <c r="AB13" s="40" t="str">
        <f t="shared" si="11"/>
        <v>0000001001000</v>
      </c>
      <c r="AC13" s="15" t="str">
        <f t="shared" si="7"/>
        <v>0000001100000</v>
      </c>
      <c r="AD13" s="15" t="str">
        <f t="shared" si="7"/>
        <v>0000002000000</v>
      </c>
      <c r="AE13" s="15" t="str">
        <f t="shared" si="7"/>
        <v>0100000000100</v>
      </c>
      <c r="AF13" s="15" t="str">
        <f t="shared" si="7"/>
        <v>0000100001000</v>
      </c>
      <c r="AG13" s="41" t="str">
        <f t="shared" si="7"/>
        <v>0000000100100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20</v>
      </c>
      <c r="AT13" s="30" cm="1">
        <f t="array" ref="AT13">SUMPRODUCT($AI$10:$AI$113,AL$10:AL$113,IF(LEFT($AJ$10:$AJ$113,2)=$AR13,1,0))</f>
        <v>20</v>
      </c>
      <c r="AU13" s="30" cm="1">
        <f t="array" ref="AU13">SUMPRODUCT($AI$10:$AI$113,AM$10:AM$113,IF(LEFT($AJ$10:$AJ$113,2)=$AR13,1,0))</f>
        <v>8</v>
      </c>
      <c r="AV13" s="30" cm="1">
        <f t="array" ref="AV13">SUMPRODUCT($AI$10:$AI$113,AN$10:AN$113,IF(LEFT($AJ$10:$AJ$113,2)=$AR13,1,0))</f>
        <v>8</v>
      </c>
      <c r="AW13" s="30" cm="1">
        <f t="array" ref="AW13">SUMPRODUCT($AI$10:$AI$113,AO$10:AO$113,IF(LEFT($AJ$10:$AJ$113,2)=$AR13,1,0))</f>
        <v>22</v>
      </c>
      <c r="AX13" s="35" cm="1">
        <f t="array" ref="AX13">SUMPRODUCT($AI$10:$AI$113,AP$10:AP$113,IF(LEFT($AJ$10:$AJ$113,2)=$AR13,1,0))</f>
        <v>22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133</v>
      </c>
      <c r="D14" s="30" t="s">
        <v>131</v>
      </c>
      <c r="E14" s="30" t="s">
        <v>132</v>
      </c>
      <c r="F14" s="30" t="s">
        <v>132</v>
      </c>
      <c r="G14" s="30" t="s">
        <v>129</v>
      </c>
      <c r="H14" s="35" t="s">
        <v>134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5</v>
      </c>
      <c r="S14" s="30">
        <f t="shared" si="5"/>
        <v>2</v>
      </c>
      <c r="T14" s="30">
        <f t="shared" si="5"/>
        <v>1</v>
      </c>
      <c r="U14" s="30">
        <f t="shared" si="5"/>
        <v>1</v>
      </c>
      <c r="V14" s="30">
        <f t="shared" si="5"/>
        <v>2</v>
      </c>
      <c r="W14" s="35">
        <f t="shared" si="5"/>
        <v>9</v>
      </c>
      <c r="Y14" s="20">
        <f t="shared" si="6"/>
        <v>6</v>
      </c>
      <c r="Z14" s="23" t="s">
        <v>137</v>
      </c>
      <c r="AB14" s="40" t="str">
        <f t="shared" si="11"/>
        <v>0000000101000</v>
      </c>
      <c r="AC14" s="15" t="str">
        <f t="shared" si="7"/>
        <v>0100001000000</v>
      </c>
      <c r="AD14" s="15" t="str">
        <f t="shared" si="7"/>
        <v>0000001000100</v>
      </c>
      <c r="AE14" s="15" t="str">
        <f t="shared" si="7"/>
        <v>0000000000200</v>
      </c>
      <c r="AF14" s="15" t="str">
        <f t="shared" si="7"/>
        <v>0000000002000</v>
      </c>
      <c r="AG14" s="41" t="str">
        <f t="shared" si="7"/>
        <v>0001000000100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10</v>
      </c>
      <c r="AT14" s="30" cm="1">
        <f t="array" ref="AT14">SUMPRODUCT($AI$10:$AI$113,AL$10:AL$113,IF(LEFT($AJ$10:$AJ$113,2)=$AR14,1,0))</f>
        <v>4</v>
      </c>
      <c r="AU14" s="30" cm="1">
        <f t="array" ref="AU14">SUMPRODUCT($AI$10:$AI$113,AM$10:AM$113,IF(LEFT($AJ$10:$AJ$113,2)=$AR14,1,0))</f>
        <v>2</v>
      </c>
      <c r="AV14" s="30" cm="1">
        <f t="array" ref="AV14">SUMPRODUCT($AI$10:$AI$113,AN$10:AN$113,IF(LEFT($AJ$10:$AJ$113,2)=$AR14,1,0))</f>
        <v>2</v>
      </c>
      <c r="AW14" s="30" cm="1">
        <f t="array" ref="AW14">SUMPRODUCT($AI$10:$AI$113,AO$10:AO$113,IF(LEFT($AJ$10:$AJ$113,2)=$AR14,1,0))</f>
        <v>4</v>
      </c>
      <c r="AX14" s="35" cm="1">
        <f t="array" ref="AX14">SUMPRODUCT($AI$10:$AI$113,AP$10:AP$113,IF(LEFT($AJ$10:$AJ$113,2)=$AR14,1,0))</f>
        <v>18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133</v>
      </c>
      <c r="D15" s="30" t="s">
        <v>131</v>
      </c>
      <c r="E15" s="30" t="s">
        <v>137</v>
      </c>
      <c r="F15" s="30" t="s">
        <v>132</v>
      </c>
      <c r="G15" s="30" t="s">
        <v>129</v>
      </c>
      <c r="H15" s="35" t="s">
        <v>134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2</v>
      </c>
      <c r="T15" s="30">
        <f t="shared" si="5"/>
        <v>3</v>
      </c>
      <c r="U15" s="30">
        <f t="shared" si="5"/>
        <v>1</v>
      </c>
      <c r="V15" s="30">
        <f t="shared" si="5"/>
        <v>2</v>
      </c>
      <c r="W15" s="35">
        <f t="shared" si="5"/>
        <v>3</v>
      </c>
      <c r="Y15" s="20">
        <f t="shared" si="6"/>
        <v>7</v>
      </c>
      <c r="Z15" s="23" t="s">
        <v>128</v>
      </c>
      <c r="AB15" s="40" t="str">
        <f t="shared" si="11"/>
        <v>0000000200000</v>
      </c>
      <c r="AC15" s="15" t="str">
        <f t="shared" si="7"/>
        <v>0200000000000</v>
      </c>
      <c r="AD15" s="15" t="str">
        <f t="shared" si="7"/>
        <v>0000010000100</v>
      </c>
      <c r="AE15" s="15" t="str">
        <f t="shared" si="7"/>
        <v>0000000000200</v>
      </c>
      <c r="AF15" s="15" t="str">
        <f t="shared" si="7"/>
        <v>0000000002000</v>
      </c>
      <c r="AG15" s="41" t="str">
        <f t="shared" si="7"/>
        <v>0002000000000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3</v>
      </c>
      <c r="AM15" s="39" cm="1">
        <f t="array" ref="AM15">SUMPRODUCT(--(MID(AD$10:AD$135, SUMIF($Z$9:$Z$21, LEFT($AJ15,2), $Y$9:$Y$21), 1) = RIGHT($AJ15, 1)), L$10:L$135)</f>
        <v>2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3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4</v>
      </c>
      <c r="AU15" s="30" cm="1">
        <f t="array" ref="AU15">SUMPRODUCT($AI$10:$AI$113,AM$10:AM$113,IF(LEFT($AJ$10:$AJ$113,2)=$AR15,1,0))</f>
        <v>6</v>
      </c>
      <c r="AV15" s="30" cm="1">
        <f t="array" ref="AV15">SUMPRODUCT($AI$10:$AI$113,AN$10:AN$113,IF(LEFT($AJ$10:$AJ$113,2)=$AR15,1,0))</f>
        <v>2</v>
      </c>
      <c r="AW15" s="30" cm="1">
        <f t="array" ref="AW15">SUMPRODUCT($AI$10:$AI$113,AO$10:AO$113,IF(LEFT($AJ$10:$AJ$113,2)=$AR15,1,0))</f>
        <v>4</v>
      </c>
      <c r="AX15" s="35" cm="1">
        <f t="array" ref="AX15">SUMPRODUCT($AI$10:$AI$113,AP$10:AP$113,IF(LEFT($AJ$10:$AJ$113,2)=$AR15,1,0))</f>
        <v>6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133</v>
      </c>
      <c r="D16" s="30" t="s">
        <v>131</v>
      </c>
      <c r="E16" s="30" t="s">
        <v>127</v>
      </c>
      <c r="F16" s="30" t="s">
        <v>130</v>
      </c>
      <c r="G16" s="30" t="s">
        <v>128</v>
      </c>
      <c r="H16" s="35" t="s">
        <v>134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6</v>
      </c>
      <c r="S16" s="30">
        <f t="shared" si="5"/>
        <v>8</v>
      </c>
      <c r="T16" s="30">
        <f t="shared" si="5"/>
        <v>5</v>
      </c>
      <c r="U16" s="30">
        <f t="shared" si="5"/>
        <v>1</v>
      </c>
      <c r="V16" s="30">
        <f t="shared" si="5"/>
        <v>6</v>
      </c>
      <c r="W16" s="35">
        <f t="shared" si="5"/>
        <v>12</v>
      </c>
      <c r="Y16" s="20">
        <f t="shared" si="6"/>
        <v>8</v>
      </c>
      <c r="Z16" s="23" t="s">
        <v>133</v>
      </c>
      <c r="AB16" s="40" t="str">
        <f t="shared" si="11"/>
        <v>0000000200000</v>
      </c>
      <c r="AC16" s="15" t="str">
        <f t="shared" si="7"/>
        <v>0200000000000</v>
      </c>
      <c r="AD16" s="15" t="str">
        <f t="shared" si="7"/>
        <v>0010010000000</v>
      </c>
      <c r="AE16" s="15" t="str">
        <f t="shared" si="7"/>
        <v>0000000010100</v>
      </c>
      <c r="AF16" s="15" t="str">
        <f t="shared" si="7"/>
        <v>0000001001000</v>
      </c>
      <c r="AG16" s="41" t="str">
        <f t="shared" si="7"/>
        <v>0002000000000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6</v>
      </c>
      <c r="AL16" s="39" cm="1">
        <f t="array" ref="AL16">SUMPRODUCT(--(MID(AC$10:AC$135, SUMIF($Z$9:$Z$21, LEFT($AJ16,2), $Y$9:$Y$21), 1) = RIGHT($AJ16, 1)), K$10:K$135)</f>
        <v>22</v>
      </c>
      <c r="AM16" s="39" cm="1">
        <f t="array" ref="AM16">SUMPRODUCT(--(MID(AD$10:AD$135, SUMIF($Z$9:$Z$21, LEFT($AJ16,2), $Y$9:$Y$21), 1) = RIGHT($AJ16, 1)), L$10:L$135)</f>
        <v>12</v>
      </c>
      <c r="AN16" s="39" cm="1">
        <f t="array" ref="AN16">SUMPRODUCT(--(MID(AE$10:AE$135, SUMIF($Z$9:$Z$21, LEFT($AJ16,2), $Y$9:$Y$21), 1) = RIGHT($AJ16, 1)), M$10:M$135)</f>
        <v>14</v>
      </c>
      <c r="AO16" s="39" cm="1">
        <f t="array" ref="AO16">SUMPRODUCT(--(MID(AF$10:AF$135, SUMIF($Z$9:$Z$21, LEFT($AJ16,2), $Y$9:$Y$21), 1) = RIGHT($AJ16, 1)), N$10:N$135)</f>
        <v>6</v>
      </c>
      <c r="AP16" s="19" cm="1">
        <f t="array" ref="AP16">SUMPRODUCT(--(MID(AG$10:AG$135, SUMIF($Z$9:$Z$21, LEFT($AJ16,2), $Y$9:$Y$21), 1) = RIGHT($AJ16, 1)), O$10:O$135)</f>
        <v>10</v>
      </c>
      <c r="AR16" s="34" t="str">
        <f t="shared" si="8"/>
        <v>FF</v>
      </c>
      <c r="AS16" s="30" cm="1">
        <f t="array" ref="AS16">SUMPRODUCT($AI$10:$AI$113,AK$10:AK$113,IF(LEFT($AJ$10:$AJ$113,2)=$AR16,1,0))</f>
        <v>12</v>
      </c>
      <c r="AT16" s="30" cm="1">
        <f t="array" ref="AT16">SUMPRODUCT($AI$10:$AI$113,AL$10:AL$113,IF(LEFT($AJ$10:$AJ$113,2)=$AR16,1,0))</f>
        <v>16</v>
      </c>
      <c r="AU16" s="30" cm="1">
        <f t="array" ref="AU16">SUMPRODUCT($AI$10:$AI$113,AM$10:AM$113,IF(LEFT($AJ$10:$AJ$113,2)=$AR16,1,0))</f>
        <v>10</v>
      </c>
      <c r="AV16" s="30" cm="1">
        <f t="array" ref="AV16">SUMPRODUCT($AI$10:$AI$113,AN$10:AN$113,IF(LEFT($AJ$10:$AJ$113,2)=$AR16,1,0))</f>
        <v>2</v>
      </c>
      <c r="AW16" s="30" cm="1">
        <f t="array" ref="AW16">SUMPRODUCT($AI$10:$AI$113,AO$10:AO$113,IF(LEFT($AJ$10:$AJ$113,2)=$AR16,1,0))</f>
        <v>12</v>
      </c>
      <c r="AX16" s="35" cm="1">
        <f t="array" ref="AX16">SUMPRODUCT($AI$10:$AI$113,AP$10:AP$113,IF(LEFT($AJ$10:$AJ$113,2)=$AR16,1,0))</f>
        <v>24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136</v>
      </c>
      <c r="D17" s="30" t="s">
        <v>131</v>
      </c>
      <c r="E17" s="30" t="s">
        <v>130</v>
      </c>
      <c r="F17" s="30" t="s">
        <v>133</v>
      </c>
      <c r="G17" s="30" t="s">
        <v>127</v>
      </c>
      <c r="H17" s="35" t="s">
        <v>138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8</v>
      </c>
      <c r="S17" s="30">
        <f t="shared" si="5"/>
        <v>4</v>
      </c>
      <c r="T17" s="30">
        <f t="shared" si="5"/>
        <v>5</v>
      </c>
      <c r="U17" s="30">
        <f t="shared" si="5"/>
        <v>8</v>
      </c>
      <c r="V17" s="30">
        <f t="shared" si="5"/>
        <v>4</v>
      </c>
      <c r="W17" s="35">
        <f t="shared" si="5"/>
        <v>4</v>
      </c>
      <c r="Y17" s="20">
        <f t="shared" si="6"/>
        <v>9</v>
      </c>
      <c r="Z17" s="23" t="s">
        <v>130</v>
      </c>
      <c r="AB17" s="40" t="str">
        <f t="shared" si="11"/>
        <v>0000100100000</v>
      </c>
      <c r="AC17" s="15" t="str">
        <f t="shared" si="7"/>
        <v>0200000000000</v>
      </c>
      <c r="AD17" s="15" t="str">
        <f t="shared" si="7"/>
        <v>0010000010000</v>
      </c>
      <c r="AE17" s="15" t="str">
        <f t="shared" si="7"/>
        <v>0000000110000</v>
      </c>
      <c r="AF17" s="15" t="str">
        <f t="shared" si="7"/>
        <v>0010001000000</v>
      </c>
      <c r="AG17" s="41" t="str">
        <f t="shared" si="7"/>
        <v>0001000000010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60</v>
      </c>
      <c r="AL17" s="39" cm="1">
        <f t="array" ref="AL17">SUMPRODUCT(--(MID(AC$10:AC$135, SUMIF($Z$9:$Z$21, LEFT($AJ17,2), $Y$9:$Y$21), 1) = RIGHT($AJ17, 1)), K$10:K$135)</f>
        <v>65</v>
      </c>
      <c r="AM17" s="39" cm="1">
        <f t="array" ref="AM17">SUMPRODUCT(--(MID(AD$10:AD$135, SUMIF($Z$9:$Z$21, LEFT($AJ17,2), $Y$9:$Y$21), 1) = RIGHT($AJ17, 1)), L$10:L$135)</f>
        <v>48</v>
      </c>
      <c r="AN17" s="39" cm="1">
        <f t="array" ref="AN17">SUMPRODUCT(--(MID(AE$10:AE$135, SUMIF($Z$9:$Z$21, LEFT($AJ17,2), $Y$9:$Y$21), 1) = RIGHT($AJ17, 1)), M$10:M$135)</f>
        <v>39</v>
      </c>
      <c r="AO17" s="39" cm="1">
        <f t="array" ref="AO17">SUMPRODUCT(--(MID(AF$10:AF$135, SUMIF($Z$9:$Z$21, LEFT($AJ17,2), $Y$9:$Y$21), 1) = RIGHT($AJ17, 1)), N$10:N$135)</f>
        <v>58</v>
      </c>
      <c r="AP17" s="19" cm="1">
        <f t="array" ref="AP17">SUMPRODUCT(--(MID(AG$10:AG$135, SUMIF($Z$9:$Z$21, LEFT($AJ17,2), $Y$9:$Y$21), 1) = RIGHT($AJ17, 1)), O$10:O$135)</f>
        <v>85</v>
      </c>
      <c r="AR17" s="34" t="str">
        <f t="shared" si="8"/>
        <v>GG</v>
      </c>
      <c r="AS17" s="30" cm="1">
        <f t="array" ref="AS17">SUMPRODUCT($AI$10:$AI$113,AK$10:AK$113,IF(LEFT($AJ$10:$AJ$113,2)=$AR17,1,0))</f>
        <v>16</v>
      </c>
      <c r="AT17" s="30" cm="1">
        <f t="array" ref="AT17">SUMPRODUCT($AI$10:$AI$113,AL$10:AL$113,IF(LEFT($AJ$10:$AJ$113,2)=$AR17,1,0))</f>
        <v>8</v>
      </c>
      <c r="AU17" s="30" cm="1">
        <f t="array" ref="AU17">SUMPRODUCT($AI$10:$AI$113,AM$10:AM$113,IF(LEFT($AJ$10:$AJ$113,2)=$AR17,1,0))</f>
        <v>10</v>
      </c>
      <c r="AV17" s="30" cm="1">
        <f t="array" ref="AV17">SUMPRODUCT($AI$10:$AI$113,AN$10:AN$113,IF(LEFT($AJ$10:$AJ$113,2)=$AR17,1,0))</f>
        <v>16</v>
      </c>
      <c r="AW17" s="30" cm="1">
        <f t="array" ref="AW17">SUMPRODUCT($AI$10:$AI$113,AO$10:AO$113,IF(LEFT($AJ$10:$AJ$113,2)=$AR17,1,0))</f>
        <v>8</v>
      </c>
      <c r="AX17" s="35" cm="1">
        <f t="array" ref="AX17">SUMPRODUCT($AI$10:$AI$113,AP$10:AP$113,IF(LEFT($AJ$10:$AJ$113,2)=$AR17,1,0))</f>
        <v>8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130</v>
      </c>
      <c r="D18" s="30" t="s">
        <v>136</v>
      </c>
      <c r="E18" s="30" t="s">
        <v>128</v>
      </c>
      <c r="F18" s="30" t="s">
        <v>133</v>
      </c>
      <c r="G18" s="30" t="s">
        <v>127</v>
      </c>
      <c r="H18" s="35" t="s">
        <v>129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2</v>
      </c>
      <c r="S18" s="30">
        <f t="shared" si="5"/>
        <v>5</v>
      </c>
      <c r="T18" s="30">
        <f t="shared" si="5"/>
        <v>7</v>
      </c>
      <c r="U18" s="30">
        <f t="shared" si="5"/>
        <v>2</v>
      </c>
      <c r="V18" s="30">
        <f t="shared" si="5"/>
        <v>1</v>
      </c>
      <c r="W18" s="35">
        <f t="shared" si="5"/>
        <v>2</v>
      </c>
      <c r="Y18" s="20">
        <f t="shared" si="6"/>
        <v>10</v>
      </c>
      <c r="Z18" s="23" t="s">
        <v>129</v>
      </c>
      <c r="AB18" s="40" t="str">
        <f t="shared" si="11"/>
        <v>0000100010000</v>
      </c>
      <c r="AC18" s="15" t="str">
        <f t="shared" si="7"/>
        <v>0100100000000</v>
      </c>
      <c r="AD18" s="15" t="str">
        <f t="shared" si="7"/>
        <v>0000001010000</v>
      </c>
      <c r="AE18" s="15" t="str">
        <f t="shared" si="7"/>
        <v>0000000200000</v>
      </c>
      <c r="AF18" s="15" t="str">
        <f t="shared" si="7"/>
        <v>0020000000000</v>
      </c>
      <c r="AG18" s="41" t="str">
        <f t="shared" si="7"/>
        <v>0000000001010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4</v>
      </c>
      <c r="AT18" s="30" cm="1">
        <f t="array" ref="AT18">SUMPRODUCT($AI$10:$AI$113,AL$10:AL$113,IF(LEFT($AJ$10:$AJ$113,2)=$AR18,1,0))</f>
        <v>10</v>
      </c>
      <c r="AU18" s="30" cm="1">
        <f t="array" ref="AU18">SUMPRODUCT($AI$10:$AI$113,AM$10:AM$113,IF(LEFT($AJ$10:$AJ$113,2)=$AR18,1,0))</f>
        <v>14</v>
      </c>
      <c r="AV18" s="30" cm="1">
        <f t="array" ref="AV18">SUMPRODUCT($AI$10:$AI$113,AN$10:AN$113,IF(LEFT($AJ$10:$AJ$113,2)=$AR18,1,0))</f>
        <v>4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4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132</v>
      </c>
      <c r="D19" s="30" t="s">
        <v>138</v>
      </c>
      <c r="E19" s="30" t="s">
        <v>134</v>
      </c>
      <c r="F19" s="30" t="s">
        <v>133</v>
      </c>
      <c r="G19" s="30" t="s">
        <v>127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7</v>
      </c>
      <c r="S19" s="30">
        <f t="shared" si="5"/>
        <v>10</v>
      </c>
      <c r="T19" s="30">
        <f t="shared" si="5"/>
        <v>9</v>
      </c>
      <c r="U19" s="30">
        <f t="shared" si="5"/>
        <v>10</v>
      </c>
      <c r="V19" s="30">
        <f t="shared" si="5"/>
        <v>16</v>
      </c>
      <c r="W19" s="35">
        <f t="shared" si="5"/>
        <v>9</v>
      </c>
      <c r="Y19" s="20">
        <f t="shared" si="6"/>
        <v>11</v>
      </c>
      <c r="Z19" s="23" t="s">
        <v>132</v>
      </c>
      <c r="AA19" s="21"/>
      <c r="AB19" s="40" t="str">
        <f t="shared" si="11"/>
        <v>0000000010100</v>
      </c>
      <c r="AC19" s="15" t="str">
        <f t="shared" si="7"/>
        <v>0000100000010</v>
      </c>
      <c r="AD19" s="15" t="str">
        <f t="shared" si="7"/>
        <v>0001001000000</v>
      </c>
      <c r="AE19" s="15" t="str">
        <f t="shared" si="7"/>
        <v>0000000200000</v>
      </c>
      <c r="AF19" s="15" t="str">
        <f t="shared" si="7"/>
        <v>0020000000000</v>
      </c>
      <c r="AG19" s="41" t="str">
        <f t="shared" si="7"/>
        <v>0000000001100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14</v>
      </c>
      <c r="AT19" s="30" cm="1">
        <f t="array" ref="AT19">SUMPRODUCT($AI$10:$AI$113,AL$10:AL$113,IF(LEFT($AJ$10:$AJ$113,2)=$AR19,1,0))</f>
        <v>20</v>
      </c>
      <c r="AU19" s="30" cm="1">
        <f t="array" ref="AU19">SUMPRODUCT($AI$10:$AI$113,AM$10:AM$113,IF(LEFT($AJ$10:$AJ$113,2)=$AR19,1,0))</f>
        <v>18</v>
      </c>
      <c r="AV19" s="30" cm="1">
        <f t="array" ref="AV19">SUMPRODUCT($AI$10:$AI$113,AN$10:AN$113,IF(LEFT($AJ$10:$AJ$113,2)=$AR19,1,0))</f>
        <v>20</v>
      </c>
      <c r="AW19" s="30" cm="1">
        <f t="array" ref="AW19">SUMPRODUCT($AI$10:$AI$113,AO$10:AO$113,IF(LEFT($AJ$10:$AJ$113,2)=$AR19,1,0))</f>
        <v>32</v>
      </c>
      <c r="AX19" s="35" cm="1">
        <f t="array" ref="AX19">SUMPRODUCT($AI$10:$AI$113,AP$10:AP$113,IF(LEFT($AJ$10:$AJ$113,2)=$AR19,1,0))</f>
        <v>18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131</v>
      </c>
      <c r="D20" s="30" t="s">
        <v>138</v>
      </c>
      <c r="E20" s="30" t="s">
        <v>136</v>
      </c>
      <c r="F20" s="30" t="s">
        <v>127</v>
      </c>
      <c r="G20" s="30" t="s">
        <v>127</v>
      </c>
      <c r="H20" s="35" t="s">
        <v>132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8</v>
      </c>
      <c r="S20" s="30">
        <f t="shared" si="5"/>
        <v>12</v>
      </c>
      <c r="T20" s="30">
        <f t="shared" si="5"/>
        <v>9</v>
      </c>
      <c r="U20" s="30">
        <f t="shared" si="5"/>
        <v>5</v>
      </c>
      <c r="V20" s="30">
        <f t="shared" si="5"/>
        <v>5</v>
      </c>
      <c r="W20" s="35">
        <f t="shared" si="5"/>
        <v>10</v>
      </c>
      <c r="Y20" s="20">
        <v>12</v>
      </c>
      <c r="Z20" s="23" t="s">
        <v>138</v>
      </c>
      <c r="AA20" s="21"/>
      <c r="AB20" s="40" t="str">
        <f t="shared" si="11"/>
        <v>0100000000100</v>
      </c>
      <c r="AC20" s="15" t="str">
        <f t="shared" si="7"/>
        <v>0000000000020</v>
      </c>
      <c r="AD20" s="15" t="str">
        <f t="shared" si="7"/>
        <v>0001100000000</v>
      </c>
      <c r="AE20" s="15" t="str">
        <f t="shared" si="7"/>
        <v>0010000100000</v>
      </c>
      <c r="AF20" s="15" t="str">
        <f t="shared" si="7"/>
        <v>0020000000000</v>
      </c>
      <c r="AG20" s="41" t="str">
        <f t="shared" si="7"/>
        <v>0000000000200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16</v>
      </c>
      <c r="AT20" s="30" cm="1">
        <f t="array" ref="AT20">SUMPRODUCT($AI$10:$AI$113,AL$10:AL$113,IF(LEFT($AJ$10:$AJ$113,2)=$AR20,1,0))</f>
        <v>24</v>
      </c>
      <c r="AU20" s="30" cm="1">
        <f t="array" ref="AU20">SUMPRODUCT($AI$10:$AI$113,AM$10:AM$113,IF(LEFT($AJ$10:$AJ$113,2)=$AR20,1,0))</f>
        <v>18</v>
      </c>
      <c r="AV20" s="30" cm="1">
        <f t="array" ref="AV20">SUMPRODUCT($AI$10:$AI$113,AN$10:AN$113,IF(LEFT($AJ$10:$AJ$113,2)=$AR20,1,0))</f>
        <v>10</v>
      </c>
      <c r="AW20" s="30" cm="1">
        <f t="array" ref="AW20">SUMPRODUCT($AI$10:$AI$113,AO$10:AO$113,IF(LEFT($AJ$10:$AJ$113,2)=$AR20,1,0))</f>
        <v>10</v>
      </c>
      <c r="AX20" s="35" cm="1">
        <f t="array" ref="AX20">SUMPRODUCT($AI$10:$AI$113,AP$10:AP$113,IF(LEFT($AJ$10:$AJ$113,2)=$AR20,1,0))</f>
        <v>20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127</v>
      </c>
      <c r="D21" s="30" t="s">
        <v>138</v>
      </c>
      <c r="E21" s="30" t="s">
        <v>131</v>
      </c>
      <c r="F21" s="30" t="s">
        <v>134</v>
      </c>
      <c r="G21" s="30" t="s">
        <v>137</v>
      </c>
      <c r="H21" s="35" t="s">
        <v>132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11</v>
      </c>
      <c r="S21" s="30">
        <f t="shared" si="5"/>
        <v>11</v>
      </c>
      <c r="T21" s="30">
        <f t="shared" si="5"/>
        <v>4</v>
      </c>
      <c r="U21" s="30">
        <f t="shared" si="5"/>
        <v>7</v>
      </c>
      <c r="V21" s="30">
        <f t="shared" si="5"/>
        <v>6</v>
      </c>
      <c r="W21" s="35">
        <f t="shared" si="5"/>
        <v>17</v>
      </c>
      <c r="Y21" s="18">
        <v>13</v>
      </c>
      <c r="Z21" s="22" t="s">
        <v>135</v>
      </c>
      <c r="AA21" s="21"/>
      <c r="AB21" s="40" t="str">
        <f t="shared" si="11"/>
        <v>0110000000000</v>
      </c>
      <c r="AC21" s="15" t="str">
        <f t="shared" si="7"/>
        <v>0000000000020</v>
      </c>
      <c r="AD21" s="15" t="str">
        <f t="shared" si="7"/>
        <v>0100100000000</v>
      </c>
      <c r="AE21" s="15" t="str">
        <f t="shared" si="7"/>
        <v>0011000000000</v>
      </c>
      <c r="AF21" s="15" t="str">
        <f t="shared" si="7"/>
        <v>0010010000000</v>
      </c>
      <c r="AG21" s="41" t="str">
        <f t="shared" si="7"/>
        <v>0000000000200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22</v>
      </c>
      <c r="AT21" s="30" cm="1">
        <f t="array" ref="AT21">SUMPRODUCT($AI$10:$AI$113,AL$10:AL$113,IF(LEFT($AJ$10:$AJ$113,2)=$AR21,1,0))</f>
        <v>22</v>
      </c>
      <c r="AU21" s="30" cm="1">
        <f t="array" ref="AU21">SUMPRODUCT($AI$10:$AI$113,AM$10:AM$113,IF(LEFT($AJ$10:$AJ$113,2)=$AR21,1,0))</f>
        <v>8</v>
      </c>
      <c r="AV21" s="30" cm="1">
        <f t="array" ref="AV21">SUMPRODUCT($AI$10:$AI$113,AN$10:AN$113,IF(LEFT($AJ$10:$AJ$113,2)=$AR21,1,0))</f>
        <v>14</v>
      </c>
      <c r="AW21" s="30" cm="1">
        <f t="array" ref="AW21">SUMPRODUCT($AI$10:$AI$113,AO$10:AO$113,IF(LEFT($AJ$10:$AJ$113,2)=$AR21,1,0))</f>
        <v>12</v>
      </c>
      <c r="AX21" s="35" cm="1">
        <f t="array" ref="AX21">SUMPRODUCT($AI$10:$AI$113,AP$10:AP$113,IF(LEFT($AJ$10:$AJ$113,2)=$AR21,1,0))</f>
        <v>34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127</v>
      </c>
      <c r="D22" s="30" t="s">
        <v>133</v>
      </c>
      <c r="E22" s="30" t="s">
        <v>133</v>
      </c>
      <c r="F22" s="30" t="s">
        <v>129</v>
      </c>
      <c r="G22" s="30" t="s">
        <v>132</v>
      </c>
      <c r="H22" s="35" t="s">
        <v>137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0020000000000</v>
      </c>
      <c r="AC22" s="15" t="str">
        <f t="shared" si="7"/>
        <v>0000000100010</v>
      </c>
      <c r="AD22" s="15" t="str">
        <f t="shared" si="7"/>
        <v>0100000100000</v>
      </c>
      <c r="AE22" s="15" t="str">
        <f t="shared" si="7"/>
        <v>0001000001000</v>
      </c>
      <c r="AF22" s="15" t="str">
        <f t="shared" si="7"/>
        <v>0000010000100</v>
      </c>
      <c r="AG22" s="41" t="str">
        <f t="shared" si="7"/>
        <v>0000010000100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127</v>
      </c>
      <c r="D23" s="30" t="s">
        <v>129</v>
      </c>
      <c r="E23" s="30" t="s">
        <v>129</v>
      </c>
      <c r="F23" s="30" t="s">
        <v>137</v>
      </c>
      <c r="G23" s="30" t="s">
        <v>132</v>
      </c>
      <c r="H23" s="35" t="s">
        <v>136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68</v>
      </c>
      <c r="S23" s="37">
        <f t="shared" ref="S23:W23" si="14">SUM(S10:S22)</f>
        <v>90</v>
      </c>
      <c r="T23" s="37">
        <f t="shared" si="14"/>
        <v>62</v>
      </c>
      <c r="U23" s="37">
        <f t="shared" si="14"/>
        <v>55</v>
      </c>
      <c r="V23" s="37">
        <f t="shared" si="14"/>
        <v>66</v>
      </c>
      <c r="W23" s="38">
        <f t="shared" si="14"/>
        <v>98</v>
      </c>
      <c r="Y23" s="21"/>
      <c r="Z23" s="21"/>
      <c r="AA23" s="21"/>
      <c r="AB23" s="40" t="str">
        <f t="shared" si="11"/>
        <v>0020000000000</v>
      </c>
      <c r="AC23" s="15" t="str">
        <f t="shared" si="7"/>
        <v>0000000101000</v>
      </c>
      <c r="AD23" s="15" t="str">
        <f t="shared" si="7"/>
        <v>0000000101000</v>
      </c>
      <c r="AE23" s="15" t="str">
        <f t="shared" si="7"/>
        <v>0000010001000</v>
      </c>
      <c r="AF23" s="15" t="str">
        <f t="shared" si="7"/>
        <v>0000000000200</v>
      </c>
      <c r="AG23" s="41" t="str">
        <f t="shared" si="7"/>
        <v>0000110000000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3</v>
      </c>
      <c r="AL23" s="39" cm="1">
        <f t="array" ref="AL23">SUMPRODUCT(--(MID(AC$10:AC$135, SUMIF($Z$9:$Z$21, LEFT($AJ23,2), $Y$9:$Y$21), 1) = RIGHT($AJ23, 1)), K$10:K$135)</f>
        <v>2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3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68</v>
      </c>
      <c r="AT23" s="30">
        <f t="shared" si="16"/>
        <v>90</v>
      </c>
      <c r="AU23" s="30">
        <f t="shared" si="16"/>
        <v>62</v>
      </c>
      <c r="AV23" s="30">
        <f t="shared" si="16"/>
        <v>55</v>
      </c>
      <c r="AW23" s="30">
        <f t="shared" si="16"/>
        <v>66</v>
      </c>
      <c r="AX23" s="35">
        <f t="shared" si="16"/>
        <v>98</v>
      </c>
    </row>
    <row r="24" spans="2:64">
      <c r="B24" s="34">
        <f t="shared" si="9"/>
        <v>14</v>
      </c>
      <c r="C24" s="30" t="s">
        <v>127</v>
      </c>
      <c r="D24" s="30" t="s">
        <v>127</v>
      </c>
      <c r="E24" s="30" t="s">
        <v>129</v>
      </c>
      <c r="F24" s="30" t="s">
        <v>127</v>
      </c>
      <c r="G24" s="30" t="s">
        <v>132</v>
      </c>
      <c r="H24" s="35" t="s">
        <v>136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0020000000000</v>
      </c>
      <c r="AC24" s="15" t="str">
        <f t="shared" si="7"/>
        <v>0010000001000</v>
      </c>
      <c r="AD24" s="15" t="str">
        <f t="shared" si="7"/>
        <v>0000000002000</v>
      </c>
      <c r="AE24" s="15" t="str">
        <f t="shared" si="7"/>
        <v>0010010000000</v>
      </c>
      <c r="AF24" s="15" t="str">
        <f t="shared" si="7"/>
        <v>0000000000200</v>
      </c>
      <c r="AG24" s="41" t="str">
        <f t="shared" si="7"/>
        <v>0000200000000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4</v>
      </c>
      <c r="AL24" s="39" cm="1">
        <f t="array" ref="AL24">SUMPRODUCT(--(MID(AC$10:AC$135, SUMIF($Z$9:$Z$21, LEFT($AJ24,2), $Y$9:$Y$21), 1) = RIGHT($AJ24, 1)), K$10:K$135)</f>
        <v>20</v>
      </c>
      <c r="AM24" s="39" cm="1">
        <f t="array" ref="AM24">SUMPRODUCT(--(MID(AD$10:AD$135, SUMIF($Z$9:$Z$21, LEFT($AJ24,2), $Y$9:$Y$21), 1) = RIGHT($AJ24, 1)), L$10:L$135)</f>
        <v>10</v>
      </c>
      <c r="AN24" s="39" cm="1">
        <f t="array" ref="AN24">SUMPRODUCT(--(MID(AE$10:AE$135, SUMIF($Z$9:$Z$21, LEFT($AJ24,2), $Y$9:$Y$21), 1) = RIGHT($AJ24, 1)), M$10:M$135)</f>
        <v>10</v>
      </c>
      <c r="AO24" s="39" cm="1">
        <f t="array" ref="AO24">SUMPRODUCT(--(MID(AF$10:AF$135, SUMIF($Z$9:$Z$21, LEFT($AJ24,2), $Y$9:$Y$21), 1) = RIGHT($AJ24, 1)), N$10:N$135)</f>
        <v>10</v>
      </c>
      <c r="AP24" s="19" cm="1">
        <f t="array" ref="AP24">SUMPRODUCT(--(MID(AG$10:AG$135, SUMIF($Z$9:$Z$21, LEFT($AJ24,2), $Y$9:$Y$21), 1) = RIGHT($AJ24, 1)), O$10:O$135)</f>
        <v>22</v>
      </c>
      <c r="AR24" s="34" t="str">
        <f t="shared" si="15"/>
        <v>AA-0</v>
      </c>
      <c r="AS24" s="30">
        <f t="shared" si="16"/>
        <v>60</v>
      </c>
      <c r="AT24" s="30">
        <f t="shared" si="16"/>
        <v>65</v>
      </c>
      <c r="AU24" s="30">
        <f t="shared" si="16"/>
        <v>48</v>
      </c>
      <c r="AV24" s="30">
        <f t="shared" si="16"/>
        <v>39</v>
      </c>
      <c r="AW24" s="30">
        <f t="shared" si="16"/>
        <v>58</v>
      </c>
      <c r="AX24" s="35">
        <f t="shared" si="16"/>
        <v>85</v>
      </c>
    </row>
    <row r="25" spans="2:64">
      <c r="B25" s="34">
        <f t="shared" si="9"/>
        <v>15</v>
      </c>
      <c r="C25" s="30" t="s">
        <v>138</v>
      </c>
      <c r="D25" s="30" t="s">
        <v>138</v>
      </c>
      <c r="E25" s="30" t="s">
        <v>129</v>
      </c>
      <c r="F25" s="30" t="s">
        <v>127</v>
      </c>
      <c r="G25" s="30" t="s">
        <v>131</v>
      </c>
      <c r="H25" s="35" t="s">
        <v>136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0010000000010</v>
      </c>
      <c r="AC25" s="15" t="str">
        <f t="shared" si="7"/>
        <v>0010000000010</v>
      </c>
      <c r="AD25" s="15" t="str">
        <f t="shared" si="7"/>
        <v>0000000002000</v>
      </c>
      <c r="AE25" s="15" t="str">
        <f t="shared" si="7"/>
        <v>0020000000000</v>
      </c>
      <c r="AF25" s="15" t="str">
        <f t="shared" si="7"/>
        <v>0100000000100</v>
      </c>
      <c r="AG25" s="41" t="str">
        <f t="shared" si="7"/>
        <v>0000200000000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61</v>
      </c>
      <c r="AL25" s="39" cm="1">
        <f t="array" ref="AL25">SUMPRODUCT(--(MID(AC$10:AC$135, SUMIF($Z$9:$Z$21, LEFT($AJ25,2), $Y$9:$Y$21), 1) = RIGHT($AJ25, 1)), K$10:K$135)</f>
        <v>68</v>
      </c>
      <c r="AM25" s="39" cm="1">
        <f t="array" ref="AM25">SUMPRODUCT(--(MID(AD$10:AD$135, SUMIF($Z$9:$Z$21, LEFT($AJ25,2), $Y$9:$Y$21), 1) = RIGHT($AJ25, 1)), L$10:L$135)</f>
        <v>50</v>
      </c>
      <c r="AN25" s="39" cm="1">
        <f t="array" ref="AN25">SUMPRODUCT(--(MID(AE$10:AE$135, SUMIF($Z$9:$Z$21, LEFT($AJ25,2), $Y$9:$Y$21), 1) = RIGHT($AJ25, 1)), M$10:M$135)</f>
        <v>43</v>
      </c>
      <c r="AO25" s="39" cm="1">
        <f t="array" ref="AO25">SUMPRODUCT(--(MID(AF$10:AF$135, SUMIF($Z$9:$Z$21, LEFT($AJ25,2), $Y$9:$Y$21), 1) = RIGHT($AJ25, 1)), N$10:N$135)</f>
        <v>53</v>
      </c>
      <c r="AP25" s="19" cm="1">
        <f t="array" ref="AP25">SUMPRODUCT(--(MID(AG$10:AG$135, SUMIF($Z$9:$Z$21, LEFT($AJ25,2), $Y$9:$Y$21), 1) = RIGHT($AJ25, 1)), O$10:O$135)</f>
        <v>74</v>
      </c>
      <c r="AR25" s="34" t="str">
        <f t="shared" si="15"/>
        <v>BB-0</v>
      </c>
      <c r="AS25" s="30">
        <f t="shared" si="16"/>
        <v>61</v>
      </c>
      <c r="AT25" s="30">
        <f t="shared" si="16"/>
        <v>68</v>
      </c>
      <c r="AU25" s="30">
        <f t="shared" si="16"/>
        <v>50</v>
      </c>
      <c r="AV25" s="30">
        <f t="shared" si="16"/>
        <v>43</v>
      </c>
      <c r="AW25" s="30">
        <f t="shared" si="16"/>
        <v>53</v>
      </c>
      <c r="AX25" s="35">
        <f t="shared" si="16"/>
        <v>74</v>
      </c>
    </row>
    <row r="26" spans="2:64">
      <c r="B26" s="34">
        <f t="shared" si="9"/>
        <v>16</v>
      </c>
      <c r="C26" s="30" t="s">
        <v>133</v>
      </c>
      <c r="D26" s="30" t="s">
        <v>134</v>
      </c>
      <c r="E26" s="30" t="s">
        <v>129</v>
      </c>
      <c r="F26" s="30" t="s">
        <v>127</v>
      </c>
      <c r="G26" s="30" t="s">
        <v>132</v>
      </c>
      <c r="H26" s="35" t="s">
        <v>128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0000000100010</v>
      </c>
      <c r="AC26" s="15" t="str">
        <f t="shared" si="11"/>
        <v>0001000000010</v>
      </c>
      <c r="AD26" s="15" t="str">
        <f t="shared" si="11"/>
        <v>0000000002000</v>
      </c>
      <c r="AE26" s="15" t="str">
        <f t="shared" si="11"/>
        <v>0020000000000</v>
      </c>
      <c r="AF26" s="15" t="str">
        <f t="shared" si="11"/>
        <v>0100000000100</v>
      </c>
      <c r="AG26" s="41" t="str">
        <f t="shared" si="11"/>
        <v>0000101000000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50</v>
      </c>
      <c r="AT26" s="30">
        <f t="shared" si="16"/>
        <v>73</v>
      </c>
      <c r="AU26" s="30">
        <f t="shared" si="16"/>
        <v>56</v>
      </c>
      <c r="AV26" s="30">
        <f t="shared" si="16"/>
        <v>49</v>
      </c>
      <c r="AW26" s="30">
        <f t="shared" si="16"/>
        <v>46</v>
      </c>
      <c r="AX26" s="35">
        <f t="shared" si="16"/>
        <v>78</v>
      </c>
    </row>
    <row r="27" spans="2:64">
      <c r="B27" s="34">
        <f t="shared" si="9"/>
        <v>17</v>
      </c>
      <c r="C27" s="30" t="s">
        <v>134</v>
      </c>
      <c r="D27" s="30" t="s">
        <v>134</v>
      </c>
      <c r="E27" s="30" t="s">
        <v>127</v>
      </c>
      <c r="F27" s="30" t="s">
        <v>133</v>
      </c>
      <c r="G27" s="30" t="s">
        <v>138</v>
      </c>
      <c r="H27" s="35" t="s">
        <v>136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0001000100000</v>
      </c>
      <c r="AC27" s="15" t="str">
        <f t="shared" si="11"/>
        <v>0002000000000</v>
      </c>
      <c r="AD27" s="15" t="str">
        <f t="shared" si="11"/>
        <v>0010000001000</v>
      </c>
      <c r="AE27" s="15" t="str">
        <f t="shared" si="11"/>
        <v>0010000100000</v>
      </c>
      <c r="AF27" s="15" t="str">
        <f t="shared" si="11"/>
        <v>0000000000110</v>
      </c>
      <c r="AG27" s="41" t="str">
        <f t="shared" si="11"/>
        <v>0000101000000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60</v>
      </c>
      <c r="AT27" s="30">
        <f t="shared" si="16"/>
        <v>86</v>
      </c>
      <c r="AU27" s="30">
        <f t="shared" si="16"/>
        <v>60</v>
      </c>
      <c r="AV27" s="30">
        <f t="shared" si="16"/>
        <v>53</v>
      </c>
      <c r="AW27" s="30">
        <f t="shared" si="16"/>
        <v>62</v>
      </c>
      <c r="AX27" s="35">
        <f t="shared" si="16"/>
        <v>82</v>
      </c>
    </row>
    <row r="28" spans="2:64">
      <c r="B28" s="34">
        <f t="shared" si="9"/>
        <v>18</v>
      </c>
      <c r="C28" s="30" t="s">
        <v>134</v>
      </c>
      <c r="D28" s="30" t="s">
        <v>134</v>
      </c>
      <c r="E28" s="30" t="s">
        <v>127</v>
      </c>
      <c r="F28" s="30" t="s">
        <v>136</v>
      </c>
      <c r="G28" s="30" t="s">
        <v>131</v>
      </c>
      <c r="H28" s="35" t="s">
        <v>134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0002000000000</v>
      </c>
      <c r="AC28" s="15" t="str">
        <f t="shared" si="11"/>
        <v>0002000000000</v>
      </c>
      <c r="AD28" s="15" t="str">
        <f t="shared" si="11"/>
        <v>0020000000000</v>
      </c>
      <c r="AE28" s="15" t="str">
        <f t="shared" si="11"/>
        <v>0000100100000</v>
      </c>
      <c r="AF28" s="15" t="str">
        <f t="shared" si="11"/>
        <v>0100000000010</v>
      </c>
      <c r="AG28" s="41" t="str">
        <f t="shared" si="11"/>
        <v>0001100000000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66</v>
      </c>
      <c r="AT28" s="30">
        <f t="shared" si="16"/>
        <v>86</v>
      </c>
      <c r="AU28" s="30">
        <f t="shared" si="16"/>
        <v>56</v>
      </c>
      <c r="AV28" s="30">
        <f t="shared" si="16"/>
        <v>53</v>
      </c>
      <c r="AW28" s="30">
        <f t="shared" si="16"/>
        <v>62</v>
      </c>
      <c r="AX28" s="35">
        <f t="shared" si="16"/>
        <v>92</v>
      </c>
    </row>
    <row r="29" spans="2:64">
      <c r="B29" s="34">
        <f t="shared" si="9"/>
        <v>19</v>
      </c>
      <c r="C29" s="30" t="s">
        <v>134</v>
      </c>
      <c r="D29" s="30" t="s">
        <v>134</v>
      </c>
      <c r="E29" s="30" t="s">
        <v>127</v>
      </c>
      <c r="F29" s="30" t="s">
        <v>129</v>
      </c>
      <c r="G29" s="30" t="s">
        <v>131</v>
      </c>
      <c r="H29" s="35" t="s">
        <v>133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0002000000000</v>
      </c>
      <c r="AC29" s="15" t="str">
        <f t="shared" si="11"/>
        <v>0002000000000</v>
      </c>
      <c r="AD29" s="15" t="str">
        <f t="shared" si="11"/>
        <v>0020000000000</v>
      </c>
      <c r="AE29" s="15" t="str">
        <f t="shared" si="11"/>
        <v>0000100001000</v>
      </c>
      <c r="AF29" s="15" t="str">
        <f t="shared" si="11"/>
        <v>0200000000000</v>
      </c>
      <c r="AG29" s="41" t="str">
        <f t="shared" si="11"/>
        <v>0001000100000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58</v>
      </c>
      <c r="AT29" s="30">
        <f t="shared" si="16"/>
        <v>76</v>
      </c>
      <c r="AU29" s="30">
        <f t="shared" si="16"/>
        <v>54</v>
      </c>
      <c r="AV29" s="30">
        <f t="shared" si="16"/>
        <v>53</v>
      </c>
      <c r="AW29" s="30">
        <f t="shared" si="16"/>
        <v>54</v>
      </c>
      <c r="AX29" s="35">
        <f t="shared" si="16"/>
        <v>76</v>
      </c>
    </row>
    <row r="30" spans="2:64">
      <c r="B30" s="34">
        <f t="shared" si="9"/>
        <v>20</v>
      </c>
      <c r="C30" s="30" t="s">
        <v>128</v>
      </c>
      <c r="D30" s="30" t="s">
        <v>137</v>
      </c>
      <c r="E30" s="30" t="s">
        <v>134</v>
      </c>
      <c r="F30" s="30" t="s">
        <v>129</v>
      </c>
      <c r="G30" s="30" t="s">
        <v>131</v>
      </c>
      <c r="H30" s="35" t="s">
        <v>127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0001001000000</v>
      </c>
      <c r="AC30" s="15" t="str">
        <f t="shared" si="11"/>
        <v>0001010000000</v>
      </c>
      <c r="AD30" s="15" t="str">
        <f t="shared" si="11"/>
        <v>0011000000000</v>
      </c>
      <c r="AE30" s="15" t="str">
        <f t="shared" si="11"/>
        <v>0000000002000</v>
      </c>
      <c r="AF30" s="15" t="str">
        <f t="shared" si="11"/>
        <v>0200000000000</v>
      </c>
      <c r="AG30" s="41" t="str">
        <f t="shared" si="11"/>
        <v>0010000100000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54</v>
      </c>
      <c r="AT30" s="30">
        <f t="shared" si="16"/>
        <v>84</v>
      </c>
      <c r="AU30" s="30">
        <f t="shared" si="16"/>
        <v>54</v>
      </c>
      <c r="AV30" s="30">
        <f t="shared" si="16"/>
        <v>41</v>
      </c>
      <c r="AW30" s="30">
        <f t="shared" si="16"/>
        <v>60</v>
      </c>
      <c r="AX30" s="35">
        <f t="shared" si="16"/>
        <v>92</v>
      </c>
    </row>
    <row r="31" spans="2:64">
      <c r="B31" s="34">
        <f t="shared" si="9"/>
        <v>21</v>
      </c>
      <c r="C31" s="30" t="s">
        <v>128</v>
      </c>
      <c r="D31" s="30" t="s">
        <v>130</v>
      </c>
      <c r="E31" s="30" t="s">
        <v>134</v>
      </c>
      <c r="F31" s="30" t="s">
        <v>129</v>
      </c>
      <c r="G31" s="30" t="s">
        <v>130</v>
      </c>
      <c r="H31" s="35" t="s">
        <v>130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0000002000000</v>
      </c>
      <c r="AC31" s="15" t="str">
        <f t="shared" si="11"/>
        <v>0000010010000</v>
      </c>
      <c r="AD31" s="15" t="str">
        <f t="shared" si="11"/>
        <v>0002000000000</v>
      </c>
      <c r="AE31" s="15" t="str">
        <f t="shared" si="11"/>
        <v>0000000002000</v>
      </c>
      <c r="AF31" s="15" t="str">
        <f t="shared" si="11"/>
        <v>0100000010000</v>
      </c>
      <c r="AG31" s="41" t="str">
        <f t="shared" si="11"/>
        <v>0010000010000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3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64</v>
      </c>
      <c r="AT31" s="30">
        <f t="shared" si="16"/>
        <v>80</v>
      </c>
      <c r="AU31" s="30">
        <f t="shared" si="16"/>
        <v>48</v>
      </c>
      <c r="AV31" s="30">
        <f t="shared" si="16"/>
        <v>51</v>
      </c>
      <c r="AW31" s="30">
        <f t="shared" si="16"/>
        <v>64</v>
      </c>
      <c r="AX31" s="35">
        <f t="shared" si="16"/>
        <v>94</v>
      </c>
    </row>
    <row r="32" spans="2:64">
      <c r="B32" s="34">
        <f t="shared" si="9"/>
        <v>22</v>
      </c>
      <c r="C32" s="30" t="s">
        <v>128</v>
      </c>
      <c r="D32" s="30" t="s">
        <v>128</v>
      </c>
      <c r="E32" s="30" t="s">
        <v>134</v>
      </c>
      <c r="F32" s="30" t="s">
        <v>138</v>
      </c>
      <c r="G32" s="30" t="s">
        <v>129</v>
      </c>
      <c r="H32" s="35" t="s">
        <v>129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0000002000000</v>
      </c>
      <c r="AC32" s="15" t="str">
        <f t="shared" si="11"/>
        <v>0000001010000</v>
      </c>
      <c r="AD32" s="15" t="str">
        <f t="shared" si="11"/>
        <v>0002000000000</v>
      </c>
      <c r="AE32" s="15" t="str">
        <f t="shared" si="11"/>
        <v>0000000001010</v>
      </c>
      <c r="AF32" s="15" t="str">
        <f t="shared" si="11"/>
        <v>0000000011000</v>
      </c>
      <c r="AG32" s="41" t="str">
        <f t="shared" si="11"/>
        <v>0000000011000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16</v>
      </c>
      <c r="AL32" s="39" cm="1">
        <f t="array" ref="AL32">SUMPRODUCT(--(MID(AC$10:AC$135, SUMIF($Z$9:$Z$21, LEFT($AJ32,2), $Y$9:$Y$21), 1) = RIGHT($AJ32, 1)), K$10:K$135)</f>
        <v>14</v>
      </c>
      <c r="AM32" s="39" cm="1">
        <f t="array" ref="AM32">SUMPRODUCT(--(MID(AD$10:AD$135, SUMIF($Z$9:$Z$21, LEFT($AJ32,2), $Y$9:$Y$21), 1) = RIGHT($AJ32, 1)), L$10:L$135)</f>
        <v>4</v>
      </c>
      <c r="AN32" s="39" cm="1">
        <f t="array" ref="AN32">SUMPRODUCT(--(MID(AE$10:AE$135, SUMIF($Z$9:$Z$21, LEFT($AJ32,2), $Y$9:$Y$21), 1) = RIGHT($AJ32, 1)), M$10:M$135)</f>
        <v>4</v>
      </c>
      <c r="AO32" s="39" cm="1">
        <f t="array" ref="AO32">SUMPRODUCT(--(MID(AF$10:AF$135, SUMIF($Z$9:$Z$21, LEFT($AJ32,2), $Y$9:$Y$21), 1) = RIGHT($AJ32, 1)), N$10:N$135)</f>
        <v>18</v>
      </c>
      <c r="AP32" s="19" cm="1">
        <f t="array" ref="AP32">SUMPRODUCT(--(MID(AG$10:AG$135, SUMIF($Z$9:$Z$21, LEFT($AJ32,2), $Y$9:$Y$21), 1) = RIGHT($AJ32, 1)), O$10:O$135)</f>
        <v>18</v>
      </c>
      <c r="AR32" s="34" t="str">
        <f t="shared" si="15"/>
        <v>JJ-0</v>
      </c>
      <c r="AS32" s="30">
        <f t="shared" si="16"/>
        <v>56</v>
      </c>
      <c r="AT32" s="30">
        <f t="shared" si="16"/>
        <v>72</v>
      </c>
      <c r="AU32" s="30">
        <f t="shared" si="16"/>
        <v>47</v>
      </c>
      <c r="AV32" s="30">
        <f t="shared" si="16"/>
        <v>37</v>
      </c>
      <c r="AW32" s="30">
        <f t="shared" si="16"/>
        <v>36</v>
      </c>
      <c r="AX32" s="35">
        <f t="shared" si="16"/>
        <v>82</v>
      </c>
    </row>
    <row r="33" spans="2:50">
      <c r="B33" s="34">
        <f t="shared" si="9"/>
        <v>23</v>
      </c>
      <c r="C33" s="30" t="s">
        <v>132</v>
      </c>
      <c r="D33" s="30" t="s">
        <v>128</v>
      </c>
      <c r="E33" s="30" t="s">
        <v>131</v>
      </c>
      <c r="F33" s="30" t="s">
        <v>138</v>
      </c>
      <c r="G33" s="30" t="s">
        <v>138</v>
      </c>
      <c r="H33" s="35" t="s">
        <v>129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0000001000100</v>
      </c>
      <c r="AC33" s="15" t="str">
        <f t="shared" si="11"/>
        <v>0000002000000</v>
      </c>
      <c r="AD33" s="15" t="str">
        <f t="shared" si="11"/>
        <v>0101000000000</v>
      </c>
      <c r="AE33" s="15" t="str">
        <f t="shared" si="11"/>
        <v>0000000000020</v>
      </c>
      <c r="AF33" s="15" t="str">
        <f t="shared" si="11"/>
        <v>0000000001010</v>
      </c>
      <c r="AG33" s="41" t="str">
        <f t="shared" si="11"/>
        <v>0000000002000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50</v>
      </c>
      <c r="AL33" s="39" cm="1">
        <f t="array" ref="AL33">SUMPRODUCT(--(MID(AC$10:AC$135, SUMIF($Z$9:$Z$21, LEFT($AJ33,2), $Y$9:$Y$21), 1) = RIGHT($AJ33, 1)), K$10:K$135)</f>
        <v>73</v>
      </c>
      <c r="AM33" s="39" cm="1">
        <f t="array" ref="AM33">SUMPRODUCT(--(MID(AD$10:AD$135, SUMIF($Z$9:$Z$21, LEFT($AJ33,2), $Y$9:$Y$21), 1) = RIGHT($AJ33, 1)), L$10:L$135)</f>
        <v>56</v>
      </c>
      <c r="AN33" s="39" cm="1">
        <f t="array" ref="AN33">SUMPRODUCT(--(MID(AE$10:AE$135, SUMIF($Z$9:$Z$21, LEFT($AJ33,2), $Y$9:$Y$21), 1) = RIGHT($AJ33, 1)), M$10:M$135)</f>
        <v>49</v>
      </c>
      <c r="AO33" s="39" cm="1">
        <f t="array" ref="AO33">SUMPRODUCT(--(MID(AF$10:AF$135, SUMIF($Z$9:$Z$21, LEFT($AJ33,2), $Y$9:$Y$21), 1) = RIGHT($AJ33, 1)), N$10:N$135)</f>
        <v>46</v>
      </c>
      <c r="AP33" s="19" cm="1">
        <f t="array" ref="AP33">SUMPRODUCT(--(MID(AG$10:AG$135, SUMIF($Z$9:$Z$21, LEFT($AJ33,2), $Y$9:$Y$21), 1) = RIGHT($AJ33, 1)), O$10:O$135)</f>
        <v>78</v>
      </c>
      <c r="AR33" s="34" t="str">
        <f t="shared" si="15"/>
        <v>KK-0</v>
      </c>
      <c r="AS33" s="30">
        <f t="shared" si="16"/>
        <v>54</v>
      </c>
      <c r="AT33" s="30">
        <f t="shared" si="16"/>
        <v>68</v>
      </c>
      <c r="AU33" s="30">
        <f t="shared" si="16"/>
        <v>46</v>
      </c>
      <c r="AV33" s="30">
        <f t="shared" si="16"/>
        <v>47</v>
      </c>
      <c r="AW33" s="30">
        <f t="shared" si="16"/>
        <v>58</v>
      </c>
      <c r="AX33" s="35">
        <f t="shared" si="16"/>
        <v>80</v>
      </c>
    </row>
    <row r="34" spans="2:50">
      <c r="B34" s="34">
        <f t="shared" si="9"/>
        <v>24</v>
      </c>
      <c r="C34" s="30" t="s">
        <v>132</v>
      </c>
      <c r="D34" s="30" t="s">
        <v>128</v>
      </c>
      <c r="E34" s="30" t="s">
        <v>131</v>
      </c>
      <c r="F34" s="30" t="s">
        <v>138</v>
      </c>
      <c r="G34" s="30" t="s">
        <v>138</v>
      </c>
      <c r="H34" s="35" t="s">
        <v>129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0000000000200</v>
      </c>
      <c r="AC34" s="15" t="str">
        <f t="shared" si="11"/>
        <v>0000002000000</v>
      </c>
      <c r="AD34" s="15" t="str">
        <f t="shared" si="11"/>
        <v>0200000000000</v>
      </c>
      <c r="AE34" s="15" t="str">
        <f t="shared" si="11"/>
        <v>0000000000020</v>
      </c>
      <c r="AF34" s="15" t="str">
        <f t="shared" si="11"/>
        <v>0000000000020</v>
      </c>
      <c r="AG34" s="41" t="str">
        <f t="shared" si="11"/>
        <v>0000000002000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48</v>
      </c>
      <c r="AT34" s="30">
        <f t="shared" si="16"/>
        <v>70</v>
      </c>
      <c r="AU34" s="30">
        <f t="shared" si="16"/>
        <v>56</v>
      </c>
      <c r="AV34" s="30">
        <f t="shared" si="16"/>
        <v>44</v>
      </c>
      <c r="AW34" s="30">
        <f t="shared" si="16"/>
        <v>56</v>
      </c>
      <c r="AX34" s="35">
        <f t="shared" si="16"/>
        <v>66</v>
      </c>
    </row>
    <row r="35" spans="2:50">
      <c r="B35" s="34">
        <f t="shared" si="9"/>
        <v>25</v>
      </c>
      <c r="C35" s="30" t="s">
        <v>132</v>
      </c>
      <c r="D35" s="30" t="s">
        <v>132</v>
      </c>
      <c r="E35" s="30" t="s">
        <v>131</v>
      </c>
      <c r="F35" s="30" t="s">
        <v>138</v>
      </c>
      <c r="G35" s="30" t="s">
        <v>138</v>
      </c>
      <c r="H35" s="35" t="s">
        <v>131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0000000000200</v>
      </c>
      <c r="AC35" s="15" t="str">
        <f t="shared" si="11"/>
        <v>0000001000100</v>
      </c>
      <c r="AD35" s="15" t="str">
        <f t="shared" si="11"/>
        <v>0200000000000</v>
      </c>
      <c r="AE35" s="15" t="str">
        <f t="shared" si="11"/>
        <v>0000000000020</v>
      </c>
      <c r="AF35" s="15" t="str">
        <f t="shared" si="11"/>
        <v>0000000000020</v>
      </c>
      <c r="AG35" s="41" t="str">
        <f t="shared" si="11"/>
        <v>0100000001000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68</v>
      </c>
      <c r="AT35" s="37">
        <f t="shared" si="16"/>
        <v>90</v>
      </c>
      <c r="AU35" s="37">
        <f t="shared" si="16"/>
        <v>62</v>
      </c>
      <c r="AV35" s="37">
        <f t="shared" si="16"/>
        <v>55</v>
      </c>
      <c r="AW35" s="37">
        <f t="shared" si="16"/>
        <v>66</v>
      </c>
      <c r="AX35" s="38">
        <f t="shared" si="16"/>
        <v>98</v>
      </c>
    </row>
    <row r="36" spans="2:50">
      <c r="B36" s="34">
        <f t="shared" si="9"/>
        <v>26</v>
      </c>
      <c r="C36" s="30" t="s">
        <v>138</v>
      </c>
      <c r="D36" s="30" t="s">
        <v>129</v>
      </c>
      <c r="E36" s="30" t="s">
        <v>138</v>
      </c>
      <c r="F36" s="30" t="s">
        <v>131</v>
      </c>
      <c r="G36" s="30" t="s">
        <v>134</v>
      </c>
      <c r="H36" s="35" t="s">
        <v>131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0000000000110</v>
      </c>
      <c r="AC36" s="15" t="str">
        <f t="shared" si="11"/>
        <v>0000000001100</v>
      </c>
      <c r="AD36" s="15" t="str">
        <f t="shared" si="11"/>
        <v>0100000000010</v>
      </c>
      <c r="AE36" s="15" t="str">
        <f t="shared" si="11"/>
        <v>0100000000010</v>
      </c>
      <c r="AF36" s="15" t="str">
        <f t="shared" si="11"/>
        <v>0001000000010</v>
      </c>
      <c r="AG36" s="41" t="str">
        <f t="shared" si="11"/>
        <v>0200000000000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138</v>
      </c>
      <c r="D37" s="30" t="s">
        <v>129</v>
      </c>
      <c r="E37" s="30" t="s">
        <v>138</v>
      </c>
      <c r="F37" s="30" t="s">
        <v>131</v>
      </c>
      <c r="G37" s="30" t="s">
        <v>134</v>
      </c>
      <c r="H37" s="35" t="s">
        <v>131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0000000000020</v>
      </c>
      <c r="AC37" s="15" t="str">
        <f t="shared" si="11"/>
        <v>0000000002000</v>
      </c>
      <c r="AD37" s="15" t="str">
        <f t="shared" si="11"/>
        <v>0000000000020</v>
      </c>
      <c r="AE37" s="15" t="str">
        <f t="shared" si="11"/>
        <v>0200000000000</v>
      </c>
      <c r="AF37" s="15" t="str">
        <f t="shared" si="11"/>
        <v>0002000000000</v>
      </c>
      <c r="AG37" s="41" t="str">
        <f t="shared" si="11"/>
        <v>0200000000000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138</v>
      </c>
      <c r="D38" s="30" t="s">
        <v>129</v>
      </c>
      <c r="E38" s="30" t="s">
        <v>138</v>
      </c>
      <c r="F38" s="30" t="s">
        <v>131</v>
      </c>
      <c r="G38" s="30" t="s">
        <v>134</v>
      </c>
      <c r="H38" s="35" t="s">
        <v>131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0000000000020</v>
      </c>
      <c r="AC38" s="15" t="str">
        <f t="shared" si="11"/>
        <v>0000000002000</v>
      </c>
      <c r="AD38" s="15" t="str">
        <f t="shared" si="11"/>
        <v>0000000000020</v>
      </c>
      <c r="AE38" s="15" t="str">
        <f t="shared" si="11"/>
        <v>0200000000000</v>
      </c>
      <c r="AF38" s="15" t="str">
        <f t="shared" si="11"/>
        <v>0002000000000</v>
      </c>
      <c r="AG38" s="41" t="str">
        <f t="shared" si="11"/>
        <v>0200000000000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131</v>
      </c>
      <c r="D39" s="30" t="s">
        <v>127</v>
      </c>
      <c r="E39" s="30" t="s">
        <v>132</v>
      </c>
      <c r="F39" s="30" t="s">
        <v>134</v>
      </c>
      <c r="G39" s="30" t="s">
        <v>133</v>
      </c>
      <c r="H39" s="35" t="s">
        <v>127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0100000000010</v>
      </c>
      <c r="AC39" s="15" t="str">
        <f t="shared" si="11"/>
        <v>0010000001000</v>
      </c>
      <c r="AD39" s="15" t="str">
        <f t="shared" si="11"/>
        <v>0000000000110</v>
      </c>
      <c r="AE39" s="15" t="str">
        <f t="shared" si="11"/>
        <v>0101000000000</v>
      </c>
      <c r="AF39" s="15" t="str">
        <f t="shared" si="11"/>
        <v>0001000100000</v>
      </c>
      <c r="AG39" s="41" t="str">
        <f t="shared" si="11"/>
        <v>0110000000000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131</v>
      </c>
      <c r="D40" s="30" t="s">
        <v>127</v>
      </c>
      <c r="E40" s="30" t="s">
        <v>132</v>
      </c>
      <c r="F40" s="30" t="s">
        <v>134</v>
      </c>
      <c r="G40" s="30" t="s">
        <v>133</v>
      </c>
      <c r="H40" s="35" t="s">
        <v>127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0200000000000</v>
      </c>
      <c r="AC40" s="15" t="str">
        <f t="shared" si="11"/>
        <v>0020000000000</v>
      </c>
      <c r="AD40" s="15" t="str">
        <f t="shared" si="11"/>
        <v>0000000000200</v>
      </c>
      <c r="AE40" s="15" t="str">
        <f t="shared" si="11"/>
        <v>0002000000000</v>
      </c>
      <c r="AF40" s="15" t="str">
        <f t="shared" si="11"/>
        <v>0000000200000</v>
      </c>
      <c r="AG40" s="41" t="str">
        <f t="shared" si="11"/>
        <v>0020000000000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6</v>
      </c>
      <c r="AL40" s="39" cm="1">
        <f t="array" ref="AL40">SUMPRODUCT(--(MID(AC$10:AC$135, SUMIF($Z$9:$Z$21, LEFT($AJ40,2), $Y$9:$Y$21), 1) = RIGHT($AJ40, 1)), K$10:K$135)</f>
        <v>4</v>
      </c>
      <c r="AM40" s="39" cm="1">
        <f t="array" ref="AM40">SUMPRODUCT(--(MID(AD$10:AD$135, SUMIF($Z$9:$Z$21, LEFT($AJ40,2), $Y$9:$Y$21), 1) = RIGHT($AJ40, 1)), L$10:L$135)</f>
        <v>2</v>
      </c>
      <c r="AN40" s="39" cm="1">
        <f t="array" ref="AN40">SUMPRODUCT(--(MID(AE$10:AE$135, SUMIF($Z$9:$Z$21, LEFT($AJ40,2), $Y$9:$Y$21), 1) = RIGHT($AJ40, 1)), M$10:M$135)</f>
        <v>2</v>
      </c>
      <c r="AO40" s="39" cm="1">
        <f t="array" ref="AO40">SUMPRODUCT(--(MID(AF$10:AF$135, SUMIF($Z$9:$Z$21, LEFT($AJ40,2), $Y$9:$Y$21), 1) = RIGHT($AJ40, 1)), N$10:N$135)</f>
        <v>4</v>
      </c>
      <c r="AP40" s="19" cm="1">
        <f t="array" ref="AP40">SUMPRODUCT(--(MID(AG$10:AG$135, SUMIF($Z$9:$Z$21, LEFT($AJ40,2), $Y$9:$Y$21), 1) = RIGHT($AJ40, 1)), O$10:O$135)</f>
        <v>14</v>
      </c>
    </row>
    <row r="41" spans="2:50">
      <c r="B41" s="34">
        <f t="shared" si="9"/>
        <v>31</v>
      </c>
      <c r="C41" s="30" t="s">
        <v>131</v>
      </c>
      <c r="D41" s="30" t="s">
        <v>127</v>
      </c>
      <c r="E41" s="30" t="s">
        <v>132</v>
      </c>
      <c r="F41" s="30" t="s">
        <v>134</v>
      </c>
      <c r="G41" s="30" t="s">
        <v>133</v>
      </c>
      <c r="H41" s="35" t="s">
        <v>127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0200000000000</v>
      </c>
      <c r="AC41" s="15" t="str">
        <f t="shared" si="11"/>
        <v>0020000000000</v>
      </c>
      <c r="AD41" s="15" t="str">
        <f t="shared" si="11"/>
        <v>0000000000200</v>
      </c>
      <c r="AE41" s="15" t="str">
        <f t="shared" si="11"/>
        <v>0002000000000</v>
      </c>
      <c r="AF41" s="15" t="str">
        <f t="shared" si="11"/>
        <v>0000000200000</v>
      </c>
      <c r="AG41" s="41" t="str">
        <f t="shared" si="11"/>
        <v>0020000000000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60</v>
      </c>
      <c r="AL41" s="39" cm="1">
        <f t="array" ref="AL41">SUMPRODUCT(--(MID(AC$10:AC$135, SUMIF($Z$9:$Z$21, LEFT($AJ41,2), $Y$9:$Y$21), 1) = RIGHT($AJ41, 1)), K$10:K$135)</f>
        <v>86</v>
      </c>
      <c r="AM41" s="39" cm="1">
        <f t="array" ref="AM41">SUMPRODUCT(--(MID(AD$10:AD$135, SUMIF($Z$9:$Z$21, LEFT($AJ41,2), $Y$9:$Y$21), 1) = RIGHT($AJ41, 1)), L$10:L$135)</f>
        <v>60</v>
      </c>
      <c r="AN41" s="39" cm="1">
        <f t="array" ref="AN41">SUMPRODUCT(--(MID(AE$10:AE$135, SUMIF($Z$9:$Z$21, LEFT($AJ41,2), $Y$9:$Y$21), 1) = RIGHT($AJ41, 1)), M$10:M$135)</f>
        <v>53</v>
      </c>
      <c r="AO41" s="39" cm="1">
        <f t="array" ref="AO41">SUMPRODUCT(--(MID(AF$10:AF$135, SUMIF($Z$9:$Z$21, LEFT($AJ41,2), $Y$9:$Y$21), 1) = RIGHT($AJ41, 1)), N$10:N$135)</f>
        <v>62</v>
      </c>
      <c r="AP41" s="19" cm="1">
        <f t="array" ref="AP41">SUMPRODUCT(--(MID(AG$10:AG$135, SUMIF($Z$9:$Z$21, LEFT($AJ41,2), $Y$9:$Y$21), 1) = RIGHT($AJ41, 1)), O$10:O$135)</f>
        <v>82</v>
      </c>
    </row>
    <row r="42" spans="2:50">
      <c r="B42" s="34">
        <f t="shared" si="9"/>
        <v>32</v>
      </c>
      <c r="C42" s="30" t="s">
        <v>129</v>
      </c>
      <c r="D42" s="30" t="s">
        <v>132</v>
      </c>
      <c r="E42" s="30" t="s">
        <v>133</v>
      </c>
      <c r="F42" s="30" t="s">
        <v>127</v>
      </c>
      <c r="G42" s="30" t="s">
        <v>128</v>
      </c>
      <c r="H42" s="35" t="s">
        <v>138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0100000001000</v>
      </c>
      <c r="AC42" s="15" t="str">
        <f t="shared" si="11"/>
        <v>0010000000100</v>
      </c>
      <c r="AD42" s="15" t="str">
        <f t="shared" si="11"/>
        <v>0000000100100</v>
      </c>
      <c r="AE42" s="15" t="str">
        <f t="shared" si="11"/>
        <v>0011000000000</v>
      </c>
      <c r="AF42" s="15" t="str">
        <f t="shared" si="11"/>
        <v>0000001100000</v>
      </c>
      <c r="AG42" s="41" t="str">
        <f t="shared" si="11"/>
        <v>0010000000010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129</v>
      </c>
      <c r="D43" s="30" t="s">
        <v>132</v>
      </c>
      <c r="E43" s="30" t="s">
        <v>133</v>
      </c>
      <c r="F43" s="30" t="s">
        <v>138</v>
      </c>
      <c r="G43" s="30" t="s">
        <v>134</v>
      </c>
      <c r="H43" s="35" t="s">
        <v>138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0000000002000</v>
      </c>
      <c r="AC43" s="15" t="str">
        <f t="shared" si="11"/>
        <v>0000000000200</v>
      </c>
      <c r="AD43" s="15" t="str">
        <f t="shared" si="11"/>
        <v>0000000200000</v>
      </c>
      <c r="AE43" s="15" t="str">
        <f t="shared" si="11"/>
        <v>0010000000010</v>
      </c>
      <c r="AF43" s="15" t="str">
        <f t="shared" si="11"/>
        <v>0001001000000</v>
      </c>
      <c r="AG43" s="41" t="str">
        <f t="shared" si="11"/>
        <v>0000000000020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129</v>
      </c>
      <c r="D44" s="30" t="s">
        <v>132</v>
      </c>
      <c r="E44" s="30" t="s">
        <v>133</v>
      </c>
      <c r="F44" s="30" t="s">
        <v>129</v>
      </c>
      <c r="G44" s="30" t="s">
        <v>128</v>
      </c>
      <c r="H44" s="35" t="s">
        <v>138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0000000002000</v>
      </c>
      <c r="AC44" s="15" t="str">
        <f t="shared" si="11"/>
        <v>0000000000200</v>
      </c>
      <c r="AD44" s="15" t="str">
        <f t="shared" si="11"/>
        <v>0000000200000</v>
      </c>
      <c r="AE44" s="15" t="str">
        <f t="shared" si="11"/>
        <v>0000000001010</v>
      </c>
      <c r="AF44" s="15" t="str">
        <f t="shared" si="11"/>
        <v>0001001000000</v>
      </c>
      <c r="AG44" s="41" t="str">
        <f t="shared" si="11"/>
        <v>0000000000020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136</v>
      </c>
      <c r="D45" s="30" t="s">
        <v>128</v>
      </c>
      <c r="E45" s="30" t="s">
        <v>130</v>
      </c>
      <c r="F45" s="30" t="s">
        <v>127</v>
      </c>
      <c r="G45" s="30" t="s">
        <v>131</v>
      </c>
      <c r="H45" s="35" t="s">
        <v>128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0000100001000</v>
      </c>
      <c r="AC45" s="15" t="str">
        <f t="shared" si="11"/>
        <v>0000001000100</v>
      </c>
      <c r="AD45" s="15" t="str">
        <f t="shared" si="11"/>
        <v>0000000110000</v>
      </c>
      <c r="AE45" s="15" t="str">
        <f t="shared" si="11"/>
        <v>0010000001000</v>
      </c>
      <c r="AF45" s="15" t="str">
        <f t="shared" si="11"/>
        <v>0100001000000</v>
      </c>
      <c r="AG45" s="41" t="str">
        <f t="shared" si="11"/>
        <v>0000001000010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136</v>
      </c>
      <c r="D46" s="30" t="s">
        <v>131</v>
      </c>
      <c r="E46" s="30" t="s">
        <v>132</v>
      </c>
      <c r="F46" s="30" t="s">
        <v>131</v>
      </c>
      <c r="G46" s="30" t="s">
        <v>129</v>
      </c>
      <c r="H46" s="35" t="s">
        <v>128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0000200000000</v>
      </c>
      <c r="AC46" s="15" t="str">
        <f t="shared" si="11"/>
        <v>0100001000000</v>
      </c>
      <c r="AD46" s="15" t="str">
        <f t="shared" si="11"/>
        <v>0000000010100</v>
      </c>
      <c r="AE46" s="15" t="str">
        <f t="shared" si="11"/>
        <v>0110000000000</v>
      </c>
      <c r="AF46" s="15" t="str">
        <f t="shared" si="11"/>
        <v>0100000001000</v>
      </c>
      <c r="AG46" s="41" t="str">
        <f t="shared" si="11"/>
        <v>0000002000000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136</v>
      </c>
      <c r="D47" s="30" t="s">
        <v>134</v>
      </c>
      <c r="E47" s="30" t="s">
        <v>131</v>
      </c>
      <c r="F47" s="30" t="s">
        <v>129</v>
      </c>
      <c r="G47" s="30" t="s">
        <v>138</v>
      </c>
      <c r="H47" s="35" t="s">
        <v>128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0000200000000</v>
      </c>
      <c r="AC47" s="15" t="str">
        <f t="shared" si="11"/>
        <v>0101000000000</v>
      </c>
      <c r="AD47" s="15" t="str">
        <f t="shared" si="11"/>
        <v>0100000000100</v>
      </c>
      <c r="AE47" s="15" t="str">
        <f t="shared" si="11"/>
        <v>0100000001000</v>
      </c>
      <c r="AF47" s="15" t="str">
        <f t="shared" si="11"/>
        <v>0000000001010</v>
      </c>
      <c r="AG47" s="41" t="str">
        <f t="shared" si="11"/>
        <v>0000002000000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133</v>
      </c>
      <c r="D48" s="30" t="s">
        <v>127</v>
      </c>
      <c r="E48" s="30" t="s">
        <v>130</v>
      </c>
      <c r="F48" s="30" t="s">
        <v>130</v>
      </c>
      <c r="G48" s="30" t="s">
        <v>127</v>
      </c>
      <c r="H48" s="35" t="s">
        <v>138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0000100100000</v>
      </c>
      <c r="AC48" s="15" t="str">
        <f t="shared" si="11"/>
        <v>0011000000000</v>
      </c>
      <c r="AD48" s="15" t="str">
        <f t="shared" si="11"/>
        <v>0100000010000</v>
      </c>
      <c r="AE48" s="15" t="str">
        <f t="shared" si="11"/>
        <v>0000000011000</v>
      </c>
      <c r="AF48" s="15" t="str">
        <f t="shared" si="11"/>
        <v>0010000000010</v>
      </c>
      <c r="AG48" s="41" t="str">
        <f t="shared" si="11"/>
        <v>0000001000010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4</v>
      </c>
      <c r="AM48" s="39" cm="1">
        <f t="array" ref="AM48">SUMPRODUCT(--(MID(AD$10:AD$135, SUMIF($Z$9:$Z$21, LEFT($AJ48,2), $Y$9:$Y$21), 1) = RIGHT($AJ48, 1)), L$10:L$135)</f>
        <v>6</v>
      </c>
      <c r="AN48" s="39" cm="1">
        <f t="array" ref="AN48">SUMPRODUCT(--(MID(AE$10:AE$135, SUMIF($Z$9:$Z$21, LEFT($AJ48,2), $Y$9:$Y$21), 1) = RIGHT($AJ48, 1)), M$10:M$135)</f>
        <v>2</v>
      </c>
      <c r="AO48" s="39" cm="1">
        <f t="array" ref="AO48">SUMPRODUCT(--(MID(AF$10:AF$135, SUMIF($Z$9:$Z$21, LEFT($AJ48,2), $Y$9:$Y$21), 1) = RIGHT($AJ48, 1)), N$10:N$135)</f>
        <v>4</v>
      </c>
      <c r="AP48" s="19" cm="1">
        <f t="array" ref="AP48">SUMPRODUCT(--(MID(AG$10:AG$135, SUMIF($Z$9:$Z$21, LEFT($AJ48,2), $Y$9:$Y$21), 1) = RIGHT($AJ48, 1)), O$10:O$135)</f>
        <v>6</v>
      </c>
    </row>
    <row r="49" spans="2:42">
      <c r="B49" s="34">
        <f t="shared" si="9"/>
        <v>39</v>
      </c>
      <c r="C49" s="30" t="s">
        <v>138</v>
      </c>
      <c r="D49" s="30" t="s">
        <v>132</v>
      </c>
      <c r="E49" s="30" t="s">
        <v>127</v>
      </c>
      <c r="F49" s="30" t="s">
        <v>133</v>
      </c>
      <c r="G49" s="30" t="s">
        <v>129</v>
      </c>
      <c r="H49" s="35" t="s">
        <v>128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0000000100010</v>
      </c>
      <c r="AC49" s="15" t="str">
        <f t="shared" si="11"/>
        <v>0010000000100</v>
      </c>
      <c r="AD49" s="15" t="str">
        <f t="shared" si="11"/>
        <v>0010000010000</v>
      </c>
      <c r="AE49" s="15" t="str">
        <f t="shared" si="11"/>
        <v>0000000110000</v>
      </c>
      <c r="AF49" s="15" t="str">
        <f t="shared" si="11"/>
        <v>0010000001000</v>
      </c>
      <c r="AG49" s="41" t="str">
        <f t="shared" si="11"/>
        <v>0000001000010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66</v>
      </c>
      <c r="AL49" s="39" cm="1">
        <f t="array" ref="AL49">SUMPRODUCT(--(MID(AC$10:AC$135, SUMIF($Z$9:$Z$21, LEFT($AJ49,2), $Y$9:$Y$21), 1) = RIGHT($AJ49, 1)), K$10:K$135)</f>
        <v>86</v>
      </c>
      <c r="AM49" s="39" cm="1">
        <f t="array" ref="AM49">SUMPRODUCT(--(MID(AD$10:AD$135, SUMIF($Z$9:$Z$21, LEFT($AJ49,2), $Y$9:$Y$21), 1) = RIGHT($AJ49, 1)), L$10:L$135)</f>
        <v>56</v>
      </c>
      <c r="AN49" s="39" cm="1">
        <f t="array" ref="AN49">SUMPRODUCT(--(MID(AE$10:AE$135, SUMIF($Z$9:$Z$21, LEFT($AJ49,2), $Y$9:$Y$21), 1) = RIGHT($AJ49, 1)), M$10:M$135)</f>
        <v>53</v>
      </c>
      <c r="AO49" s="39" cm="1">
        <f t="array" ref="AO49">SUMPRODUCT(--(MID(AF$10:AF$135, SUMIF($Z$9:$Z$21, LEFT($AJ49,2), $Y$9:$Y$21), 1) = RIGHT($AJ49, 1)), N$10:N$135)</f>
        <v>62</v>
      </c>
      <c r="AP49" s="19" cm="1">
        <f t="array" ref="AP49">SUMPRODUCT(--(MID(AG$10:AG$135, SUMIF($Z$9:$Z$21, LEFT($AJ49,2), $Y$9:$Y$21), 1) = RIGHT($AJ49, 1)), O$10:O$135)</f>
        <v>92</v>
      </c>
    </row>
    <row r="50" spans="2:42">
      <c r="B50" s="34">
        <f t="shared" si="9"/>
        <v>40</v>
      </c>
      <c r="C50" s="30" t="s">
        <v>133</v>
      </c>
      <c r="D50" s="30" t="s">
        <v>131</v>
      </c>
      <c r="E50" s="30" t="s">
        <v>129</v>
      </c>
      <c r="F50" s="30" t="s">
        <v>129</v>
      </c>
      <c r="G50" s="30" t="s">
        <v>134</v>
      </c>
      <c r="H50" s="35" t="s">
        <v>138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0000000100010</v>
      </c>
      <c r="AC50" s="15" t="str">
        <f t="shared" si="11"/>
        <v>0100000000100</v>
      </c>
      <c r="AD50" s="15" t="str">
        <f t="shared" si="11"/>
        <v>0010000001000</v>
      </c>
      <c r="AE50" s="15" t="str">
        <f t="shared" si="11"/>
        <v>0000000101000</v>
      </c>
      <c r="AF50" s="15" t="str">
        <f t="shared" si="11"/>
        <v>0001000001000</v>
      </c>
      <c r="AG50" s="41" t="str">
        <f t="shared" si="11"/>
        <v>0000001000010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129</v>
      </c>
      <c r="D51" s="30" t="s">
        <v>132</v>
      </c>
      <c r="E51" s="30" t="s">
        <v>130</v>
      </c>
      <c r="F51" s="30" t="s">
        <v>133</v>
      </c>
      <c r="G51" s="30" t="s">
        <v>129</v>
      </c>
      <c r="H51" s="35" t="s">
        <v>128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0000000101000</v>
      </c>
      <c r="AC51" s="15" t="str">
        <f t="shared" si="11"/>
        <v>0100000000100</v>
      </c>
      <c r="AD51" s="15" t="str">
        <f t="shared" si="11"/>
        <v>0000000011000</v>
      </c>
      <c r="AE51" s="15" t="str">
        <f t="shared" si="11"/>
        <v>0000000101000</v>
      </c>
      <c r="AF51" s="15" t="str">
        <f t="shared" si="11"/>
        <v>0001000001000</v>
      </c>
      <c r="AG51" s="41" t="str">
        <f t="shared" si="11"/>
        <v>0000001000010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128</v>
      </c>
      <c r="D52" s="30" t="s">
        <v>129</v>
      </c>
      <c r="E52" s="30" t="s">
        <v>137</v>
      </c>
      <c r="F52" s="30" t="s">
        <v>129</v>
      </c>
      <c r="G52" s="30" t="s">
        <v>128</v>
      </c>
      <c r="H52" s="35" t="s">
        <v>131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0000001001000</v>
      </c>
      <c r="AC52" s="15" t="str">
        <f t="shared" si="11"/>
        <v>0000000001100</v>
      </c>
      <c r="AD52" s="15" t="str">
        <f t="shared" si="11"/>
        <v>0000010010000</v>
      </c>
      <c r="AE52" s="15" t="str">
        <f t="shared" si="11"/>
        <v>0000000101000</v>
      </c>
      <c r="AF52" s="15" t="str">
        <f t="shared" si="11"/>
        <v>0000001001000</v>
      </c>
      <c r="AG52" s="41" t="str">
        <f t="shared" si="11"/>
        <v>0100001000000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136</v>
      </c>
      <c r="D53" s="30" t="s">
        <v>132</v>
      </c>
      <c r="E53" s="30" t="s">
        <v>127</v>
      </c>
      <c r="F53" s="30" t="s">
        <v>127</v>
      </c>
      <c r="G53" s="30" t="s">
        <v>129</v>
      </c>
      <c r="H53" s="35" t="s">
        <v>138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0000101000000</v>
      </c>
      <c r="AC53" s="15" t="str">
        <f t="shared" si="11"/>
        <v>0000000001100</v>
      </c>
      <c r="AD53" s="15" t="str">
        <f t="shared" si="11"/>
        <v>0010010000000</v>
      </c>
      <c r="AE53" s="15" t="str">
        <f t="shared" si="11"/>
        <v>0010000001000</v>
      </c>
      <c r="AF53" s="15" t="str">
        <f t="shared" si="11"/>
        <v>0000001001000</v>
      </c>
      <c r="AG53" s="41" t="str">
        <f t="shared" si="11"/>
        <v>0100000000010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134</v>
      </c>
      <c r="D54" s="30" t="s">
        <v>131</v>
      </c>
      <c r="E54" s="30" t="s">
        <v>129</v>
      </c>
      <c r="F54" s="30" t="s">
        <v>131</v>
      </c>
      <c r="G54" s="30" t="s">
        <v>127</v>
      </c>
      <c r="H54" s="35" t="s">
        <v>131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0001100000000</v>
      </c>
      <c r="AC54" s="15" t="str">
        <f t="shared" si="11"/>
        <v>0100000000100</v>
      </c>
      <c r="AD54" s="15" t="str">
        <f t="shared" si="11"/>
        <v>0010000001000</v>
      </c>
      <c r="AE54" s="15" t="str">
        <f t="shared" si="11"/>
        <v>0110000000000</v>
      </c>
      <c r="AF54" s="15" t="str">
        <f t="shared" si="11"/>
        <v>0010000001000</v>
      </c>
      <c r="AG54" s="41" t="str">
        <f t="shared" si="11"/>
        <v>0100000000010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131</v>
      </c>
      <c r="D55" s="30" t="s">
        <v>132</v>
      </c>
      <c r="E55" s="30" t="s">
        <v>132</v>
      </c>
      <c r="F55" s="30" t="s">
        <v>138</v>
      </c>
      <c r="G55" s="30" t="s">
        <v>134</v>
      </c>
      <c r="H55" s="35" t="s">
        <v>134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0101000000000</v>
      </c>
      <c r="AC55" s="15" t="str">
        <f t="shared" si="11"/>
        <v>0100000000100</v>
      </c>
      <c r="AD55" s="15" t="str">
        <f t="shared" si="11"/>
        <v>0000000001100</v>
      </c>
      <c r="AE55" s="15" t="str">
        <f t="shared" si="11"/>
        <v>0100000000010</v>
      </c>
      <c r="AF55" s="15" t="str">
        <f t="shared" si="11"/>
        <v>0011000000000</v>
      </c>
      <c r="AG55" s="41" t="str">
        <f t="shared" si="11"/>
        <v>0101000000000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0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134</v>
      </c>
      <c r="D56" s="30" t="s">
        <v>129</v>
      </c>
      <c r="E56" s="30" t="s">
        <v>127</v>
      </c>
      <c r="F56" s="30" t="s">
        <v>131</v>
      </c>
      <c r="G56" s="30" t="s">
        <v>127</v>
      </c>
      <c r="H56" s="35" t="s">
        <v>129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0101000000000</v>
      </c>
      <c r="AC56" s="15" t="str">
        <f t="shared" si="11"/>
        <v>0000000001100</v>
      </c>
      <c r="AD56" s="15" t="str">
        <f t="shared" si="11"/>
        <v>0010000000100</v>
      </c>
      <c r="AE56" s="15" t="str">
        <f t="shared" si="11"/>
        <v>0100000000010</v>
      </c>
      <c r="AF56" s="15" t="str">
        <f t="shared" si="11"/>
        <v>0011000000000</v>
      </c>
      <c r="AG56" s="41" t="str">
        <f t="shared" si="11"/>
        <v>0001000001000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8</v>
      </c>
      <c r="AL56" s="39" cm="1">
        <f t="array" ref="AL56">SUMPRODUCT(--(MID(AC$10:AC$135, SUMIF($Z$9:$Z$21, LEFT($AJ56,2), $Y$9:$Y$21), 1) = RIGHT($AJ56, 1)), K$10:K$135)</f>
        <v>12</v>
      </c>
      <c r="AM56" s="39" cm="1">
        <f t="array" ref="AM56">SUMPRODUCT(--(MID(AD$10:AD$135, SUMIF($Z$9:$Z$21, LEFT($AJ56,2), $Y$9:$Y$21), 1) = RIGHT($AJ56, 1)), L$10:L$135)</f>
        <v>6</v>
      </c>
      <c r="AN56" s="39" cm="1">
        <f t="array" ref="AN56">SUMPRODUCT(--(MID(AE$10:AE$135, SUMIF($Z$9:$Z$21, LEFT($AJ56,2), $Y$9:$Y$21), 1) = RIGHT($AJ56, 1)), M$10:M$135)</f>
        <v>2</v>
      </c>
      <c r="AO56" s="39" cm="1">
        <f t="array" ref="AO56">SUMPRODUCT(--(MID(AF$10:AF$135, SUMIF($Z$9:$Z$21, LEFT($AJ56,2), $Y$9:$Y$21), 1) = RIGHT($AJ56, 1)), N$10:N$135)</f>
        <v>12</v>
      </c>
      <c r="AP56" s="19" cm="1">
        <f t="array" ref="AP56">SUMPRODUCT(--(MID(AG$10:AG$135, SUMIF($Z$9:$Z$21, LEFT($AJ56,2), $Y$9:$Y$21), 1) = RIGHT($AJ56, 1)), O$10:O$135)</f>
        <v>20</v>
      </c>
    </row>
    <row r="57" spans="2:42">
      <c r="B57" s="34">
        <f t="shared" si="9"/>
        <v>47</v>
      </c>
      <c r="C57" s="30" t="s">
        <v>138</v>
      </c>
      <c r="D57" s="30" t="s">
        <v>127</v>
      </c>
      <c r="E57" s="30" t="s">
        <v>129</v>
      </c>
      <c r="F57" s="30" t="s">
        <v>133</v>
      </c>
      <c r="G57" s="30" t="s">
        <v>129</v>
      </c>
      <c r="H57" s="35" t="s">
        <v>136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0001000000010</v>
      </c>
      <c r="AC57" s="15" t="str">
        <f t="shared" si="11"/>
        <v>0010000001000</v>
      </c>
      <c r="AD57" s="15" t="str">
        <f t="shared" si="11"/>
        <v>0010000001000</v>
      </c>
      <c r="AE57" s="15" t="str">
        <f t="shared" si="11"/>
        <v>0100000100000</v>
      </c>
      <c r="AF57" s="15" t="str">
        <f t="shared" si="11"/>
        <v>0010000001000</v>
      </c>
      <c r="AG57" s="41" t="str">
        <f t="shared" si="11"/>
        <v>0000100001000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58</v>
      </c>
      <c r="AL57" s="39" cm="1">
        <f t="array" ref="AL57">SUMPRODUCT(--(MID(AC$10:AC$135, SUMIF($Z$9:$Z$21, LEFT($AJ57,2), $Y$9:$Y$21), 1) = RIGHT($AJ57, 1)), K$10:K$135)</f>
        <v>76</v>
      </c>
      <c r="AM57" s="39" cm="1">
        <f t="array" ref="AM57">SUMPRODUCT(--(MID(AD$10:AD$135, SUMIF($Z$9:$Z$21, LEFT($AJ57,2), $Y$9:$Y$21), 1) = RIGHT($AJ57, 1)), L$10:L$135)</f>
        <v>54</v>
      </c>
      <c r="AN57" s="39" cm="1">
        <f t="array" ref="AN57">SUMPRODUCT(--(MID(AE$10:AE$135, SUMIF($Z$9:$Z$21, LEFT($AJ57,2), $Y$9:$Y$21), 1) = RIGHT($AJ57, 1)), M$10:M$135)</f>
        <v>53</v>
      </c>
      <c r="AO57" s="39" cm="1">
        <f t="array" ref="AO57">SUMPRODUCT(--(MID(AF$10:AF$135, SUMIF($Z$9:$Z$21, LEFT($AJ57,2), $Y$9:$Y$21), 1) = RIGHT($AJ57, 1)), N$10:N$135)</f>
        <v>54</v>
      </c>
      <c r="AP57" s="19" cm="1">
        <f t="array" ref="AP57">SUMPRODUCT(--(MID(AG$10:AG$135, SUMIF($Z$9:$Z$21, LEFT($AJ57,2), $Y$9:$Y$21), 1) = RIGHT($AJ57, 1)), O$10:O$135)</f>
        <v>76</v>
      </c>
    </row>
    <row r="58" spans="2:42">
      <c r="B58" s="34">
        <f t="shared" si="9"/>
        <v>48</v>
      </c>
      <c r="C58" s="30" t="s">
        <v>132</v>
      </c>
      <c r="D58" s="30" t="s">
        <v>138</v>
      </c>
      <c r="E58" s="30" t="s">
        <v>132</v>
      </c>
      <c r="F58" s="30" t="s">
        <v>129</v>
      </c>
      <c r="G58" s="30" t="s">
        <v>138</v>
      </c>
      <c r="H58" s="35" t="s">
        <v>138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0000000000110</v>
      </c>
      <c r="AC58" s="15" t="str">
        <f t="shared" si="11"/>
        <v>0010000000010</v>
      </c>
      <c r="AD58" s="15" t="str">
        <f t="shared" si="11"/>
        <v>0000000001100</v>
      </c>
      <c r="AE58" s="15" t="str">
        <f t="shared" si="11"/>
        <v>0000000101000</v>
      </c>
      <c r="AF58" s="15" t="str">
        <f t="shared" si="11"/>
        <v>0000000001010</v>
      </c>
      <c r="AG58" s="41" t="str">
        <f t="shared" si="11"/>
        <v>0000100000010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134</v>
      </c>
      <c r="D59" s="30" t="s">
        <v>136</v>
      </c>
      <c r="E59" s="30" t="s">
        <v>130</v>
      </c>
      <c r="F59" s="30" t="s">
        <v>132</v>
      </c>
      <c r="G59" s="30" t="s">
        <v>129</v>
      </c>
      <c r="H59" s="35" t="s">
        <v>127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0001000000100</v>
      </c>
      <c r="AC59" s="15" t="str">
        <f t="shared" si="11"/>
        <v>0000100000010</v>
      </c>
      <c r="AD59" s="15" t="str">
        <f t="shared" si="11"/>
        <v>0000000010100</v>
      </c>
      <c r="AE59" s="15" t="str">
        <f t="shared" si="11"/>
        <v>0000000001100</v>
      </c>
      <c r="AF59" s="15" t="str">
        <f t="shared" si="11"/>
        <v>0000000001010</v>
      </c>
      <c r="AG59" s="41" t="str">
        <f t="shared" si="11"/>
        <v>0010000000010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138</v>
      </c>
      <c r="D60" s="30" t="s">
        <v>129</v>
      </c>
      <c r="E60" s="30" t="s">
        <v>131</v>
      </c>
      <c r="F60" s="30" t="s">
        <v>131</v>
      </c>
      <c r="G60" s="30" t="s">
        <v>128</v>
      </c>
      <c r="H60" s="35" t="s">
        <v>128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0001000000010</v>
      </c>
      <c r="AC60" s="15" t="str">
        <f t="shared" si="11"/>
        <v>0000100001000</v>
      </c>
      <c r="AD60" s="15" t="str">
        <f t="shared" si="11"/>
        <v>0100000010000</v>
      </c>
      <c r="AE60" s="15" t="str">
        <f t="shared" si="11"/>
        <v>0100000000100</v>
      </c>
      <c r="AF60" s="15" t="str">
        <f t="shared" si="11"/>
        <v>0000001001000</v>
      </c>
      <c r="AG60" s="41" t="str">
        <f t="shared" si="11"/>
        <v>0010001000000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130</v>
      </c>
      <c r="D61" s="30" t="s">
        <v>138</v>
      </c>
      <c r="E61" s="30" t="s">
        <v>130</v>
      </c>
      <c r="F61" s="30" t="s">
        <v>138</v>
      </c>
      <c r="G61" s="30" t="s">
        <v>129</v>
      </c>
      <c r="H61" s="35" t="s">
        <v>127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0000000010010</v>
      </c>
      <c r="AC61" s="15" t="str">
        <f t="shared" si="11"/>
        <v>0000000001010</v>
      </c>
      <c r="AD61" s="15" t="str">
        <f t="shared" si="11"/>
        <v>0100000010000</v>
      </c>
      <c r="AE61" s="15" t="str">
        <f t="shared" si="11"/>
        <v>0100000000010</v>
      </c>
      <c r="AF61" s="15" t="str">
        <f t="shared" si="11"/>
        <v>0000001001000</v>
      </c>
      <c r="AG61" s="41" t="str">
        <f t="shared" si="11"/>
        <v>0010001000000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138</v>
      </c>
      <c r="D62" s="30" t="s">
        <v>132</v>
      </c>
      <c r="E62" s="30" t="s">
        <v>128</v>
      </c>
      <c r="F62" s="30" t="s">
        <v>133</v>
      </c>
      <c r="G62" s="30" t="s">
        <v>134</v>
      </c>
      <c r="H62" s="35" t="s">
        <v>128</v>
      </c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0000000010010</v>
      </c>
      <c r="AC62" s="15" t="str">
        <f t="shared" si="11"/>
        <v>0000000000110</v>
      </c>
      <c r="AD62" s="15" t="str">
        <f t="shared" si="11"/>
        <v>0000001010000</v>
      </c>
      <c r="AE62" s="15" t="str">
        <f t="shared" si="11"/>
        <v>0000000100010</v>
      </c>
      <c r="AF62" s="15" t="str">
        <f t="shared" si="11"/>
        <v>0001000001000</v>
      </c>
      <c r="AG62" s="41" t="str">
        <f t="shared" si="11"/>
        <v>0010001000000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134</v>
      </c>
      <c r="D63" s="30" t="s">
        <v>134</v>
      </c>
      <c r="E63" s="30" t="s">
        <v>132</v>
      </c>
      <c r="F63" s="30" t="s">
        <v>131</v>
      </c>
      <c r="G63" s="30" t="s">
        <v>137</v>
      </c>
      <c r="H63" s="35" t="s">
        <v>138</v>
      </c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0001000000010</v>
      </c>
      <c r="AC63" s="15" t="str">
        <f t="shared" si="11"/>
        <v>0001000000100</v>
      </c>
      <c r="AD63" s="15" t="str">
        <f t="shared" si="11"/>
        <v>0000001000100</v>
      </c>
      <c r="AE63" s="15" t="str">
        <f t="shared" si="11"/>
        <v>0100000100000</v>
      </c>
      <c r="AF63" s="15" t="str">
        <f t="shared" si="11"/>
        <v>0001010000000</v>
      </c>
      <c r="AG63" s="41" t="str">
        <f t="shared" si="11"/>
        <v>0000001000010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2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133</v>
      </c>
      <c r="D64" s="30" t="s">
        <v>127</v>
      </c>
      <c r="E64" s="30" t="s">
        <v>133</v>
      </c>
      <c r="F64" s="30" t="s">
        <v>129</v>
      </c>
      <c r="G64" s="30" t="s">
        <v>129</v>
      </c>
      <c r="H64" s="35" t="s">
        <v>127</v>
      </c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>
        <f t="shared" si="21"/>
        <v>1</v>
      </c>
      <c r="AB64" s="40" t="str">
        <f t="shared" si="11"/>
        <v>0001000100000</v>
      </c>
      <c r="AC64" s="15" t="str">
        <f t="shared" si="11"/>
        <v>0011000000000</v>
      </c>
      <c r="AD64" s="15" t="str">
        <f t="shared" si="11"/>
        <v>0000000100100</v>
      </c>
      <c r="AE64" s="15" t="str">
        <f t="shared" si="11"/>
        <v>0100000001000</v>
      </c>
      <c r="AF64" s="15" t="str">
        <f t="shared" si="11"/>
        <v>0000010001000</v>
      </c>
      <c r="AG64" s="41" t="str">
        <f t="shared" si="11"/>
        <v>0010000000010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12</v>
      </c>
      <c r="AL64" s="39" cm="1">
        <f t="array" ref="AL64">SUMPRODUCT(--(MID(AC$10:AC$135, SUMIF($Z$9:$Z$21, LEFT($AJ64,2), $Y$9:$Y$21), 1) = RIGHT($AJ64, 1)), K$10:K$135)</f>
        <v>4</v>
      </c>
      <c r="AM64" s="39" cm="1">
        <f t="array" ref="AM64">SUMPRODUCT(--(MID(AD$10:AD$135, SUMIF($Z$9:$Z$21, LEFT($AJ64,2), $Y$9:$Y$21), 1) = RIGHT($AJ64, 1)), L$10:L$135)</f>
        <v>6</v>
      </c>
      <c r="AN64" s="39" cm="1">
        <f t="array" ref="AN64">SUMPRODUCT(--(MID(AE$10:AE$135, SUMIF($Z$9:$Z$21, LEFT($AJ64,2), $Y$9:$Y$21), 1) = RIGHT($AJ64, 1)), M$10:M$135)</f>
        <v>12</v>
      </c>
      <c r="AO64" s="39" cm="1">
        <f t="array" ref="AO64">SUMPRODUCT(--(MID(AF$10:AF$135, SUMIF($Z$9:$Z$21, LEFT($AJ64,2), $Y$9:$Y$21), 1) = RIGHT($AJ64, 1)), N$10:N$135)</f>
        <v>4</v>
      </c>
      <c r="AP64" s="19" cm="1">
        <f t="array" ref="AP64">SUMPRODUCT(--(MID(AG$10:AG$135, SUMIF($Z$9:$Z$21, LEFT($AJ64,2), $Y$9:$Y$21), 1) = RIGHT($AJ64, 1)), O$10:O$135)</f>
        <v>4</v>
      </c>
    </row>
    <row r="65" spans="2:42">
      <c r="B65" s="34">
        <f t="shared" si="9"/>
        <v>55</v>
      </c>
      <c r="C65" s="30" t="s">
        <v>134</v>
      </c>
      <c r="D65" s="30" t="s">
        <v>134</v>
      </c>
      <c r="E65" s="30" t="s">
        <v>137</v>
      </c>
      <c r="F65" s="30"/>
      <c r="G65" s="30" t="s">
        <v>134</v>
      </c>
      <c r="H65" s="35" t="s">
        <v>136</v>
      </c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 t="str">
        <f t="shared" si="21"/>
        <v/>
      </c>
      <c r="N65" s="30">
        <f t="shared" si="21"/>
        <v>1</v>
      </c>
      <c r="O65" s="35">
        <f t="shared" si="21"/>
        <v>1</v>
      </c>
      <c r="AB65" s="40" t="str">
        <f t="shared" si="11"/>
        <v>0001000100000</v>
      </c>
      <c r="AC65" s="15" t="str">
        <f t="shared" si="11"/>
        <v>0011000000000</v>
      </c>
      <c r="AD65" s="15" t="str">
        <f t="shared" si="11"/>
        <v>0000010100000</v>
      </c>
      <c r="AE65" s="15" t="str">
        <f t="shared" si="11"/>
        <v/>
      </c>
      <c r="AF65" s="15" t="str">
        <f t="shared" si="11"/>
        <v>0001000001000</v>
      </c>
      <c r="AG65" s="41" t="str">
        <f t="shared" si="11"/>
        <v>0010100000000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54</v>
      </c>
      <c r="AL65" s="39" cm="1">
        <f t="array" ref="AL65">SUMPRODUCT(--(MID(AC$10:AC$135, SUMIF($Z$9:$Z$21, LEFT($AJ65,2), $Y$9:$Y$21), 1) = RIGHT($AJ65, 1)), K$10:K$135)</f>
        <v>84</v>
      </c>
      <c r="AM65" s="39" cm="1">
        <f t="array" ref="AM65">SUMPRODUCT(--(MID(AD$10:AD$135, SUMIF($Z$9:$Z$21, LEFT($AJ65,2), $Y$9:$Y$21), 1) = RIGHT($AJ65, 1)), L$10:L$135)</f>
        <v>54</v>
      </c>
      <c r="AN65" s="39" cm="1">
        <f t="array" ref="AN65">SUMPRODUCT(--(MID(AE$10:AE$135, SUMIF($Z$9:$Z$21, LEFT($AJ65,2), $Y$9:$Y$21), 1) = RIGHT($AJ65, 1)), M$10:M$135)</f>
        <v>41</v>
      </c>
      <c r="AO65" s="39" cm="1">
        <f t="array" ref="AO65">SUMPRODUCT(--(MID(AF$10:AF$135, SUMIF($Z$9:$Z$21, LEFT($AJ65,2), $Y$9:$Y$21), 1) = RIGHT($AJ65, 1)), N$10:N$135)</f>
        <v>60</v>
      </c>
      <c r="AP65" s="19" cm="1">
        <f t="array" ref="AP65">SUMPRODUCT(--(MID(AG$10:AG$135, SUMIF($Z$9:$Z$21, LEFT($AJ65,2), $Y$9:$Y$21), 1) = RIGHT($AJ65, 1)), O$10:O$135)</f>
        <v>92</v>
      </c>
    </row>
    <row r="66" spans="2:42">
      <c r="B66" s="34">
        <f t="shared" si="9"/>
        <v>56</v>
      </c>
      <c r="C66" s="30" t="s">
        <v>138</v>
      </c>
      <c r="D66" s="30" t="s">
        <v>128</v>
      </c>
      <c r="E66" s="30" t="s">
        <v>129</v>
      </c>
      <c r="F66" s="30"/>
      <c r="G66" s="30" t="s">
        <v>129</v>
      </c>
      <c r="H66" s="35" t="s">
        <v>128</v>
      </c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 t="str">
        <f t="shared" si="21"/>
        <v/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0001000000010</v>
      </c>
      <c r="AC66" s="15" t="str">
        <f t="shared" si="23"/>
        <v>0001001000000</v>
      </c>
      <c r="AD66" s="15" t="str">
        <f t="shared" si="23"/>
        <v>0000010001000</v>
      </c>
      <c r="AE66" s="15" t="str">
        <f t="shared" si="23"/>
        <v/>
      </c>
      <c r="AF66" s="15" t="str">
        <f t="shared" si="23"/>
        <v>0001000001000</v>
      </c>
      <c r="AG66" s="41" t="str">
        <f t="shared" si="23"/>
        <v>0000101000000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132</v>
      </c>
      <c r="D67" s="30" t="s">
        <v>138</v>
      </c>
      <c r="E67" s="30" t="s">
        <v>131</v>
      </c>
      <c r="F67" s="30"/>
      <c r="G67" s="30" t="s">
        <v>136</v>
      </c>
      <c r="H67" s="35" t="s">
        <v>137</v>
      </c>
      <c r="J67" s="34">
        <f t="shared" si="21"/>
        <v>1</v>
      </c>
      <c r="K67" s="30">
        <f t="shared" si="21"/>
        <v>1</v>
      </c>
      <c r="L67" s="30">
        <f t="shared" si="21"/>
        <v>1</v>
      </c>
      <c r="M67" s="30" t="str">
        <f t="shared" si="21"/>
        <v/>
      </c>
      <c r="N67" s="30">
        <f t="shared" si="21"/>
        <v>1</v>
      </c>
      <c r="O67" s="35">
        <f t="shared" si="21"/>
        <v>1</v>
      </c>
      <c r="AB67" s="40" t="str">
        <f t="shared" si="23"/>
        <v>0000000000110</v>
      </c>
      <c r="AC67" s="15" t="str">
        <f t="shared" si="23"/>
        <v>0000001000010</v>
      </c>
      <c r="AD67" s="15" t="str">
        <f t="shared" si="23"/>
        <v>0100000001000</v>
      </c>
      <c r="AE67" s="15" t="str">
        <f t="shared" si="23"/>
        <v/>
      </c>
      <c r="AF67" s="15" t="str">
        <f t="shared" si="23"/>
        <v>0000100001000</v>
      </c>
      <c r="AG67" s="41" t="str">
        <f t="shared" si="23"/>
        <v>0000011000000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134</v>
      </c>
      <c r="D68" s="30" t="s">
        <v>134</v>
      </c>
      <c r="E68" s="30" t="s">
        <v>130</v>
      </c>
      <c r="F68" s="30"/>
      <c r="G68" s="30" t="s">
        <v>129</v>
      </c>
      <c r="H68" s="35" t="s">
        <v>134</v>
      </c>
      <c r="J68" s="34">
        <f t="shared" si="21"/>
        <v>1</v>
      </c>
      <c r="K68" s="30">
        <f t="shared" si="21"/>
        <v>1</v>
      </c>
      <c r="L68" s="30">
        <f t="shared" si="21"/>
        <v>1</v>
      </c>
      <c r="M68" s="30" t="str">
        <f t="shared" si="21"/>
        <v/>
      </c>
      <c r="N68" s="30">
        <f t="shared" si="21"/>
        <v>1</v>
      </c>
      <c r="O68" s="35">
        <f t="shared" si="21"/>
        <v>1</v>
      </c>
      <c r="AB68" s="40" t="str">
        <f t="shared" si="23"/>
        <v>0001000000100</v>
      </c>
      <c r="AC68" s="15" t="str">
        <f t="shared" si="23"/>
        <v>0001000000010</v>
      </c>
      <c r="AD68" s="15" t="str">
        <f t="shared" si="23"/>
        <v>0100000010000</v>
      </c>
      <c r="AE68" s="15" t="str">
        <f t="shared" si="23"/>
        <v/>
      </c>
      <c r="AF68" s="15" t="str">
        <f t="shared" si="23"/>
        <v>0000100001000</v>
      </c>
      <c r="AG68" s="41" t="str">
        <f t="shared" si="23"/>
        <v>0001010000000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129</v>
      </c>
      <c r="D69" s="30" t="s">
        <v>131</v>
      </c>
      <c r="E69" s="30" t="s">
        <v>132</v>
      </c>
      <c r="F69" s="30"/>
      <c r="G69" s="30" t="s">
        <v>127</v>
      </c>
      <c r="H69" s="35" t="s">
        <v>128</v>
      </c>
      <c r="J69" s="34">
        <f t="shared" si="21"/>
        <v>1</v>
      </c>
      <c r="K69" s="30">
        <f t="shared" si="21"/>
        <v>1</v>
      </c>
      <c r="L69" s="30">
        <f t="shared" si="21"/>
        <v>1</v>
      </c>
      <c r="M69" s="30" t="str">
        <f t="shared" si="21"/>
        <v/>
      </c>
      <c r="N69" s="30">
        <f t="shared" si="21"/>
        <v>1</v>
      </c>
      <c r="O69" s="35">
        <f t="shared" si="21"/>
        <v>1</v>
      </c>
      <c r="AB69" s="40" t="str">
        <f t="shared" si="23"/>
        <v>0001000001000</v>
      </c>
      <c r="AC69" s="15" t="str">
        <f t="shared" si="23"/>
        <v>0101000000000</v>
      </c>
      <c r="AD69" s="15" t="str">
        <f t="shared" si="23"/>
        <v>0000000010100</v>
      </c>
      <c r="AE69" s="15" t="str">
        <f t="shared" si="23"/>
        <v/>
      </c>
      <c r="AF69" s="15" t="str">
        <f t="shared" si="23"/>
        <v>0010000001000</v>
      </c>
      <c r="AG69" s="41" t="str">
        <f t="shared" si="23"/>
        <v>0001001000000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127</v>
      </c>
      <c r="D70" s="30" t="s">
        <v>127</v>
      </c>
      <c r="E70" s="30" t="s">
        <v>129</v>
      </c>
      <c r="F70" s="30"/>
      <c r="G70" s="30" t="s">
        <v>132</v>
      </c>
      <c r="H70" s="35" t="s">
        <v>129</v>
      </c>
      <c r="J70" s="34">
        <f t="shared" si="21"/>
        <v>1</v>
      </c>
      <c r="K70" s="30">
        <f t="shared" si="21"/>
        <v>1</v>
      </c>
      <c r="L70" s="30">
        <f t="shared" si="21"/>
        <v>1</v>
      </c>
      <c r="M70" s="30" t="str">
        <f t="shared" si="21"/>
        <v/>
      </c>
      <c r="N70" s="30">
        <f t="shared" si="21"/>
        <v>1</v>
      </c>
      <c r="O70" s="35">
        <f t="shared" si="21"/>
        <v>1</v>
      </c>
      <c r="AB70" s="40" t="str">
        <f t="shared" si="23"/>
        <v>0010000001000</v>
      </c>
      <c r="AC70" s="15" t="str">
        <f t="shared" si="23"/>
        <v>0110000000000</v>
      </c>
      <c r="AD70" s="15" t="str">
        <f t="shared" si="23"/>
        <v>0000000001100</v>
      </c>
      <c r="AE70" s="15" t="str">
        <f t="shared" si="23"/>
        <v/>
      </c>
      <c r="AF70" s="15" t="str">
        <f t="shared" si="23"/>
        <v>0010000000100</v>
      </c>
      <c r="AG70" s="41" t="str">
        <f t="shared" si="23"/>
        <v>0000001001000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132</v>
      </c>
      <c r="D71" s="30" t="s">
        <v>130</v>
      </c>
      <c r="E71" s="30" t="s">
        <v>131</v>
      </c>
      <c r="F71" s="30"/>
      <c r="G71" s="30" t="s">
        <v>129</v>
      </c>
      <c r="H71" s="35" t="s">
        <v>138</v>
      </c>
      <c r="J71" s="34">
        <f t="shared" si="21"/>
        <v>1</v>
      </c>
      <c r="K71" s="30">
        <f t="shared" si="21"/>
        <v>1</v>
      </c>
      <c r="L71" s="30">
        <f t="shared" si="21"/>
        <v>1</v>
      </c>
      <c r="M71" s="30" t="str">
        <f t="shared" si="21"/>
        <v/>
      </c>
      <c r="N71" s="30">
        <f t="shared" si="21"/>
        <v>1</v>
      </c>
      <c r="O71" s="35">
        <f t="shared" si="21"/>
        <v>1</v>
      </c>
      <c r="AB71" s="40" t="str">
        <f t="shared" si="23"/>
        <v>0010000000100</v>
      </c>
      <c r="AC71" s="15" t="str">
        <f t="shared" si="23"/>
        <v>0010000010000</v>
      </c>
      <c r="AD71" s="15" t="str">
        <f t="shared" si="23"/>
        <v>0100000001000</v>
      </c>
      <c r="AE71" s="15" t="str">
        <f t="shared" si="23"/>
        <v/>
      </c>
      <c r="AF71" s="15" t="str">
        <f t="shared" si="23"/>
        <v>0000000001100</v>
      </c>
      <c r="AG71" s="41" t="str">
        <f t="shared" si="23"/>
        <v>0000000001010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138</v>
      </c>
      <c r="D72" s="30" t="s">
        <v>131</v>
      </c>
      <c r="E72" s="30"/>
      <c r="F72" s="30"/>
      <c r="G72" s="30" t="s">
        <v>134</v>
      </c>
      <c r="H72" s="35" t="s">
        <v>132</v>
      </c>
      <c r="J72" s="34">
        <f t="shared" si="21"/>
        <v>1</v>
      </c>
      <c r="K72" s="30">
        <f t="shared" si="21"/>
        <v>1</v>
      </c>
      <c r="L72" s="30" t="str">
        <f t="shared" si="21"/>
        <v/>
      </c>
      <c r="M72" s="30" t="str">
        <f t="shared" si="21"/>
        <v/>
      </c>
      <c r="N72" s="30">
        <f t="shared" si="21"/>
        <v>1</v>
      </c>
      <c r="O72" s="35">
        <f t="shared" si="21"/>
        <v>1</v>
      </c>
      <c r="AB72" s="40" t="str">
        <f t="shared" si="23"/>
        <v>0000000000110</v>
      </c>
      <c r="AC72" s="15" t="str">
        <f t="shared" si="23"/>
        <v>0100000010000</v>
      </c>
      <c r="AD72" s="15" t="str">
        <f t="shared" si="23"/>
        <v/>
      </c>
      <c r="AE72" s="15" t="str">
        <f t="shared" si="23"/>
        <v/>
      </c>
      <c r="AF72" s="15" t="str">
        <f t="shared" si="23"/>
        <v>0001000001000</v>
      </c>
      <c r="AG72" s="41" t="str">
        <f t="shared" si="23"/>
        <v>0000000000110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4</v>
      </c>
      <c r="AL72" s="39" cm="1">
        <f t="array" ref="AL72">SUMPRODUCT(--(MID(AC$10:AC$135, SUMIF($Z$9:$Z$21, LEFT($AJ72,2), $Y$9:$Y$21), 1) = RIGHT($AJ72, 1)), K$10:K$135)</f>
        <v>10</v>
      </c>
      <c r="AM72" s="39" cm="1">
        <f t="array" ref="AM72">SUMPRODUCT(--(MID(AD$10:AD$135, SUMIF($Z$9:$Z$21, LEFT($AJ72,2), $Y$9:$Y$21), 1) = RIGHT($AJ72, 1)), L$10:L$135)</f>
        <v>14</v>
      </c>
      <c r="AN72" s="39" cm="1">
        <f t="array" ref="AN72">SUMPRODUCT(--(MID(AE$10:AE$135, SUMIF($Z$9:$Z$21, LEFT($AJ72,2), $Y$9:$Y$21), 1) = RIGHT($AJ72, 1)), M$10:M$135)</f>
        <v>4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4</v>
      </c>
    </row>
    <row r="73" spans="2:42">
      <c r="B73" s="34">
        <f t="shared" si="9"/>
        <v>63</v>
      </c>
      <c r="C73" s="30" t="s">
        <v>129</v>
      </c>
      <c r="D73" s="30" t="s">
        <v>128</v>
      </c>
      <c r="E73" s="30"/>
      <c r="F73" s="30"/>
      <c r="G73" s="30" t="s">
        <v>129</v>
      </c>
      <c r="H73" s="35" t="s">
        <v>136</v>
      </c>
      <c r="J73" s="34">
        <f t="shared" si="21"/>
        <v>1</v>
      </c>
      <c r="K73" s="30">
        <f t="shared" si="21"/>
        <v>1</v>
      </c>
      <c r="L73" s="30" t="str">
        <f t="shared" si="21"/>
        <v/>
      </c>
      <c r="M73" s="30" t="str">
        <f t="shared" si="21"/>
        <v/>
      </c>
      <c r="N73" s="30">
        <f t="shared" si="21"/>
        <v>1</v>
      </c>
      <c r="O73" s="35">
        <f t="shared" si="21"/>
        <v>1</v>
      </c>
      <c r="AB73" s="40" t="str">
        <f t="shared" si="23"/>
        <v>0000000001010</v>
      </c>
      <c r="AC73" s="15" t="str">
        <f t="shared" si="23"/>
        <v>0100001000000</v>
      </c>
      <c r="AD73" s="15" t="str">
        <f t="shared" si="23"/>
        <v/>
      </c>
      <c r="AE73" s="15" t="str">
        <f t="shared" si="23"/>
        <v/>
      </c>
      <c r="AF73" s="15" t="str">
        <f t="shared" si="23"/>
        <v>0001000001000</v>
      </c>
      <c r="AG73" s="41" t="str">
        <f t="shared" si="23"/>
        <v>0000100000100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64</v>
      </c>
      <c r="AL73" s="39" cm="1">
        <f t="array" ref="AL73">SUMPRODUCT(--(MID(AC$10:AC$135, SUMIF($Z$9:$Z$21, LEFT($AJ73,2), $Y$9:$Y$21), 1) = RIGHT($AJ73, 1)), K$10:K$135)</f>
        <v>80</v>
      </c>
      <c r="AM73" s="39" cm="1">
        <f t="array" ref="AM73">SUMPRODUCT(--(MID(AD$10:AD$135, SUMIF($Z$9:$Z$21, LEFT($AJ73,2), $Y$9:$Y$21), 1) = RIGHT($AJ73, 1)), L$10:L$135)</f>
        <v>48</v>
      </c>
      <c r="AN73" s="39" cm="1">
        <f t="array" ref="AN73">SUMPRODUCT(--(MID(AE$10:AE$135, SUMIF($Z$9:$Z$21, LEFT($AJ73,2), $Y$9:$Y$21), 1) = RIGHT($AJ73, 1)), M$10:M$135)</f>
        <v>51</v>
      </c>
      <c r="AO73" s="39" cm="1">
        <f t="array" ref="AO73">SUMPRODUCT(--(MID(AF$10:AF$135, SUMIF($Z$9:$Z$21, LEFT($AJ73,2), $Y$9:$Y$21), 1) = RIGHT($AJ73, 1)), N$10:N$135)</f>
        <v>64</v>
      </c>
      <c r="AP73" s="19" cm="1">
        <f t="array" ref="AP73">SUMPRODUCT(--(MID(AG$10:AG$135, SUMIF($Z$9:$Z$21, LEFT($AJ73,2), $Y$9:$Y$21), 1) = RIGHT($AJ73, 1)), O$10:O$135)</f>
        <v>94</v>
      </c>
    </row>
    <row r="74" spans="2:42">
      <c r="B74" s="34">
        <f t="shared" si="9"/>
        <v>64</v>
      </c>
      <c r="C74" s="30" t="s">
        <v>133</v>
      </c>
      <c r="D74" s="30" t="s">
        <v>129</v>
      </c>
      <c r="E74" s="30"/>
      <c r="F74" s="30"/>
      <c r="G74" s="30" t="s">
        <v>128</v>
      </c>
      <c r="H74" s="35" t="s">
        <v>129</v>
      </c>
      <c r="J74" s="34">
        <f t="shared" si="21"/>
        <v>1</v>
      </c>
      <c r="K74" s="30">
        <f t="shared" si="21"/>
        <v>1</v>
      </c>
      <c r="L74" s="30" t="str">
        <f t="shared" si="21"/>
        <v/>
      </c>
      <c r="M74" s="30" t="str">
        <f t="shared" si="21"/>
        <v/>
      </c>
      <c r="N74" s="30">
        <f t="shared" si="21"/>
        <v>1</v>
      </c>
      <c r="O74" s="35">
        <f t="shared" si="21"/>
        <v>1</v>
      </c>
      <c r="AB74" s="40" t="str">
        <f t="shared" si="23"/>
        <v>0000000101000</v>
      </c>
      <c r="AC74" s="15" t="str">
        <f t="shared" si="23"/>
        <v>0000001001000</v>
      </c>
      <c r="AD74" s="15" t="str">
        <f t="shared" si="23"/>
        <v/>
      </c>
      <c r="AE74" s="15" t="str">
        <f t="shared" si="23"/>
        <v/>
      </c>
      <c r="AF74" s="15" t="str">
        <f t="shared" si="23"/>
        <v>0000001001000</v>
      </c>
      <c r="AG74" s="41" t="str">
        <f t="shared" si="23"/>
        <v>0000100001000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138</v>
      </c>
      <c r="D75" s="30" t="s">
        <v>130</v>
      </c>
      <c r="E75" s="30"/>
      <c r="F75" s="30"/>
      <c r="G75" s="30" t="s">
        <v>134</v>
      </c>
      <c r="H75" s="35" t="s">
        <v>138</v>
      </c>
      <c r="J75" s="34">
        <f t="shared" si="21"/>
        <v>1</v>
      </c>
      <c r="K75" s="30">
        <f t="shared" si="21"/>
        <v>1</v>
      </c>
      <c r="L75" s="30" t="str">
        <f t="shared" si="21"/>
        <v/>
      </c>
      <c r="M75" s="30" t="str">
        <f t="shared" si="21"/>
        <v/>
      </c>
      <c r="N75" s="30">
        <f t="shared" si="21"/>
        <v>1</v>
      </c>
      <c r="O75" s="35">
        <f t="shared" si="21"/>
        <v>1</v>
      </c>
      <c r="AB75" s="40" t="str">
        <f t="shared" si="23"/>
        <v>0000000100010</v>
      </c>
      <c r="AC75" s="15" t="str">
        <f t="shared" si="23"/>
        <v>0000000011000</v>
      </c>
      <c r="AD75" s="15" t="str">
        <f t="shared" si="23"/>
        <v/>
      </c>
      <c r="AE75" s="15" t="str">
        <f t="shared" si="23"/>
        <v/>
      </c>
      <c r="AF75" s="15" t="str">
        <f t="shared" si="23"/>
        <v>0001001000000</v>
      </c>
      <c r="AG75" s="41" t="str">
        <f t="shared" si="23"/>
        <v>0000000001010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132</v>
      </c>
      <c r="D76" s="30" t="s">
        <v>134</v>
      </c>
      <c r="E76" s="30"/>
      <c r="F76" s="30"/>
      <c r="G76" s="30"/>
      <c r="H76" s="35" t="s">
        <v>131</v>
      </c>
      <c r="J76" s="34">
        <f t="shared" si="21"/>
        <v>1</v>
      </c>
      <c r="K76" s="30">
        <f t="shared" si="21"/>
        <v>1</v>
      </c>
      <c r="L76" s="30" t="str">
        <f t="shared" si="21"/>
        <v/>
      </c>
      <c r="M76" s="30" t="str">
        <f t="shared" si="21"/>
        <v/>
      </c>
      <c r="N76" s="30" t="str">
        <f t="shared" si="21"/>
        <v/>
      </c>
      <c r="O76" s="35">
        <f t="shared" si="21"/>
        <v>1</v>
      </c>
      <c r="AB76" s="40" t="str">
        <f t="shared" si="23"/>
        <v>0000000000110</v>
      </c>
      <c r="AC76" s="15" t="str">
        <f t="shared" si="23"/>
        <v>0001000010000</v>
      </c>
      <c r="AD76" s="15" t="str">
        <f t="shared" si="23"/>
        <v/>
      </c>
      <c r="AE76" s="15" t="str">
        <f t="shared" si="23"/>
        <v/>
      </c>
      <c r="AF76" s="15" t="str">
        <f t="shared" si="23"/>
        <v/>
      </c>
      <c r="AG76" s="41" t="str">
        <f t="shared" si="23"/>
        <v>0100000000010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128</v>
      </c>
      <c r="D77" s="30" t="s">
        <v>132</v>
      </c>
      <c r="E77" s="30"/>
      <c r="F77" s="30"/>
      <c r="G77" s="30"/>
      <c r="H77" s="35" t="s">
        <v>127</v>
      </c>
      <c r="J77" s="34">
        <f t="shared" si="21"/>
        <v>1</v>
      </c>
      <c r="K77" s="30">
        <f t="shared" si="21"/>
        <v>1</v>
      </c>
      <c r="L77" s="30" t="str">
        <f t="shared" si="21"/>
        <v/>
      </c>
      <c r="M77" s="30" t="str">
        <f t="shared" si="21"/>
        <v/>
      </c>
      <c r="N77" s="30" t="str">
        <f t="shared" si="21"/>
        <v/>
      </c>
      <c r="O77" s="35">
        <f t="shared" si="21"/>
        <v>1</v>
      </c>
      <c r="AB77" s="40" t="str">
        <f t="shared" si="23"/>
        <v>0000001000100</v>
      </c>
      <c r="AC77" s="15" t="str">
        <f t="shared" si="23"/>
        <v>0001000000100</v>
      </c>
      <c r="AD77" s="15" t="str">
        <f t="shared" si="23"/>
        <v/>
      </c>
      <c r="AE77" s="15" t="str">
        <f t="shared" si="23"/>
        <v/>
      </c>
      <c r="AF77" s="15" t="str">
        <f t="shared" si="23"/>
        <v/>
      </c>
      <c r="AG77" s="41" t="str">
        <f t="shared" si="23"/>
        <v>0110000000000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 t="s">
        <v>129</v>
      </c>
      <c r="E78" s="30"/>
      <c r="F78" s="30"/>
      <c r="G78" s="30"/>
      <c r="H78" s="35" t="s">
        <v>138</v>
      </c>
      <c r="J78" s="34" t="str">
        <f t="shared" si="21"/>
        <v/>
      </c>
      <c r="K78" s="30">
        <f t="shared" si="21"/>
        <v>1</v>
      </c>
      <c r="L78" s="30" t="str">
        <f t="shared" si="21"/>
        <v/>
      </c>
      <c r="M78" s="30" t="str">
        <f t="shared" si="21"/>
        <v/>
      </c>
      <c r="N78" s="30" t="str">
        <f t="shared" si="21"/>
        <v/>
      </c>
      <c r="O78" s="35">
        <f t="shared" si="21"/>
        <v>1</v>
      </c>
      <c r="AB78" s="40" t="str">
        <f t="shared" si="23"/>
        <v/>
      </c>
      <c r="AC78" s="15" t="str">
        <f t="shared" si="23"/>
        <v>0000000001100</v>
      </c>
      <c r="AD78" s="15" t="str">
        <f t="shared" si="23"/>
        <v/>
      </c>
      <c r="AE78" s="15" t="str">
        <f t="shared" si="23"/>
        <v/>
      </c>
      <c r="AF78" s="15" t="str">
        <f t="shared" si="23"/>
        <v/>
      </c>
      <c r="AG78" s="41" t="str">
        <f t="shared" si="23"/>
        <v>0010000000010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 t="s">
        <v>131</v>
      </c>
      <c r="E79" s="30"/>
      <c r="F79" s="30"/>
      <c r="G79" s="30"/>
      <c r="H79" s="35" t="s">
        <v>134</v>
      </c>
      <c r="J79" s="34" t="str">
        <f t="shared" si="21"/>
        <v/>
      </c>
      <c r="K79" s="30">
        <f t="shared" si="21"/>
        <v>1</v>
      </c>
      <c r="L79" s="30" t="str">
        <f t="shared" si="21"/>
        <v/>
      </c>
      <c r="M79" s="30" t="str">
        <f t="shared" si="21"/>
        <v/>
      </c>
      <c r="N79" s="30" t="str">
        <f t="shared" si="21"/>
        <v/>
      </c>
      <c r="O79" s="35">
        <f t="shared" si="21"/>
        <v>1</v>
      </c>
      <c r="AB79" s="40" t="str">
        <f t="shared" si="23"/>
        <v/>
      </c>
      <c r="AC79" s="15" t="str">
        <f t="shared" si="23"/>
        <v>0100000001000</v>
      </c>
      <c r="AD79" s="15" t="str">
        <f t="shared" si="23"/>
        <v/>
      </c>
      <c r="AE79" s="15" t="str">
        <f t="shared" si="23"/>
        <v/>
      </c>
      <c r="AF79" s="15" t="str">
        <f t="shared" si="23"/>
        <v/>
      </c>
      <c r="AG79" s="41" t="str">
        <f t="shared" si="23"/>
        <v>0001000000010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3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 t="s">
        <v>127</v>
      </c>
      <c r="E80" s="30"/>
      <c r="F80" s="30"/>
      <c r="G80" s="30"/>
      <c r="H80" s="35" t="s">
        <v>132</v>
      </c>
      <c r="J80" s="34" t="str">
        <f t="shared" si="21"/>
        <v/>
      </c>
      <c r="K80" s="30">
        <f t="shared" si="21"/>
        <v>1</v>
      </c>
      <c r="L80" s="30" t="str">
        <f t="shared" si="21"/>
        <v/>
      </c>
      <c r="M80" s="30" t="str">
        <f t="shared" si="21"/>
        <v/>
      </c>
      <c r="N80" s="30" t="str">
        <f t="shared" si="21"/>
        <v/>
      </c>
      <c r="O80" s="35">
        <f t="shared" si="21"/>
        <v>1</v>
      </c>
      <c r="AB80" s="40" t="str">
        <f t="shared" si="23"/>
        <v/>
      </c>
      <c r="AC80" s="15" t="str">
        <f t="shared" si="23"/>
        <v>0110000000000</v>
      </c>
      <c r="AD80" s="15" t="str">
        <f t="shared" si="23"/>
        <v/>
      </c>
      <c r="AE80" s="15" t="str">
        <f t="shared" si="23"/>
        <v/>
      </c>
      <c r="AF80" s="15" t="str">
        <f t="shared" si="23"/>
        <v/>
      </c>
      <c r="AG80" s="41" t="str">
        <f t="shared" si="23"/>
        <v>0001000000100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10</v>
      </c>
      <c r="AL80" s="39" cm="1">
        <f t="array" ref="AL80">SUMPRODUCT(--(MID(AC$10:AC$135, SUMIF($Z$9:$Z$21, LEFT($AJ80,2), $Y$9:$Y$21), 1) = RIGHT($AJ80, 1)), K$10:K$135)</f>
        <v>16</v>
      </c>
      <c r="AM80" s="39" cm="1">
        <f t="array" ref="AM80">SUMPRODUCT(--(MID(AD$10:AD$135, SUMIF($Z$9:$Z$21, LEFT($AJ80,2), $Y$9:$Y$21), 1) = RIGHT($AJ80, 1)), L$10:L$135)</f>
        <v>12</v>
      </c>
      <c r="AN80" s="39" cm="1">
        <f t="array" ref="AN80">SUMPRODUCT(--(MID(AE$10:AE$135, SUMIF($Z$9:$Z$21, LEFT($AJ80,2), $Y$9:$Y$21), 1) = RIGHT($AJ80, 1)), M$10:M$135)</f>
        <v>16</v>
      </c>
      <c r="AO80" s="39" cm="1">
        <f t="array" ref="AO80">SUMPRODUCT(--(MID(AF$10:AF$135, SUMIF($Z$9:$Z$21, LEFT($AJ80,2), $Y$9:$Y$21), 1) = RIGHT($AJ80, 1)), N$10:N$135)</f>
        <v>28</v>
      </c>
      <c r="AP80" s="19" cm="1">
        <f t="array" ref="AP80">SUMPRODUCT(--(MID(AG$10:AG$135, SUMIF($Z$9:$Z$21, LEFT($AJ80,2), $Y$9:$Y$21), 1) = RIGHT($AJ80, 1)), O$10:O$135)</f>
        <v>14</v>
      </c>
    </row>
    <row r="81" spans="2:42">
      <c r="B81" s="34">
        <f t="shared" si="25"/>
        <v>71</v>
      </c>
      <c r="C81" s="30"/>
      <c r="D81" s="30" t="s">
        <v>131</v>
      </c>
      <c r="E81" s="30"/>
      <c r="F81" s="30"/>
      <c r="G81" s="30"/>
      <c r="H81" s="35" t="s">
        <v>127</v>
      </c>
      <c r="J81" s="34" t="str">
        <f t="shared" si="21"/>
        <v/>
      </c>
      <c r="K81" s="30">
        <f t="shared" si="21"/>
        <v>1</v>
      </c>
      <c r="L81" s="30" t="str">
        <f t="shared" si="21"/>
        <v/>
      </c>
      <c r="M81" s="30" t="str">
        <f t="shared" si="21"/>
        <v/>
      </c>
      <c r="N81" s="30" t="str">
        <f t="shared" si="21"/>
        <v/>
      </c>
      <c r="O81" s="35">
        <f t="shared" si="21"/>
        <v>1</v>
      </c>
      <c r="AB81" s="40" t="str">
        <f t="shared" si="23"/>
        <v/>
      </c>
      <c r="AC81" s="15" t="str">
        <f t="shared" si="23"/>
        <v>0110000000000</v>
      </c>
      <c r="AD81" s="15" t="str">
        <f t="shared" si="23"/>
        <v/>
      </c>
      <c r="AE81" s="15" t="str">
        <f t="shared" si="23"/>
        <v/>
      </c>
      <c r="AF81" s="15" t="str">
        <f t="shared" si="23"/>
        <v/>
      </c>
      <c r="AG81" s="41" t="str">
        <f t="shared" si="23"/>
        <v>0010000000100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56</v>
      </c>
      <c r="AL81" s="39" cm="1">
        <f t="array" ref="AL81">SUMPRODUCT(--(MID(AC$10:AC$135, SUMIF($Z$9:$Z$21, LEFT($AJ81,2), $Y$9:$Y$21), 1) = RIGHT($AJ81, 1)), K$10:K$135)</f>
        <v>72</v>
      </c>
      <c r="AM81" s="39" cm="1">
        <f t="array" ref="AM81">SUMPRODUCT(--(MID(AD$10:AD$135, SUMIF($Z$9:$Z$21, LEFT($AJ81,2), $Y$9:$Y$21), 1) = RIGHT($AJ81, 1)), L$10:L$135)</f>
        <v>47</v>
      </c>
      <c r="AN81" s="39" cm="1">
        <f t="array" ref="AN81">SUMPRODUCT(--(MID(AE$10:AE$135, SUMIF($Z$9:$Z$21, LEFT($AJ81,2), $Y$9:$Y$21), 1) = RIGHT($AJ81, 1)), M$10:M$135)</f>
        <v>37</v>
      </c>
      <c r="AO81" s="39" cm="1">
        <f t="array" ref="AO81">SUMPRODUCT(--(MID(AF$10:AF$135, SUMIF($Z$9:$Z$21, LEFT($AJ81,2), $Y$9:$Y$21), 1) = RIGHT($AJ81, 1)), N$10:N$135)</f>
        <v>36</v>
      </c>
      <c r="AP81" s="19" cm="1">
        <f t="array" ref="AP81">SUMPRODUCT(--(MID(AG$10:AG$135, SUMIF($Z$9:$Z$21, LEFT($AJ81,2), $Y$9:$Y$21), 1) = RIGHT($AJ81, 1)), O$10:O$135)</f>
        <v>82</v>
      </c>
    </row>
    <row r="82" spans="2:42">
      <c r="B82" s="34">
        <f t="shared" si="25"/>
        <v>72</v>
      </c>
      <c r="C82" s="30"/>
      <c r="D82" s="30" t="s">
        <v>134</v>
      </c>
      <c r="E82" s="30"/>
      <c r="F82" s="30"/>
      <c r="G82" s="30"/>
      <c r="H82" s="35" t="s">
        <v>136</v>
      </c>
      <c r="J82" s="34" t="str">
        <f t="shared" si="21"/>
        <v/>
      </c>
      <c r="K82" s="30">
        <f t="shared" si="21"/>
        <v>1</v>
      </c>
      <c r="L82" s="30" t="str">
        <f t="shared" si="21"/>
        <v/>
      </c>
      <c r="M82" s="30" t="str">
        <f t="shared" si="21"/>
        <v/>
      </c>
      <c r="N82" s="30" t="str">
        <f t="shared" si="21"/>
        <v/>
      </c>
      <c r="O82" s="35">
        <f t="shared" si="21"/>
        <v>1</v>
      </c>
      <c r="AB82" s="40" t="str">
        <f t="shared" si="23"/>
        <v/>
      </c>
      <c r="AC82" s="15" t="str">
        <f t="shared" si="23"/>
        <v>0101000000000</v>
      </c>
      <c r="AD82" s="15" t="str">
        <f t="shared" si="23"/>
        <v/>
      </c>
      <c r="AE82" s="15" t="str">
        <f t="shared" si="23"/>
        <v/>
      </c>
      <c r="AF82" s="15" t="str">
        <f t="shared" si="23"/>
        <v/>
      </c>
      <c r="AG82" s="41" t="str">
        <f t="shared" si="23"/>
        <v>0010100000000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 t="s">
        <v>131</v>
      </c>
      <c r="E83" s="30"/>
      <c r="F83" s="30"/>
      <c r="G83" s="30"/>
      <c r="H83" s="35" t="s">
        <v>131</v>
      </c>
      <c r="J83" s="34" t="str">
        <f t="shared" si="21"/>
        <v/>
      </c>
      <c r="K83" s="30">
        <f t="shared" si="21"/>
        <v>1</v>
      </c>
      <c r="L83" s="30" t="str">
        <f t="shared" si="21"/>
        <v/>
      </c>
      <c r="M83" s="30" t="str">
        <f t="shared" si="21"/>
        <v/>
      </c>
      <c r="N83" s="30" t="str">
        <f t="shared" si="21"/>
        <v/>
      </c>
      <c r="O83" s="35">
        <f t="shared" si="21"/>
        <v>1</v>
      </c>
      <c r="AB83" s="40" t="str">
        <f t="shared" si="23"/>
        <v/>
      </c>
      <c r="AC83" s="15" t="str">
        <f t="shared" si="23"/>
        <v>0101000000000</v>
      </c>
      <c r="AD83" s="15" t="str">
        <f t="shared" si="23"/>
        <v/>
      </c>
      <c r="AE83" s="15" t="str">
        <f t="shared" si="23"/>
        <v/>
      </c>
      <c r="AF83" s="15" t="str">
        <f t="shared" si="23"/>
        <v/>
      </c>
      <c r="AG83" s="41" t="str">
        <f t="shared" si="23"/>
        <v>0100100000000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 t="s">
        <v>130</v>
      </c>
      <c r="E84" s="30"/>
      <c r="F84" s="30"/>
      <c r="G84" s="30"/>
      <c r="H84" s="35" t="s">
        <v>127</v>
      </c>
      <c r="J84" s="34" t="str">
        <f t="shared" si="21"/>
        <v/>
      </c>
      <c r="K84" s="30">
        <f t="shared" si="21"/>
        <v>1</v>
      </c>
      <c r="L84" s="30" t="str">
        <f t="shared" si="21"/>
        <v/>
      </c>
      <c r="M84" s="30" t="str">
        <f t="shared" si="21"/>
        <v/>
      </c>
      <c r="N84" s="30" t="str">
        <f t="shared" si="21"/>
        <v/>
      </c>
      <c r="O84" s="35">
        <f t="shared" si="21"/>
        <v>1</v>
      </c>
      <c r="AB84" s="40" t="str">
        <f t="shared" si="23"/>
        <v/>
      </c>
      <c r="AC84" s="15" t="str">
        <f t="shared" si="23"/>
        <v>0100000010000</v>
      </c>
      <c r="AD84" s="15" t="str">
        <f t="shared" si="23"/>
        <v/>
      </c>
      <c r="AE84" s="15" t="str">
        <f t="shared" si="23"/>
        <v/>
      </c>
      <c r="AF84" s="15" t="str">
        <f t="shared" si="23"/>
        <v/>
      </c>
      <c r="AG84" s="41" t="str">
        <f t="shared" si="23"/>
        <v>0110000000000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 t="s">
        <v>138</v>
      </c>
      <c r="E85" s="30"/>
      <c r="F85" s="30"/>
      <c r="G85" s="30"/>
      <c r="H85" s="35" t="s">
        <v>128</v>
      </c>
      <c r="J85" s="34" t="str">
        <f t="shared" si="21"/>
        <v/>
      </c>
      <c r="K85" s="30">
        <f t="shared" si="21"/>
        <v>1</v>
      </c>
      <c r="L85" s="30" t="str">
        <f t="shared" si="21"/>
        <v/>
      </c>
      <c r="M85" s="30" t="str">
        <f t="shared" si="21"/>
        <v/>
      </c>
      <c r="N85" s="30" t="str">
        <f t="shared" si="21"/>
        <v/>
      </c>
      <c r="O85" s="35">
        <f t="shared" si="21"/>
        <v>1</v>
      </c>
      <c r="AB85" s="40" t="str">
        <f t="shared" si="23"/>
        <v/>
      </c>
      <c r="AC85" s="15" t="str">
        <f t="shared" si="23"/>
        <v>0000000010010</v>
      </c>
      <c r="AD85" s="15" t="str">
        <f t="shared" si="23"/>
        <v/>
      </c>
      <c r="AE85" s="15" t="str">
        <f t="shared" si="23"/>
        <v/>
      </c>
      <c r="AF85" s="15" t="str">
        <f t="shared" si="23"/>
        <v/>
      </c>
      <c r="AG85" s="41" t="str">
        <f t="shared" si="23"/>
        <v>0010001000000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 t="s">
        <v>128</v>
      </c>
      <c r="E86" s="30"/>
      <c r="F86" s="30"/>
      <c r="G86" s="30"/>
      <c r="H86" s="35" t="s">
        <v>127</v>
      </c>
      <c r="J86" s="34" t="str">
        <f t="shared" si="21"/>
        <v/>
      </c>
      <c r="K86" s="30">
        <f t="shared" si="21"/>
        <v>1</v>
      </c>
      <c r="L86" s="30" t="str">
        <f t="shared" si="21"/>
        <v/>
      </c>
      <c r="M86" s="30" t="str">
        <f t="shared" si="21"/>
        <v/>
      </c>
      <c r="N86" s="30" t="str">
        <f t="shared" si="21"/>
        <v/>
      </c>
      <c r="O86" s="35">
        <f t="shared" si="21"/>
        <v>1</v>
      </c>
      <c r="AB86" s="40" t="str">
        <f t="shared" si="23"/>
        <v/>
      </c>
      <c r="AC86" s="15" t="str">
        <f t="shared" si="23"/>
        <v>0000001000010</v>
      </c>
      <c r="AD86" s="15" t="str">
        <f t="shared" si="23"/>
        <v/>
      </c>
      <c r="AE86" s="15" t="str">
        <f t="shared" si="23"/>
        <v/>
      </c>
      <c r="AF86" s="15" t="str">
        <f t="shared" si="23"/>
        <v/>
      </c>
      <c r="AG86" s="41" t="str">
        <f t="shared" si="23"/>
        <v>0010001000000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 t="s">
        <v>131</v>
      </c>
      <c r="E87" s="30"/>
      <c r="F87" s="30"/>
      <c r="G87" s="30"/>
      <c r="H87" s="35" t="s">
        <v>129</v>
      </c>
      <c r="J87" s="34" t="str">
        <f t="shared" si="21"/>
        <v/>
      </c>
      <c r="K87" s="30">
        <f t="shared" si="21"/>
        <v>1</v>
      </c>
      <c r="L87" s="30" t="str">
        <f t="shared" si="21"/>
        <v/>
      </c>
      <c r="M87" s="30" t="str">
        <f t="shared" si="21"/>
        <v/>
      </c>
      <c r="N87" s="30" t="str">
        <f t="shared" si="21"/>
        <v/>
      </c>
      <c r="O87" s="35">
        <f t="shared" si="21"/>
        <v>1</v>
      </c>
      <c r="AB87" s="40" t="str">
        <f t="shared" si="23"/>
        <v/>
      </c>
      <c r="AC87" s="15" t="str">
        <f t="shared" si="23"/>
        <v>0100001000000</v>
      </c>
      <c r="AD87" s="15" t="str">
        <f t="shared" si="23"/>
        <v/>
      </c>
      <c r="AE87" s="15" t="str">
        <f t="shared" si="23"/>
        <v/>
      </c>
      <c r="AF87" s="15" t="str">
        <f t="shared" si="23"/>
        <v/>
      </c>
      <c r="AG87" s="41" t="str">
        <f t="shared" si="23"/>
        <v>0010000001000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 t="s">
        <v>127</v>
      </c>
      <c r="E88" s="30"/>
      <c r="F88" s="30"/>
      <c r="G88" s="30"/>
      <c r="H88" s="35" t="s">
        <v>134</v>
      </c>
      <c r="J88" s="34" t="str">
        <f t="shared" si="21"/>
        <v/>
      </c>
      <c r="K88" s="30">
        <f t="shared" si="21"/>
        <v>1</v>
      </c>
      <c r="L88" s="30" t="str">
        <f t="shared" si="21"/>
        <v/>
      </c>
      <c r="M88" s="30" t="str">
        <f t="shared" si="21"/>
        <v/>
      </c>
      <c r="N88" s="30" t="str">
        <f t="shared" si="21"/>
        <v/>
      </c>
      <c r="O88" s="35">
        <f t="shared" si="21"/>
        <v>1</v>
      </c>
      <c r="AB88" s="40" t="str">
        <f t="shared" si="23"/>
        <v/>
      </c>
      <c r="AC88" s="15" t="str">
        <f t="shared" si="23"/>
        <v>0110000000000</v>
      </c>
      <c r="AD88" s="15" t="str">
        <f t="shared" si="23"/>
        <v/>
      </c>
      <c r="AE88" s="15" t="str">
        <f t="shared" si="23"/>
        <v/>
      </c>
      <c r="AF88" s="15" t="str">
        <f t="shared" si="23"/>
        <v/>
      </c>
      <c r="AG88" s="41" t="str">
        <f t="shared" si="23"/>
        <v>0001000001000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12</v>
      </c>
      <c r="AL88" s="39" cm="1">
        <f t="array" ref="AL88">SUMPRODUCT(--(MID(AC$10:AC$135, SUMIF($Z$9:$Z$21, LEFT($AJ88,2), $Y$9:$Y$21), 1) = RIGHT($AJ88, 1)), K$10:K$135)</f>
        <v>20</v>
      </c>
      <c r="AM88" s="39" cm="1">
        <f t="array" ref="AM88">SUMPRODUCT(--(MID(AD$10:AD$135, SUMIF($Z$9:$Z$21, LEFT($AJ88,2), $Y$9:$Y$21), 1) = RIGHT($AJ88, 1)), L$10:L$135)</f>
        <v>14</v>
      </c>
      <c r="AN88" s="39" cm="1">
        <f t="array" ref="AN88">SUMPRODUCT(--(MID(AE$10:AE$135, SUMIF($Z$9:$Z$21, LEFT($AJ88,2), $Y$9:$Y$21), 1) = RIGHT($AJ88, 1)), M$10:M$135)</f>
        <v>6</v>
      </c>
      <c r="AO88" s="39" cm="1">
        <f t="array" ref="AO88">SUMPRODUCT(--(MID(AF$10:AF$135, SUMIF($Z$9:$Z$21, LEFT($AJ88,2), $Y$9:$Y$21), 1) = RIGHT($AJ88, 1)), N$10:N$135)</f>
        <v>6</v>
      </c>
      <c r="AP88" s="19" cm="1">
        <f t="array" ref="AP88">SUMPRODUCT(--(MID(AG$10:AG$135, SUMIF($Z$9:$Z$21, LEFT($AJ88,2), $Y$9:$Y$21), 1) = RIGHT($AJ88, 1)), O$10:O$135)</f>
        <v>16</v>
      </c>
    </row>
    <row r="89" spans="2:42">
      <c r="B89" s="34">
        <f t="shared" si="25"/>
        <v>79</v>
      </c>
      <c r="C89" s="30"/>
      <c r="D89" s="30" t="s">
        <v>138</v>
      </c>
      <c r="E89" s="30"/>
      <c r="F89" s="30"/>
      <c r="G89" s="30"/>
      <c r="H89" s="35" t="s">
        <v>129</v>
      </c>
      <c r="J89" s="34" t="str">
        <f t="shared" si="21"/>
        <v/>
      </c>
      <c r="K89" s="30">
        <f t="shared" si="21"/>
        <v>1</v>
      </c>
      <c r="L89" s="30" t="str">
        <f t="shared" si="21"/>
        <v/>
      </c>
      <c r="M89" s="30" t="str">
        <f t="shared" si="21"/>
        <v/>
      </c>
      <c r="N89" s="30" t="str">
        <f t="shared" si="21"/>
        <v/>
      </c>
      <c r="O89" s="35">
        <f t="shared" si="21"/>
        <v>1</v>
      </c>
      <c r="AB89" s="40" t="str">
        <f t="shared" si="23"/>
        <v/>
      </c>
      <c r="AC89" s="15" t="str">
        <f t="shared" si="23"/>
        <v>0010000000010</v>
      </c>
      <c r="AD89" s="15" t="str">
        <f t="shared" si="23"/>
        <v/>
      </c>
      <c r="AE89" s="15" t="str">
        <f t="shared" si="23"/>
        <v/>
      </c>
      <c r="AF89" s="15" t="str">
        <f t="shared" si="23"/>
        <v/>
      </c>
      <c r="AG89" s="41" t="str">
        <f t="shared" si="23"/>
        <v>0001000001000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54</v>
      </c>
      <c r="AL89" s="39" cm="1">
        <f t="array" ref="AL89">SUMPRODUCT(--(MID(AC$10:AC$135, SUMIF($Z$9:$Z$21, LEFT($AJ89,2), $Y$9:$Y$21), 1) = RIGHT($AJ89, 1)), K$10:K$135)</f>
        <v>68</v>
      </c>
      <c r="AM89" s="39" cm="1">
        <f t="array" ref="AM89">SUMPRODUCT(--(MID(AD$10:AD$135, SUMIF($Z$9:$Z$21, LEFT($AJ89,2), $Y$9:$Y$21), 1) = RIGHT($AJ89, 1)), L$10:L$135)</f>
        <v>46</v>
      </c>
      <c r="AN89" s="39" cm="1">
        <f t="array" ref="AN89">SUMPRODUCT(--(MID(AE$10:AE$135, SUMIF($Z$9:$Z$21, LEFT($AJ89,2), $Y$9:$Y$21), 1) = RIGHT($AJ89, 1)), M$10:M$135)</f>
        <v>47</v>
      </c>
      <c r="AO89" s="39" cm="1">
        <f t="array" ref="AO89">SUMPRODUCT(--(MID(AF$10:AF$135, SUMIF($Z$9:$Z$21, LEFT($AJ89,2), $Y$9:$Y$21), 1) = RIGHT($AJ89, 1)), N$10:N$135)</f>
        <v>58</v>
      </c>
      <c r="AP89" s="19" cm="1">
        <f t="array" ref="AP89">SUMPRODUCT(--(MID(AG$10:AG$135, SUMIF($Z$9:$Z$21, LEFT($AJ89,2), $Y$9:$Y$21), 1) = RIGHT($AJ89, 1)), O$10:O$135)</f>
        <v>80</v>
      </c>
    </row>
    <row r="90" spans="2:42">
      <c r="B90" s="34">
        <f t="shared" si="25"/>
        <v>80</v>
      </c>
      <c r="C90" s="30"/>
      <c r="D90" s="30" t="s">
        <v>137</v>
      </c>
      <c r="E90" s="30"/>
      <c r="F90" s="30"/>
      <c r="G90" s="30"/>
      <c r="H90" s="35" t="s">
        <v>132</v>
      </c>
      <c r="J90" s="34" t="str">
        <f t="shared" si="21"/>
        <v/>
      </c>
      <c r="K90" s="30">
        <f t="shared" si="21"/>
        <v>1</v>
      </c>
      <c r="L90" s="30" t="str">
        <f t="shared" si="21"/>
        <v/>
      </c>
      <c r="M90" s="30" t="str">
        <f t="shared" si="21"/>
        <v/>
      </c>
      <c r="N90" s="30" t="str">
        <f t="shared" si="21"/>
        <v/>
      </c>
      <c r="O90" s="35">
        <f t="shared" si="21"/>
        <v>1</v>
      </c>
      <c r="AB90" s="40" t="str">
        <f t="shared" si="23"/>
        <v/>
      </c>
      <c r="AC90" s="15" t="str">
        <f t="shared" si="23"/>
        <v>0000010000010</v>
      </c>
      <c r="AD90" s="15" t="str">
        <f t="shared" si="23"/>
        <v/>
      </c>
      <c r="AE90" s="15" t="str">
        <f t="shared" si="23"/>
        <v/>
      </c>
      <c r="AF90" s="15" t="str">
        <f t="shared" si="23"/>
        <v/>
      </c>
      <c r="AG90" s="41" t="str">
        <f t="shared" si="23"/>
        <v>0000000001100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 t="s">
        <v>127</v>
      </c>
      <c r="E91" s="30"/>
      <c r="F91" s="30"/>
      <c r="G91" s="30"/>
      <c r="H91" s="35" t="s">
        <v>137</v>
      </c>
      <c r="J91" s="34" t="str">
        <f t="shared" si="21"/>
        <v/>
      </c>
      <c r="K91" s="30">
        <f t="shared" si="21"/>
        <v>1</v>
      </c>
      <c r="L91" s="30" t="str">
        <f t="shared" si="21"/>
        <v/>
      </c>
      <c r="M91" s="30" t="str">
        <f t="shared" si="21"/>
        <v/>
      </c>
      <c r="N91" s="30" t="str">
        <f t="shared" si="21"/>
        <v/>
      </c>
      <c r="O91" s="35">
        <f t="shared" si="21"/>
        <v>1</v>
      </c>
      <c r="AB91" s="40" t="str">
        <f t="shared" si="23"/>
        <v/>
      </c>
      <c r="AC91" s="15" t="str">
        <f t="shared" si="23"/>
        <v>0010010000000</v>
      </c>
      <c r="AD91" s="15" t="str">
        <f t="shared" si="23"/>
        <v/>
      </c>
      <c r="AE91" s="15" t="str">
        <f t="shared" si="23"/>
        <v/>
      </c>
      <c r="AF91" s="15" t="str">
        <f t="shared" si="23"/>
        <v/>
      </c>
      <c r="AG91" s="41" t="str">
        <f t="shared" si="23"/>
        <v>0000010000100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 t="s">
        <v>132</v>
      </c>
      <c r="E92" s="30"/>
      <c r="F92" s="30"/>
      <c r="G92" s="30"/>
      <c r="H92" s="35" t="s">
        <v>138</v>
      </c>
      <c r="J92" s="34" t="str">
        <f t="shared" si="21"/>
        <v/>
      </c>
      <c r="K92" s="30">
        <f t="shared" si="21"/>
        <v>1</v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5">
        <f t="shared" si="21"/>
        <v>1</v>
      </c>
      <c r="AB92" s="40" t="str">
        <f t="shared" si="23"/>
        <v/>
      </c>
      <c r="AC92" s="15" t="str">
        <f t="shared" si="23"/>
        <v>0010000000100</v>
      </c>
      <c r="AD92" s="15" t="str">
        <f t="shared" si="23"/>
        <v/>
      </c>
      <c r="AE92" s="15" t="str">
        <f t="shared" si="23"/>
        <v/>
      </c>
      <c r="AF92" s="15" t="str">
        <f t="shared" si="23"/>
        <v/>
      </c>
      <c r="AG92" s="41" t="str">
        <f t="shared" si="23"/>
        <v>0000010000010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 t="s">
        <v>138</v>
      </c>
      <c r="E93" s="30"/>
      <c r="F93" s="30"/>
      <c r="G93" s="30"/>
      <c r="H93" s="35" t="s">
        <v>132</v>
      </c>
      <c r="J93" s="34" t="str">
        <f t="shared" si="21"/>
        <v/>
      </c>
      <c r="K93" s="30">
        <f t="shared" si="21"/>
        <v>1</v>
      </c>
      <c r="L93" s="30" t="str">
        <f t="shared" si="21"/>
        <v/>
      </c>
      <c r="M93" s="30" t="str">
        <f t="shared" si="21"/>
        <v/>
      </c>
      <c r="N93" s="30" t="str">
        <f t="shared" si="21"/>
        <v/>
      </c>
      <c r="O93" s="35">
        <f t="shared" si="21"/>
        <v>1</v>
      </c>
      <c r="AB93" s="40" t="str">
        <f t="shared" si="23"/>
        <v/>
      </c>
      <c r="AC93" s="15" t="str">
        <f t="shared" si="23"/>
        <v>0000000000110</v>
      </c>
      <c r="AD93" s="15" t="str">
        <f t="shared" si="23"/>
        <v/>
      </c>
      <c r="AE93" s="15" t="str">
        <f t="shared" si="23"/>
        <v/>
      </c>
      <c r="AF93" s="15" t="str">
        <f t="shared" si="23"/>
        <v/>
      </c>
      <c r="AG93" s="41" t="str">
        <f t="shared" si="23"/>
        <v>0000000000110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 t="s">
        <v>132</v>
      </c>
      <c r="E94" s="30"/>
      <c r="F94" s="30"/>
      <c r="G94" s="30"/>
      <c r="H94" s="35" t="s">
        <v>138</v>
      </c>
      <c r="J94" s="34" t="str">
        <f t="shared" si="21"/>
        <v/>
      </c>
      <c r="K94" s="30">
        <f t="shared" si="21"/>
        <v>1</v>
      </c>
      <c r="L94" s="30" t="str">
        <f t="shared" si="21"/>
        <v/>
      </c>
      <c r="M94" s="30" t="str">
        <f t="shared" si="21"/>
        <v/>
      </c>
      <c r="N94" s="30" t="str">
        <f t="shared" si="21"/>
        <v/>
      </c>
      <c r="O94" s="35">
        <f t="shared" si="21"/>
        <v>1</v>
      </c>
      <c r="AB94" s="40" t="str">
        <f t="shared" si="23"/>
        <v/>
      </c>
      <c r="AC94" s="15" t="str">
        <f t="shared" si="23"/>
        <v>0000000000110</v>
      </c>
      <c r="AD94" s="15" t="str">
        <f t="shared" si="23"/>
        <v/>
      </c>
      <c r="AE94" s="15" t="str">
        <f t="shared" si="23"/>
        <v/>
      </c>
      <c r="AF94" s="15" t="str">
        <f t="shared" si="23"/>
        <v/>
      </c>
      <c r="AG94" s="41" t="str">
        <f t="shared" si="23"/>
        <v>0000000000110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 t="s">
        <v>130</v>
      </c>
      <c r="E95" s="30"/>
      <c r="F95" s="30"/>
      <c r="G95" s="30"/>
      <c r="H95" s="35" t="s">
        <v>134</v>
      </c>
      <c r="J95" s="34" t="str">
        <f t="shared" si="21"/>
        <v/>
      </c>
      <c r="K95" s="30">
        <f t="shared" si="21"/>
        <v>1</v>
      </c>
      <c r="L95" s="30" t="str">
        <f t="shared" si="21"/>
        <v/>
      </c>
      <c r="M95" s="30" t="str">
        <f t="shared" si="21"/>
        <v/>
      </c>
      <c r="N95" s="30" t="str">
        <f t="shared" si="21"/>
        <v/>
      </c>
      <c r="O95" s="35">
        <f t="shared" si="21"/>
        <v>1</v>
      </c>
      <c r="AB95" s="40" t="str">
        <f t="shared" si="23"/>
        <v/>
      </c>
      <c r="AC95" s="15" t="str">
        <f t="shared" si="23"/>
        <v>0000000010100</v>
      </c>
      <c r="AD95" s="15" t="str">
        <f t="shared" si="23"/>
        <v/>
      </c>
      <c r="AE95" s="15" t="str">
        <f t="shared" si="23"/>
        <v/>
      </c>
      <c r="AF95" s="15" t="str">
        <f t="shared" si="23"/>
        <v/>
      </c>
      <c r="AG95" s="41" t="str">
        <f t="shared" si="23"/>
        <v>0001000000010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3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/>
      <c r="D96" s="30" t="s">
        <v>138</v>
      </c>
      <c r="E96" s="30"/>
      <c r="F96" s="30"/>
      <c r="G96" s="30"/>
      <c r="H96" s="35" t="s">
        <v>128</v>
      </c>
      <c r="J96" s="34" t="str">
        <f t="shared" si="21"/>
        <v/>
      </c>
      <c r="K96" s="30">
        <f t="shared" si="21"/>
        <v>1</v>
      </c>
      <c r="L96" s="30" t="str">
        <f t="shared" si="21"/>
        <v/>
      </c>
      <c r="M96" s="30" t="str">
        <f t="shared" si="21"/>
        <v/>
      </c>
      <c r="N96" s="30" t="str">
        <f t="shared" si="21"/>
        <v/>
      </c>
      <c r="O96" s="35">
        <f t="shared" si="21"/>
        <v>1</v>
      </c>
      <c r="AB96" s="40" t="str">
        <f t="shared" si="23"/>
        <v/>
      </c>
      <c r="AC96" s="15" t="str">
        <f t="shared" si="23"/>
        <v>0000000010010</v>
      </c>
      <c r="AD96" s="15" t="str">
        <f t="shared" si="23"/>
        <v/>
      </c>
      <c r="AE96" s="15" t="str">
        <f t="shared" si="23"/>
        <v/>
      </c>
      <c r="AF96" s="15" t="str">
        <f t="shared" si="23"/>
        <v/>
      </c>
      <c r="AG96" s="41" t="str">
        <f t="shared" si="23"/>
        <v>0001001000000</v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18</v>
      </c>
      <c r="AL96" s="39" cm="1">
        <f t="array" ref="AL96">SUMPRODUCT(--(MID(AC$10:AC$135, SUMIF($Z$9:$Z$21, LEFT($AJ96,2), $Y$9:$Y$21), 1) = RIGHT($AJ96, 1)), K$10:K$135)</f>
        <v>18</v>
      </c>
      <c r="AM96" s="39" cm="1">
        <f t="array" ref="AM96">SUMPRODUCT(--(MID(AD$10:AD$135, SUMIF($Z$9:$Z$21, LEFT($AJ96,2), $Y$9:$Y$21), 1) = RIGHT($AJ96, 1)), L$10:L$135)</f>
        <v>4</v>
      </c>
      <c r="AN96" s="39" cm="1">
        <f t="array" ref="AN96">SUMPRODUCT(--(MID(AE$10:AE$135, SUMIF($Z$9:$Z$21, LEFT($AJ96,2), $Y$9:$Y$21), 1) = RIGHT($AJ96, 1)), M$10:M$135)</f>
        <v>8</v>
      </c>
      <c r="AO96" s="39" cm="1">
        <f t="array" ref="AO96">SUMPRODUCT(--(MID(AF$10:AF$135, SUMIF($Z$9:$Z$21, LEFT($AJ96,2), $Y$9:$Y$21), 1) = RIGHT($AJ96, 1)), N$10:N$135)</f>
        <v>8</v>
      </c>
      <c r="AP96" s="19" cm="1">
        <f t="array" ref="AP96">SUMPRODUCT(--(MID(AG$10:AG$135, SUMIF($Z$9:$Z$21, LEFT($AJ96,2), $Y$9:$Y$21), 1) = RIGHT($AJ96, 1)), O$10:O$135)</f>
        <v>30</v>
      </c>
    </row>
    <row r="97" spans="2:44">
      <c r="B97" s="34">
        <f t="shared" si="25"/>
        <v>87</v>
      </c>
      <c r="C97" s="30"/>
      <c r="D97" s="30" t="s">
        <v>129</v>
      </c>
      <c r="E97" s="30"/>
      <c r="F97" s="30"/>
      <c r="G97" s="30"/>
      <c r="H97" s="35" t="s">
        <v>127</v>
      </c>
      <c r="J97" s="34" t="str">
        <f t="shared" si="21"/>
        <v/>
      </c>
      <c r="K97" s="30">
        <f t="shared" si="21"/>
        <v>1</v>
      </c>
      <c r="L97" s="30" t="str">
        <f t="shared" si="21"/>
        <v/>
      </c>
      <c r="M97" s="30" t="str">
        <f t="shared" si="21"/>
        <v/>
      </c>
      <c r="N97" s="30" t="str">
        <f t="shared" si="21"/>
        <v/>
      </c>
      <c r="O97" s="35">
        <f t="shared" si="21"/>
        <v>1</v>
      </c>
      <c r="AB97" s="40" t="str">
        <f t="shared" si="23"/>
        <v/>
      </c>
      <c r="AC97" s="15" t="str">
        <f t="shared" si="23"/>
        <v>0000000001010</v>
      </c>
      <c r="AD97" s="15" t="str">
        <f t="shared" si="23"/>
        <v/>
      </c>
      <c r="AE97" s="15" t="str">
        <f t="shared" si="23"/>
        <v/>
      </c>
      <c r="AF97" s="15" t="str">
        <f t="shared" si="23"/>
        <v/>
      </c>
      <c r="AG97" s="41" t="str">
        <f t="shared" si="23"/>
        <v>0010001000000</v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48</v>
      </c>
      <c r="AL97" s="39" cm="1">
        <f t="array" ref="AL97">SUMPRODUCT(--(MID(AC$10:AC$135, SUMIF($Z$9:$Z$21, LEFT($AJ97,2), $Y$9:$Y$21), 1) = RIGHT($AJ97, 1)), K$10:K$135)</f>
        <v>70</v>
      </c>
      <c r="AM97" s="39" cm="1">
        <f t="array" ref="AM97">SUMPRODUCT(--(MID(AD$10:AD$135, SUMIF($Z$9:$Z$21, LEFT($AJ97,2), $Y$9:$Y$21), 1) = RIGHT($AJ97, 1)), L$10:L$135)</f>
        <v>56</v>
      </c>
      <c r="AN97" s="39" cm="1">
        <f t="array" ref="AN97">SUMPRODUCT(--(MID(AE$10:AE$135, SUMIF($Z$9:$Z$21, LEFT($AJ97,2), $Y$9:$Y$21), 1) = RIGHT($AJ97, 1)), M$10:M$135)</f>
        <v>44</v>
      </c>
      <c r="AO97" s="39" cm="1">
        <f t="array" ref="AO97">SUMPRODUCT(--(MID(AF$10:AF$135, SUMIF($Z$9:$Z$21, LEFT($AJ97,2), $Y$9:$Y$21), 1) = RIGHT($AJ97, 1)), N$10:N$135)</f>
        <v>56</v>
      </c>
      <c r="AP97" s="19" cm="1">
        <f t="array" ref="AP97">SUMPRODUCT(--(MID(AG$10:AG$135, SUMIF($Z$9:$Z$21, LEFT($AJ97,2), $Y$9:$Y$21), 1) = RIGHT($AJ97, 1)), O$10:O$135)</f>
        <v>66</v>
      </c>
    </row>
    <row r="98" spans="2:44">
      <c r="B98" s="34">
        <f t="shared" si="25"/>
        <v>88</v>
      </c>
      <c r="C98" s="30"/>
      <c r="D98" s="30" t="s">
        <v>131</v>
      </c>
      <c r="E98" s="30"/>
      <c r="F98" s="30"/>
      <c r="G98" s="30"/>
      <c r="H98" s="35" t="s">
        <v>138</v>
      </c>
      <c r="J98" s="34" t="str">
        <f t="shared" si="21"/>
        <v/>
      </c>
      <c r="K98" s="30">
        <f t="shared" si="21"/>
        <v>1</v>
      </c>
      <c r="L98" s="30" t="str">
        <f t="shared" si="21"/>
        <v/>
      </c>
      <c r="M98" s="30" t="str">
        <f t="shared" si="21"/>
        <v/>
      </c>
      <c r="N98" s="30" t="str">
        <f t="shared" si="21"/>
        <v/>
      </c>
      <c r="O98" s="35">
        <f t="shared" si="21"/>
        <v>1</v>
      </c>
      <c r="AB98" s="40" t="str">
        <f t="shared" si="23"/>
        <v/>
      </c>
      <c r="AC98" s="15" t="str">
        <f t="shared" si="23"/>
        <v>0100000001000</v>
      </c>
      <c r="AD98" s="15" t="str">
        <f t="shared" si="23"/>
        <v/>
      </c>
      <c r="AE98" s="15" t="str">
        <f t="shared" si="23"/>
        <v/>
      </c>
      <c r="AF98" s="15" t="str">
        <f t="shared" si="23"/>
        <v/>
      </c>
      <c r="AG98" s="41" t="str">
        <f t="shared" si="23"/>
        <v>0010000000010</v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 t="s">
        <v>127</v>
      </c>
      <c r="E99" s="30"/>
      <c r="F99" s="30"/>
      <c r="G99" s="30"/>
      <c r="H99" s="35" t="s">
        <v>130</v>
      </c>
      <c r="J99" s="34" t="str">
        <f t="shared" si="21"/>
        <v/>
      </c>
      <c r="K99" s="30">
        <f t="shared" si="21"/>
        <v>1</v>
      </c>
      <c r="L99" s="30" t="str">
        <f t="shared" si="21"/>
        <v/>
      </c>
      <c r="M99" s="30" t="str">
        <f t="shared" si="21"/>
        <v/>
      </c>
      <c r="N99" s="30" t="str">
        <f t="shared" si="21"/>
        <v/>
      </c>
      <c r="O99" s="35">
        <f t="shared" si="21"/>
        <v>1</v>
      </c>
      <c r="AB99" s="40" t="str">
        <f t="shared" si="23"/>
        <v/>
      </c>
      <c r="AC99" s="15" t="str">
        <f t="shared" si="23"/>
        <v>0110000000000</v>
      </c>
      <c r="AD99" s="15" t="str">
        <f t="shared" si="23"/>
        <v/>
      </c>
      <c r="AE99" s="15" t="str">
        <f t="shared" si="23"/>
        <v/>
      </c>
      <c r="AF99" s="15" t="str">
        <f t="shared" si="23"/>
        <v/>
      </c>
      <c r="AG99" s="41" t="str">
        <f t="shared" si="23"/>
        <v>0000000010010</v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/>
      <c r="H100" s="35" t="s">
        <v>138</v>
      </c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>
        <f t="shared" si="21"/>
        <v>1</v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>0000000010010</v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 t="s">
        <v>132</v>
      </c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>
        <f t="shared" si="21"/>
        <v>1</v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>0000000000110</v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 t="s">
        <v>127</v>
      </c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>
        <f t="shared" si="30"/>
        <v>1</v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>0010000000100</v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 t="s">
        <v>132</v>
      </c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>
        <f t="shared" si="30"/>
        <v>1</v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>0010000000100</v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 t="s">
        <v>134</v>
      </c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>
        <f t="shared" si="30"/>
        <v>1</v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>0001000000100</v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 t="s">
        <v>138</v>
      </c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>
        <f t="shared" si="30"/>
        <v>1</v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>0001000000010</v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68</v>
      </c>
      <c r="AL105" s="39" cm="1">
        <f t="array" ref="AL105">SUMPRODUCT(--(MID(AC$10:AC$135, SUMIF($Z$9:$Z$21, LEFT($AJ105,2), $Y$9:$Y$21), 1) = RIGHT($AJ105, 1)), K$10:K$135)</f>
        <v>90</v>
      </c>
      <c r="AM105" s="39" cm="1">
        <f t="array" ref="AM105">SUMPRODUCT(--(MID(AD$10:AD$135, SUMIF($Z$9:$Z$21, LEFT($AJ105,2), $Y$9:$Y$21), 1) = RIGHT($AJ105, 1)), L$10:L$135)</f>
        <v>62</v>
      </c>
      <c r="AN105" s="39" cm="1">
        <f t="array" ref="AN105">SUMPRODUCT(--(MID(AE$10:AE$135, SUMIF($Z$9:$Z$21, LEFT($AJ105,2), $Y$9:$Y$21), 1) = RIGHT($AJ105, 1)), M$10:M$135)</f>
        <v>55</v>
      </c>
      <c r="AO105" s="39" cm="1">
        <f t="array" ref="AO105">SUMPRODUCT(--(MID(AF$10:AF$135, SUMIF($Z$9:$Z$21, LEFT($AJ105,2), $Y$9:$Y$21), 1) = RIGHT($AJ105, 1)), N$10:N$135)</f>
        <v>66</v>
      </c>
      <c r="AP105" s="19" cm="1">
        <f t="array" ref="AP105">SUMPRODUCT(--(MID(AG$10:AG$135, SUMIF($Z$9:$Z$21, LEFT($AJ105,2), $Y$9:$Y$21), 1) = RIGHT($AJ105, 1)), O$10:O$135)</f>
        <v>98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 t="s">
        <v>136</v>
      </c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>
        <f t="shared" si="30"/>
        <v>1</v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>0000100000010</v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 t="s">
        <v>134</v>
      </c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>
        <f t="shared" si="30"/>
        <v>1</v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>0001100000000</v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68</v>
      </c>
      <c r="AL113" s="17" cm="1">
        <f t="array" ref="AL113">SUMPRODUCT(--(MID(AC$10:AC$135, SUMIF($Z$9:$Z$21, LEFT($AJ113,2), $Y$9:$Y$21), 1) = RIGHT($AJ113, 1)), K$10:K$135)</f>
        <v>90</v>
      </c>
      <c r="AM113" s="17" cm="1">
        <f t="array" ref="AM113">SUMPRODUCT(--(MID(AD$10:AD$135, SUMIF($Z$9:$Z$21, LEFT($AJ113,2), $Y$9:$Y$21), 1) = RIGHT($AJ113, 1)), L$10:L$135)</f>
        <v>62</v>
      </c>
      <c r="AN113" s="17" cm="1">
        <f t="array" ref="AN113">SUMPRODUCT(--(MID(AE$10:AE$135, SUMIF($Z$9:$Z$21, LEFT($AJ113,2), $Y$9:$Y$21), 1) = RIGHT($AJ113, 1)), M$10:M$135)</f>
        <v>55</v>
      </c>
      <c r="AO113" s="17" cm="1">
        <f t="array" ref="AO113">SUMPRODUCT(--(MID(AF$10:AF$135, SUMIF($Z$9:$Z$21, LEFT($AJ113,2), $Y$9:$Y$21), 1) = RIGHT($AJ113, 1)), N$10:N$135)</f>
        <v>66</v>
      </c>
      <c r="AP113" s="16" cm="1">
        <f t="array" ref="AP113">SUMPRODUCT(--(MID(AG$10:AG$135, SUMIF($Z$9:$Z$21, LEFT($AJ113,2), $Y$9:$Y$21), 1) = RIGHT($AJ113, 1)), O$10:O$135)</f>
        <v>98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18" priority="1" operator="equal">
      <formula>"WC"</formula>
    </cfRule>
    <cfRule type="cellIs" dxfId="17" priority="2" operator="equal">
      <formula>"FG"</formula>
    </cfRule>
  </conditionalFormatting>
  <conditionalFormatting sqref="J3:O3">
    <cfRule type="cellIs" dxfId="16" priority="3" operator="equal">
      <formula>$E$24</formula>
    </cfRule>
    <cfRule type="cellIs" dxfId="15" priority="4" operator="equal">
      <formula>$C$20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23A4-FBAB-4337-9B7D-18AE3D232A49}">
  <dimension ref="B1:BL132"/>
  <sheetViews>
    <sheetView topLeftCell="X1" zoomScale="96" zoomScaleNormal="124" workbookViewId="0">
      <selection activeCell="AJ3" sqref="AJ3:AJ6"/>
    </sheetView>
  </sheetViews>
  <sheetFormatPr defaultRowHeight="14.25"/>
  <cols>
    <col min="3" max="6" width="9.28515625" bestFit="1" customWidth="1"/>
    <col min="7" max="9" width="9.42578125" bestFit="1" customWidth="1"/>
    <col min="10" max="10" width="12.7109375" bestFit="1" customWidth="1"/>
    <col min="11" max="11" width="12.28515625" bestFit="1" customWidth="1"/>
    <col min="12" max="12" width="10" bestFit="1" customWidth="1"/>
    <col min="13" max="13" width="9.7109375" bestFit="1" customWidth="1"/>
    <col min="14" max="14" width="12" bestFit="1" customWidth="1"/>
    <col min="15" max="15" width="9.42578125" bestFit="1" customWidth="1"/>
    <col min="16" max="16" width="12.140625" bestFit="1" customWidth="1"/>
    <col min="17" max="17" width="9.28515625" bestFit="1" customWidth="1"/>
    <col min="18" max="18" width="11.85546875" bestFit="1" customWidth="1"/>
    <col min="19" max="22" width="9.28515625" bestFit="1" customWidth="1"/>
    <col min="26" max="26" width="12.42578125" bestFit="1" customWidth="1"/>
    <col min="30" max="30" width="16.5703125" bestFit="1" customWidth="1"/>
    <col min="31" max="31" width="14.5703125" bestFit="1" customWidth="1"/>
    <col min="35" max="35" width="14.5703125" bestFit="1" customWidth="1"/>
  </cols>
  <sheetData>
    <row r="1" spans="2:64">
      <c r="R1" s="8"/>
      <c r="S1" s="7"/>
      <c r="T1" s="7"/>
      <c r="U1" s="7"/>
      <c r="V1" s="6"/>
    </row>
    <row r="2" spans="2:64">
      <c r="B2" s="29"/>
      <c r="C2" s="28" t="str">
        <f>'FG2 Reel'!AS9</f>
        <v>R1</v>
      </c>
      <c r="D2" s="28" t="str">
        <f>'FG2 Reel'!AT9</f>
        <v>R2</v>
      </c>
      <c r="E2" s="28" t="str">
        <f>'FG2 Reel'!AU9</f>
        <v>R3</v>
      </c>
      <c r="F2" s="28" t="str">
        <f>'FG2 Reel'!AV9</f>
        <v>R4</v>
      </c>
      <c r="G2" s="28" t="str">
        <f>'FG2 Reel'!AW9</f>
        <v>R5</v>
      </c>
      <c r="H2" s="27" t="str">
        <f>'FG2 Reel'!AX9</f>
        <v>R6</v>
      </c>
      <c r="J2" s="29"/>
      <c r="K2" s="28" t="str">
        <f>'FG2 Reel'!R9</f>
        <v>R1</v>
      </c>
      <c r="L2" s="28" t="str">
        <f>'FG2 Reel'!S9</f>
        <v>R2</v>
      </c>
      <c r="M2" s="28" t="str">
        <f>'FG2 Reel'!T9</f>
        <v>R3</v>
      </c>
      <c r="N2" s="28" t="str">
        <f>'FG2 Reel'!U9</f>
        <v>R4</v>
      </c>
      <c r="O2" s="28" t="str">
        <f>'FG2 Reel'!V9</f>
        <v>R5</v>
      </c>
      <c r="P2" s="27" t="str">
        <f>'FG2 Reel'!W9</f>
        <v>R6</v>
      </c>
      <c r="R2" s="29"/>
      <c r="S2" s="28">
        <v>6</v>
      </c>
      <c r="T2" s="28">
        <v>5</v>
      </c>
      <c r="U2" s="28">
        <v>4</v>
      </c>
      <c r="V2" s="27">
        <v>3</v>
      </c>
      <c r="Z2" s="29" t="s">
        <v>84</v>
      </c>
      <c r="AA2" s="27" t="s">
        <v>85</v>
      </c>
      <c r="AD2" s="29" t="s">
        <v>139</v>
      </c>
      <c r="AE2" s="27" t="s">
        <v>140</v>
      </c>
      <c r="AI2" s="29" t="s">
        <v>141</v>
      </c>
      <c r="AJ2" s="27" t="s">
        <v>85</v>
      </c>
      <c r="AL2" s="11" t="s">
        <v>142</v>
      </c>
      <c r="AM2" s="9" t="s">
        <v>85</v>
      </c>
    </row>
    <row r="3" spans="2:64">
      <c r="B3" s="34" t="str">
        <f>'FG2 Reel'!AR10</f>
        <v>WC</v>
      </c>
      <c r="C3" s="30">
        <f>'FG2 Reel'!AS10</f>
        <v>0</v>
      </c>
      <c r="D3" s="30">
        <f>'FG2 Reel'!AT10</f>
        <v>0</v>
      </c>
      <c r="E3" s="30">
        <f>'FG2 Reel'!AU10</f>
        <v>0</v>
      </c>
      <c r="F3" s="30">
        <f>'FG2 Reel'!AV10</f>
        <v>0</v>
      </c>
      <c r="G3" s="30">
        <f>'FG2 Reel'!AW10</f>
        <v>0</v>
      </c>
      <c r="H3" s="35">
        <f>'FG2 Reel'!AX10</f>
        <v>0</v>
      </c>
      <c r="J3" s="31" t="str">
        <f>'FG2 Reel'!Q10</f>
        <v>WC</v>
      </c>
      <c r="K3" s="32">
        <f>'FG2 Reel'!R10</f>
        <v>0</v>
      </c>
      <c r="L3" s="32">
        <f>'FG2 Reel'!S10</f>
        <v>0</v>
      </c>
      <c r="M3" s="32">
        <f>'FG2 Reel'!T10</f>
        <v>0</v>
      </c>
      <c r="N3" s="32">
        <f>'FG2 Reel'!U10</f>
        <v>0</v>
      </c>
      <c r="O3" s="32">
        <f>'FG2 Reel'!V10</f>
        <v>0</v>
      </c>
      <c r="P3" s="33">
        <f>'FG2 Reel'!W10</f>
        <v>0</v>
      </c>
      <c r="R3" s="34" t="str">
        <f>'FG2 Reel'!Q10</f>
        <v>WC</v>
      </c>
      <c r="S3" s="30">
        <f>'BG Calc'!S3</f>
        <v>0</v>
      </c>
      <c r="T3" s="30">
        <f>'BG Calc'!T3</f>
        <v>0</v>
      </c>
      <c r="U3" s="30">
        <f>'BG Calc'!U3</f>
        <v>0</v>
      </c>
      <c r="V3" s="35">
        <f>'BG Calc'!V3</f>
        <v>0</v>
      </c>
      <c r="Z3" s="34">
        <v>1</v>
      </c>
      <c r="AA3" s="35">
        <v>8</v>
      </c>
      <c r="AD3" s="34">
        <v>3</v>
      </c>
      <c r="AE3" s="35">
        <v>7</v>
      </c>
      <c r="AI3" s="34">
        <v>0</v>
      </c>
      <c r="AJ3" s="35">
        <v>500</v>
      </c>
      <c r="AL3" s="5" t="s">
        <v>109</v>
      </c>
      <c r="AM3" s="4">
        <v>1</v>
      </c>
      <c r="AQ3" s="50"/>
      <c r="AR3" s="12"/>
      <c r="AX3" t="s">
        <v>145</v>
      </c>
      <c r="AZ3" s="51"/>
      <c r="BA3" s="11"/>
      <c r="BB3" s="51" t="s">
        <v>126</v>
      </c>
      <c r="BC3" s="51"/>
      <c r="BD3" s="11"/>
      <c r="BE3" s="51"/>
      <c r="BG3" t="s">
        <v>146</v>
      </c>
    </row>
    <row r="4" spans="2:64">
      <c r="B4" s="34" t="str">
        <f>'FG2 Reel'!AR11</f>
        <v>AA</v>
      </c>
      <c r="C4" s="30">
        <f>'FG2 Reel'!AS11</f>
        <v>2</v>
      </c>
      <c r="D4" s="30">
        <f>'FG2 Reel'!AT11</f>
        <v>8</v>
      </c>
      <c r="E4" s="30">
        <f>'FG2 Reel'!AU11</f>
        <v>8</v>
      </c>
      <c r="F4" s="30">
        <f>'FG2 Reel'!AV11</f>
        <v>10</v>
      </c>
      <c r="G4" s="30">
        <f>'FG2 Reel'!AW11</f>
        <v>26</v>
      </c>
      <c r="H4" s="35">
        <f>'FG2 Reel'!AX11</f>
        <v>14</v>
      </c>
      <c r="J4" s="34" t="str">
        <f>'FG2 Reel'!Q11</f>
        <v>AA</v>
      </c>
      <c r="K4" s="30">
        <f>'FG2 Reel'!R11</f>
        <v>1</v>
      </c>
      <c r="L4" s="30">
        <f>'FG2 Reel'!S11</f>
        <v>4</v>
      </c>
      <c r="M4" s="30">
        <f>'FG2 Reel'!T11</f>
        <v>4</v>
      </c>
      <c r="N4" s="30">
        <f>'FG2 Reel'!U11</f>
        <v>5</v>
      </c>
      <c r="O4" s="30">
        <f>'FG2 Reel'!V11</f>
        <v>13</v>
      </c>
      <c r="P4" s="35">
        <f>'FG2 Reel'!W11</f>
        <v>7</v>
      </c>
      <c r="R4" s="34" t="str">
        <f>'FG2 Reel'!Q11</f>
        <v>AA</v>
      </c>
      <c r="S4" s="30">
        <f>'BG Calc'!S4</f>
        <v>150</v>
      </c>
      <c r="T4" s="30">
        <f>'BG Calc'!T4</f>
        <v>60</v>
      </c>
      <c r="U4" s="30">
        <f>'BG Calc'!U4</f>
        <v>40</v>
      </c>
      <c r="V4" s="35">
        <f>'BG Calc'!V4</f>
        <v>15</v>
      </c>
      <c r="Z4" s="34">
        <v>2</v>
      </c>
      <c r="AA4" s="35">
        <v>2</v>
      </c>
      <c r="AD4" s="34">
        <v>4</v>
      </c>
      <c r="AE4" s="35">
        <v>12</v>
      </c>
      <c r="AI4" s="34">
        <v>1</v>
      </c>
      <c r="AJ4" s="35">
        <v>126</v>
      </c>
      <c r="AL4" s="5" t="s">
        <v>110</v>
      </c>
      <c r="AM4" s="4">
        <v>1</v>
      </c>
      <c r="AZ4" s="51"/>
      <c r="BA4" s="11"/>
      <c r="BB4" s="51"/>
      <c r="BC4" s="51"/>
      <c r="BD4" s="11"/>
      <c r="BE4" s="51"/>
    </row>
    <row r="5" spans="2:64">
      <c r="B5" s="34" t="str">
        <f>'FG2 Reel'!AR12</f>
        <v>BB</v>
      </c>
      <c r="C5" s="30">
        <f>'FG2 Reel'!AS12</f>
        <v>2</v>
      </c>
      <c r="D5" s="30">
        <f>'FG2 Reel'!AT12</f>
        <v>8</v>
      </c>
      <c r="E5" s="30">
        <f>'FG2 Reel'!AU12</f>
        <v>18</v>
      </c>
      <c r="F5" s="30">
        <f>'FG2 Reel'!AV12</f>
        <v>14</v>
      </c>
      <c r="G5" s="30">
        <f>'FG2 Reel'!AW12</f>
        <v>20</v>
      </c>
      <c r="H5" s="35">
        <f>'FG2 Reel'!AX12</f>
        <v>10</v>
      </c>
      <c r="J5" s="34" t="str">
        <f>'FG2 Reel'!Q12</f>
        <v>BB</v>
      </c>
      <c r="K5" s="30">
        <f>'FG2 Reel'!R12</f>
        <v>1</v>
      </c>
      <c r="L5" s="30">
        <f>'FG2 Reel'!S12</f>
        <v>4</v>
      </c>
      <c r="M5" s="30">
        <f>'FG2 Reel'!T12</f>
        <v>9</v>
      </c>
      <c r="N5" s="30">
        <f>'FG2 Reel'!U12</f>
        <v>7</v>
      </c>
      <c r="O5" s="30">
        <f>'FG2 Reel'!V12</f>
        <v>10</v>
      </c>
      <c r="P5" s="35">
        <f>'FG2 Reel'!W12</f>
        <v>5</v>
      </c>
      <c r="R5" s="34" t="str">
        <f>'FG2 Reel'!Q12</f>
        <v>BB</v>
      </c>
      <c r="S5" s="30">
        <f>'BG Calc'!S5</f>
        <v>60</v>
      </c>
      <c r="T5" s="30">
        <f>'BG Calc'!T5</f>
        <v>30</v>
      </c>
      <c r="U5" s="30">
        <f>'BG Calc'!U5</f>
        <v>20</v>
      </c>
      <c r="V5" s="35">
        <f>'BG Calc'!V5</f>
        <v>10</v>
      </c>
      <c r="Z5" s="36">
        <v>3</v>
      </c>
      <c r="AA5" s="38">
        <v>1</v>
      </c>
      <c r="AD5" s="34">
        <v>5</v>
      </c>
      <c r="AE5" s="35">
        <v>15</v>
      </c>
      <c r="AI5" s="34">
        <v>2</v>
      </c>
      <c r="AJ5" s="35">
        <v>50</v>
      </c>
      <c r="AL5" s="5" t="s">
        <v>111</v>
      </c>
      <c r="AM5" s="4">
        <v>1</v>
      </c>
      <c r="AZ5" s="51"/>
      <c r="BB5" s="51"/>
      <c r="BC5" s="51"/>
      <c r="BE5" s="51"/>
    </row>
    <row r="6" spans="2:64">
      <c r="B6" s="34" t="str">
        <f>'FG2 Reel'!AR13</f>
        <v>CC</v>
      </c>
      <c r="C6" s="30">
        <f>'FG2 Reel'!AS13</f>
        <v>4</v>
      </c>
      <c r="D6" s="30">
        <f>'FG2 Reel'!AT13</f>
        <v>8</v>
      </c>
      <c r="E6" s="30">
        <f>'FG2 Reel'!AU13</f>
        <v>16</v>
      </c>
      <c r="F6" s="30">
        <f>'FG2 Reel'!AV13</f>
        <v>12</v>
      </c>
      <c r="G6" s="30">
        <f>'FG2 Reel'!AW13</f>
        <v>16</v>
      </c>
      <c r="H6" s="35">
        <f>'FG2 Reel'!AX13</f>
        <v>10</v>
      </c>
      <c r="J6" s="34" t="str">
        <f>'FG2 Reel'!Q13</f>
        <v>CC</v>
      </c>
      <c r="K6" s="30">
        <f>'FG2 Reel'!R13</f>
        <v>2</v>
      </c>
      <c r="L6" s="30">
        <f>'FG2 Reel'!S13</f>
        <v>4</v>
      </c>
      <c r="M6" s="30">
        <f>'FG2 Reel'!T13</f>
        <v>8</v>
      </c>
      <c r="N6" s="30">
        <f>'FG2 Reel'!U13</f>
        <v>6</v>
      </c>
      <c r="O6" s="30">
        <f>'FG2 Reel'!V13</f>
        <v>8</v>
      </c>
      <c r="P6" s="35">
        <f>'FG2 Reel'!W13</f>
        <v>5</v>
      </c>
      <c r="R6" s="34" t="str">
        <f>'FG2 Reel'!Q13</f>
        <v>CC</v>
      </c>
      <c r="S6" s="30">
        <f>'BG Calc'!S6</f>
        <v>40</v>
      </c>
      <c r="T6" s="30">
        <f>'BG Calc'!T6</f>
        <v>20</v>
      </c>
      <c r="U6" s="30">
        <f>'BG Calc'!U6</f>
        <v>15</v>
      </c>
      <c r="V6" s="35">
        <f>'BG Calc'!V6</f>
        <v>7</v>
      </c>
      <c r="AD6" s="36">
        <v>6</v>
      </c>
      <c r="AE6" s="38">
        <v>20</v>
      </c>
      <c r="AI6" s="34">
        <v>3</v>
      </c>
      <c r="AJ6" s="35">
        <v>10</v>
      </c>
      <c r="AL6" s="3" t="s">
        <v>112</v>
      </c>
      <c r="AM6" s="1">
        <v>1</v>
      </c>
      <c r="BB6" s="51"/>
      <c r="BE6" s="51"/>
    </row>
    <row r="7" spans="2:64">
      <c r="B7" s="34" t="str">
        <f>'FG2 Reel'!AR14</f>
        <v>DD</v>
      </c>
      <c r="C7" s="30">
        <f>'FG2 Reel'!AS14</f>
        <v>4</v>
      </c>
      <c r="D7" s="30">
        <f>'FG2 Reel'!AT14</f>
        <v>8</v>
      </c>
      <c r="E7" s="30">
        <f>'FG2 Reel'!AU14</f>
        <v>8</v>
      </c>
      <c r="F7" s="30">
        <f>'FG2 Reel'!AV14</f>
        <v>20</v>
      </c>
      <c r="G7" s="30">
        <f>'FG2 Reel'!AW14</f>
        <v>20</v>
      </c>
      <c r="H7" s="35">
        <f>'FG2 Reel'!AX14</f>
        <v>14</v>
      </c>
      <c r="J7" s="34" t="str">
        <f>'FG2 Reel'!Q14</f>
        <v>DD</v>
      </c>
      <c r="K7" s="30">
        <f>'FG2 Reel'!R14</f>
        <v>2</v>
      </c>
      <c r="L7" s="30">
        <f>'FG2 Reel'!S14</f>
        <v>4</v>
      </c>
      <c r="M7" s="30">
        <f>'FG2 Reel'!T14</f>
        <v>4</v>
      </c>
      <c r="N7" s="30">
        <f>'FG2 Reel'!U14</f>
        <v>10</v>
      </c>
      <c r="O7" s="30">
        <f>'FG2 Reel'!V14</f>
        <v>10</v>
      </c>
      <c r="P7" s="35">
        <f>'FG2 Reel'!W14</f>
        <v>7</v>
      </c>
      <c r="R7" s="34" t="str">
        <f>'FG2 Reel'!Q14</f>
        <v>DD</v>
      </c>
      <c r="S7" s="30">
        <f>'BG Calc'!S7</f>
        <v>30</v>
      </c>
      <c r="T7" s="30">
        <f>'BG Calc'!T7</f>
        <v>15</v>
      </c>
      <c r="U7" s="30">
        <f>'BG Calc'!U7</f>
        <v>10</v>
      </c>
      <c r="V7" s="35">
        <f>'BG Calc'!V7</f>
        <v>4</v>
      </c>
      <c r="AA7">
        <f>SUMPRODUCT(Z3:Z5,FG2_Multiplier_Weight)/SUM(FG2_Multiplier_Weight)</f>
        <v>1.3636363636363635</v>
      </c>
      <c r="AI7" s="34"/>
      <c r="AJ7" s="35"/>
    </row>
    <row r="8" spans="2:64">
      <c r="B8" s="34" t="str">
        <f>'FG2 Reel'!AR15</f>
        <v>EE</v>
      </c>
      <c r="C8" s="30">
        <f>'FG2 Reel'!AS15</f>
        <v>6</v>
      </c>
      <c r="D8" s="30">
        <f>'FG2 Reel'!AT15</f>
        <v>14</v>
      </c>
      <c r="E8" s="30">
        <f>'FG2 Reel'!AU15</f>
        <v>16</v>
      </c>
      <c r="F8" s="30">
        <f>'FG2 Reel'!AV15</f>
        <v>4</v>
      </c>
      <c r="G8" s="30">
        <f>'FG2 Reel'!AW15</f>
        <v>2</v>
      </c>
      <c r="H8" s="35">
        <f>'FG2 Reel'!AX15</f>
        <v>2</v>
      </c>
      <c r="J8" s="34" t="str">
        <f>'FG2 Reel'!Q15</f>
        <v>EE</v>
      </c>
      <c r="K8" s="30">
        <f>'FG2 Reel'!R15</f>
        <v>3</v>
      </c>
      <c r="L8" s="30">
        <f>'FG2 Reel'!S15</f>
        <v>7</v>
      </c>
      <c r="M8" s="30">
        <f>'FG2 Reel'!T15</f>
        <v>8</v>
      </c>
      <c r="N8" s="30">
        <f>'FG2 Reel'!U15</f>
        <v>2</v>
      </c>
      <c r="O8" s="30">
        <f>'FG2 Reel'!V15</f>
        <v>1</v>
      </c>
      <c r="P8" s="35">
        <f>'FG2 Reel'!W15</f>
        <v>1</v>
      </c>
      <c r="R8" s="34" t="str">
        <f>'FG2 Reel'!Q15</f>
        <v>EE</v>
      </c>
      <c r="S8" s="30">
        <f>'BG Calc'!S8</f>
        <v>30</v>
      </c>
      <c r="T8" s="30">
        <f>'BG Calc'!T8</f>
        <v>10</v>
      </c>
      <c r="U8" s="30">
        <f>'BG Calc'!U8</f>
        <v>8</v>
      </c>
      <c r="V8" s="35">
        <f>'BG Calc'!V8</f>
        <v>3</v>
      </c>
      <c r="AI8" s="34"/>
      <c r="AJ8" s="35"/>
      <c r="AL8" t="s">
        <v>143</v>
      </c>
    </row>
    <row r="9" spans="2:64">
      <c r="B9" s="34" t="str">
        <f>'FG2 Reel'!AR16</f>
        <v>FF</v>
      </c>
      <c r="C9" s="30">
        <f>'FG2 Reel'!AS16</f>
        <v>8</v>
      </c>
      <c r="D9" s="30">
        <f>'FG2 Reel'!AT16</f>
        <v>10</v>
      </c>
      <c r="E9" s="30">
        <f>'FG2 Reel'!AU16</f>
        <v>8</v>
      </c>
      <c r="F9" s="30">
        <f>'FG2 Reel'!AV16</f>
        <v>18</v>
      </c>
      <c r="G9" s="30">
        <f>'FG2 Reel'!AW16</f>
        <v>18</v>
      </c>
      <c r="H9" s="35">
        <f>'FG2 Reel'!AX16</f>
        <v>8</v>
      </c>
      <c r="J9" s="34" t="str">
        <f>'FG2 Reel'!Q16</f>
        <v>FF</v>
      </c>
      <c r="K9" s="30">
        <f>'FG2 Reel'!R16</f>
        <v>4</v>
      </c>
      <c r="L9" s="30">
        <f>'FG2 Reel'!S16</f>
        <v>5</v>
      </c>
      <c r="M9" s="30">
        <f>'FG2 Reel'!T16</f>
        <v>4</v>
      </c>
      <c r="N9" s="30">
        <f>'FG2 Reel'!U16</f>
        <v>9</v>
      </c>
      <c r="O9" s="30">
        <f>'FG2 Reel'!V16</f>
        <v>9</v>
      </c>
      <c r="P9" s="35">
        <f>'FG2 Reel'!W16</f>
        <v>4</v>
      </c>
      <c r="R9" s="34" t="str">
        <f>'FG2 Reel'!Q16</f>
        <v>FF</v>
      </c>
      <c r="S9" s="30">
        <f>'BG Calc'!S9</f>
        <v>30</v>
      </c>
      <c r="T9" s="30">
        <f>'BG Calc'!T9</f>
        <v>10</v>
      </c>
      <c r="U9" s="30">
        <f>'BG Calc'!U9</f>
        <v>8</v>
      </c>
      <c r="V9" s="35">
        <f>'BG Calc'!V9</f>
        <v>3</v>
      </c>
      <c r="AI9" s="36"/>
      <c r="AJ9" s="38"/>
      <c r="AX9" t="s">
        <v>147</v>
      </c>
      <c r="AZ9" s="51"/>
      <c r="BA9" s="51" t="s">
        <v>126</v>
      </c>
      <c r="BB9" s="51" t="s">
        <v>126</v>
      </c>
      <c r="BC9" s="51"/>
      <c r="BD9" s="51" t="s">
        <v>126</v>
      </c>
      <c r="BE9" s="51"/>
      <c r="BG9" t="s">
        <v>148</v>
      </c>
    </row>
    <row r="10" spans="2:64">
      <c r="B10" s="34" t="str">
        <f>'FG2 Reel'!AR17</f>
        <v>GG</v>
      </c>
      <c r="C10" s="30">
        <f>'FG2 Reel'!AS17</f>
        <v>12</v>
      </c>
      <c r="D10" s="30">
        <f>'FG2 Reel'!AT17</f>
        <v>26</v>
      </c>
      <c r="E10" s="30">
        <f>'FG2 Reel'!AU17</f>
        <v>22</v>
      </c>
      <c r="F10" s="30">
        <f>'FG2 Reel'!AV17</f>
        <v>24</v>
      </c>
      <c r="G10" s="30">
        <f>'FG2 Reel'!AW17</f>
        <v>28</v>
      </c>
      <c r="H10" s="35">
        <f>'FG2 Reel'!AX17</f>
        <v>10</v>
      </c>
      <c r="J10" s="34" t="str">
        <f>'FG2 Reel'!Q17</f>
        <v>GG</v>
      </c>
      <c r="K10" s="30">
        <f>'FG2 Reel'!R17</f>
        <v>6</v>
      </c>
      <c r="L10" s="30">
        <f>'FG2 Reel'!S17</f>
        <v>13</v>
      </c>
      <c r="M10" s="30">
        <f>'FG2 Reel'!T17</f>
        <v>11</v>
      </c>
      <c r="N10" s="30">
        <f>'FG2 Reel'!U17</f>
        <v>12</v>
      </c>
      <c r="O10" s="30">
        <f>'FG2 Reel'!V17</f>
        <v>14</v>
      </c>
      <c r="P10" s="35">
        <f>'FG2 Reel'!W17</f>
        <v>5</v>
      </c>
      <c r="R10" s="34" t="str">
        <f>'FG2 Reel'!Q17</f>
        <v>GG</v>
      </c>
      <c r="S10" s="30">
        <f>'BG Calc'!S10</f>
        <v>20</v>
      </c>
      <c r="T10" s="30">
        <f>'BG Calc'!T10</f>
        <v>6</v>
      </c>
      <c r="U10" s="30">
        <f>'BG Calc'!U10</f>
        <v>4</v>
      </c>
      <c r="V10" s="35">
        <f>'BG Calc'!V10</f>
        <v>2</v>
      </c>
      <c r="AZ10" s="51"/>
      <c r="BA10" s="51"/>
      <c r="BB10" s="51"/>
      <c r="BC10" s="51"/>
      <c r="BD10" s="51"/>
      <c r="BE10" s="51"/>
    </row>
    <row r="11" spans="2:64">
      <c r="B11" s="34" t="str">
        <f>'FG2 Reel'!AR18</f>
        <v>HH</v>
      </c>
      <c r="C11" s="30">
        <f>'FG2 Reel'!AS18</f>
        <v>12</v>
      </c>
      <c r="D11" s="30">
        <f>'FG2 Reel'!AT18</f>
        <v>14</v>
      </c>
      <c r="E11" s="30">
        <f>'FG2 Reel'!AU18</f>
        <v>6</v>
      </c>
      <c r="F11" s="30">
        <f>'FG2 Reel'!AV18</f>
        <v>2</v>
      </c>
      <c r="G11" s="30">
        <f>'FG2 Reel'!AW18</f>
        <v>2</v>
      </c>
      <c r="H11" s="35">
        <f>'FG2 Reel'!AX18</f>
        <v>2</v>
      </c>
      <c r="J11" s="34" t="str">
        <f>'FG2 Reel'!Q18</f>
        <v>HH</v>
      </c>
      <c r="K11" s="30">
        <f>'FG2 Reel'!R18</f>
        <v>6</v>
      </c>
      <c r="L11" s="30">
        <f>'FG2 Reel'!S18</f>
        <v>7</v>
      </c>
      <c r="M11" s="30">
        <f>'FG2 Reel'!T18</f>
        <v>3</v>
      </c>
      <c r="N11" s="30">
        <f>'FG2 Reel'!U18</f>
        <v>1</v>
      </c>
      <c r="O11" s="30">
        <f>'FG2 Reel'!V18</f>
        <v>1</v>
      </c>
      <c r="P11" s="35">
        <f>'FG2 Reel'!W18</f>
        <v>1</v>
      </c>
      <c r="R11" s="34" t="str">
        <f>'FG2 Reel'!Q18</f>
        <v>HH</v>
      </c>
      <c r="S11" s="30">
        <f>'BG Calc'!S11</f>
        <v>20</v>
      </c>
      <c r="T11" s="30">
        <f>'BG Calc'!T11</f>
        <v>6</v>
      </c>
      <c r="U11" s="30">
        <f>'BG Calc'!U11</f>
        <v>4</v>
      </c>
      <c r="V11" s="35">
        <f>'BG Calc'!V11</f>
        <v>2</v>
      </c>
      <c r="AJ11">
        <f>SUMPRODUCT(AI3:AI9,AJ3:AJ9)/SUM(AJ3:AJ9)</f>
        <v>0.37317784256559766</v>
      </c>
      <c r="AZ11" s="51"/>
      <c r="BA11" s="51"/>
      <c r="BB11" s="51" t="s">
        <v>126</v>
      </c>
      <c r="BC11" s="51"/>
      <c r="BD11" s="51" t="s">
        <v>126</v>
      </c>
    </row>
    <row r="12" spans="2:64">
      <c r="B12" s="34" t="str">
        <f>'FG2 Reel'!AR19</f>
        <v>JJ</v>
      </c>
      <c r="C12" s="30">
        <f>'FG2 Reel'!AS19</f>
        <v>12</v>
      </c>
      <c r="D12" s="30">
        <f>'FG2 Reel'!AT19</f>
        <v>18</v>
      </c>
      <c r="E12" s="30">
        <f>'FG2 Reel'!AU19</f>
        <v>24</v>
      </c>
      <c r="F12" s="30">
        <f>'FG2 Reel'!AV19</f>
        <v>10</v>
      </c>
      <c r="G12" s="30">
        <f>'FG2 Reel'!AW19</f>
        <v>18</v>
      </c>
      <c r="H12" s="35">
        <f>'FG2 Reel'!AX19</f>
        <v>10</v>
      </c>
      <c r="J12" s="34" t="str">
        <f>'FG2 Reel'!Q19</f>
        <v>JJ</v>
      </c>
      <c r="K12" s="30">
        <f>'FG2 Reel'!R19</f>
        <v>6</v>
      </c>
      <c r="L12" s="30">
        <f>'FG2 Reel'!S19</f>
        <v>9</v>
      </c>
      <c r="M12" s="30">
        <f>'FG2 Reel'!T19</f>
        <v>12</v>
      </c>
      <c r="N12" s="30">
        <f>'FG2 Reel'!U19</f>
        <v>5</v>
      </c>
      <c r="O12" s="30">
        <f>'FG2 Reel'!V19</f>
        <v>9</v>
      </c>
      <c r="P12" s="35">
        <f>'FG2 Reel'!W19</f>
        <v>5</v>
      </c>
      <c r="R12" s="34" t="str">
        <f>'FG2 Reel'!Q19</f>
        <v>JJ</v>
      </c>
      <c r="S12" s="30">
        <f>'BG Calc'!S12</f>
        <v>20</v>
      </c>
      <c r="T12" s="30">
        <f>'BG Calc'!T12</f>
        <v>6</v>
      </c>
      <c r="U12" s="30">
        <f>'BG Calc'!U12</f>
        <v>4</v>
      </c>
      <c r="V12" s="35">
        <f>'BG Calc'!V12</f>
        <v>2</v>
      </c>
      <c r="AJ12">
        <f>AJ11*8.55</f>
        <v>3.1906705539358602</v>
      </c>
      <c r="AZ12" s="51"/>
      <c r="BA12" s="51"/>
      <c r="BC12" s="51"/>
    </row>
    <row r="13" spans="2:64">
      <c r="B13" s="34" t="str">
        <f>'FG2 Reel'!AR20</f>
        <v>KK</v>
      </c>
      <c r="C13" s="30">
        <f>'FG2 Reel'!AS20</f>
        <v>10</v>
      </c>
      <c r="D13" s="30">
        <f>'FG2 Reel'!AT20</f>
        <v>14</v>
      </c>
      <c r="E13" s="30">
        <f>'FG2 Reel'!AU20</f>
        <v>24</v>
      </c>
      <c r="F13" s="30">
        <f>'FG2 Reel'!AV20</f>
        <v>8</v>
      </c>
      <c r="G13" s="30">
        <f>'FG2 Reel'!AW20</f>
        <v>24</v>
      </c>
      <c r="H13" s="35">
        <f>'FG2 Reel'!AX20</f>
        <v>8</v>
      </c>
      <c r="J13" s="34" t="str">
        <f>'FG2 Reel'!Q20</f>
        <v>KK</v>
      </c>
      <c r="K13" s="30">
        <f>'FG2 Reel'!R20</f>
        <v>5</v>
      </c>
      <c r="L13" s="30">
        <f>'FG2 Reel'!S20</f>
        <v>7</v>
      </c>
      <c r="M13" s="30">
        <f>'FG2 Reel'!T20</f>
        <v>12</v>
      </c>
      <c r="N13" s="30">
        <f>'FG2 Reel'!U20</f>
        <v>4</v>
      </c>
      <c r="O13" s="30">
        <f>'FG2 Reel'!V20</f>
        <v>12</v>
      </c>
      <c r="P13" s="35">
        <f>'FG2 Reel'!W20</f>
        <v>4</v>
      </c>
      <c r="R13" s="34" t="str">
        <f>'FG2 Reel'!Q20</f>
        <v>KK</v>
      </c>
      <c r="S13" s="30">
        <f>'BG Calc'!S13</f>
        <v>10</v>
      </c>
      <c r="T13" s="30">
        <f>'BG Calc'!T13</f>
        <v>4</v>
      </c>
      <c r="U13" s="30">
        <f>'BG Calc'!U13</f>
        <v>2</v>
      </c>
      <c r="V13" s="35">
        <f>'BG Calc'!V13</f>
        <v>1</v>
      </c>
      <c r="AJ13">
        <v>1000000</v>
      </c>
      <c r="BA13" s="51"/>
      <c r="BC13" s="51"/>
    </row>
    <row r="14" spans="2:64">
      <c r="B14" s="34" t="str">
        <f>'FG2 Reel'!AR21</f>
        <v>LL</v>
      </c>
      <c r="C14" s="30">
        <f>'FG2 Reel'!AS21</f>
        <v>8</v>
      </c>
      <c r="D14" s="30">
        <f>'FG2 Reel'!AT21</f>
        <v>18</v>
      </c>
      <c r="E14" s="30">
        <f>'FG2 Reel'!AU21</f>
        <v>18</v>
      </c>
      <c r="F14" s="30">
        <f>'FG2 Reel'!AV21</f>
        <v>12</v>
      </c>
      <c r="G14" s="30">
        <f>'FG2 Reel'!AW21</f>
        <v>8</v>
      </c>
      <c r="H14" s="35">
        <f>'FG2 Reel'!AX21</f>
        <v>12</v>
      </c>
      <c r="J14" s="34" t="str">
        <f>'FG2 Reel'!Q21</f>
        <v>LL</v>
      </c>
      <c r="K14" s="30">
        <f>'FG2 Reel'!R21</f>
        <v>4</v>
      </c>
      <c r="L14" s="30">
        <f>'FG2 Reel'!S21</f>
        <v>9</v>
      </c>
      <c r="M14" s="30">
        <f>'FG2 Reel'!T21</f>
        <v>9</v>
      </c>
      <c r="N14" s="30">
        <f>'FG2 Reel'!U21</f>
        <v>6</v>
      </c>
      <c r="O14" s="30">
        <f>'FG2 Reel'!V21</f>
        <v>4</v>
      </c>
      <c r="P14" s="35">
        <f>'FG2 Reel'!W21</f>
        <v>6</v>
      </c>
      <c r="R14" s="34" t="str">
        <f>'FG2 Reel'!Q21</f>
        <v>LL</v>
      </c>
      <c r="S14" s="30">
        <f>'BG Calc'!S14</f>
        <v>10</v>
      </c>
      <c r="T14" s="30">
        <f>'BG Calc'!T14</f>
        <v>4</v>
      </c>
      <c r="U14" s="30">
        <f>'BG Calc'!U14</f>
        <v>2</v>
      </c>
      <c r="V14" s="35">
        <f>'BG Calc'!V14</f>
        <v>1</v>
      </c>
      <c r="AJ14">
        <f>AJ13/3499</f>
        <v>285.79594169762788</v>
      </c>
    </row>
    <row r="15" spans="2:64">
      <c r="B15" s="34" t="str">
        <f>'FG2 Reel'!AR22</f>
        <v>BN</v>
      </c>
      <c r="C15" s="30">
        <f>'FG2 Reel'!AS22</f>
        <v>0</v>
      </c>
      <c r="D15" s="30">
        <f>'FG2 Reel'!AT22</f>
        <v>0</v>
      </c>
      <c r="E15" s="30">
        <f>'FG2 Reel'!AU22</f>
        <v>0</v>
      </c>
      <c r="F15" s="30">
        <f>'FG2 Reel'!AV22</f>
        <v>0</v>
      </c>
      <c r="G15" s="30">
        <f>'FG2 Reel'!AW22</f>
        <v>0</v>
      </c>
      <c r="H15" s="35">
        <f>'FG2 Reel'!AX22</f>
        <v>0</v>
      </c>
      <c r="J15" s="34" t="str">
        <f>'FG2 Reel'!Q22</f>
        <v>BN</v>
      </c>
      <c r="K15" s="30">
        <f>'FG2 Reel'!R22</f>
        <v>0</v>
      </c>
      <c r="L15" s="30">
        <f>'FG2 Reel'!S22</f>
        <v>0</v>
      </c>
      <c r="M15" s="30">
        <f>'FG2 Reel'!T22</f>
        <v>0</v>
      </c>
      <c r="N15" s="30">
        <f>'FG2 Reel'!U22</f>
        <v>0</v>
      </c>
      <c r="O15" s="30">
        <f>'FG2 Reel'!V22</f>
        <v>0</v>
      </c>
      <c r="P15" s="35">
        <f>'FG2 Reel'!W22</f>
        <v>0</v>
      </c>
      <c r="R15" s="36" t="str">
        <f>'FG2 Reel'!Q22</f>
        <v>BN</v>
      </c>
      <c r="S15" s="37">
        <f>'BG Calc'!S15</f>
        <v>0</v>
      </c>
      <c r="T15" s="37">
        <f>'BG Calc'!T15</f>
        <v>0</v>
      </c>
      <c r="U15" s="37">
        <f>'BG Calc'!U15</f>
        <v>0</v>
      </c>
      <c r="V15" s="38">
        <f>'BG Calc'!V15</f>
        <v>0</v>
      </c>
      <c r="AX15" t="s">
        <v>149</v>
      </c>
      <c r="AZ15" s="51"/>
      <c r="BA15" s="51"/>
      <c r="BB15" s="51" t="s">
        <v>126</v>
      </c>
      <c r="BC15" s="51"/>
      <c r="BD15" s="51"/>
      <c r="BE15" s="51"/>
      <c r="BG15" s="51"/>
      <c r="BH15" s="51"/>
      <c r="BI15" s="51" t="s">
        <v>126</v>
      </c>
      <c r="BJ15" s="51"/>
      <c r="BK15" s="51"/>
      <c r="BL15" s="51"/>
    </row>
    <row r="16" spans="2:64">
      <c r="B16" s="34" t="str">
        <f>'FG2 Reel'!AR23</f>
        <v>WC-0</v>
      </c>
      <c r="C16" s="30">
        <f>'FG2 Reel'!AS23</f>
        <v>40</v>
      </c>
      <c r="D16" s="30">
        <f>'FG2 Reel'!AT23</f>
        <v>73</v>
      </c>
      <c r="E16" s="30">
        <f>'FG2 Reel'!AU23</f>
        <v>84</v>
      </c>
      <c r="F16" s="30">
        <f>'FG2 Reel'!AV23</f>
        <v>67</v>
      </c>
      <c r="G16" s="30">
        <f>'FG2 Reel'!AW23</f>
        <v>91</v>
      </c>
      <c r="H16" s="35">
        <f>'FG2 Reel'!AX23</f>
        <v>50</v>
      </c>
      <c r="J16" s="48" t="s">
        <v>14</v>
      </c>
      <c r="K16" s="28">
        <f>SUM(K3:K15)</f>
        <v>40</v>
      </c>
      <c r="L16" s="28">
        <f t="shared" ref="L16:P16" si="0">SUM(L3:L15)</f>
        <v>73</v>
      </c>
      <c r="M16" s="28">
        <f t="shared" si="0"/>
        <v>84</v>
      </c>
      <c r="N16" s="28">
        <f t="shared" si="0"/>
        <v>67</v>
      </c>
      <c r="O16" s="28">
        <f t="shared" si="0"/>
        <v>91</v>
      </c>
      <c r="P16" s="27">
        <f t="shared" si="0"/>
        <v>50</v>
      </c>
      <c r="AZ16" s="51"/>
      <c r="BA16" s="51"/>
      <c r="BB16" s="51" t="s">
        <v>126</v>
      </c>
      <c r="BC16" s="51"/>
      <c r="BD16" s="51"/>
      <c r="BE16" s="51"/>
      <c r="BG16" s="51"/>
      <c r="BH16" s="51"/>
      <c r="BI16" s="51" t="s">
        <v>126</v>
      </c>
      <c r="BJ16" s="51"/>
      <c r="BK16" s="51"/>
      <c r="BL16" s="51"/>
    </row>
    <row r="17" spans="2:64">
      <c r="B17" s="34" t="str">
        <f>'FG2 Reel'!AR24</f>
        <v>AA-0</v>
      </c>
      <c r="C17" s="30">
        <f>'FG2 Reel'!AS24</f>
        <v>38</v>
      </c>
      <c r="D17" s="30">
        <f>'FG2 Reel'!AT24</f>
        <v>65</v>
      </c>
      <c r="E17" s="30">
        <f>'FG2 Reel'!AU24</f>
        <v>76</v>
      </c>
      <c r="F17" s="30">
        <f>'FG2 Reel'!AV24</f>
        <v>60</v>
      </c>
      <c r="G17" s="30">
        <f>'FG2 Reel'!AW24</f>
        <v>67</v>
      </c>
      <c r="H17" s="35">
        <f>'FG2 Reel'!AX24</f>
        <v>38</v>
      </c>
      <c r="J17" s="36" t="s">
        <v>96</v>
      </c>
      <c r="K17" s="79">
        <f>PRODUCT(K16:P16)</f>
        <v>74773608000</v>
      </c>
      <c r="L17" s="79"/>
      <c r="M17" s="79"/>
      <c r="N17" s="79"/>
      <c r="O17" s="79"/>
      <c r="P17" s="80"/>
      <c r="AZ17" s="51"/>
      <c r="BA17" s="51"/>
      <c r="BC17" s="51"/>
      <c r="BD17" s="51"/>
      <c r="BG17" s="51"/>
      <c r="BH17" s="51"/>
      <c r="BI17" s="51" t="s">
        <v>126</v>
      </c>
      <c r="BJ17" s="51"/>
      <c r="BK17" s="51"/>
    </row>
    <row r="18" spans="2:64">
      <c r="B18" s="34" t="str">
        <f>'FG2 Reel'!AR25</f>
        <v>BB-0</v>
      </c>
      <c r="C18" s="30">
        <f>'FG2 Reel'!AS25</f>
        <v>38</v>
      </c>
      <c r="D18" s="30">
        <f>'FG2 Reel'!AT25</f>
        <v>65</v>
      </c>
      <c r="E18" s="30">
        <f>'FG2 Reel'!AU25</f>
        <v>68</v>
      </c>
      <c r="F18" s="30">
        <f>'FG2 Reel'!AV25</f>
        <v>55</v>
      </c>
      <c r="G18" s="30">
        <f>'FG2 Reel'!AW25</f>
        <v>73</v>
      </c>
      <c r="H18" s="35">
        <f>'FG2 Reel'!AX25</f>
        <v>42</v>
      </c>
      <c r="Z18" t="s">
        <v>150</v>
      </c>
      <c r="AC18" t="s">
        <v>151</v>
      </c>
      <c r="AF18" t="s">
        <v>152</v>
      </c>
      <c r="AI18" t="s">
        <v>153</v>
      </c>
      <c r="AL18" t="s">
        <v>154</v>
      </c>
      <c r="AZ18" s="51"/>
      <c r="BA18" s="51"/>
      <c r="BC18" s="51"/>
      <c r="BG18" s="51"/>
      <c r="BH18" s="51"/>
      <c r="BI18" s="51"/>
      <c r="BJ18" s="51"/>
    </row>
    <row r="19" spans="2:64">
      <c r="B19" s="34" t="str">
        <f>'FG2 Reel'!AR26</f>
        <v>CC-0</v>
      </c>
      <c r="C19" s="30">
        <f>'FG2 Reel'!AS26</f>
        <v>36</v>
      </c>
      <c r="D19" s="30">
        <f>'FG2 Reel'!AT26</f>
        <v>67</v>
      </c>
      <c r="E19" s="30">
        <f>'FG2 Reel'!AU26</f>
        <v>70</v>
      </c>
      <c r="F19" s="30">
        <f>'FG2 Reel'!AV26</f>
        <v>57</v>
      </c>
      <c r="G19" s="30">
        <f>'FG2 Reel'!AW26</f>
        <v>77</v>
      </c>
      <c r="H19" s="35">
        <f>'FG2 Reel'!AX26</f>
        <v>43</v>
      </c>
      <c r="J19" s="8" t="s">
        <v>102</v>
      </c>
      <c r="K19" s="6">
        <v>20</v>
      </c>
      <c r="Z19" s="29" t="s">
        <v>114</v>
      </c>
      <c r="AA19" s="27" t="s">
        <v>85</v>
      </c>
      <c r="AC19" s="29" t="s">
        <v>114</v>
      </c>
      <c r="AD19" s="27" t="s">
        <v>85</v>
      </c>
      <c r="AF19" s="29" t="s">
        <v>114</v>
      </c>
      <c r="AG19" s="27" t="s">
        <v>85</v>
      </c>
      <c r="AI19" s="29" t="s">
        <v>114</v>
      </c>
      <c r="AJ19" s="27" t="s">
        <v>85</v>
      </c>
      <c r="AL19" s="29" t="s">
        <v>114</v>
      </c>
      <c r="AM19" s="27" t="s">
        <v>85</v>
      </c>
      <c r="BA19" s="51"/>
      <c r="BC19" s="51"/>
      <c r="BH19" s="51"/>
      <c r="BI19" s="51"/>
      <c r="BJ19" s="51"/>
    </row>
    <row r="20" spans="2:64">
      <c r="B20" s="34" t="str">
        <f>'FG2 Reel'!AR27</f>
        <v>DD-0</v>
      </c>
      <c r="C20" s="30">
        <f>'FG2 Reel'!AS27</f>
        <v>36</v>
      </c>
      <c r="D20" s="30">
        <f>'FG2 Reel'!AT27</f>
        <v>65</v>
      </c>
      <c r="E20" s="30">
        <f>'FG2 Reel'!AU27</f>
        <v>76</v>
      </c>
      <c r="F20" s="30">
        <f>'FG2 Reel'!AV27</f>
        <v>49</v>
      </c>
      <c r="G20" s="30">
        <f>'FG2 Reel'!AW27</f>
        <v>73</v>
      </c>
      <c r="H20" s="35">
        <f>'FG2 Reel'!AX27</f>
        <v>38</v>
      </c>
      <c r="J20" s="5" t="s">
        <v>6</v>
      </c>
      <c r="K20" s="14">
        <f>R86/(K19*K17)</f>
        <v>3.279462424228613E-2</v>
      </c>
      <c r="Z20" s="34">
        <v>2</v>
      </c>
      <c r="AA20" s="35">
        <v>200</v>
      </c>
      <c r="AC20" s="34">
        <v>2</v>
      </c>
      <c r="AD20" s="35">
        <v>0</v>
      </c>
      <c r="AF20" s="34">
        <v>2</v>
      </c>
      <c r="AG20" s="35">
        <v>0</v>
      </c>
      <c r="AI20" s="34">
        <v>2</v>
      </c>
      <c r="AJ20" s="35">
        <v>0</v>
      </c>
      <c r="AL20" s="34">
        <v>2</v>
      </c>
      <c r="AM20" s="35">
        <v>0</v>
      </c>
    </row>
    <row r="21" spans="2:64">
      <c r="B21" s="34" t="str">
        <f>'FG2 Reel'!AR28</f>
        <v>EE-0</v>
      </c>
      <c r="C21" s="30">
        <f>'FG2 Reel'!AS28</f>
        <v>35</v>
      </c>
      <c r="D21" s="30">
        <f>'FG2 Reel'!AT28</f>
        <v>61</v>
      </c>
      <c r="E21" s="30">
        <f>'FG2 Reel'!AU28</f>
        <v>70</v>
      </c>
      <c r="F21" s="30">
        <f>'FG2 Reel'!AV28</f>
        <v>63</v>
      </c>
      <c r="G21" s="30">
        <f>'FG2 Reel'!AW28</f>
        <v>89</v>
      </c>
      <c r="H21" s="35">
        <f>'FG2 Reel'!AX28</f>
        <v>48</v>
      </c>
      <c r="J21" s="3" t="s">
        <v>106</v>
      </c>
      <c r="K21" s="13" t="e">
        <f>K17/SUM(N88:N132)</f>
        <v>#DIV/0!</v>
      </c>
      <c r="Z21" s="34">
        <v>3</v>
      </c>
      <c r="AA21" s="35">
        <v>50</v>
      </c>
      <c r="AC21" s="34">
        <v>3</v>
      </c>
      <c r="AD21" s="35">
        <v>200</v>
      </c>
      <c r="AF21" s="34">
        <v>3</v>
      </c>
      <c r="AG21" s="35">
        <v>0</v>
      </c>
      <c r="AI21" s="34">
        <v>3</v>
      </c>
      <c r="AJ21" s="35">
        <v>0</v>
      </c>
      <c r="AL21" s="34">
        <v>3</v>
      </c>
      <c r="AM21" s="35">
        <v>0</v>
      </c>
      <c r="AX21" t="s">
        <v>155</v>
      </c>
      <c r="AZ21" s="51"/>
      <c r="BA21" s="51"/>
      <c r="BB21" s="51" t="s">
        <v>126</v>
      </c>
      <c r="BC21" s="51"/>
      <c r="BD21" s="51"/>
      <c r="BE21" s="51"/>
      <c r="BG21" s="51"/>
      <c r="BH21" s="51"/>
      <c r="BI21" s="51" t="s">
        <v>126</v>
      </c>
      <c r="BJ21" s="51"/>
      <c r="BK21" s="51"/>
      <c r="BL21" s="51"/>
    </row>
    <row r="22" spans="2:64">
      <c r="B22" s="34" t="str">
        <f>'FG2 Reel'!AR29</f>
        <v>FF-0</v>
      </c>
      <c r="C22" s="30">
        <f>'FG2 Reel'!AS29</f>
        <v>34</v>
      </c>
      <c r="D22" s="30">
        <f>'FG2 Reel'!AT29</f>
        <v>65</v>
      </c>
      <c r="E22" s="30">
        <f>'FG2 Reel'!AU29</f>
        <v>78</v>
      </c>
      <c r="F22" s="30">
        <f>'FG2 Reel'!AV29</f>
        <v>52</v>
      </c>
      <c r="G22" s="30">
        <f>'FG2 Reel'!AW29</f>
        <v>75</v>
      </c>
      <c r="H22" s="35">
        <f>'FG2 Reel'!AX29</f>
        <v>44</v>
      </c>
      <c r="M22" s="12"/>
      <c r="Z22" s="34">
        <v>4</v>
      </c>
      <c r="AA22" s="35">
        <v>20</v>
      </c>
      <c r="AC22" s="34">
        <v>4</v>
      </c>
      <c r="AD22" s="35">
        <v>30</v>
      </c>
      <c r="AF22" s="34">
        <v>4</v>
      </c>
      <c r="AG22" s="35">
        <v>100</v>
      </c>
      <c r="AI22" s="34">
        <v>4</v>
      </c>
      <c r="AJ22" s="35">
        <v>0</v>
      </c>
      <c r="AL22" s="34">
        <v>4</v>
      </c>
      <c r="AM22" s="35">
        <v>0</v>
      </c>
      <c r="AZ22" s="51"/>
      <c r="BA22" s="51"/>
      <c r="BB22" s="51" t="s">
        <v>126</v>
      </c>
      <c r="BC22" s="51"/>
      <c r="BD22" s="51"/>
      <c r="BE22" s="51"/>
      <c r="BG22" s="51"/>
      <c r="BH22" s="51"/>
      <c r="BI22" s="51" t="s">
        <v>126</v>
      </c>
      <c r="BJ22" s="51"/>
      <c r="BK22" s="51"/>
      <c r="BL22" s="51"/>
    </row>
    <row r="23" spans="2:64">
      <c r="B23" s="34" t="str">
        <f>'FG2 Reel'!AR30</f>
        <v>GG-0</v>
      </c>
      <c r="C23" s="30">
        <f>'FG2 Reel'!AS30</f>
        <v>30</v>
      </c>
      <c r="D23" s="30">
        <f>'FG2 Reel'!AT30</f>
        <v>49</v>
      </c>
      <c r="E23" s="30">
        <f>'FG2 Reel'!AU30</f>
        <v>64</v>
      </c>
      <c r="F23" s="30">
        <f>'FG2 Reel'!AV30</f>
        <v>45</v>
      </c>
      <c r="G23" s="30">
        <f>'FG2 Reel'!AW30</f>
        <v>66</v>
      </c>
      <c r="H23" s="35">
        <f>'FG2 Reel'!AX30</f>
        <v>42</v>
      </c>
      <c r="J23" s="11" t="s">
        <v>107</v>
      </c>
      <c r="K23" s="49">
        <v>222222</v>
      </c>
      <c r="Z23" s="34">
        <v>5</v>
      </c>
      <c r="AA23" s="35">
        <v>10</v>
      </c>
      <c r="AC23" s="34">
        <v>5</v>
      </c>
      <c r="AD23" s="35">
        <v>10</v>
      </c>
      <c r="AF23" s="34">
        <v>5</v>
      </c>
      <c r="AG23" s="35">
        <v>10</v>
      </c>
      <c r="AI23" s="34">
        <v>5</v>
      </c>
      <c r="AJ23" s="35">
        <v>50</v>
      </c>
      <c r="AL23" s="34">
        <v>5</v>
      </c>
      <c r="AM23" s="35">
        <v>0</v>
      </c>
      <c r="AZ23" s="51"/>
      <c r="BA23" s="51"/>
      <c r="BB23" s="51"/>
      <c r="BC23" s="51"/>
      <c r="BD23" s="51"/>
      <c r="BG23" s="51"/>
      <c r="BH23" s="51"/>
      <c r="BJ23" s="51"/>
      <c r="BK23" s="51"/>
    </row>
    <row r="24" spans="2:64">
      <c r="B24" s="34" t="str">
        <f>'FG2 Reel'!AR31</f>
        <v>HH-0</v>
      </c>
      <c r="C24" s="30">
        <f>'FG2 Reel'!AS31</f>
        <v>30</v>
      </c>
      <c r="D24" s="30">
        <f>'FG2 Reel'!AT31</f>
        <v>62</v>
      </c>
      <c r="E24" s="30">
        <f>'FG2 Reel'!AU31</f>
        <v>78</v>
      </c>
      <c r="F24" s="30">
        <f>'FG2 Reel'!AV31</f>
        <v>65</v>
      </c>
      <c r="G24" s="30">
        <f>'FG2 Reel'!AW31</f>
        <v>89</v>
      </c>
      <c r="H24" s="35">
        <f>'FG2 Reel'!AX31</f>
        <v>48</v>
      </c>
      <c r="Z24" s="34">
        <v>6</v>
      </c>
      <c r="AA24" s="35">
        <v>5</v>
      </c>
      <c r="AC24" s="34">
        <v>6</v>
      </c>
      <c r="AD24" s="35">
        <v>5</v>
      </c>
      <c r="AF24" s="34">
        <v>6</v>
      </c>
      <c r="AG24" s="35">
        <v>5</v>
      </c>
      <c r="AI24" s="34">
        <v>6</v>
      </c>
      <c r="AJ24" s="35">
        <v>5</v>
      </c>
      <c r="AL24" s="34">
        <v>6</v>
      </c>
      <c r="AM24" s="35">
        <v>10</v>
      </c>
      <c r="AZ24" s="51"/>
      <c r="BA24" s="51"/>
      <c r="BB24" s="51"/>
      <c r="BC24" s="51"/>
      <c r="BG24" s="51"/>
      <c r="BH24" s="51"/>
      <c r="BJ24" s="51"/>
    </row>
    <row r="25" spans="2:64">
      <c r="B25" s="34" t="str">
        <f>'FG2 Reel'!AR32</f>
        <v>JJ-0</v>
      </c>
      <c r="C25" s="30">
        <f>'FG2 Reel'!AS32</f>
        <v>30</v>
      </c>
      <c r="D25" s="30">
        <f>'FG2 Reel'!AT32</f>
        <v>60</v>
      </c>
      <c r="E25" s="30">
        <f>'FG2 Reel'!AU32</f>
        <v>64</v>
      </c>
      <c r="F25" s="30">
        <f>'FG2 Reel'!AV32</f>
        <v>59</v>
      </c>
      <c r="G25" s="30">
        <f>'FG2 Reel'!AW32</f>
        <v>75</v>
      </c>
      <c r="H25" s="35">
        <f>'FG2 Reel'!AX32</f>
        <v>42</v>
      </c>
      <c r="J25" s="11"/>
      <c r="K25" s="28" t="s">
        <v>108</v>
      </c>
      <c r="L25" s="28" t="s">
        <v>109</v>
      </c>
      <c r="M25" s="28" t="s">
        <v>110</v>
      </c>
      <c r="N25" s="28" t="s">
        <v>111</v>
      </c>
      <c r="O25" s="28" t="s">
        <v>112</v>
      </c>
      <c r="P25" s="27" t="s">
        <v>113</v>
      </c>
      <c r="Z25" s="36">
        <v>7</v>
      </c>
      <c r="AA25" s="38">
        <v>1</v>
      </c>
      <c r="AC25" s="36">
        <v>7</v>
      </c>
      <c r="AD25" s="38">
        <v>1</v>
      </c>
      <c r="AF25" s="36">
        <v>7</v>
      </c>
      <c r="AG25" s="38">
        <v>1</v>
      </c>
      <c r="AI25" s="36">
        <v>7</v>
      </c>
      <c r="AJ25" s="38">
        <v>1</v>
      </c>
      <c r="AL25" s="36">
        <v>7</v>
      </c>
      <c r="AM25" s="38">
        <v>1</v>
      </c>
      <c r="BA25" s="51"/>
      <c r="BB25" s="51"/>
      <c r="BC25" s="51"/>
      <c r="BH25" s="51"/>
      <c r="BJ25" s="51"/>
    </row>
    <row r="26" spans="2:64">
      <c r="B26" s="34" t="str">
        <f>'FG2 Reel'!AR33</f>
        <v>KK-0</v>
      </c>
      <c r="C26" s="30">
        <f>'FG2 Reel'!AS33</f>
        <v>32</v>
      </c>
      <c r="D26" s="30">
        <f>'FG2 Reel'!AT33</f>
        <v>61</v>
      </c>
      <c r="E26" s="30">
        <f>'FG2 Reel'!AU33</f>
        <v>62</v>
      </c>
      <c r="F26" s="30">
        <f>'FG2 Reel'!AV33</f>
        <v>61</v>
      </c>
      <c r="G26" s="30">
        <f>'FG2 Reel'!AW33</f>
        <v>69</v>
      </c>
      <c r="H26" s="35">
        <f>'FG2 Reel'!AX33</f>
        <v>44</v>
      </c>
      <c r="J26" s="36" t="s">
        <v>114</v>
      </c>
      <c r="K26" s="37">
        <f t="shared" ref="K26:P26" si="1">VALUE(MID($K$23,RIGHT(K25,1),1))</f>
        <v>2</v>
      </c>
      <c r="L26" s="37">
        <f t="shared" si="1"/>
        <v>2</v>
      </c>
      <c r="M26" s="37">
        <f t="shared" si="1"/>
        <v>2</v>
      </c>
      <c r="N26" s="37">
        <f t="shared" si="1"/>
        <v>2</v>
      </c>
      <c r="O26" s="37">
        <f t="shared" si="1"/>
        <v>2</v>
      </c>
      <c r="P26" s="38">
        <f t="shared" si="1"/>
        <v>2</v>
      </c>
    </row>
    <row r="27" spans="2:64">
      <c r="B27" s="34" t="str">
        <f>'FG2 Reel'!AR34</f>
        <v>LL-0</v>
      </c>
      <c r="C27" s="30">
        <f>'FG2 Reel'!AS34</f>
        <v>34</v>
      </c>
      <c r="D27" s="30">
        <f>'FG2 Reel'!AT34</f>
        <v>57</v>
      </c>
      <c r="E27" s="30">
        <f>'FG2 Reel'!AU34</f>
        <v>68</v>
      </c>
      <c r="F27" s="30">
        <f>'FG2 Reel'!AV34</f>
        <v>57</v>
      </c>
      <c r="G27" s="30">
        <f>'FG2 Reel'!AW34</f>
        <v>85</v>
      </c>
      <c r="H27" s="35">
        <f>'FG2 Reel'!AX34</f>
        <v>40</v>
      </c>
    </row>
    <row r="28" spans="2:64">
      <c r="B28" s="34" t="str">
        <f>'FG2 Reel'!AR35</f>
        <v>BN-0</v>
      </c>
      <c r="C28" s="30">
        <f>'FG2 Reel'!AS35</f>
        <v>40</v>
      </c>
      <c r="D28" s="30">
        <f>'FG2 Reel'!AT35</f>
        <v>73</v>
      </c>
      <c r="E28" s="30">
        <f>'FG2 Reel'!AU35</f>
        <v>84</v>
      </c>
      <c r="F28" s="30">
        <f>'FG2 Reel'!AV35</f>
        <v>67</v>
      </c>
      <c r="G28" s="30">
        <f>'FG2 Reel'!AW35</f>
        <v>91</v>
      </c>
      <c r="H28" s="35">
        <f>'FG2 Reel'!AX35</f>
        <v>50</v>
      </c>
    </row>
    <row r="29" spans="2:64">
      <c r="B29" s="48" t="s">
        <v>115</v>
      </c>
      <c r="C29" s="28">
        <f t="shared" ref="C29:H29" si="2">K16</f>
        <v>40</v>
      </c>
      <c r="D29" s="28">
        <f t="shared" si="2"/>
        <v>73</v>
      </c>
      <c r="E29" s="28">
        <f t="shared" si="2"/>
        <v>84</v>
      </c>
      <c r="F29" s="28">
        <f t="shared" si="2"/>
        <v>67</v>
      </c>
      <c r="G29" s="28">
        <f t="shared" si="2"/>
        <v>91</v>
      </c>
      <c r="H29" s="27">
        <f t="shared" si="2"/>
        <v>50</v>
      </c>
    </row>
    <row r="30" spans="2:64">
      <c r="Z30" s="52" t="s">
        <v>97</v>
      </c>
      <c r="AA30" s="81" t="s">
        <v>98</v>
      </c>
      <c r="AB30" s="81"/>
      <c r="AC30" s="81"/>
      <c r="AD30" s="81"/>
      <c r="AE30" s="81"/>
      <c r="AF30" s="81"/>
      <c r="AG30" s="52" t="s">
        <v>156</v>
      </c>
      <c r="AJ30" s="53"/>
      <c r="AK30" s="81" t="s">
        <v>32</v>
      </c>
      <c r="AL30" s="81"/>
    </row>
    <row r="31" spans="2:64">
      <c r="B31" s="11" t="s">
        <v>108</v>
      </c>
      <c r="C31" s="10" t="s">
        <v>109</v>
      </c>
      <c r="D31" s="10" t="s">
        <v>110</v>
      </c>
      <c r="E31" s="10" t="s">
        <v>111</v>
      </c>
      <c r="F31" s="10" t="s">
        <v>112</v>
      </c>
      <c r="G31" s="10" t="s">
        <v>113</v>
      </c>
      <c r="H31" s="10" t="s">
        <v>108</v>
      </c>
      <c r="I31" s="10" t="s">
        <v>109</v>
      </c>
      <c r="J31" s="10" t="s">
        <v>110</v>
      </c>
      <c r="K31" s="10" t="s">
        <v>111</v>
      </c>
      <c r="L31" s="10" t="s">
        <v>112</v>
      </c>
      <c r="M31" s="10" t="s">
        <v>113</v>
      </c>
      <c r="N31" s="10" t="s">
        <v>116</v>
      </c>
      <c r="O31" s="10"/>
      <c r="P31" s="10"/>
      <c r="Q31" s="10" t="s">
        <v>117</v>
      </c>
      <c r="R31" s="9" t="s">
        <v>118</v>
      </c>
      <c r="Z31" s="53">
        <v>1</v>
      </c>
      <c r="AA31" s="53">
        <v>0</v>
      </c>
      <c r="AB31" s="53">
        <v>0</v>
      </c>
      <c r="AC31" s="53">
        <v>0</v>
      </c>
      <c r="AD31" s="53">
        <v>0</v>
      </c>
      <c r="AE31" s="53">
        <v>1</v>
      </c>
      <c r="AF31" s="53">
        <v>1</v>
      </c>
      <c r="AG31" s="53">
        <v>10000</v>
      </c>
      <c r="AJ31" s="53"/>
      <c r="AK31" s="81" t="s">
        <v>101</v>
      </c>
      <c r="AL31" s="81"/>
    </row>
    <row r="32" spans="2:64">
      <c r="B32" s="8" t="str">
        <f>$B$4</f>
        <v>AA</v>
      </c>
      <c r="C32" s="7" t="str">
        <f>$B32</f>
        <v>AA</v>
      </c>
      <c r="D32" s="7" t="str">
        <f>$B32</f>
        <v>AA</v>
      </c>
      <c r="E32" s="7" t="str">
        <f>$B32</f>
        <v>AA</v>
      </c>
      <c r="F32" s="7" t="str">
        <f>$B32</f>
        <v>AA</v>
      </c>
      <c r="G32" s="7" t="str">
        <f>$B32</f>
        <v>AA</v>
      </c>
      <c r="H32" s="7">
        <f>SUMIF($B$3:$B$29,B32,C$3:C$29)</f>
        <v>2</v>
      </c>
      <c r="I32" s="7">
        <f t="shared" ref="I32:M35" si="3">SUMIF($B$3:$B$29,C32,D$3:D$29)</f>
        <v>8</v>
      </c>
      <c r="J32" s="7">
        <f t="shared" si="3"/>
        <v>8</v>
      </c>
      <c r="K32" s="7">
        <f t="shared" si="3"/>
        <v>10</v>
      </c>
      <c r="L32" s="7">
        <f t="shared" si="3"/>
        <v>26</v>
      </c>
      <c r="M32" s="7">
        <f t="shared" si="3"/>
        <v>14</v>
      </c>
      <c r="N32" s="7">
        <f>PRODUCT(H32:M32)</f>
        <v>465920</v>
      </c>
      <c r="O32" s="7">
        <v>6</v>
      </c>
      <c r="P32" s="7" t="str">
        <f>B32</f>
        <v>AA</v>
      </c>
      <c r="Q32" s="7">
        <f>INDEX($S$3:$V$15,MATCH(P32,$R$3:$R$15,0),MATCH(O32,$S$2:$V$2,0))</f>
        <v>150</v>
      </c>
      <c r="R32" s="6">
        <f>Q32*N32</f>
        <v>69888000</v>
      </c>
      <c r="Z32" s="53">
        <v>2</v>
      </c>
      <c r="AA32" s="53">
        <v>0</v>
      </c>
      <c r="AB32" s="53">
        <v>0</v>
      </c>
      <c r="AC32" s="53">
        <v>0</v>
      </c>
      <c r="AD32" s="53">
        <v>1</v>
      </c>
      <c r="AE32" s="53">
        <v>0</v>
      </c>
      <c r="AF32" s="53">
        <v>1</v>
      </c>
      <c r="AG32" s="53">
        <v>10000</v>
      </c>
      <c r="AJ32" s="52" t="s">
        <v>103</v>
      </c>
      <c r="AK32" s="52" t="s">
        <v>104</v>
      </c>
      <c r="AL32" s="52" t="s">
        <v>105</v>
      </c>
    </row>
    <row r="33" spans="2:38">
      <c r="B33" s="5" t="str">
        <f>$B32</f>
        <v>AA</v>
      </c>
      <c r="C33" t="str">
        <f>$B32</f>
        <v>AA</v>
      </c>
      <c r="D33" t="str">
        <f>$B32</f>
        <v>AA</v>
      </c>
      <c r="E33" t="str">
        <f>$B32</f>
        <v>AA</v>
      </c>
      <c r="F33" t="str">
        <f>$B32</f>
        <v>AA</v>
      </c>
      <c r="G33" t="str">
        <f>F33&amp;"-0"</f>
        <v>AA-0</v>
      </c>
      <c r="H33">
        <f>SUMIF($B$3:$B$29,B33,C$3:C$29)</f>
        <v>2</v>
      </c>
      <c r="I33">
        <f t="shared" si="3"/>
        <v>8</v>
      </c>
      <c r="J33">
        <f t="shared" si="3"/>
        <v>8</v>
      </c>
      <c r="K33">
        <f t="shared" si="3"/>
        <v>10</v>
      </c>
      <c r="L33">
        <f t="shared" si="3"/>
        <v>26</v>
      </c>
      <c r="M33">
        <f t="shared" si="3"/>
        <v>38</v>
      </c>
      <c r="N33">
        <f>PRODUCT(H33:M33)</f>
        <v>1264640</v>
      </c>
      <c r="O33">
        <v>5</v>
      </c>
      <c r="P33" t="str">
        <f>B33</f>
        <v>AA</v>
      </c>
      <c r="Q33">
        <f>INDEX($S$3:$V$15,MATCH(P33,$R$3:$R$15,0),MATCH(O33,$S$2:$V$2,0))</f>
        <v>60</v>
      </c>
      <c r="R33" s="4">
        <f>Q33*N33</f>
        <v>75878400</v>
      </c>
      <c r="Z33" s="53">
        <v>3</v>
      </c>
      <c r="AA33" s="53">
        <v>0</v>
      </c>
      <c r="AB33" s="53">
        <v>0</v>
      </c>
      <c r="AC33" s="53">
        <v>1</v>
      </c>
      <c r="AD33" s="53">
        <v>0</v>
      </c>
      <c r="AE33" s="53">
        <v>0</v>
      </c>
      <c r="AF33" s="53">
        <v>1</v>
      </c>
      <c r="AG33" s="53">
        <v>10000</v>
      </c>
      <c r="AJ33" s="53">
        <v>2</v>
      </c>
      <c r="AK33" s="53">
        <v>100</v>
      </c>
      <c r="AL33" s="53">
        <v>25</v>
      </c>
    </row>
    <row r="34" spans="2:38">
      <c r="B34" s="5" t="str">
        <f>$B32</f>
        <v>AA</v>
      </c>
      <c r="C34" t="str">
        <f>$B32</f>
        <v>AA</v>
      </c>
      <c r="D34" t="str">
        <f>$B32</f>
        <v>AA</v>
      </c>
      <c r="E34" t="str">
        <f>$B32</f>
        <v>AA</v>
      </c>
      <c r="F34" t="str">
        <f>E34&amp;"-0"</f>
        <v>AA-0</v>
      </c>
      <c r="G34" t="str">
        <f>$B$29</f>
        <v>---</v>
      </c>
      <c r="H34">
        <f t="shared" ref="H34:H35" si="4">SUMIF($B$3:$B$29,B34,C$3:C$29)</f>
        <v>2</v>
      </c>
      <c r="I34">
        <f t="shared" si="3"/>
        <v>8</v>
      </c>
      <c r="J34">
        <f t="shared" si="3"/>
        <v>8</v>
      </c>
      <c r="K34">
        <f t="shared" si="3"/>
        <v>10</v>
      </c>
      <c r="L34">
        <f t="shared" si="3"/>
        <v>67</v>
      </c>
      <c r="M34">
        <f t="shared" si="3"/>
        <v>50</v>
      </c>
      <c r="N34">
        <f t="shared" ref="N34:N35" si="5">PRODUCT(H34:M34)</f>
        <v>4288000</v>
      </c>
      <c r="O34">
        <v>5</v>
      </c>
      <c r="P34" t="str">
        <f t="shared" ref="P34:P35" si="6">B34</f>
        <v>AA</v>
      </c>
      <c r="Q34">
        <f t="shared" ref="Q34:Q35" si="7">INDEX($S$3:$V$15,MATCH(P34,$R$3:$R$15,0),MATCH(O34,$S$2:$V$2,0))</f>
        <v>60</v>
      </c>
      <c r="R34" s="4">
        <f t="shared" ref="R34:R35" si="8">Q34*N34</f>
        <v>257280000</v>
      </c>
      <c r="Z34" s="53">
        <v>4</v>
      </c>
      <c r="AA34" s="53">
        <v>0</v>
      </c>
      <c r="AB34" s="53">
        <v>1</v>
      </c>
      <c r="AC34" s="53">
        <v>0</v>
      </c>
      <c r="AD34" s="53">
        <v>0</v>
      </c>
      <c r="AE34" s="53">
        <v>0</v>
      </c>
      <c r="AF34" s="53">
        <v>1</v>
      </c>
      <c r="AG34" s="53">
        <v>1000</v>
      </c>
      <c r="AJ34" s="53">
        <v>3</v>
      </c>
      <c r="AK34" s="53">
        <v>200</v>
      </c>
      <c r="AL34" s="53">
        <v>75</v>
      </c>
    </row>
    <row r="35" spans="2:38">
      <c r="B35" s="5" t="str">
        <f>$B33</f>
        <v>AA</v>
      </c>
      <c r="C35" t="str">
        <f>$B32</f>
        <v>AA</v>
      </c>
      <c r="D35" t="str">
        <f>$B32</f>
        <v>AA</v>
      </c>
      <c r="E35" t="str">
        <f>D35&amp;"-0"</f>
        <v>AA-0</v>
      </c>
      <c r="F35" t="str">
        <f>$B$29</f>
        <v>---</v>
      </c>
      <c r="G35" t="str">
        <f>$B$29</f>
        <v>---</v>
      </c>
      <c r="H35">
        <f t="shared" si="4"/>
        <v>2</v>
      </c>
      <c r="I35">
        <f t="shared" si="3"/>
        <v>8</v>
      </c>
      <c r="J35">
        <f t="shared" si="3"/>
        <v>8</v>
      </c>
      <c r="K35">
        <f t="shared" si="3"/>
        <v>60</v>
      </c>
      <c r="L35">
        <f t="shared" si="3"/>
        <v>91</v>
      </c>
      <c r="M35">
        <f t="shared" si="3"/>
        <v>50</v>
      </c>
      <c r="N35">
        <f t="shared" si="5"/>
        <v>34944000</v>
      </c>
      <c r="O35">
        <v>5</v>
      </c>
      <c r="P35" t="str">
        <f t="shared" si="6"/>
        <v>AA</v>
      </c>
      <c r="Q35">
        <f t="shared" si="7"/>
        <v>60</v>
      </c>
      <c r="R35" s="4">
        <f t="shared" si="8"/>
        <v>2096640000</v>
      </c>
      <c r="Z35" s="53">
        <v>5</v>
      </c>
      <c r="AA35" s="53">
        <v>1</v>
      </c>
      <c r="AB35" s="53">
        <v>0</v>
      </c>
      <c r="AC35" s="53">
        <v>0</v>
      </c>
      <c r="AD35" s="53">
        <v>0</v>
      </c>
      <c r="AE35" s="53">
        <v>0</v>
      </c>
      <c r="AF35" s="53">
        <v>1</v>
      </c>
      <c r="AG35" s="53">
        <v>1000</v>
      </c>
      <c r="AJ35" s="53">
        <v>4</v>
      </c>
      <c r="AK35" s="53">
        <v>75</v>
      </c>
      <c r="AL35" s="53">
        <v>75</v>
      </c>
    </row>
    <row r="36" spans="2:38">
      <c r="B36" s="5"/>
      <c r="R36" s="4"/>
      <c r="Z36" s="53">
        <v>6</v>
      </c>
      <c r="AA36" s="53">
        <v>0</v>
      </c>
      <c r="AB36" s="53">
        <v>0</v>
      </c>
      <c r="AC36" s="53">
        <v>0</v>
      </c>
      <c r="AD36" s="53">
        <v>1</v>
      </c>
      <c r="AE36" s="53">
        <v>1</v>
      </c>
      <c r="AF36" s="53">
        <v>0</v>
      </c>
      <c r="AG36" s="53">
        <v>10000</v>
      </c>
      <c r="AJ36" s="53">
        <v>5</v>
      </c>
      <c r="AK36" s="53">
        <v>50</v>
      </c>
      <c r="AL36" s="53">
        <v>75</v>
      </c>
    </row>
    <row r="37" spans="2:38">
      <c r="B37" s="8" t="str">
        <f>$B$5</f>
        <v>BB</v>
      </c>
      <c r="C37" s="7" t="str">
        <f>$B37</f>
        <v>BB</v>
      </c>
      <c r="D37" s="7" t="str">
        <f>$B37</f>
        <v>BB</v>
      </c>
      <c r="E37" s="7" t="str">
        <f>$B37</f>
        <v>BB</v>
      </c>
      <c r="F37" s="7" t="str">
        <f>$B37</f>
        <v>BB</v>
      </c>
      <c r="G37" s="7" t="str">
        <f>$B37</f>
        <v>BB</v>
      </c>
      <c r="H37" s="7">
        <f>SUMIF($B$3:$B$29,B37,C$3:C$29)</f>
        <v>2</v>
      </c>
      <c r="I37" s="7">
        <f t="shared" ref="I37:M40" si="9">SUMIF($B$3:$B$29,C37,D$3:D$29)</f>
        <v>8</v>
      </c>
      <c r="J37" s="7">
        <f t="shared" si="9"/>
        <v>18</v>
      </c>
      <c r="K37" s="7">
        <f t="shared" si="9"/>
        <v>14</v>
      </c>
      <c r="L37" s="7">
        <f t="shared" si="9"/>
        <v>20</v>
      </c>
      <c r="M37" s="7">
        <f t="shared" si="9"/>
        <v>10</v>
      </c>
      <c r="N37" s="7">
        <f>PRODUCT(H37:M37)</f>
        <v>806400</v>
      </c>
      <c r="O37" s="7">
        <v>6</v>
      </c>
      <c r="P37" s="7" t="str">
        <f>B37</f>
        <v>BB</v>
      </c>
      <c r="Q37" s="7">
        <f>INDEX($S$3:$V$15,MATCH(P37,$R$3:$R$15,0),MATCH(O37,$S$2:$V$2,0))</f>
        <v>60</v>
      </c>
      <c r="R37" s="6">
        <f>Q37*N37</f>
        <v>48384000</v>
      </c>
      <c r="Z37" s="53">
        <v>7</v>
      </c>
      <c r="AA37" s="53">
        <v>0</v>
      </c>
      <c r="AB37" s="53">
        <v>0</v>
      </c>
      <c r="AC37" s="53">
        <v>1</v>
      </c>
      <c r="AD37" s="53">
        <v>0</v>
      </c>
      <c r="AE37" s="53">
        <v>1</v>
      </c>
      <c r="AF37" s="53">
        <v>0</v>
      </c>
      <c r="AG37" s="53">
        <v>10000</v>
      </c>
      <c r="AJ37" s="53">
        <v>6</v>
      </c>
      <c r="AK37" s="53">
        <v>15</v>
      </c>
      <c r="AL37" s="53">
        <v>75</v>
      </c>
    </row>
    <row r="38" spans="2:38">
      <c r="B38" s="5" t="str">
        <f>$B37</f>
        <v>BB</v>
      </c>
      <c r="C38" t="str">
        <f>$B37</f>
        <v>BB</v>
      </c>
      <c r="D38" t="str">
        <f>$B37</f>
        <v>BB</v>
      </c>
      <c r="E38" t="str">
        <f>$B37</f>
        <v>BB</v>
      </c>
      <c r="F38" t="str">
        <f>$B37</f>
        <v>BB</v>
      </c>
      <c r="G38" t="str">
        <f>F38&amp;"-0"</f>
        <v>BB-0</v>
      </c>
      <c r="H38">
        <f>SUMIF($B$3:$B$29,B38,C$3:C$29)</f>
        <v>2</v>
      </c>
      <c r="I38">
        <f t="shared" si="9"/>
        <v>8</v>
      </c>
      <c r="J38">
        <f t="shared" si="9"/>
        <v>18</v>
      </c>
      <c r="K38">
        <f t="shared" si="9"/>
        <v>14</v>
      </c>
      <c r="L38">
        <f t="shared" si="9"/>
        <v>20</v>
      </c>
      <c r="M38">
        <f t="shared" si="9"/>
        <v>42</v>
      </c>
      <c r="N38">
        <f>PRODUCT(H38:M38)</f>
        <v>3386880</v>
      </c>
      <c r="O38">
        <v>5</v>
      </c>
      <c r="P38" t="str">
        <f>B38</f>
        <v>BB</v>
      </c>
      <c r="Q38">
        <f>INDEX($S$3:$V$15,MATCH(P38,$R$3:$R$15,0),MATCH(O38,$S$2:$V$2,0))</f>
        <v>30</v>
      </c>
      <c r="R38" s="4">
        <f>Q38*N38</f>
        <v>101606400</v>
      </c>
      <c r="Z38" s="53">
        <v>8</v>
      </c>
      <c r="AA38" s="53">
        <v>0</v>
      </c>
      <c r="AB38" s="53">
        <v>1</v>
      </c>
      <c r="AC38" s="53">
        <v>0</v>
      </c>
      <c r="AD38" s="53">
        <v>0</v>
      </c>
      <c r="AE38" s="53">
        <v>1</v>
      </c>
      <c r="AF38" s="53">
        <v>0</v>
      </c>
      <c r="AG38" s="53">
        <v>1000</v>
      </c>
      <c r="AJ38" s="53">
        <v>7</v>
      </c>
      <c r="AK38" s="53">
        <v>10</v>
      </c>
      <c r="AL38" s="53">
        <v>75</v>
      </c>
    </row>
    <row r="39" spans="2:38">
      <c r="B39" s="5" t="str">
        <f>$B37</f>
        <v>BB</v>
      </c>
      <c r="C39" t="str">
        <f>$B37</f>
        <v>BB</v>
      </c>
      <c r="D39" t="str">
        <f>$B37</f>
        <v>BB</v>
      </c>
      <c r="E39" t="str">
        <f>$B37</f>
        <v>BB</v>
      </c>
      <c r="F39" t="str">
        <f>E39&amp;"-0"</f>
        <v>BB-0</v>
      </c>
      <c r="G39" t="str">
        <f>$B$29</f>
        <v>---</v>
      </c>
      <c r="H39">
        <f t="shared" ref="H39:H40" si="10">SUMIF($B$3:$B$29,B39,C$3:C$29)</f>
        <v>2</v>
      </c>
      <c r="I39">
        <f t="shared" si="9"/>
        <v>8</v>
      </c>
      <c r="J39">
        <f t="shared" si="9"/>
        <v>18</v>
      </c>
      <c r="K39">
        <f t="shared" si="9"/>
        <v>14</v>
      </c>
      <c r="L39">
        <f t="shared" si="9"/>
        <v>73</v>
      </c>
      <c r="M39">
        <f t="shared" si="9"/>
        <v>50</v>
      </c>
      <c r="N39">
        <f t="shared" ref="N39:N40" si="11">PRODUCT(H39:M39)</f>
        <v>14716800</v>
      </c>
      <c r="O39">
        <v>5</v>
      </c>
      <c r="P39" t="str">
        <f t="shared" ref="P39:P40" si="12">B39</f>
        <v>BB</v>
      </c>
      <c r="Q39">
        <f t="shared" ref="Q39:Q40" si="13">INDEX($S$3:$V$15,MATCH(P39,$R$3:$R$15,0),MATCH(O39,$S$2:$V$2,0))</f>
        <v>30</v>
      </c>
      <c r="R39" s="4">
        <f t="shared" ref="R39:R40" si="14">Q39*N39</f>
        <v>441504000</v>
      </c>
      <c r="Z39" s="53">
        <v>9</v>
      </c>
      <c r="AA39" s="53">
        <v>1</v>
      </c>
      <c r="AB39" s="53">
        <v>0</v>
      </c>
      <c r="AC39" s="53">
        <v>0</v>
      </c>
      <c r="AD39" s="53">
        <v>0</v>
      </c>
      <c r="AE39" s="53">
        <v>1</v>
      </c>
      <c r="AF39" s="53">
        <v>0</v>
      </c>
      <c r="AG39" s="53">
        <v>1000</v>
      </c>
    </row>
    <row r="40" spans="2:38">
      <c r="B40" s="5" t="str">
        <f>$B38</f>
        <v>BB</v>
      </c>
      <c r="C40" t="str">
        <f>$B37</f>
        <v>BB</v>
      </c>
      <c r="D40" t="str">
        <f>$B37</f>
        <v>BB</v>
      </c>
      <c r="E40" t="str">
        <f>D40&amp;"-0"</f>
        <v>BB-0</v>
      </c>
      <c r="F40" t="str">
        <f>$B$29</f>
        <v>---</v>
      </c>
      <c r="G40" t="str">
        <f>$B$29</f>
        <v>---</v>
      </c>
      <c r="H40">
        <f t="shared" si="10"/>
        <v>2</v>
      </c>
      <c r="I40">
        <f t="shared" si="9"/>
        <v>8</v>
      </c>
      <c r="J40">
        <f t="shared" si="9"/>
        <v>18</v>
      </c>
      <c r="K40">
        <f t="shared" si="9"/>
        <v>55</v>
      </c>
      <c r="L40">
        <f t="shared" si="9"/>
        <v>91</v>
      </c>
      <c r="M40">
        <f t="shared" si="9"/>
        <v>50</v>
      </c>
      <c r="N40">
        <f t="shared" si="11"/>
        <v>72072000</v>
      </c>
      <c r="O40">
        <v>5</v>
      </c>
      <c r="P40" t="str">
        <f t="shared" si="12"/>
        <v>BB</v>
      </c>
      <c r="Q40">
        <f t="shared" si="13"/>
        <v>30</v>
      </c>
      <c r="R40" s="4">
        <f t="shared" si="14"/>
        <v>2162160000</v>
      </c>
      <c r="Z40" s="53">
        <v>10</v>
      </c>
      <c r="AA40" s="53">
        <v>0</v>
      </c>
      <c r="AB40" s="53">
        <v>0</v>
      </c>
      <c r="AC40" s="53">
        <v>1</v>
      </c>
      <c r="AD40" s="53">
        <v>1</v>
      </c>
      <c r="AE40" s="53">
        <v>0</v>
      </c>
      <c r="AF40" s="53">
        <v>0</v>
      </c>
      <c r="AG40" s="53">
        <v>10000</v>
      </c>
    </row>
    <row r="41" spans="2:38">
      <c r="B41" s="5"/>
      <c r="R41" s="4"/>
      <c r="Z41" s="53">
        <v>11</v>
      </c>
      <c r="AA41" s="53">
        <v>0</v>
      </c>
      <c r="AB41" s="53">
        <v>1</v>
      </c>
      <c r="AC41" s="53">
        <v>0</v>
      </c>
      <c r="AD41" s="53">
        <v>1</v>
      </c>
      <c r="AE41" s="53">
        <v>0</v>
      </c>
      <c r="AF41" s="53">
        <v>0</v>
      </c>
      <c r="AG41" s="53">
        <v>1000</v>
      </c>
    </row>
    <row r="42" spans="2:38">
      <c r="B42" s="8" t="str">
        <f>$B$6</f>
        <v>CC</v>
      </c>
      <c r="C42" s="7" t="str">
        <f>$B42</f>
        <v>CC</v>
      </c>
      <c r="D42" s="7" t="str">
        <f>$B42</f>
        <v>CC</v>
      </c>
      <c r="E42" s="7" t="str">
        <f>$B42</f>
        <v>CC</v>
      </c>
      <c r="F42" s="7" t="str">
        <f>$B42</f>
        <v>CC</v>
      </c>
      <c r="G42" s="7" t="str">
        <f>$B42</f>
        <v>CC</v>
      </c>
      <c r="H42" s="7">
        <f>SUMIF($B$3:$B$29,B42,C$3:C$29)</f>
        <v>4</v>
      </c>
      <c r="I42" s="7">
        <f t="shared" ref="I42:M45" si="15">SUMIF($B$3:$B$29,C42,D$3:D$29)</f>
        <v>8</v>
      </c>
      <c r="J42" s="7">
        <f t="shared" si="15"/>
        <v>16</v>
      </c>
      <c r="K42" s="7">
        <f t="shared" si="15"/>
        <v>12</v>
      </c>
      <c r="L42" s="7">
        <f t="shared" si="15"/>
        <v>16</v>
      </c>
      <c r="M42" s="7">
        <f t="shared" si="15"/>
        <v>10</v>
      </c>
      <c r="N42" s="7">
        <f>PRODUCT(H42:M42)</f>
        <v>983040</v>
      </c>
      <c r="O42" s="7">
        <v>6</v>
      </c>
      <c r="P42" s="7" t="str">
        <f>B42</f>
        <v>CC</v>
      </c>
      <c r="Q42" s="7">
        <f>INDEX($S$3:$V$15,MATCH(P42,$R$3:$R$15,0),MATCH(O42,$S$2:$V$2,0))</f>
        <v>40</v>
      </c>
      <c r="R42" s="6">
        <f>Q42*N42</f>
        <v>39321600</v>
      </c>
      <c r="Z42" s="53">
        <v>12</v>
      </c>
      <c r="AA42" s="53">
        <v>1</v>
      </c>
      <c r="AB42" s="53">
        <v>0</v>
      </c>
      <c r="AC42" s="53">
        <v>0</v>
      </c>
      <c r="AD42" s="53">
        <v>1</v>
      </c>
      <c r="AE42" s="53">
        <v>0</v>
      </c>
      <c r="AF42" s="53">
        <v>0</v>
      </c>
      <c r="AG42" s="53">
        <v>1000</v>
      </c>
    </row>
    <row r="43" spans="2:38">
      <c r="B43" s="5" t="str">
        <f>$B42</f>
        <v>CC</v>
      </c>
      <c r="C43" t="str">
        <f>$B42</f>
        <v>CC</v>
      </c>
      <c r="D43" t="str">
        <f>$B42</f>
        <v>CC</v>
      </c>
      <c r="E43" t="str">
        <f>$B42</f>
        <v>CC</v>
      </c>
      <c r="F43" t="str">
        <f>$B42</f>
        <v>CC</v>
      </c>
      <c r="G43" t="str">
        <f>F43&amp;"-0"</f>
        <v>CC-0</v>
      </c>
      <c r="H43">
        <f>SUMIF($B$3:$B$29,B43,C$3:C$29)</f>
        <v>4</v>
      </c>
      <c r="I43">
        <f t="shared" si="15"/>
        <v>8</v>
      </c>
      <c r="J43">
        <f t="shared" si="15"/>
        <v>16</v>
      </c>
      <c r="K43">
        <f t="shared" si="15"/>
        <v>12</v>
      </c>
      <c r="L43">
        <f t="shared" si="15"/>
        <v>16</v>
      </c>
      <c r="M43">
        <f t="shared" si="15"/>
        <v>43</v>
      </c>
      <c r="N43">
        <f>PRODUCT(H43:M43)</f>
        <v>4227072</v>
      </c>
      <c r="O43">
        <v>5</v>
      </c>
      <c r="P43" t="str">
        <f>B43</f>
        <v>CC</v>
      </c>
      <c r="Q43">
        <f>INDEX($S$3:$V$15,MATCH(P43,$R$3:$R$15,0),MATCH(O43,$S$2:$V$2,0))</f>
        <v>20</v>
      </c>
      <c r="R43" s="4">
        <f>Q43*N43</f>
        <v>84541440</v>
      </c>
      <c r="Z43" s="53">
        <v>13</v>
      </c>
      <c r="AA43" s="53">
        <v>0</v>
      </c>
      <c r="AB43" s="53">
        <v>1</v>
      </c>
      <c r="AC43" s="53">
        <v>1</v>
      </c>
      <c r="AD43" s="53">
        <v>0</v>
      </c>
      <c r="AE43" s="53">
        <v>0</v>
      </c>
      <c r="AF43" s="53">
        <v>0</v>
      </c>
      <c r="AG43" s="53">
        <v>1000</v>
      </c>
    </row>
    <row r="44" spans="2:38">
      <c r="B44" s="5" t="str">
        <f>$B42</f>
        <v>CC</v>
      </c>
      <c r="C44" t="str">
        <f>$B42</f>
        <v>CC</v>
      </c>
      <c r="D44" t="str">
        <f>$B42</f>
        <v>CC</v>
      </c>
      <c r="E44" t="str">
        <f>$B42</f>
        <v>CC</v>
      </c>
      <c r="F44" t="str">
        <f>E44&amp;"-0"</f>
        <v>CC-0</v>
      </c>
      <c r="G44" t="str">
        <f>$B$29</f>
        <v>---</v>
      </c>
      <c r="H44">
        <f t="shared" ref="H44:H45" si="16">SUMIF($B$3:$B$29,B44,C$3:C$29)</f>
        <v>4</v>
      </c>
      <c r="I44">
        <f t="shared" si="15"/>
        <v>8</v>
      </c>
      <c r="J44">
        <f t="shared" si="15"/>
        <v>16</v>
      </c>
      <c r="K44">
        <f t="shared" si="15"/>
        <v>12</v>
      </c>
      <c r="L44">
        <f t="shared" si="15"/>
        <v>77</v>
      </c>
      <c r="M44">
        <f t="shared" si="15"/>
        <v>50</v>
      </c>
      <c r="N44">
        <f t="shared" ref="N44:N45" si="17">PRODUCT(H44:M44)</f>
        <v>23654400</v>
      </c>
      <c r="O44">
        <v>5</v>
      </c>
      <c r="P44" t="str">
        <f t="shared" ref="P44:P45" si="18">B44</f>
        <v>CC</v>
      </c>
      <c r="Q44">
        <f t="shared" ref="Q44:Q45" si="19">INDEX($S$3:$V$15,MATCH(P44,$R$3:$R$15,0),MATCH(O44,$S$2:$V$2,0))</f>
        <v>20</v>
      </c>
      <c r="R44" s="4">
        <f t="shared" ref="R44:R45" si="20">Q44*N44</f>
        <v>473088000</v>
      </c>
      <c r="Z44" s="53">
        <v>14</v>
      </c>
      <c r="AA44" s="53">
        <v>1</v>
      </c>
      <c r="AB44" s="53">
        <v>0</v>
      </c>
      <c r="AC44" s="53">
        <v>1</v>
      </c>
      <c r="AD44" s="53">
        <v>0</v>
      </c>
      <c r="AE44" s="53">
        <v>0</v>
      </c>
      <c r="AF44" s="53">
        <v>0</v>
      </c>
      <c r="AG44" s="53">
        <v>1000</v>
      </c>
    </row>
    <row r="45" spans="2:38">
      <c r="B45" s="5" t="str">
        <f>$B43</f>
        <v>CC</v>
      </c>
      <c r="C45" t="str">
        <f>$B42</f>
        <v>CC</v>
      </c>
      <c r="D45" t="str">
        <f>$B42</f>
        <v>CC</v>
      </c>
      <c r="E45" t="str">
        <f>D45&amp;"-0"</f>
        <v>CC-0</v>
      </c>
      <c r="F45" t="str">
        <f>$B$29</f>
        <v>---</v>
      </c>
      <c r="G45" t="str">
        <f>$B$29</f>
        <v>---</v>
      </c>
      <c r="H45">
        <f t="shared" si="16"/>
        <v>4</v>
      </c>
      <c r="I45">
        <f t="shared" si="15"/>
        <v>8</v>
      </c>
      <c r="J45">
        <f t="shared" si="15"/>
        <v>16</v>
      </c>
      <c r="K45">
        <f t="shared" si="15"/>
        <v>57</v>
      </c>
      <c r="L45">
        <f t="shared" si="15"/>
        <v>91</v>
      </c>
      <c r="M45">
        <f t="shared" si="15"/>
        <v>50</v>
      </c>
      <c r="N45">
        <f t="shared" si="17"/>
        <v>132787200</v>
      </c>
      <c r="O45">
        <v>5</v>
      </c>
      <c r="P45" t="str">
        <f t="shared" si="18"/>
        <v>CC</v>
      </c>
      <c r="Q45">
        <f t="shared" si="19"/>
        <v>20</v>
      </c>
      <c r="R45" s="4">
        <f t="shared" si="20"/>
        <v>2655744000</v>
      </c>
      <c r="Z45" s="53">
        <v>15</v>
      </c>
      <c r="AA45" s="53">
        <v>1</v>
      </c>
      <c r="AB45" s="53">
        <v>1</v>
      </c>
      <c r="AC45" s="53">
        <v>0</v>
      </c>
      <c r="AD45" s="53">
        <v>0</v>
      </c>
      <c r="AE45" s="53">
        <v>0</v>
      </c>
      <c r="AF45" s="53">
        <v>0</v>
      </c>
      <c r="AG45" s="53">
        <v>1000</v>
      </c>
    </row>
    <row r="46" spans="2:38">
      <c r="B46" s="5"/>
      <c r="R46" s="4"/>
      <c r="Z46" s="53">
        <v>16</v>
      </c>
      <c r="AA46" s="53">
        <v>0</v>
      </c>
      <c r="AB46" s="53">
        <v>0</v>
      </c>
      <c r="AC46" s="53">
        <v>0</v>
      </c>
      <c r="AD46" s="53">
        <v>1</v>
      </c>
      <c r="AE46" s="53">
        <v>1</v>
      </c>
      <c r="AF46" s="53">
        <v>1</v>
      </c>
      <c r="AG46" s="53">
        <v>500</v>
      </c>
    </row>
    <row r="47" spans="2:38">
      <c r="B47" s="8" t="str">
        <f>$B$7</f>
        <v>DD</v>
      </c>
      <c r="C47" s="7" t="str">
        <f>$B47</f>
        <v>DD</v>
      </c>
      <c r="D47" s="7" t="str">
        <f>$B47</f>
        <v>DD</v>
      </c>
      <c r="E47" s="7" t="str">
        <f>$B47</f>
        <v>DD</v>
      </c>
      <c r="F47" s="7" t="str">
        <f>$B47</f>
        <v>DD</v>
      </c>
      <c r="G47" s="7" t="str">
        <f>$B47</f>
        <v>DD</v>
      </c>
      <c r="H47" s="7">
        <f>SUMIF($B$3:$B$29,B47,C$3:C$29)</f>
        <v>4</v>
      </c>
      <c r="I47" s="7">
        <f t="shared" ref="I47:M50" si="21">SUMIF($B$3:$B$29,C47,D$3:D$29)</f>
        <v>8</v>
      </c>
      <c r="J47" s="7">
        <f t="shared" si="21"/>
        <v>8</v>
      </c>
      <c r="K47" s="7">
        <f t="shared" si="21"/>
        <v>20</v>
      </c>
      <c r="L47" s="7">
        <f t="shared" si="21"/>
        <v>20</v>
      </c>
      <c r="M47" s="7">
        <f t="shared" si="21"/>
        <v>14</v>
      </c>
      <c r="N47" s="7">
        <f>PRODUCT(H47:M47)</f>
        <v>1433600</v>
      </c>
      <c r="O47" s="7">
        <v>6</v>
      </c>
      <c r="P47" s="7" t="str">
        <f>B47</f>
        <v>DD</v>
      </c>
      <c r="Q47" s="7">
        <f>INDEX($S$3:$V$15,MATCH(P47,$R$3:$R$15,0),MATCH(O47,$S$2:$V$2,0))</f>
        <v>30</v>
      </c>
      <c r="R47" s="6">
        <f>Q47*N47</f>
        <v>43008000</v>
      </c>
      <c r="Z47" s="53">
        <v>17</v>
      </c>
      <c r="AA47" s="53">
        <v>0</v>
      </c>
      <c r="AB47" s="53">
        <v>0</v>
      </c>
      <c r="AC47" s="53">
        <v>1</v>
      </c>
      <c r="AD47" s="53">
        <v>0</v>
      </c>
      <c r="AE47" s="53">
        <v>1</v>
      </c>
      <c r="AF47" s="53">
        <v>1</v>
      </c>
      <c r="AG47" s="53">
        <v>500</v>
      </c>
    </row>
    <row r="48" spans="2:38">
      <c r="B48" s="5" t="str">
        <f>$B47</f>
        <v>DD</v>
      </c>
      <c r="C48" t="str">
        <f>$B47</f>
        <v>DD</v>
      </c>
      <c r="D48" t="str">
        <f>$B47</f>
        <v>DD</v>
      </c>
      <c r="E48" t="str">
        <f>$B47</f>
        <v>DD</v>
      </c>
      <c r="F48" t="str">
        <f>$B47</f>
        <v>DD</v>
      </c>
      <c r="G48" t="str">
        <f>F48&amp;"-0"</f>
        <v>DD-0</v>
      </c>
      <c r="H48">
        <f>SUMIF($B$3:$B$29,B48,C$3:C$29)</f>
        <v>4</v>
      </c>
      <c r="I48">
        <f t="shared" si="21"/>
        <v>8</v>
      </c>
      <c r="J48">
        <f t="shared" si="21"/>
        <v>8</v>
      </c>
      <c r="K48">
        <f t="shared" si="21"/>
        <v>20</v>
      </c>
      <c r="L48">
        <f t="shared" si="21"/>
        <v>20</v>
      </c>
      <c r="M48">
        <f t="shared" si="21"/>
        <v>38</v>
      </c>
      <c r="N48">
        <f>PRODUCT(H48:M48)</f>
        <v>3891200</v>
      </c>
      <c r="O48">
        <v>5</v>
      </c>
      <c r="P48" t="str">
        <f>B48</f>
        <v>DD</v>
      </c>
      <c r="Q48">
        <f>INDEX($S$3:$V$15,MATCH(P48,$R$3:$R$15,0),MATCH(O48,$S$2:$V$2,0))</f>
        <v>15</v>
      </c>
      <c r="R48" s="4">
        <f>Q48*N48</f>
        <v>58368000</v>
      </c>
      <c r="Z48" s="53">
        <v>18</v>
      </c>
      <c r="AA48" s="53">
        <v>0</v>
      </c>
      <c r="AB48" s="53">
        <v>1</v>
      </c>
      <c r="AC48" s="53">
        <v>0</v>
      </c>
      <c r="AD48" s="53">
        <v>0</v>
      </c>
      <c r="AE48" s="53">
        <v>1</v>
      </c>
      <c r="AF48" s="53">
        <v>1</v>
      </c>
      <c r="AG48" s="53">
        <v>500</v>
      </c>
    </row>
    <row r="49" spans="2:33">
      <c r="B49" s="5" t="str">
        <f>$B47</f>
        <v>DD</v>
      </c>
      <c r="C49" t="str">
        <f>$B47</f>
        <v>DD</v>
      </c>
      <c r="D49" t="str">
        <f>$B47</f>
        <v>DD</v>
      </c>
      <c r="E49" t="str">
        <f>$B47</f>
        <v>DD</v>
      </c>
      <c r="F49" t="str">
        <f>E49&amp;"-0"</f>
        <v>DD-0</v>
      </c>
      <c r="G49" t="str">
        <f>$B$29</f>
        <v>---</v>
      </c>
      <c r="H49">
        <f t="shared" ref="H49:H50" si="22">SUMIF($B$3:$B$29,B49,C$3:C$29)</f>
        <v>4</v>
      </c>
      <c r="I49">
        <f t="shared" si="21"/>
        <v>8</v>
      </c>
      <c r="J49">
        <f t="shared" si="21"/>
        <v>8</v>
      </c>
      <c r="K49">
        <f t="shared" si="21"/>
        <v>20</v>
      </c>
      <c r="L49">
        <f t="shared" si="21"/>
        <v>73</v>
      </c>
      <c r="M49">
        <f t="shared" si="21"/>
        <v>50</v>
      </c>
      <c r="N49">
        <f t="shared" ref="N49:N50" si="23">PRODUCT(H49:M49)</f>
        <v>18688000</v>
      </c>
      <c r="O49">
        <v>5</v>
      </c>
      <c r="P49" t="str">
        <f t="shared" ref="P49:P50" si="24">B49</f>
        <v>DD</v>
      </c>
      <c r="Q49">
        <f t="shared" ref="Q49:Q50" si="25">INDEX($S$3:$V$15,MATCH(P49,$R$3:$R$15,0),MATCH(O49,$S$2:$V$2,0))</f>
        <v>15</v>
      </c>
      <c r="R49" s="4">
        <f t="shared" ref="R49:R50" si="26">Q49*N49</f>
        <v>280320000</v>
      </c>
      <c r="Z49" s="53">
        <v>19</v>
      </c>
      <c r="AA49" s="53">
        <v>1</v>
      </c>
      <c r="AB49" s="53">
        <v>0</v>
      </c>
      <c r="AC49" s="53">
        <v>0</v>
      </c>
      <c r="AD49" s="53">
        <v>0</v>
      </c>
      <c r="AE49" s="53">
        <v>1</v>
      </c>
      <c r="AF49" s="53">
        <v>1</v>
      </c>
      <c r="AG49" s="53">
        <v>500</v>
      </c>
    </row>
    <row r="50" spans="2:33">
      <c r="B50" s="5" t="str">
        <f>$B48</f>
        <v>DD</v>
      </c>
      <c r="C50" t="str">
        <f>$B47</f>
        <v>DD</v>
      </c>
      <c r="D50" t="str">
        <f>$B47</f>
        <v>DD</v>
      </c>
      <c r="E50" t="str">
        <f>D50&amp;"-0"</f>
        <v>DD-0</v>
      </c>
      <c r="F50" t="str">
        <f>$B$29</f>
        <v>---</v>
      </c>
      <c r="G50" t="str">
        <f>$B$29</f>
        <v>---</v>
      </c>
      <c r="H50">
        <f t="shared" si="22"/>
        <v>4</v>
      </c>
      <c r="I50">
        <f t="shared" si="21"/>
        <v>8</v>
      </c>
      <c r="J50">
        <f t="shared" si="21"/>
        <v>8</v>
      </c>
      <c r="K50">
        <f t="shared" si="21"/>
        <v>49</v>
      </c>
      <c r="L50">
        <f t="shared" si="21"/>
        <v>91</v>
      </c>
      <c r="M50">
        <f t="shared" si="21"/>
        <v>50</v>
      </c>
      <c r="N50">
        <f t="shared" si="23"/>
        <v>57075200</v>
      </c>
      <c r="O50">
        <v>5</v>
      </c>
      <c r="P50" t="str">
        <f t="shared" si="24"/>
        <v>DD</v>
      </c>
      <c r="Q50">
        <f t="shared" si="25"/>
        <v>15</v>
      </c>
      <c r="R50" s="4">
        <f t="shared" si="26"/>
        <v>856128000</v>
      </c>
      <c r="Z50" s="53">
        <v>20</v>
      </c>
      <c r="AA50" s="53">
        <v>0</v>
      </c>
      <c r="AB50" s="53">
        <v>0</v>
      </c>
      <c r="AC50" s="53">
        <v>1</v>
      </c>
      <c r="AD50" s="53">
        <v>1</v>
      </c>
      <c r="AE50" s="53">
        <v>0</v>
      </c>
      <c r="AF50" s="53">
        <v>1</v>
      </c>
      <c r="AG50" s="53">
        <v>500</v>
      </c>
    </row>
    <row r="51" spans="2:33">
      <c r="B51" s="5"/>
      <c r="R51" s="4"/>
      <c r="Z51" s="53">
        <v>21</v>
      </c>
      <c r="AA51" s="53">
        <v>0</v>
      </c>
      <c r="AB51" s="53">
        <v>1</v>
      </c>
      <c r="AC51" s="53">
        <v>0</v>
      </c>
      <c r="AD51" s="53">
        <v>1</v>
      </c>
      <c r="AE51" s="53">
        <v>0</v>
      </c>
      <c r="AF51" s="53">
        <v>1</v>
      </c>
      <c r="AG51" s="53">
        <v>500</v>
      </c>
    </row>
    <row r="52" spans="2:33">
      <c r="B52" s="8" t="str">
        <f>$B$8</f>
        <v>EE</v>
      </c>
      <c r="C52" s="7" t="str">
        <f>$B52</f>
        <v>EE</v>
      </c>
      <c r="D52" s="7" t="str">
        <f>$B52</f>
        <v>EE</v>
      </c>
      <c r="E52" s="7" t="str">
        <f>$B52</f>
        <v>EE</v>
      </c>
      <c r="F52" s="7" t="str">
        <f>$B52</f>
        <v>EE</v>
      </c>
      <c r="G52" s="7" t="str">
        <f>$B52</f>
        <v>EE</v>
      </c>
      <c r="H52" s="7">
        <f>SUMIF($B$3:$B$29,B52,C$3:C$29)</f>
        <v>6</v>
      </c>
      <c r="I52" s="7">
        <f t="shared" ref="I52:M55" si="27">SUMIF($B$3:$B$29,C52,D$3:D$29)</f>
        <v>14</v>
      </c>
      <c r="J52" s="7">
        <f t="shared" si="27"/>
        <v>16</v>
      </c>
      <c r="K52" s="7">
        <f t="shared" si="27"/>
        <v>4</v>
      </c>
      <c r="L52" s="7">
        <f t="shared" si="27"/>
        <v>2</v>
      </c>
      <c r="M52" s="7">
        <f t="shared" si="27"/>
        <v>2</v>
      </c>
      <c r="N52" s="7">
        <f>PRODUCT(H52:M52)</f>
        <v>21504</v>
      </c>
      <c r="O52" s="7">
        <v>6</v>
      </c>
      <c r="P52" s="7" t="str">
        <f>B52</f>
        <v>EE</v>
      </c>
      <c r="Q52" s="7">
        <f>INDEX($S$3:$V$15,MATCH(P52,$R$3:$R$15,0),MATCH(O52,$S$2:$V$2,0))</f>
        <v>30</v>
      </c>
      <c r="R52" s="6">
        <f>Q52*N52</f>
        <v>645120</v>
      </c>
      <c r="Z52" s="53">
        <v>22</v>
      </c>
      <c r="AA52" s="53">
        <v>1</v>
      </c>
      <c r="AB52" s="53">
        <v>0</v>
      </c>
      <c r="AC52" s="53">
        <v>0</v>
      </c>
      <c r="AD52" s="53">
        <v>1</v>
      </c>
      <c r="AE52" s="53">
        <v>0</v>
      </c>
      <c r="AF52" s="53">
        <v>1</v>
      </c>
      <c r="AG52" s="53">
        <v>500</v>
      </c>
    </row>
    <row r="53" spans="2:33">
      <c r="B53" s="5" t="str">
        <f>$B52</f>
        <v>EE</v>
      </c>
      <c r="C53" t="str">
        <f>$B52</f>
        <v>EE</v>
      </c>
      <c r="D53" t="str">
        <f>$B52</f>
        <v>EE</v>
      </c>
      <c r="E53" t="str">
        <f>$B52</f>
        <v>EE</v>
      </c>
      <c r="F53" t="str">
        <f>$B52</f>
        <v>EE</v>
      </c>
      <c r="G53" t="str">
        <f>F53&amp;"-0"</f>
        <v>EE-0</v>
      </c>
      <c r="H53">
        <f>SUMIF($B$3:$B$29,B53,C$3:C$29)</f>
        <v>6</v>
      </c>
      <c r="I53">
        <f t="shared" si="27"/>
        <v>14</v>
      </c>
      <c r="J53">
        <f t="shared" si="27"/>
        <v>16</v>
      </c>
      <c r="K53">
        <f t="shared" si="27"/>
        <v>4</v>
      </c>
      <c r="L53">
        <f t="shared" si="27"/>
        <v>2</v>
      </c>
      <c r="M53">
        <f t="shared" si="27"/>
        <v>48</v>
      </c>
      <c r="N53">
        <f>PRODUCT(H53:M53)</f>
        <v>516096</v>
      </c>
      <c r="O53">
        <v>5</v>
      </c>
      <c r="P53" t="str">
        <f>B53</f>
        <v>EE</v>
      </c>
      <c r="Q53">
        <f>INDEX($S$3:$V$15,MATCH(P53,$R$3:$R$15,0),MATCH(O53,$S$2:$V$2,0))</f>
        <v>10</v>
      </c>
      <c r="R53" s="4">
        <f>Q53*N53</f>
        <v>5160960</v>
      </c>
      <c r="Z53" s="53">
        <v>23</v>
      </c>
      <c r="AA53" s="53">
        <v>0</v>
      </c>
      <c r="AB53" s="53">
        <v>1</v>
      </c>
      <c r="AC53" s="53">
        <v>1</v>
      </c>
      <c r="AD53" s="53">
        <v>0</v>
      </c>
      <c r="AE53" s="53">
        <v>0</v>
      </c>
      <c r="AF53" s="53">
        <v>1</v>
      </c>
      <c r="AG53" s="53">
        <v>500</v>
      </c>
    </row>
    <row r="54" spans="2:33">
      <c r="B54" s="5" t="str">
        <f>$B52</f>
        <v>EE</v>
      </c>
      <c r="C54" t="str">
        <f>$B52</f>
        <v>EE</v>
      </c>
      <c r="D54" t="str">
        <f>$B52</f>
        <v>EE</v>
      </c>
      <c r="E54" t="str">
        <f>$B52</f>
        <v>EE</v>
      </c>
      <c r="F54" t="str">
        <f>E54&amp;"-0"</f>
        <v>EE-0</v>
      </c>
      <c r="G54" t="str">
        <f>$B$29</f>
        <v>---</v>
      </c>
      <c r="H54">
        <f t="shared" ref="H54:H55" si="28">SUMIF($B$3:$B$29,B54,C$3:C$29)</f>
        <v>6</v>
      </c>
      <c r="I54">
        <f t="shared" si="27"/>
        <v>14</v>
      </c>
      <c r="J54">
        <f t="shared" si="27"/>
        <v>16</v>
      </c>
      <c r="K54">
        <f t="shared" si="27"/>
        <v>4</v>
      </c>
      <c r="L54">
        <f t="shared" si="27"/>
        <v>89</v>
      </c>
      <c r="M54">
        <f t="shared" si="27"/>
        <v>50</v>
      </c>
      <c r="N54">
        <f t="shared" ref="N54:N55" si="29">PRODUCT(H54:M54)</f>
        <v>23923200</v>
      </c>
      <c r="O54">
        <v>5</v>
      </c>
      <c r="P54" t="str">
        <f t="shared" ref="P54:P55" si="30">B54</f>
        <v>EE</v>
      </c>
      <c r="Q54">
        <f t="shared" ref="Q54:Q55" si="31">INDEX($S$3:$V$15,MATCH(P54,$R$3:$R$15,0),MATCH(O54,$S$2:$V$2,0))</f>
        <v>10</v>
      </c>
      <c r="R54" s="4">
        <f t="shared" ref="R54:R55" si="32">Q54*N54</f>
        <v>239232000</v>
      </c>
      <c r="Z54" s="53">
        <v>24</v>
      </c>
      <c r="AA54" s="53">
        <v>1</v>
      </c>
      <c r="AB54" s="53">
        <v>0</v>
      </c>
      <c r="AC54" s="53">
        <v>1</v>
      </c>
      <c r="AD54" s="53">
        <v>0</v>
      </c>
      <c r="AE54" s="53">
        <v>0</v>
      </c>
      <c r="AF54" s="53">
        <v>1</v>
      </c>
      <c r="AG54" s="53">
        <v>500</v>
      </c>
    </row>
    <row r="55" spans="2:33">
      <c r="B55" s="5" t="str">
        <f>$B53</f>
        <v>EE</v>
      </c>
      <c r="C55" t="str">
        <f>$B52</f>
        <v>EE</v>
      </c>
      <c r="D55" t="str">
        <f>$B52</f>
        <v>EE</v>
      </c>
      <c r="E55" t="str">
        <f>D55&amp;"-0"</f>
        <v>EE-0</v>
      </c>
      <c r="F55" t="str">
        <f>$B$29</f>
        <v>---</v>
      </c>
      <c r="G55" t="str">
        <f>$B$29</f>
        <v>---</v>
      </c>
      <c r="H55">
        <f t="shared" si="28"/>
        <v>6</v>
      </c>
      <c r="I55">
        <f t="shared" si="27"/>
        <v>14</v>
      </c>
      <c r="J55">
        <f t="shared" si="27"/>
        <v>16</v>
      </c>
      <c r="K55">
        <f t="shared" si="27"/>
        <v>63</v>
      </c>
      <c r="L55">
        <f t="shared" si="27"/>
        <v>91</v>
      </c>
      <c r="M55">
        <f t="shared" si="27"/>
        <v>50</v>
      </c>
      <c r="N55">
        <f t="shared" si="29"/>
        <v>385257600</v>
      </c>
      <c r="O55">
        <v>5</v>
      </c>
      <c r="P55" t="str">
        <f t="shared" si="30"/>
        <v>EE</v>
      </c>
      <c r="Q55">
        <f t="shared" si="31"/>
        <v>10</v>
      </c>
      <c r="R55" s="4">
        <f t="shared" si="32"/>
        <v>3852576000</v>
      </c>
      <c r="Z55" s="53">
        <v>25</v>
      </c>
      <c r="AA55" s="53">
        <v>1</v>
      </c>
      <c r="AB55" s="53">
        <v>1</v>
      </c>
      <c r="AC55" s="53">
        <v>0</v>
      </c>
      <c r="AD55" s="53">
        <v>0</v>
      </c>
      <c r="AE55" s="53">
        <v>0</v>
      </c>
      <c r="AF55" s="53">
        <v>1</v>
      </c>
      <c r="AG55" s="53">
        <v>500</v>
      </c>
    </row>
    <row r="56" spans="2:33">
      <c r="B56" s="5"/>
      <c r="R56" s="4"/>
      <c r="Z56" s="53">
        <v>26</v>
      </c>
      <c r="AA56" s="53">
        <v>0</v>
      </c>
      <c r="AB56" s="53">
        <v>0</v>
      </c>
      <c r="AC56" s="53">
        <v>1</v>
      </c>
      <c r="AD56" s="53">
        <v>1</v>
      </c>
      <c r="AE56" s="53">
        <v>1</v>
      </c>
      <c r="AF56" s="53">
        <v>0</v>
      </c>
      <c r="AG56" s="53">
        <v>500</v>
      </c>
    </row>
    <row r="57" spans="2:33">
      <c r="B57" s="8" t="str">
        <f>$B$9</f>
        <v>FF</v>
      </c>
      <c r="C57" s="7" t="str">
        <f>$B57</f>
        <v>FF</v>
      </c>
      <c r="D57" s="7" t="str">
        <f>$B57</f>
        <v>FF</v>
      </c>
      <c r="E57" s="7" t="str">
        <f>$B57</f>
        <v>FF</v>
      </c>
      <c r="F57" s="7" t="str">
        <f>$B57</f>
        <v>FF</v>
      </c>
      <c r="G57" s="7" t="str">
        <f>$B57</f>
        <v>FF</v>
      </c>
      <c r="H57" s="7">
        <f>SUMIF($B$3:$B$29,B57,C$3:C$29)</f>
        <v>8</v>
      </c>
      <c r="I57" s="7">
        <f t="shared" ref="I57:M60" si="33">SUMIF($B$3:$B$29,C57,D$3:D$29)</f>
        <v>10</v>
      </c>
      <c r="J57" s="7">
        <f t="shared" si="33"/>
        <v>8</v>
      </c>
      <c r="K57" s="7">
        <f t="shared" si="33"/>
        <v>18</v>
      </c>
      <c r="L57" s="7">
        <f t="shared" si="33"/>
        <v>18</v>
      </c>
      <c r="M57" s="7">
        <f t="shared" si="33"/>
        <v>8</v>
      </c>
      <c r="N57" s="7">
        <f>PRODUCT(H57:M57)</f>
        <v>1658880</v>
      </c>
      <c r="O57" s="7">
        <v>6</v>
      </c>
      <c r="P57" s="7" t="str">
        <f>B57</f>
        <v>FF</v>
      </c>
      <c r="Q57" s="7">
        <f>INDEX($S$3:$V$15,MATCH(P57,$R$3:$R$15,0),MATCH(O57,$S$2:$V$2,0))</f>
        <v>30</v>
      </c>
      <c r="R57" s="6">
        <f>Q57*N57</f>
        <v>49766400</v>
      </c>
      <c r="Z57" s="53">
        <v>27</v>
      </c>
      <c r="AA57" s="53">
        <v>0</v>
      </c>
      <c r="AB57" s="53">
        <v>1</v>
      </c>
      <c r="AC57" s="53">
        <v>0</v>
      </c>
      <c r="AD57" s="53">
        <v>1</v>
      </c>
      <c r="AE57" s="53">
        <v>1</v>
      </c>
      <c r="AF57" s="53">
        <v>0</v>
      </c>
      <c r="AG57" s="53">
        <v>500</v>
      </c>
    </row>
    <row r="58" spans="2:33">
      <c r="B58" s="5" t="str">
        <f>$B57</f>
        <v>FF</v>
      </c>
      <c r="C58" t="str">
        <f>$B57</f>
        <v>FF</v>
      </c>
      <c r="D58" t="str">
        <f>$B57</f>
        <v>FF</v>
      </c>
      <c r="E58" t="str">
        <f>$B57</f>
        <v>FF</v>
      </c>
      <c r="F58" t="str">
        <f>$B57</f>
        <v>FF</v>
      </c>
      <c r="G58" t="str">
        <f>F58&amp;"-0"</f>
        <v>FF-0</v>
      </c>
      <c r="H58">
        <f>SUMIF($B$3:$B$29,B58,C$3:C$29)</f>
        <v>8</v>
      </c>
      <c r="I58">
        <f t="shared" si="33"/>
        <v>10</v>
      </c>
      <c r="J58">
        <f t="shared" si="33"/>
        <v>8</v>
      </c>
      <c r="K58">
        <f t="shared" si="33"/>
        <v>18</v>
      </c>
      <c r="L58">
        <f t="shared" si="33"/>
        <v>18</v>
      </c>
      <c r="M58">
        <f t="shared" si="33"/>
        <v>44</v>
      </c>
      <c r="N58">
        <f>PRODUCT(H58:M58)</f>
        <v>9123840</v>
      </c>
      <c r="O58">
        <v>5</v>
      </c>
      <c r="P58" t="str">
        <f>B58</f>
        <v>FF</v>
      </c>
      <c r="Q58">
        <f>INDEX($S$3:$V$15,MATCH(P58,$R$3:$R$15,0),MATCH(O58,$S$2:$V$2,0))</f>
        <v>10</v>
      </c>
      <c r="R58" s="4">
        <f>Q58*N58</f>
        <v>91238400</v>
      </c>
      <c r="Z58" s="53">
        <v>28</v>
      </c>
      <c r="AA58" s="53">
        <v>1</v>
      </c>
      <c r="AB58" s="53">
        <v>0</v>
      </c>
      <c r="AC58" s="53">
        <v>0</v>
      </c>
      <c r="AD58" s="53">
        <v>1</v>
      </c>
      <c r="AE58" s="53">
        <v>1</v>
      </c>
      <c r="AF58" s="53">
        <v>0</v>
      </c>
      <c r="AG58" s="53">
        <v>500</v>
      </c>
    </row>
    <row r="59" spans="2:33">
      <c r="B59" s="5" t="str">
        <f>$B57</f>
        <v>FF</v>
      </c>
      <c r="C59" t="str">
        <f>$B57</f>
        <v>FF</v>
      </c>
      <c r="D59" t="str">
        <f>$B57</f>
        <v>FF</v>
      </c>
      <c r="E59" t="str">
        <f>$B57</f>
        <v>FF</v>
      </c>
      <c r="F59" t="str">
        <f>E59&amp;"-0"</f>
        <v>FF-0</v>
      </c>
      <c r="G59" t="str">
        <f>$B$29</f>
        <v>---</v>
      </c>
      <c r="H59">
        <f t="shared" ref="H59:H60" si="34">SUMIF($B$3:$B$29,B59,C$3:C$29)</f>
        <v>8</v>
      </c>
      <c r="I59">
        <f t="shared" si="33"/>
        <v>10</v>
      </c>
      <c r="J59">
        <f t="shared" si="33"/>
        <v>8</v>
      </c>
      <c r="K59">
        <f t="shared" si="33"/>
        <v>18</v>
      </c>
      <c r="L59">
        <f t="shared" si="33"/>
        <v>75</v>
      </c>
      <c r="M59">
        <f t="shared" si="33"/>
        <v>50</v>
      </c>
      <c r="N59">
        <f t="shared" ref="N59:N60" si="35">PRODUCT(H59:M59)</f>
        <v>43200000</v>
      </c>
      <c r="O59">
        <v>5</v>
      </c>
      <c r="P59" t="str">
        <f t="shared" ref="P59:P60" si="36">B59</f>
        <v>FF</v>
      </c>
      <c r="Q59">
        <f t="shared" ref="Q59:Q60" si="37">INDEX($S$3:$V$15,MATCH(P59,$R$3:$R$15,0),MATCH(O59,$S$2:$V$2,0))</f>
        <v>10</v>
      </c>
      <c r="R59" s="4">
        <f t="shared" ref="R59:R60" si="38">Q59*N59</f>
        <v>432000000</v>
      </c>
      <c r="Z59" s="53">
        <v>29</v>
      </c>
      <c r="AA59" s="53">
        <v>0</v>
      </c>
      <c r="AB59" s="53">
        <v>1</v>
      </c>
      <c r="AC59" s="53">
        <v>1</v>
      </c>
      <c r="AD59" s="53">
        <v>0</v>
      </c>
      <c r="AE59" s="53">
        <v>1</v>
      </c>
      <c r="AF59" s="53">
        <v>0</v>
      </c>
      <c r="AG59" s="53">
        <v>500</v>
      </c>
    </row>
    <row r="60" spans="2:33">
      <c r="B60" s="5" t="str">
        <f>$B58</f>
        <v>FF</v>
      </c>
      <c r="C60" t="str">
        <f>$B57</f>
        <v>FF</v>
      </c>
      <c r="D60" t="str">
        <f>$B57</f>
        <v>FF</v>
      </c>
      <c r="E60" t="str">
        <f>D60&amp;"-0"</f>
        <v>FF-0</v>
      </c>
      <c r="F60" t="str">
        <f>$B$29</f>
        <v>---</v>
      </c>
      <c r="G60" t="str">
        <f>$B$29</f>
        <v>---</v>
      </c>
      <c r="H60">
        <f t="shared" si="34"/>
        <v>8</v>
      </c>
      <c r="I60">
        <f t="shared" si="33"/>
        <v>10</v>
      </c>
      <c r="J60">
        <f t="shared" si="33"/>
        <v>8</v>
      </c>
      <c r="K60">
        <f t="shared" si="33"/>
        <v>52</v>
      </c>
      <c r="L60">
        <f t="shared" si="33"/>
        <v>91</v>
      </c>
      <c r="M60">
        <f t="shared" si="33"/>
        <v>50</v>
      </c>
      <c r="N60">
        <f t="shared" si="35"/>
        <v>151424000</v>
      </c>
      <c r="O60">
        <v>5</v>
      </c>
      <c r="P60" t="str">
        <f t="shared" si="36"/>
        <v>FF</v>
      </c>
      <c r="Q60">
        <f t="shared" si="37"/>
        <v>10</v>
      </c>
      <c r="R60" s="4">
        <f t="shared" si="38"/>
        <v>1514240000</v>
      </c>
      <c r="Z60" s="53">
        <v>30</v>
      </c>
      <c r="AA60" s="53">
        <v>1</v>
      </c>
      <c r="AB60" s="53">
        <v>0</v>
      </c>
      <c r="AC60" s="53">
        <v>1</v>
      </c>
      <c r="AD60" s="53">
        <v>0</v>
      </c>
      <c r="AE60" s="53">
        <v>1</v>
      </c>
      <c r="AF60" s="53">
        <v>0</v>
      </c>
      <c r="AG60" s="53">
        <v>500</v>
      </c>
    </row>
    <row r="61" spans="2:33">
      <c r="B61" s="5"/>
      <c r="R61" s="4"/>
      <c r="Z61" s="53">
        <v>31</v>
      </c>
      <c r="AA61" s="53">
        <v>1</v>
      </c>
      <c r="AB61" s="53">
        <v>1</v>
      </c>
      <c r="AC61" s="53">
        <v>0</v>
      </c>
      <c r="AD61" s="53">
        <v>0</v>
      </c>
      <c r="AE61" s="53">
        <v>1</v>
      </c>
      <c r="AF61" s="53">
        <v>0</v>
      </c>
      <c r="AG61" s="53">
        <v>500</v>
      </c>
    </row>
    <row r="62" spans="2:33">
      <c r="B62" s="8" t="str">
        <f>$B$10</f>
        <v>GG</v>
      </c>
      <c r="C62" s="7" t="str">
        <f>$B62</f>
        <v>GG</v>
      </c>
      <c r="D62" s="7" t="str">
        <f>$B62</f>
        <v>GG</v>
      </c>
      <c r="E62" s="7" t="str">
        <f>$B62</f>
        <v>GG</v>
      </c>
      <c r="F62" s="7" t="str">
        <f>$B62</f>
        <v>GG</v>
      </c>
      <c r="G62" s="7" t="str">
        <f>$B62</f>
        <v>GG</v>
      </c>
      <c r="H62" s="7">
        <f>SUMIF($B$3:$B$29,B62,C$3:C$29)</f>
        <v>12</v>
      </c>
      <c r="I62" s="7">
        <f t="shared" ref="I62:M65" si="39">SUMIF($B$3:$B$29,C62,D$3:D$29)</f>
        <v>26</v>
      </c>
      <c r="J62" s="7">
        <f t="shared" si="39"/>
        <v>22</v>
      </c>
      <c r="K62" s="7">
        <f t="shared" si="39"/>
        <v>24</v>
      </c>
      <c r="L62" s="7">
        <f t="shared" si="39"/>
        <v>28</v>
      </c>
      <c r="M62" s="7">
        <f t="shared" si="39"/>
        <v>10</v>
      </c>
      <c r="N62" s="7">
        <f>PRODUCT(H62:M62)</f>
        <v>46126080</v>
      </c>
      <c r="O62" s="7">
        <v>6</v>
      </c>
      <c r="P62" s="7" t="str">
        <f>B62</f>
        <v>GG</v>
      </c>
      <c r="Q62" s="7">
        <f>INDEX($S$3:$V$15,MATCH(P62,$R$3:$R$15,0),MATCH(O62,$S$2:$V$2,0))</f>
        <v>20</v>
      </c>
      <c r="R62" s="6">
        <f>Q62*N62</f>
        <v>922521600</v>
      </c>
      <c r="Z62" s="53">
        <v>32</v>
      </c>
      <c r="AA62" s="53">
        <v>0</v>
      </c>
      <c r="AB62" s="53">
        <v>1</v>
      </c>
      <c r="AC62" s="53">
        <v>1</v>
      </c>
      <c r="AD62" s="53">
        <v>1</v>
      </c>
      <c r="AE62" s="53">
        <v>0</v>
      </c>
      <c r="AF62" s="53">
        <v>0</v>
      </c>
      <c r="AG62" s="53">
        <v>500</v>
      </c>
    </row>
    <row r="63" spans="2:33">
      <c r="B63" s="5" t="str">
        <f>$B62</f>
        <v>GG</v>
      </c>
      <c r="C63" t="str">
        <f>$B62</f>
        <v>GG</v>
      </c>
      <c r="D63" t="str">
        <f>$B62</f>
        <v>GG</v>
      </c>
      <c r="E63" t="str">
        <f>$B62</f>
        <v>GG</v>
      </c>
      <c r="F63" t="str">
        <f>$B62</f>
        <v>GG</v>
      </c>
      <c r="G63" t="str">
        <f>F63&amp;"-0"</f>
        <v>GG-0</v>
      </c>
      <c r="H63">
        <f>SUMIF($B$3:$B$29,B63,C$3:C$29)</f>
        <v>12</v>
      </c>
      <c r="I63">
        <f t="shared" si="39"/>
        <v>26</v>
      </c>
      <c r="J63">
        <f t="shared" si="39"/>
        <v>22</v>
      </c>
      <c r="K63">
        <f t="shared" si="39"/>
        <v>24</v>
      </c>
      <c r="L63">
        <f t="shared" si="39"/>
        <v>28</v>
      </c>
      <c r="M63">
        <f t="shared" si="39"/>
        <v>42</v>
      </c>
      <c r="N63">
        <f>PRODUCT(H63:M63)</f>
        <v>193729536</v>
      </c>
      <c r="O63">
        <v>5</v>
      </c>
      <c r="P63" t="str">
        <f>B63</f>
        <v>GG</v>
      </c>
      <c r="Q63">
        <f>INDEX($S$3:$V$15,MATCH(P63,$R$3:$R$15,0),MATCH(O63,$S$2:$V$2,0))</f>
        <v>6</v>
      </c>
      <c r="R63" s="4">
        <f>Q63*N63</f>
        <v>1162377216</v>
      </c>
      <c r="Z63" s="53">
        <v>33</v>
      </c>
      <c r="AA63" s="53">
        <v>1</v>
      </c>
      <c r="AB63" s="53">
        <v>0</v>
      </c>
      <c r="AC63" s="53">
        <v>1</v>
      </c>
      <c r="AD63" s="53">
        <v>1</v>
      </c>
      <c r="AE63" s="53">
        <v>0</v>
      </c>
      <c r="AF63" s="53">
        <v>0</v>
      </c>
      <c r="AG63" s="53">
        <v>500</v>
      </c>
    </row>
    <row r="64" spans="2:33">
      <c r="B64" s="5" t="str">
        <f>$B62</f>
        <v>GG</v>
      </c>
      <c r="C64" t="str">
        <f>$B62</f>
        <v>GG</v>
      </c>
      <c r="D64" t="str">
        <f>$B62</f>
        <v>GG</v>
      </c>
      <c r="E64" t="str">
        <f>$B62</f>
        <v>GG</v>
      </c>
      <c r="F64" t="str">
        <f>E64&amp;"-0"</f>
        <v>GG-0</v>
      </c>
      <c r="G64" t="str">
        <f>$B$29</f>
        <v>---</v>
      </c>
      <c r="H64">
        <f t="shared" ref="H64:H65" si="40">SUMIF($B$3:$B$29,B64,C$3:C$29)</f>
        <v>12</v>
      </c>
      <c r="I64">
        <f t="shared" si="39"/>
        <v>26</v>
      </c>
      <c r="J64">
        <f t="shared" si="39"/>
        <v>22</v>
      </c>
      <c r="K64">
        <f t="shared" si="39"/>
        <v>24</v>
      </c>
      <c r="L64">
        <f t="shared" si="39"/>
        <v>66</v>
      </c>
      <c r="M64">
        <f t="shared" si="39"/>
        <v>50</v>
      </c>
      <c r="N64">
        <f t="shared" ref="N64:N65" si="41">PRODUCT(H64:M64)</f>
        <v>543628800</v>
      </c>
      <c r="O64">
        <v>5</v>
      </c>
      <c r="P64" t="str">
        <f t="shared" ref="P64:P65" si="42">B64</f>
        <v>GG</v>
      </c>
      <c r="Q64">
        <f t="shared" ref="Q64:Q65" si="43">INDEX($S$3:$V$15,MATCH(P64,$R$3:$R$15,0),MATCH(O64,$S$2:$V$2,0))</f>
        <v>6</v>
      </c>
      <c r="R64" s="4">
        <f t="shared" ref="R64:R65" si="44">Q64*N64</f>
        <v>3261772800</v>
      </c>
      <c r="Z64" s="53">
        <v>34</v>
      </c>
      <c r="AA64" s="53">
        <v>1</v>
      </c>
      <c r="AB64" s="53">
        <v>1</v>
      </c>
      <c r="AC64" s="53">
        <v>0</v>
      </c>
      <c r="AD64" s="53">
        <v>1</v>
      </c>
      <c r="AE64" s="53">
        <v>0</v>
      </c>
      <c r="AF64" s="53">
        <v>0</v>
      </c>
      <c r="AG64" s="53">
        <v>500</v>
      </c>
    </row>
    <row r="65" spans="2:33">
      <c r="B65" s="5" t="str">
        <f>$B63</f>
        <v>GG</v>
      </c>
      <c r="C65" t="str">
        <f>$B62</f>
        <v>GG</v>
      </c>
      <c r="D65" t="str">
        <f>$B62</f>
        <v>GG</v>
      </c>
      <c r="E65" t="str">
        <f>D65&amp;"-0"</f>
        <v>GG-0</v>
      </c>
      <c r="F65" t="str">
        <f>$B$29</f>
        <v>---</v>
      </c>
      <c r="G65" t="str">
        <f>$B$29</f>
        <v>---</v>
      </c>
      <c r="H65">
        <f t="shared" si="40"/>
        <v>12</v>
      </c>
      <c r="I65">
        <f t="shared" si="39"/>
        <v>26</v>
      </c>
      <c r="J65">
        <f t="shared" si="39"/>
        <v>22</v>
      </c>
      <c r="K65">
        <f t="shared" si="39"/>
        <v>45</v>
      </c>
      <c r="L65">
        <f t="shared" si="39"/>
        <v>91</v>
      </c>
      <c r="M65">
        <f t="shared" si="39"/>
        <v>50</v>
      </c>
      <c r="N65">
        <f t="shared" si="41"/>
        <v>1405404000</v>
      </c>
      <c r="O65">
        <v>5</v>
      </c>
      <c r="P65" t="str">
        <f t="shared" si="42"/>
        <v>GG</v>
      </c>
      <c r="Q65">
        <f t="shared" si="43"/>
        <v>6</v>
      </c>
      <c r="R65" s="4">
        <f t="shared" si="44"/>
        <v>8432424000</v>
      </c>
      <c r="Z65" s="53">
        <v>35</v>
      </c>
      <c r="AA65" s="53">
        <v>1</v>
      </c>
      <c r="AB65" s="53">
        <v>1</v>
      </c>
      <c r="AC65" s="53">
        <v>1</v>
      </c>
      <c r="AD65" s="53">
        <v>0</v>
      </c>
      <c r="AE65" s="53">
        <v>0</v>
      </c>
      <c r="AF65" s="53">
        <v>0</v>
      </c>
      <c r="AG65" s="53">
        <v>500</v>
      </c>
    </row>
    <row r="66" spans="2:33">
      <c r="B66" s="5"/>
      <c r="R66" s="4"/>
    </row>
    <row r="67" spans="2:33">
      <c r="B67" s="8" t="str">
        <f>$B$11</f>
        <v>HH</v>
      </c>
      <c r="C67" s="7" t="str">
        <f>$B67</f>
        <v>HH</v>
      </c>
      <c r="D67" s="7" t="str">
        <f>$B67</f>
        <v>HH</v>
      </c>
      <c r="E67" s="7" t="str">
        <f>$B67</f>
        <v>HH</v>
      </c>
      <c r="F67" s="7" t="str">
        <f>$B67</f>
        <v>HH</v>
      </c>
      <c r="G67" s="7" t="str">
        <f>$B67</f>
        <v>HH</v>
      </c>
      <c r="H67" s="7">
        <f>SUMIF($B$3:$B$29,B67,C$3:C$29)</f>
        <v>12</v>
      </c>
      <c r="I67" s="7">
        <f t="shared" ref="I67:M70" si="45">SUMIF($B$3:$B$29,C67,D$3:D$29)</f>
        <v>14</v>
      </c>
      <c r="J67" s="7">
        <f t="shared" si="45"/>
        <v>6</v>
      </c>
      <c r="K67" s="7">
        <f t="shared" si="45"/>
        <v>2</v>
      </c>
      <c r="L67" s="7">
        <f t="shared" si="45"/>
        <v>2</v>
      </c>
      <c r="M67" s="7">
        <f t="shared" si="45"/>
        <v>2</v>
      </c>
      <c r="N67" s="7">
        <f>PRODUCT(H67:M67)</f>
        <v>8064</v>
      </c>
      <c r="O67" s="7">
        <v>6</v>
      </c>
      <c r="P67" s="7" t="str">
        <f>B67</f>
        <v>HH</v>
      </c>
      <c r="Q67" s="7">
        <f>INDEX($S$3:$V$15,MATCH(P67,$R$3:$R$15,0),MATCH(O67,$S$2:$V$2,0))</f>
        <v>20</v>
      </c>
      <c r="R67" s="6">
        <f>Q67*N67</f>
        <v>161280</v>
      </c>
    </row>
    <row r="68" spans="2:33">
      <c r="B68" s="5" t="str">
        <f>$B67</f>
        <v>HH</v>
      </c>
      <c r="C68" t="str">
        <f>$B67</f>
        <v>HH</v>
      </c>
      <c r="D68" t="str">
        <f>$B67</f>
        <v>HH</v>
      </c>
      <c r="E68" t="str">
        <f>$B67</f>
        <v>HH</v>
      </c>
      <c r="F68" t="str">
        <f>$B67</f>
        <v>HH</v>
      </c>
      <c r="G68" t="str">
        <f>F68&amp;"-0"</f>
        <v>HH-0</v>
      </c>
      <c r="H68">
        <f>SUMIF($B$3:$B$29,B68,C$3:C$29)</f>
        <v>12</v>
      </c>
      <c r="I68">
        <f t="shared" si="45"/>
        <v>14</v>
      </c>
      <c r="J68">
        <f t="shared" si="45"/>
        <v>6</v>
      </c>
      <c r="K68">
        <f t="shared" si="45"/>
        <v>2</v>
      </c>
      <c r="L68">
        <f t="shared" si="45"/>
        <v>2</v>
      </c>
      <c r="M68">
        <f t="shared" si="45"/>
        <v>48</v>
      </c>
      <c r="N68">
        <f>PRODUCT(H68:M68)</f>
        <v>193536</v>
      </c>
      <c r="O68">
        <v>5</v>
      </c>
      <c r="P68" t="str">
        <f>B68</f>
        <v>HH</v>
      </c>
      <c r="Q68">
        <f>INDEX($S$3:$V$15,MATCH(P68,$R$3:$R$15,0),MATCH(O68,$S$2:$V$2,0))</f>
        <v>6</v>
      </c>
      <c r="R68" s="4">
        <f>Q68*N68</f>
        <v>1161216</v>
      </c>
    </row>
    <row r="69" spans="2:33">
      <c r="B69" s="5" t="str">
        <f>$B67</f>
        <v>HH</v>
      </c>
      <c r="C69" t="str">
        <f>$B67</f>
        <v>HH</v>
      </c>
      <c r="D69" t="str">
        <f>$B67</f>
        <v>HH</v>
      </c>
      <c r="E69" t="str">
        <f>$B67</f>
        <v>HH</v>
      </c>
      <c r="F69" t="str">
        <f>E69&amp;"-0"</f>
        <v>HH-0</v>
      </c>
      <c r="G69" t="str">
        <f>$B$29</f>
        <v>---</v>
      </c>
      <c r="H69">
        <f t="shared" ref="H69:H70" si="46">SUMIF($B$3:$B$29,B69,C$3:C$29)</f>
        <v>12</v>
      </c>
      <c r="I69">
        <f t="shared" si="45"/>
        <v>14</v>
      </c>
      <c r="J69">
        <f t="shared" si="45"/>
        <v>6</v>
      </c>
      <c r="K69">
        <f t="shared" si="45"/>
        <v>2</v>
      </c>
      <c r="L69">
        <f t="shared" si="45"/>
        <v>89</v>
      </c>
      <c r="M69">
        <f t="shared" si="45"/>
        <v>50</v>
      </c>
      <c r="N69">
        <f t="shared" ref="N69:N70" si="47">PRODUCT(H69:M69)</f>
        <v>8971200</v>
      </c>
      <c r="O69">
        <v>5</v>
      </c>
      <c r="P69" t="str">
        <f t="shared" ref="P69:P70" si="48">B69</f>
        <v>HH</v>
      </c>
      <c r="Q69">
        <f t="shared" ref="Q69:Q70" si="49">INDEX($S$3:$V$15,MATCH(P69,$R$3:$R$15,0),MATCH(O69,$S$2:$V$2,0))</f>
        <v>6</v>
      </c>
      <c r="R69" s="4">
        <f t="shared" ref="R69:R70" si="50">Q69*N69</f>
        <v>53827200</v>
      </c>
    </row>
    <row r="70" spans="2:33">
      <c r="B70" s="5" t="str">
        <f>$B68</f>
        <v>HH</v>
      </c>
      <c r="C70" t="str">
        <f>$B67</f>
        <v>HH</v>
      </c>
      <c r="D70" t="str">
        <f>$B67</f>
        <v>HH</v>
      </c>
      <c r="E70" t="str">
        <f>D70&amp;"-0"</f>
        <v>HH-0</v>
      </c>
      <c r="F70" t="str">
        <f>$B$29</f>
        <v>---</v>
      </c>
      <c r="G70" t="str">
        <f>$B$29</f>
        <v>---</v>
      </c>
      <c r="H70">
        <f t="shared" si="46"/>
        <v>12</v>
      </c>
      <c r="I70">
        <f t="shared" si="45"/>
        <v>14</v>
      </c>
      <c r="J70">
        <f t="shared" si="45"/>
        <v>6</v>
      </c>
      <c r="K70">
        <f t="shared" si="45"/>
        <v>65</v>
      </c>
      <c r="L70">
        <f t="shared" si="45"/>
        <v>91</v>
      </c>
      <c r="M70">
        <f t="shared" si="45"/>
        <v>50</v>
      </c>
      <c r="N70">
        <f t="shared" si="47"/>
        <v>298116000</v>
      </c>
      <c r="O70">
        <v>5</v>
      </c>
      <c r="P70" t="str">
        <f t="shared" si="48"/>
        <v>HH</v>
      </c>
      <c r="Q70">
        <f t="shared" si="49"/>
        <v>6</v>
      </c>
      <c r="R70" s="4">
        <f t="shared" si="50"/>
        <v>1788696000</v>
      </c>
    </row>
    <row r="71" spans="2:33">
      <c r="B71" s="5"/>
      <c r="R71" s="4"/>
    </row>
    <row r="72" spans="2:33">
      <c r="B72" s="8" t="str">
        <f>$B$12</f>
        <v>JJ</v>
      </c>
      <c r="C72" s="7" t="str">
        <f>$B72</f>
        <v>JJ</v>
      </c>
      <c r="D72" s="7" t="str">
        <f>$B72</f>
        <v>JJ</v>
      </c>
      <c r="E72" s="7" t="str">
        <f>$B72</f>
        <v>JJ</v>
      </c>
      <c r="F72" s="7" t="str">
        <f>$B72</f>
        <v>JJ</v>
      </c>
      <c r="G72" s="7" t="str">
        <f>$B72</f>
        <v>JJ</v>
      </c>
      <c r="H72" s="7">
        <f>SUMIF($B$3:$B$29,B72,C$3:C$29)</f>
        <v>12</v>
      </c>
      <c r="I72" s="7">
        <f t="shared" ref="I72:M75" si="51">SUMIF($B$3:$B$29,C72,D$3:D$29)</f>
        <v>18</v>
      </c>
      <c r="J72" s="7">
        <f t="shared" si="51"/>
        <v>24</v>
      </c>
      <c r="K72" s="7">
        <f t="shared" si="51"/>
        <v>10</v>
      </c>
      <c r="L72" s="7">
        <f t="shared" si="51"/>
        <v>18</v>
      </c>
      <c r="M72" s="7">
        <f t="shared" si="51"/>
        <v>10</v>
      </c>
      <c r="N72" s="7">
        <f>PRODUCT(H72:M72)</f>
        <v>9331200</v>
      </c>
      <c r="O72" s="7">
        <v>6</v>
      </c>
      <c r="P72" s="7" t="str">
        <f>B72</f>
        <v>JJ</v>
      </c>
      <c r="Q72" s="7">
        <f>INDEX($S$3:$V$15,MATCH(P72,$R$3:$R$15,0),MATCH(O72,$S$2:$V$2,0))</f>
        <v>20</v>
      </c>
      <c r="R72" s="6">
        <f>Q72*N72</f>
        <v>186624000</v>
      </c>
    </row>
    <row r="73" spans="2:33">
      <c r="B73" s="5" t="str">
        <f>$B72</f>
        <v>JJ</v>
      </c>
      <c r="C73" t="str">
        <f>$B72</f>
        <v>JJ</v>
      </c>
      <c r="D73" t="str">
        <f>$B72</f>
        <v>JJ</v>
      </c>
      <c r="E73" t="str">
        <f>$B72</f>
        <v>JJ</v>
      </c>
      <c r="F73" t="str">
        <f>$B72</f>
        <v>JJ</v>
      </c>
      <c r="G73" t="str">
        <f>F73&amp;"-0"</f>
        <v>JJ-0</v>
      </c>
      <c r="H73">
        <f>SUMIF($B$3:$B$29,B73,C$3:C$29)</f>
        <v>12</v>
      </c>
      <c r="I73">
        <f t="shared" si="51"/>
        <v>18</v>
      </c>
      <c r="J73">
        <f t="shared" si="51"/>
        <v>24</v>
      </c>
      <c r="K73">
        <f t="shared" si="51"/>
        <v>10</v>
      </c>
      <c r="L73">
        <f t="shared" si="51"/>
        <v>18</v>
      </c>
      <c r="M73">
        <f t="shared" si="51"/>
        <v>42</v>
      </c>
      <c r="N73">
        <f>PRODUCT(H73:M73)</f>
        <v>39191040</v>
      </c>
      <c r="O73">
        <v>5</v>
      </c>
      <c r="P73" t="str">
        <f>B73</f>
        <v>JJ</v>
      </c>
      <c r="Q73">
        <f>INDEX($S$3:$V$15,MATCH(P73,$R$3:$R$15,0),MATCH(O73,$S$2:$V$2,0))</f>
        <v>6</v>
      </c>
      <c r="R73" s="4">
        <f>Q73*N73</f>
        <v>235146240</v>
      </c>
    </row>
    <row r="74" spans="2:33">
      <c r="B74" s="5" t="str">
        <f>$B72</f>
        <v>JJ</v>
      </c>
      <c r="C74" t="str">
        <f>$B72</f>
        <v>JJ</v>
      </c>
      <c r="D74" t="str">
        <f>$B72</f>
        <v>JJ</v>
      </c>
      <c r="E74" t="str">
        <f>$B72</f>
        <v>JJ</v>
      </c>
      <c r="F74" t="str">
        <f>E74&amp;"-0"</f>
        <v>JJ-0</v>
      </c>
      <c r="G74" t="str">
        <f>$B$29</f>
        <v>---</v>
      </c>
      <c r="H74">
        <f t="shared" ref="H74:H75" si="52">SUMIF($B$3:$B$29,B74,C$3:C$29)</f>
        <v>12</v>
      </c>
      <c r="I74">
        <f t="shared" si="51"/>
        <v>18</v>
      </c>
      <c r="J74">
        <f t="shared" si="51"/>
        <v>24</v>
      </c>
      <c r="K74">
        <f t="shared" si="51"/>
        <v>10</v>
      </c>
      <c r="L74">
        <f t="shared" si="51"/>
        <v>75</v>
      </c>
      <c r="M74">
        <f t="shared" si="51"/>
        <v>50</v>
      </c>
      <c r="N74">
        <f t="shared" ref="N74:N75" si="53">PRODUCT(H74:M74)</f>
        <v>194400000</v>
      </c>
      <c r="O74">
        <v>5</v>
      </c>
      <c r="P74" t="str">
        <f t="shared" ref="P74:P75" si="54">B74</f>
        <v>JJ</v>
      </c>
      <c r="Q74">
        <f t="shared" ref="Q74:Q75" si="55">INDEX($S$3:$V$15,MATCH(P74,$R$3:$R$15,0),MATCH(O74,$S$2:$V$2,0))</f>
        <v>6</v>
      </c>
      <c r="R74" s="4">
        <f t="shared" ref="R74:R75" si="56">Q74*N74</f>
        <v>1166400000</v>
      </c>
    </row>
    <row r="75" spans="2:33">
      <c r="B75" s="5" t="str">
        <f>$B73</f>
        <v>JJ</v>
      </c>
      <c r="C75" t="str">
        <f>$B72</f>
        <v>JJ</v>
      </c>
      <c r="D75" t="str">
        <f>$B72</f>
        <v>JJ</v>
      </c>
      <c r="E75" t="str">
        <f>D75&amp;"-0"</f>
        <v>JJ-0</v>
      </c>
      <c r="F75" t="str">
        <f>$B$29</f>
        <v>---</v>
      </c>
      <c r="G75" t="str">
        <f>$B$29</f>
        <v>---</v>
      </c>
      <c r="H75">
        <f t="shared" si="52"/>
        <v>12</v>
      </c>
      <c r="I75">
        <f t="shared" si="51"/>
        <v>18</v>
      </c>
      <c r="J75">
        <f t="shared" si="51"/>
        <v>24</v>
      </c>
      <c r="K75">
        <f t="shared" si="51"/>
        <v>59</v>
      </c>
      <c r="L75">
        <f t="shared" si="51"/>
        <v>91</v>
      </c>
      <c r="M75">
        <f t="shared" si="51"/>
        <v>50</v>
      </c>
      <c r="N75">
        <f t="shared" si="53"/>
        <v>1391644800</v>
      </c>
      <c r="O75">
        <v>5</v>
      </c>
      <c r="P75" t="str">
        <f t="shared" si="54"/>
        <v>JJ</v>
      </c>
      <c r="Q75">
        <f t="shared" si="55"/>
        <v>6</v>
      </c>
      <c r="R75" s="4">
        <f t="shared" si="56"/>
        <v>8349868800</v>
      </c>
    </row>
    <row r="76" spans="2:33">
      <c r="B76" s="5"/>
      <c r="R76" s="4"/>
    </row>
    <row r="77" spans="2:33">
      <c r="B77" s="8" t="str">
        <f>$B$13</f>
        <v>KK</v>
      </c>
      <c r="C77" s="7" t="str">
        <f>$B77</f>
        <v>KK</v>
      </c>
      <c r="D77" s="7" t="str">
        <f>$B77</f>
        <v>KK</v>
      </c>
      <c r="E77" s="7" t="str">
        <f>$B77</f>
        <v>KK</v>
      </c>
      <c r="F77" s="7" t="str">
        <f>$B77</f>
        <v>KK</v>
      </c>
      <c r="G77" s="7" t="str">
        <f>$B77</f>
        <v>KK</v>
      </c>
      <c r="H77" s="7">
        <f>SUMIF($B$3:$B$29,B77,C$3:C$29)</f>
        <v>10</v>
      </c>
      <c r="I77" s="7">
        <f t="shared" ref="I77:M80" si="57">SUMIF($B$3:$B$29,C77,D$3:D$29)</f>
        <v>14</v>
      </c>
      <c r="J77" s="7">
        <f t="shared" si="57"/>
        <v>24</v>
      </c>
      <c r="K77" s="7">
        <f t="shared" si="57"/>
        <v>8</v>
      </c>
      <c r="L77" s="7">
        <f t="shared" si="57"/>
        <v>24</v>
      </c>
      <c r="M77" s="7">
        <f t="shared" si="57"/>
        <v>8</v>
      </c>
      <c r="N77" s="7">
        <f>PRODUCT(H77:M77)</f>
        <v>5160960</v>
      </c>
      <c r="O77" s="7">
        <v>6</v>
      </c>
      <c r="P77" s="7" t="str">
        <f>B77</f>
        <v>KK</v>
      </c>
      <c r="Q77" s="7">
        <f>INDEX($S$3:$V$15,MATCH(P77,$R$3:$R$15,0),MATCH(O77,$S$2:$V$2,0))</f>
        <v>10</v>
      </c>
      <c r="R77" s="6">
        <f>Q77*N77</f>
        <v>51609600</v>
      </c>
    </row>
    <row r="78" spans="2:33">
      <c r="B78" s="5" t="str">
        <f>$B77</f>
        <v>KK</v>
      </c>
      <c r="C78" t="str">
        <f>$B77</f>
        <v>KK</v>
      </c>
      <c r="D78" t="str">
        <f>$B77</f>
        <v>KK</v>
      </c>
      <c r="E78" t="str">
        <f>$B77</f>
        <v>KK</v>
      </c>
      <c r="F78" t="str">
        <f>$B77</f>
        <v>KK</v>
      </c>
      <c r="G78" t="str">
        <f>F78&amp;"-0"</f>
        <v>KK-0</v>
      </c>
      <c r="H78">
        <f>SUMIF($B$3:$B$29,B78,C$3:C$29)</f>
        <v>10</v>
      </c>
      <c r="I78">
        <f t="shared" si="57"/>
        <v>14</v>
      </c>
      <c r="J78">
        <f t="shared" si="57"/>
        <v>24</v>
      </c>
      <c r="K78">
        <f t="shared" si="57"/>
        <v>8</v>
      </c>
      <c r="L78">
        <f t="shared" si="57"/>
        <v>24</v>
      </c>
      <c r="M78">
        <f t="shared" si="57"/>
        <v>44</v>
      </c>
      <c r="N78">
        <f>PRODUCT(H78:M78)</f>
        <v>28385280</v>
      </c>
      <c r="O78">
        <v>5</v>
      </c>
      <c r="P78" t="str">
        <f>B78</f>
        <v>KK</v>
      </c>
      <c r="Q78">
        <f>INDEX($S$3:$V$15,MATCH(P78,$R$3:$R$15,0),MATCH(O78,$S$2:$V$2,0))</f>
        <v>4</v>
      </c>
      <c r="R78" s="4">
        <f>Q78*N78</f>
        <v>113541120</v>
      </c>
    </row>
    <row r="79" spans="2:33">
      <c r="B79" s="5" t="str">
        <f>$B77</f>
        <v>KK</v>
      </c>
      <c r="C79" t="str">
        <f>$B77</f>
        <v>KK</v>
      </c>
      <c r="D79" t="str">
        <f>$B77</f>
        <v>KK</v>
      </c>
      <c r="E79" t="str">
        <f>$B77</f>
        <v>KK</v>
      </c>
      <c r="F79" t="str">
        <f>E79&amp;"-0"</f>
        <v>KK-0</v>
      </c>
      <c r="G79" t="str">
        <f>$B$29</f>
        <v>---</v>
      </c>
      <c r="H79">
        <f t="shared" ref="H79:H80" si="58">SUMIF($B$3:$B$29,B79,C$3:C$29)</f>
        <v>10</v>
      </c>
      <c r="I79">
        <f t="shared" si="57"/>
        <v>14</v>
      </c>
      <c r="J79">
        <f t="shared" si="57"/>
        <v>24</v>
      </c>
      <c r="K79">
        <f t="shared" si="57"/>
        <v>8</v>
      </c>
      <c r="L79">
        <f t="shared" si="57"/>
        <v>69</v>
      </c>
      <c r="M79">
        <f t="shared" si="57"/>
        <v>50</v>
      </c>
      <c r="N79">
        <f t="shared" ref="N79:N80" si="59">PRODUCT(H79:M79)</f>
        <v>92736000</v>
      </c>
      <c r="O79">
        <v>5</v>
      </c>
      <c r="P79" t="str">
        <f t="shared" ref="P79:P80" si="60">B79</f>
        <v>KK</v>
      </c>
      <c r="Q79">
        <f t="shared" ref="Q79:Q80" si="61">INDEX($S$3:$V$15,MATCH(P79,$R$3:$R$15,0),MATCH(O79,$S$2:$V$2,0))</f>
        <v>4</v>
      </c>
      <c r="R79" s="4">
        <f t="shared" ref="R79:R80" si="62">Q79*N79</f>
        <v>370944000</v>
      </c>
    </row>
    <row r="80" spans="2:33">
      <c r="B80" s="5" t="str">
        <f>$B78</f>
        <v>KK</v>
      </c>
      <c r="C80" t="str">
        <f>$B77</f>
        <v>KK</v>
      </c>
      <c r="D80" t="str">
        <f>$B77</f>
        <v>KK</v>
      </c>
      <c r="E80" t="str">
        <f>D80&amp;"-0"</f>
        <v>KK-0</v>
      </c>
      <c r="F80" t="str">
        <f>$B$29</f>
        <v>---</v>
      </c>
      <c r="G80" t="str">
        <f>$B$29</f>
        <v>---</v>
      </c>
      <c r="H80">
        <f t="shared" si="58"/>
        <v>10</v>
      </c>
      <c r="I80">
        <f t="shared" si="57"/>
        <v>14</v>
      </c>
      <c r="J80">
        <f t="shared" si="57"/>
        <v>24</v>
      </c>
      <c r="K80">
        <f t="shared" si="57"/>
        <v>61</v>
      </c>
      <c r="L80">
        <f t="shared" si="57"/>
        <v>91</v>
      </c>
      <c r="M80">
        <f t="shared" si="57"/>
        <v>50</v>
      </c>
      <c r="N80">
        <f t="shared" si="59"/>
        <v>932568000</v>
      </c>
      <c r="O80">
        <v>5</v>
      </c>
      <c r="P80" t="str">
        <f t="shared" si="60"/>
        <v>KK</v>
      </c>
      <c r="Q80">
        <f t="shared" si="61"/>
        <v>4</v>
      </c>
      <c r="R80" s="4">
        <f t="shared" si="62"/>
        <v>3730272000</v>
      </c>
    </row>
    <row r="81" spans="2:18">
      <c r="B81" s="5"/>
      <c r="R81" s="4"/>
    </row>
    <row r="82" spans="2:18">
      <c r="B82" s="8" t="str">
        <f>$B$14</f>
        <v>LL</v>
      </c>
      <c r="C82" s="7" t="str">
        <f>$B82</f>
        <v>LL</v>
      </c>
      <c r="D82" s="7" t="str">
        <f>$B82</f>
        <v>LL</v>
      </c>
      <c r="E82" s="7" t="str">
        <f>$B82</f>
        <v>LL</v>
      </c>
      <c r="F82" s="7" t="str">
        <f>$B82</f>
        <v>LL</v>
      </c>
      <c r="G82" s="7" t="str">
        <f>$B82</f>
        <v>LL</v>
      </c>
      <c r="H82" s="7">
        <f>SUMIF($B$3:$B$29,B82,C$3:C$29)</f>
        <v>8</v>
      </c>
      <c r="I82" s="7">
        <f t="shared" ref="I82:M85" si="63">SUMIF($B$3:$B$29,C82,D$3:D$29)</f>
        <v>18</v>
      </c>
      <c r="J82" s="7">
        <f t="shared" si="63"/>
        <v>18</v>
      </c>
      <c r="K82" s="7">
        <f t="shared" si="63"/>
        <v>12</v>
      </c>
      <c r="L82" s="7">
        <f t="shared" si="63"/>
        <v>8</v>
      </c>
      <c r="M82" s="7">
        <f t="shared" si="63"/>
        <v>12</v>
      </c>
      <c r="N82" s="7">
        <f>PRODUCT(H82:M82)</f>
        <v>2985984</v>
      </c>
      <c r="O82" s="7">
        <v>6</v>
      </c>
      <c r="P82" s="7" t="str">
        <f>B82</f>
        <v>LL</v>
      </c>
      <c r="Q82" s="7">
        <f>INDEX($S$3:$V$15,MATCH(P82,$R$3:$R$15,0),MATCH(O82,$S$2:$V$2,0))</f>
        <v>10</v>
      </c>
      <c r="R82" s="6">
        <f>Q82*N82</f>
        <v>29859840</v>
      </c>
    </row>
    <row r="83" spans="2:18">
      <c r="B83" s="5" t="str">
        <f>$B82</f>
        <v>LL</v>
      </c>
      <c r="C83" t="str">
        <f>$B82</f>
        <v>LL</v>
      </c>
      <c r="D83" t="str">
        <f>$B82</f>
        <v>LL</v>
      </c>
      <c r="E83" t="str">
        <f>$B82</f>
        <v>LL</v>
      </c>
      <c r="F83" t="str">
        <f>$B82</f>
        <v>LL</v>
      </c>
      <c r="G83" t="str">
        <f>F83&amp;"-0"</f>
        <v>LL-0</v>
      </c>
      <c r="H83">
        <f>SUMIF($B$3:$B$29,B83,C$3:C$29)</f>
        <v>8</v>
      </c>
      <c r="I83">
        <f t="shared" si="63"/>
        <v>18</v>
      </c>
      <c r="J83">
        <f t="shared" si="63"/>
        <v>18</v>
      </c>
      <c r="K83">
        <f t="shared" si="63"/>
        <v>12</v>
      </c>
      <c r="L83">
        <f t="shared" si="63"/>
        <v>8</v>
      </c>
      <c r="M83">
        <f t="shared" si="63"/>
        <v>40</v>
      </c>
      <c r="N83">
        <f>PRODUCT(H83:M83)</f>
        <v>9953280</v>
      </c>
      <c r="O83">
        <v>5</v>
      </c>
      <c r="P83" t="str">
        <f>B83</f>
        <v>LL</v>
      </c>
      <c r="Q83">
        <f>INDEX($S$3:$V$15,MATCH(P83,$R$3:$R$15,0),MATCH(O83,$S$2:$V$2,0))</f>
        <v>4</v>
      </c>
      <c r="R83" s="4">
        <f>Q83*N83</f>
        <v>39813120</v>
      </c>
    </row>
    <row r="84" spans="2:18">
      <c r="B84" s="5" t="str">
        <f>$B82</f>
        <v>LL</v>
      </c>
      <c r="C84" t="str">
        <f>$B82</f>
        <v>LL</v>
      </c>
      <c r="D84" t="str">
        <f>$B82</f>
        <v>LL</v>
      </c>
      <c r="E84" t="str">
        <f>$B82</f>
        <v>LL</v>
      </c>
      <c r="F84" t="str">
        <f>E84&amp;"-0"</f>
        <v>LL-0</v>
      </c>
      <c r="G84" t="str">
        <f>$B$29</f>
        <v>---</v>
      </c>
      <c r="H84">
        <f t="shared" ref="H84:H85" si="64">SUMIF($B$3:$B$29,B84,C$3:C$29)</f>
        <v>8</v>
      </c>
      <c r="I84">
        <f t="shared" si="63"/>
        <v>18</v>
      </c>
      <c r="J84">
        <f t="shared" si="63"/>
        <v>18</v>
      </c>
      <c r="K84">
        <f t="shared" si="63"/>
        <v>12</v>
      </c>
      <c r="L84">
        <f t="shared" si="63"/>
        <v>85</v>
      </c>
      <c r="M84">
        <f t="shared" si="63"/>
        <v>50</v>
      </c>
      <c r="N84">
        <f t="shared" ref="N84:N85" si="65">PRODUCT(H84:M84)</f>
        <v>132192000</v>
      </c>
      <c r="O84">
        <v>5</v>
      </c>
      <c r="P84" t="str">
        <f t="shared" ref="P84:P85" si="66">B84</f>
        <v>LL</v>
      </c>
      <c r="Q84">
        <f t="shared" ref="Q84:Q85" si="67">INDEX($S$3:$V$15,MATCH(P84,$R$3:$R$15,0),MATCH(O84,$S$2:$V$2,0))</f>
        <v>4</v>
      </c>
      <c r="R84" s="4">
        <f t="shared" ref="R84:R85" si="68">Q84*N84</f>
        <v>528768000</v>
      </c>
    </row>
    <row r="85" spans="2:18">
      <c r="B85" s="5" t="str">
        <f>$B83</f>
        <v>LL</v>
      </c>
      <c r="C85" t="str">
        <f>$B82</f>
        <v>LL</v>
      </c>
      <c r="D85" t="str">
        <f>$B82</f>
        <v>LL</v>
      </c>
      <c r="E85" t="str">
        <f>D85&amp;"-0"</f>
        <v>LL-0</v>
      </c>
      <c r="F85" t="str">
        <f>$B$29</f>
        <v>---</v>
      </c>
      <c r="G85" t="str">
        <f>$B$29</f>
        <v>---</v>
      </c>
      <c r="H85">
        <f t="shared" si="64"/>
        <v>8</v>
      </c>
      <c r="I85">
        <f t="shared" si="63"/>
        <v>18</v>
      </c>
      <c r="J85">
        <f t="shared" si="63"/>
        <v>18</v>
      </c>
      <c r="K85">
        <f t="shared" si="63"/>
        <v>57</v>
      </c>
      <c r="L85">
        <f t="shared" si="63"/>
        <v>91</v>
      </c>
      <c r="M85">
        <f t="shared" si="63"/>
        <v>50</v>
      </c>
      <c r="N85">
        <f t="shared" si="65"/>
        <v>672235200</v>
      </c>
      <c r="O85">
        <v>5</v>
      </c>
      <c r="P85" t="str">
        <f t="shared" si="66"/>
        <v>LL</v>
      </c>
      <c r="Q85">
        <f t="shared" si="67"/>
        <v>4</v>
      </c>
      <c r="R85" s="4">
        <f t="shared" si="68"/>
        <v>2688940800</v>
      </c>
    </row>
    <row r="86" spans="2:18"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>
        <f>SUM(R32:R85)</f>
        <v>49043447552</v>
      </c>
    </row>
    <row r="88" spans="2:18">
      <c r="B88" s="8" t="str">
        <f>$B$15</f>
        <v>BN</v>
      </c>
      <c r="C88" s="7" t="str">
        <f t="shared" ref="C88:G105" si="69">$B$15</f>
        <v>BN</v>
      </c>
      <c r="D88" s="7" t="str">
        <f t="shared" si="69"/>
        <v>BN</v>
      </c>
      <c r="E88" s="7" t="str">
        <f t="shared" si="69"/>
        <v>BN</v>
      </c>
      <c r="F88" s="7" t="str">
        <f t="shared" si="69"/>
        <v>BN</v>
      </c>
      <c r="G88" s="7" t="str">
        <f t="shared" si="69"/>
        <v>BN</v>
      </c>
      <c r="H88" s="7">
        <f>SUMIF($B$3:$B$28,B88,C$3:C$28)</f>
        <v>0</v>
      </c>
      <c r="I88" s="7">
        <f t="shared" ref="I88:M88" si="70">SUMIF($B$3:$B$28,C88,D$3:D$28)</f>
        <v>0</v>
      </c>
      <c r="J88" s="7">
        <f t="shared" si="70"/>
        <v>0</v>
      </c>
      <c r="K88" s="7">
        <f t="shared" si="70"/>
        <v>0</v>
      </c>
      <c r="L88" s="7">
        <f t="shared" si="70"/>
        <v>0</v>
      </c>
      <c r="M88" s="7">
        <f t="shared" si="70"/>
        <v>0</v>
      </c>
      <c r="N88" s="6">
        <f>PRODUCT(H88:M88)</f>
        <v>0</v>
      </c>
    </row>
    <row r="89" spans="2:18">
      <c r="B89" s="5"/>
      <c r="N89" s="4"/>
    </row>
    <row r="90" spans="2:18">
      <c r="B90" s="5" t="str">
        <f t="shared" ref="B90:G116" si="71">$B$15</f>
        <v>BN</v>
      </c>
      <c r="C90" t="str">
        <f t="shared" si="69"/>
        <v>BN</v>
      </c>
      <c r="D90" t="str">
        <f t="shared" si="69"/>
        <v>BN</v>
      </c>
      <c r="E90" t="str">
        <f t="shared" si="69"/>
        <v>BN</v>
      </c>
      <c r="F90" t="str">
        <f t="shared" si="69"/>
        <v>BN</v>
      </c>
      <c r="G90" t="str">
        <f>$B$28</f>
        <v>BN-0</v>
      </c>
      <c r="H90">
        <f>SUMIF($B$3:$B$28,B90,C$3:C$28)</f>
        <v>0</v>
      </c>
      <c r="I90">
        <f t="shared" ref="I90:M105" si="72">SUMIF($B$3:$B$28,C90,D$3:D$28)</f>
        <v>0</v>
      </c>
      <c r="J90">
        <f t="shared" si="72"/>
        <v>0</v>
      </c>
      <c r="K90">
        <f t="shared" si="72"/>
        <v>0</v>
      </c>
      <c r="L90">
        <f t="shared" si="72"/>
        <v>0</v>
      </c>
      <c r="M90">
        <f t="shared" si="72"/>
        <v>50</v>
      </c>
      <c r="N90" s="4">
        <f>PRODUCT(H90:M90)</f>
        <v>0</v>
      </c>
    </row>
    <row r="91" spans="2:18">
      <c r="B91" s="5" t="str">
        <f t="shared" si="71"/>
        <v>BN</v>
      </c>
      <c r="C91" t="str">
        <f t="shared" si="69"/>
        <v>BN</v>
      </c>
      <c r="D91" t="str">
        <f t="shared" si="69"/>
        <v>BN</v>
      </c>
      <c r="E91" t="str">
        <f t="shared" si="69"/>
        <v>BN</v>
      </c>
      <c r="F91" t="str">
        <f>$B$28</f>
        <v>BN-0</v>
      </c>
      <c r="G91" t="str">
        <f t="shared" si="69"/>
        <v>BN</v>
      </c>
      <c r="H91">
        <f t="shared" ref="H91:M115" si="73">SUMIF($B$3:$B$28,B91,C$3:C$28)</f>
        <v>0</v>
      </c>
      <c r="I91">
        <f t="shared" si="72"/>
        <v>0</v>
      </c>
      <c r="J91">
        <f t="shared" si="72"/>
        <v>0</v>
      </c>
      <c r="K91">
        <f t="shared" si="72"/>
        <v>0</v>
      </c>
      <c r="L91">
        <f t="shared" si="72"/>
        <v>91</v>
      </c>
      <c r="M91">
        <f t="shared" si="72"/>
        <v>0</v>
      </c>
      <c r="N91" s="4">
        <f t="shared" ref="N91:N132" si="74">PRODUCT(H91:M91)</f>
        <v>0</v>
      </c>
    </row>
    <row r="92" spans="2:18">
      <c r="B92" s="5" t="str">
        <f t="shared" si="71"/>
        <v>BN</v>
      </c>
      <c r="C92" t="str">
        <f t="shared" si="69"/>
        <v>BN</v>
      </c>
      <c r="D92" t="str">
        <f t="shared" si="69"/>
        <v>BN</v>
      </c>
      <c r="E92" t="str">
        <f>$B$28</f>
        <v>BN-0</v>
      </c>
      <c r="F92" t="str">
        <f t="shared" si="69"/>
        <v>BN</v>
      </c>
      <c r="G92" t="str">
        <f t="shared" si="69"/>
        <v>BN</v>
      </c>
      <c r="H92">
        <f t="shared" si="73"/>
        <v>0</v>
      </c>
      <c r="I92">
        <f t="shared" si="72"/>
        <v>0</v>
      </c>
      <c r="J92">
        <f t="shared" si="72"/>
        <v>0</v>
      </c>
      <c r="K92">
        <f t="shared" si="72"/>
        <v>67</v>
      </c>
      <c r="L92">
        <f t="shared" si="72"/>
        <v>0</v>
      </c>
      <c r="M92">
        <f t="shared" si="72"/>
        <v>0</v>
      </c>
      <c r="N92" s="4">
        <f t="shared" si="74"/>
        <v>0</v>
      </c>
    </row>
    <row r="93" spans="2:18">
      <c r="B93" s="5" t="str">
        <f t="shared" si="71"/>
        <v>BN</v>
      </c>
      <c r="C93" t="str">
        <f t="shared" si="69"/>
        <v>BN</v>
      </c>
      <c r="D93" t="str">
        <f>$B$28</f>
        <v>BN-0</v>
      </c>
      <c r="E93" t="str">
        <f t="shared" si="69"/>
        <v>BN</v>
      </c>
      <c r="F93" t="str">
        <f t="shared" si="69"/>
        <v>BN</v>
      </c>
      <c r="G93" t="str">
        <f t="shared" si="69"/>
        <v>BN</v>
      </c>
      <c r="H93">
        <f t="shared" si="73"/>
        <v>0</v>
      </c>
      <c r="I93">
        <f t="shared" si="72"/>
        <v>0</v>
      </c>
      <c r="J93">
        <f t="shared" si="72"/>
        <v>84</v>
      </c>
      <c r="K93">
        <f t="shared" si="72"/>
        <v>0</v>
      </c>
      <c r="L93">
        <f t="shared" si="72"/>
        <v>0</v>
      </c>
      <c r="M93">
        <f t="shared" si="72"/>
        <v>0</v>
      </c>
      <c r="N93" s="4">
        <f t="shared" si="74"/>
        <v>0</v>
      </c>
    </row>
    <row r="94" spans="2:18">
      <c r="B94" s="5" t="str">
        <f t="shared" si="71"/>
        <v>BN</v>
      </c>
      <c r="C94" t="str">
        <f>$B$28</f>
        <v>BN-0</v>
      </c>
      <c r="D94" t="str">
        <f t="shared" si="69"/>
        <v>BN</v>
      </c>
      <c r="E94" t="str">
        <f t="shared" si="69"/>
        <v>BN</v>
      </c>
      <c r="F94" t="str">
        <f t="shared" si="69"/>
        <v>BN</v>
      </c>
      <c r="G94" t="str">
        <f t="shared" si="69"/>
        <v>BN</v>
      </c>
      <c r="H94">
        <f t="shared" si="73"/>
        <v>0</v>
      </c>
      <c r="I94">
        <f t="shared" si="72"/>
        <v>73</v>
      </c>
      <c r="J94">
        <f t="shared" si="72"/>
        <v>0</v>
      </c>
      <c r="K94">
        <f t="shared" si="72"/>
        <v>0</v>
      </c>
      <c r="L94">
        <f t="shared" si="72"/>
        <v>0</v>
      </c>
      <c r="M94">
        <f t="shared" si="72"/>
        <v>0</v>
      </c>
      <c r="N94" s="4">
        <f t="shared" si="74"/>
        <v>0</v>
      </c>
    </row>
    <row r="95" spans="2:18">
      <c r="B95" s="5" t="str">
        <f>$B$28</f>
        <v>BN-0</v>
      </c>
      <c r="C95" t="str">
        <f t="shared" si="69"/>
        <v>BN</v>
      </c>
      <c r="D95" t="str">
        <f t="shared" si="69"/>
        <v>BN</v>
      </c>
      <c r="E95" t="str">
        <f t="shared" si="69"/>
        <v>BN</v>
      </c>
      <c r="F95" t="str">
        <f t="shared" si="69"/>
        <v>BN</v>
      </c>
      <c r="G95" t="str">
        <f t="shared" si="69"/>
        <v>BN</v>
      </c>
      <c r="H95">
        <f t="shared" si="73"/>
        <v>40</v>
      </c>
      <c r="I95">
        <f t="shared" si="72"/>
        <v>0</v>
      </c>
      <c r="J95">
        <f t="shared" si="72"/>
        <v>0</v>
      </c>
      <c r="K95">
        <f t="shared" si="72"/>
        <v>0</v>
      </c>
      <c r="L95">
        <f t="shared" si="72"/>
        <v>0</v>
      </c>
      <c r="M95">
        <f t="shared" si="72"/>
        <v>0</v>
      </c>
      <c r="N95" s="4">
        <f t="shared" si="74"/>
        <v>0</v>
      </c>
    </row>
    <row r="96" spans="2:18">
      <c r="B96" s="5"/>
      <c r="N96" s="4"/>
    </row>
    <row r="97" spans="2:14">
      <c r="B97" s="5" t="str">
        <f t="shared" si="71"/>
        <v>BN</v>
      </c>
      <c r="C97" t="str">
        <f t="shared" si="69"/>
        <v>BN</v>
      </c>
      <c r="D97" t="str">
        <f t="shared" si="69"/>
        <v>BN</v>
      </c>
      <c r="E97" t="str">
        <f t="shared" si="69"/>
        <v>BN</v>
      </c>
      <c r="F97" t="str">
        <f>$B$28</f>
        <v>BN-0</v>
      </c>
      <c r="G97" t="str">
        <f>$B$28</f>
        <v>BN-0</v>
      </c>
      <c r="H97">
        <f t="shared" si="73"/>
        <v>0</v>
      </c>
      <c r="I97">
        <f t="shared" si="72"/>
        <v>0</v>
      </c>
      <c r="J97">
        <f t="shared" si="72"/>
        <v>0</v>
      </c>
      <c r="K97">
        <f t="shared" si="72"/>
        <v>0</v>
      </c>
      <c r="L97">
        <f t="shared" si="72"/>
        <v>91</v>
      </c>
      <c r="M97">
        <f t="shared" si="72"/>
        <v>50</v>
      </c>
      <c r="N97" s="4">
        <f t="shared" si="74"/>
        <v>0</v>
      </c>
    </row>
    <row r="98" spans="2:14">
      <c r="B98" s="5" t="str">
        <f t="shared" si="71"/>
        <v>BN</v>
      </c>
      <c r="C98" t="str">
        <f t="shared" si="69"/>
        <v>BN</v>
      </c>
      <c r="D98" t="str">
        <f t="shared" si="69"/>
        <v>BN</v>
      </c>
      <c r="E98" t="str">
        <f>$B$28</f>
        <v>BN-0</v>
      </c>
      <c r="F98" t="str">
        <f t="shared" si="69"/>
        <v>BN</v>
      </c>
      <c r="G98" t="str">
        <f>$B$28</f>
        <v>BN-0</v>
      </c>
      <c r="H98">
        <f t="shared" si="73"/>
        <v>0</v>
      </c>
      <c r="I98">
        <f t="shared" si="72"/>
        <v>0</v>
      </c>
      <c r="J98">
        <f t="shared" si="72"/>
        <v>0</v>
      </c>
      <c r="K98">
        <f t="shared" si="72"/>
        <v>67</v>
      </c>
      <c r="L98">
        <f t="shared" si="72"/>
        <v>0</v>
      </c>
      <c r="M98">
        <f t="shared" si="72"/>
        <v>50</v>
      </c>
      <c r="N98" s="4">
        <f t="shared" si="74"/>
        <v>0</v>
      </c>
    </row>
    <row r="99" spans="2:14">
      <c r="B99" s="5" t="str">
        <f t="shared" si="71"/>
        <v>BN</v>
      </c>
      <c r="C99" t="str">
        <f t="shared" si="69"/>
        <v>BN</v>
      </c>
      <c r="D99" t="str">
        <f>$B$28</f>
        <v>BN-0</v>
      </c>
      <c r="E99" t="str">
        <f t="shared" si="69"/>
        <v>BN</v>
      </c>
      <c r="F99" t="str">
        <f t="shared" si="69"/>
        <v>BN</v>
      </c>
      <c r="G99" t="str">
        <f>$B$28</f>
        <v>BN-0</v>
      </c>
      <c r="H99">
        <f t="shared" si="73"/>
        <v>0</v>
      </c>
      <c r="I99">
        <f t="shared" si="72"/>
        <v>0</v>
      </c>
      <c r="J99">
        <f t="shared" si="72"/>
        <v>84</v>
      </c>
      <c r="K99">
        <f t="shared" si="72"/>
        <v>0</v>
      </c>
      <c r="L99">
        <f t="shared" si="72"/>
        <v>0</v>
      </c>
      <c r="M99">
        <f t="shared" si="72"/>
        <v>50</v>
      </c>
      <c r="N99" s="4">
        <f t="shared" si="74"/>
        <v>0</v>
      </c>
    </row>
    <row r="100" spans="2:14">
      <c r="B100" s="5" t="str">
        <f t="shared" si="71"/>
        <v>BN</v>
      </c>
      <c r="C100" t="str">
        <f>$B$28</f>
        <v>BN-0</v>
      </c>
      <c r="D100" t="str">
        <f t="shared" si="69"/>
        <v>BN</v>
      </c>
      <c r="E100" t="str">
        <f t="shared" si="69"/>
        <v>BN</v>
      </c>
      <c r="F100" t="str">
        <f t="shared" si="69"/>
        <v>BN</v>
      </c>
      <c r="G100" t="str">
        <f>$B$28</f>
        <v>BN-0</v>
      </c>
      <c r="H100">
        <f t="shared" si="73"/>
        <v>0</v>
      </c>
      <c r="I100">
        <f t="shared" si="72"/>
        <v>73</v>
      </c>
      <c r="J100">
        <f t="shared" si="72"/>
        <v>0</v>
      </c>
      <c r="K100">
        <f t="shared" si="72"/>
        <v>0</v>
      </c>
      <c r="L100">
        <f t="shared" si="72"/>
        <v>0</v>
      </c>
      <c r="M100">
        <f t="shared" si="72"/>
        <v>50</v>
      </c>
      <c r="N100" s="4">
        <f t="shared" si="74"/>
        <v>0</v>
      </c>
    </row>
    <row r="101" spans="2:14">
      <c r="B101" s="5" t="str">
        <f>$B$28</f>
        <v>BN-0</v>
      </c>
      <c r="C101" t="str">
        <f t="shared" si="69"/>
        <v>BN</v>
      </c>
      <c r="D101" t="str">
        <f t="shared" si="69"/>
        <v>BN</v>
      </c>
      <c r="E101" t="str">
        <f t="shared" si="69"/>
        <v>BN</v>
      </c>
      <c r="F101" t="str">
        <f t="shared" si="69"/>
        <v>BN</v>
      </c>
      <c r="G101" t="str">
        <f>$B$28</f>
        <v>BN-0</v>
      </c>
      <c r="H101">
        <f t="shared" si="73"/>
        <v>40</v>
      </c>
      <c r="I101">
        <f t="shared" si="72"/>
        <v>0</v>
      </c>
      <c r="J101">
        <f t="shared" si="72"/>
        <v>0</v>
      </c>
      <c r="K101">
        <f t="shared" si="72"/>
        <v>0</v>
      </c>
      <c r="L101">
        <f t="shared" si="72"/>
        <v>0</v>
      </c>
      <c r="M101">
        <f t="shared" si="72"/>
        <v>50</v>
      </c>
      <c r="N101" s="4">
        <f t="shared" si="74"/>
        <v>0</v>
      </c>
    </row>
    <row r="102" spans="2:14">
      <c r="B102" s="5" t="str">
        <f t="shared" si="71"/>
        <v>BN</v>
      </c>
      <c r="C102" t="str">
        <f t="shared" si="69"/>
        <v>BN</v>
      </c>
      <c r="D102" t="str">
        <f t="shared" si="69"/>
        <v>BN</v>
      </c>
      <c r="E102" t="str">
        <f>$B$28</f>
        <v>BN-0</v>
      </c>
      <c r="F102" t="str">
        <f>$B$28</f>
        <v>BN-0</v>
      </c>
      <c r="G102" t="str">
        <f t="shared" si="69"/>
        <v>BN</v>
      </c>
      <c r="H102">
        <f t="shared" si="73"/>
        <v>0</v>
      </c>
      <c r="I102">
        <f t="shared" si="72"/>
        <v>0</v>
      </c>
      <c r="J102">
        <f t="shared" si="72"/>
        <v>0</v>
      </c>
      <c r="K102">
        <f t="shared" si="72"/>
        <v>67</v>
      </c>
      <c r="L102">
        <f t="shared" si="72"/>
        <v>91</v>
      </c>
      <c r="M102">
        <f t="shared" si="72"/>
        <v>0</v>
      </c>
      <c r="N102" s="4">
        <f t="shared" si="74"/>
        <v>0</v>
      </c>
    </row>
    <row r="103" spans="2:14">
      <c r="B103" s="5" t="str">
        <f t="shared" si="71"/>
        <v>BN</v>
      </c>
      <c r="C103" t="str">
        <f t="shared" si="69"/>
        <v>BN</v>
      </c>
      <c r="D103" t="str">
        <f>$B$28</f>
        <v>BN-0</v>
      </c>
      <c r="E103" t="str">
        <f t="shared" si="69"/>
        <v>BN</v>
      </c>
      <c r="F103" t="str">
        <f>$B$28</f>
        <v>BN-0</v>
      </c>
      <c r="G103" t="str">
        <f t="shared" si="69"/>
        <v>BN</v>
      </c>
      <c r="H103">
        <f t="shared" si="73"/>
        <v>0</v>
      </c>
      <c r="I103">
        <f t="shared" si="72"/>
        <v>0</v>
      </c>
      <c r="J103">
        <f t="shared" si="72"/>
        <v>84</v>
      </c>
      <c r="K103">
        <f t="shared" si="72"/>
        <v>0</v>
      </c>
      <c r="L103">
        <f t="shared" si="72"/>
        <v>91</v>
      </c>
      <c r="M103">
        <f t="shared" si="72"/>
        <v>0</v>
      </c>
      <c r="N103" s="4">
        <f t="shared" si="74"/>
        <v>0</v>
      </c>
    </row>
    <row r="104" spans="2:14">
      <c r="B104" s="5" t="str">
        <f t="shared" si="71"/>
        <v>BN</v>
      </c>
      <c r="C104" t="str">
        <f>$B$28</f>
        <v>BN-0</v>
      </c>
      <c r="D104" t="str">
        <f t="shared" si="69"/>
        <v>BN</v>
      </c>
      <c r="E104" t="str">
        <f t="shared" si="69"/>
        <v>BN</v>
      </c>
      <c r="F104" t="str">
        <f>$B$28</f>
        <v>BN-0</v>
      </c>
      <c r="G104" t="str">
        <f t="shared" si="69"/>
        <v>BN</v>
      </c>
      <c r="H104">
        <f t="shared" si="73"/>
        <v>0</v>
      </c>
      <c r="I104">
        <f t="shared" si="72"/>
        <v>73</v>
      </c>
      <c r="J104">
        <f t="shared" si="72"/>
        <v>0</v>
      </c>
      <c r="K104">
        <f t="shared" si="72"/>
        <v>0</v>
      </c>
      <c r="L104">
        <f t="shared" si="72"/>
        <v>91</v>
      </c>
      <c r="M104">
        <f t="shared" si="72"/>
        <v>0</v>
      </c>
      <c r="N104" s="4">
        <f t="shared" si="74"/>
        <v>0</v>
      </c>
    </row>
    <row r="105" spans="2:14">
      <c r="B105" s="5" t="str">
        <f>$B$28</f>
        <v>BN-0</v>
      </c>
      <c r="C105" t="str">
        <f t="shared" si="69"/>
        <v>BN</v>
      </c>
      <c r="D105" t="str">
        <f t="shared" si="69"/>
        <v>BN</v>
      </c>
      <c r="E105" t="str">
        <f t="shared" si="69"/>
        <v>BN</v>
      </c>
      <c r="F105" t="str">
        <f>$B$28</f>
        <v>BN-0</v>
      </c>
      <c r="G105" t="str">
        <f t="shared" si="69"/>
        <v>BN</v>
      </c>
      <c r="H105">
        <f t="shared" si="73"/>
        <v>40</v>
      </c>
      <c r="I105">
        <f t="shared" si="72"/>
        <v>0</v>
      </c>
      <c r="J105">
        <f t="shared" si="72"/>
        <v>0</v>
      </c>
      <c r="K105">
        <f t="shared" si="72"/>
        <v>0</v>
      </c>
      <c r="L105">
        <f t="shared" si="72"/>
        <v>91</v>
      </c>
      <c r="M105">
        <f t="shared" si="72"/>
        <v>0</v>
      </c>
      <c r="N105" s="4">
        <f t="shared" si="74"/>
        <v>0</v>
      </c>
    </row>
    <row r="106" spans="2:14">
      <c r="B106" s="5" t="str">
        <f t="shared" si="71"/>
        <v>BN</v>
      </c>
      <c r="C106" t="str">
        <f t="shared" si="71"/>
        <v>BN</v>
      </c>
      <c r="D106" t="str">
        <f>$B$28</f>
        <v>BN-0</v>
      </c>
      <c r="E106" t="str">
        <f>$B$28</f>
        <v>BN-0</v>
      </c>
      <c r="F106" t="str">
        <f t="shared" si="71"/>
        <v>BN</v>
      </c>
      <c r="G106" t="str">
        <f t="shared" si="71"/>
        <v>BN</v>
      </c>
      <c r="H106">
        <f t="shared" si="73"/>
        <v>0</v>
      </c>
      <c r="I106">
        <f t="shared" si="73"/>
        <v>0</v>
      </c>
      <c r="J106">
        <f t="shared" si="73"/>
        <v>84</v>
      </c>
      <c r="K106">
        <f t="shared" si="73"/>
        <v>67</v>
      </c>
      <c r="L106">
        <f t="shared" si="73"/>
        <v>0</v>
      </c>
      <c r="M106">
        <f t="shared" si="73"/>
        <v>0</v>
      </c>
      <c r="N106" s="4">
        <f t="shared" si="74"/>
        <v>0</v>
      </c>
    </row>
    <row r="107" spans="2:14">
      <c r="B107" s="5" t="str">
        <f t="shared" si="71"/>
        <v>BN</v>
      </c>
      <c r="C107" t="str">
        <f>$B$28</f>
        <v>BN-0</v>
      </c>
      <c r="D107" t="str">
        <f t="shared" si="71"/>
        <v>BN</v>
      </c>
      <c r="E107" t="str">
        <f>$B$28</f>
        <v>BN-0</v>
      </c>
      <c r="F107" t="str">
        <f t="shared" si="71"/>
        <v>BN</v>
      </c>
      <c r="G107" t="str">
        <f t="shared" si="71"/>
        <v>BN</v>
      </c>
      <c r="H107">
        <f t="shared" si="73"/>
        <v>0</v>
      </c>
      <c r="I107">
        <f t="shared" si="73"/>
        <v>73</v>
      </c>
      <c r="J107">
        <f t="shared" si="73"/>
        <v>0</v>
      </c>
      <c r="K107">
        <f t="shared" si="73"/>
        <v>67</v>
      </c>
      <c r="L107">
        <f t="shared" si="73"/>
        <v>0</v>
      </c>
      <c r="M107">
        <f t="shared" si="73"/>
        <v>0</v>
      </c>
      <c r="N107" s="4">
        <f t="shared" si="74"/>
        <v>0</v>
      </c>
    </row>
    <row r="108" spans="2:14">
      <c r="B108" s="5" t="str">
        <f>$B$28</f>
        <v>BN-0</v>
      </c>
      <c r="C108" t="str">
        <f t="shared" si="71"/>
        <v>BN</v>
      </c>
      <c r="D108" t="str">
        <f t="shared" si="71"/>
        <v>BN</v>
      </c>
      <c r="E108" t="str">
        <f>$B$28</f>
        <v>BN-0</v>
      </c>
      <c r="F108" t="str">
        <f t="shared" si="71"/>
        <v>BN</v>
      </c>
      <c r="G108" t="str">
        <f t="shared" si="71"/>
        <v>BN</v>
      </c>
      <c r="H108">
        <f t="shared" si="73"/>
        <v>40</v>
      </c>
      <c r="I108">
        <f t="shared" si="73"/>
        <v>0</v>
      </c>
      <c r="J108">
        <f t="shared" si="73"/>
        <v>0</v>
      </c>
      <c r="K108">
        <f t="shared" si="73"/>
        <v>67</v>
      </c>
      <c r="L108">
        <f t="shared" si="73"/>
        <v>0</v>
      </c>
      <c r="M108">
        <f t="shared" si="73"/>
        <v>0</v>
      </c>
      <c r="N108" s="4">
        <f t="shared" si="74"/>
        <v>0</v>
      </c>
    </row>
    <row r="109" spans="2:14">
      <c r="B109" s="5" t="str">
        <f t="shared" si="71"/>
        <v>BN</v>
      </c>
      <c r="C109" t="str">
        <f>$B$28</f>
        <v>BN-0</v>
      </c>
      <c r="D109" t="str">
        <f>$B$28</f>
        <v>BN-0</v>
      </c>
      <c r="E109" t="str">
        <f t="shared" si="71"/>
        <v>BN</v>
      </c>
      <c r="F109" t="str">
        <f t="shared" si="71"/>
        <v>BN</v>
      </c>
      <c r="G109" t="str">
        <f t="shared" si="71"/>
        <v>BN</v>
      </c>
      <c r="H109">
        <f t="shared" si="73"/>
        <v>0</v>
      </c>
      <c r="I109">
        <f t="shared" si="73"/>
        <v>73</v>
      </c>
      <c r="J109">
        <f t="shared" si="73"/>
        <v>84</v>
      </c>
      <c r="K109">
        <f t="shared" si="73"/>
        <v>0</v>
      </c>
      <c r="L109">
        <f t="shared" si="73"/>
        <v>0</v>
      </c>
      <c r="M109">
        <f t="shared" si="73"/>
        <v>0</v>
      </c>
      <c r="N109" s="4">
        <f t="shared" si="74"/>
        <v>0</v>
      </c>
    </row>
    <row r="110" spans="2:14">
      <c r="B110" s="5" t="str">
        <f>$B$28</f>
        <v>BN-0</v>
      </c>
      <c r="C110" t="str">
        <f t="shared" si="71"/>
        <v>BN</v>
      </c>
      <c r="D110" t="str">
        <f>$B$28</f>
        <v>BN-0</v>
      </c>
      <c r="E110" t="str">
        <f t="shared" si="71"/>
        <v>BN</v>
      </c>
      <c r="F110" t="str">
        <f t="shared" si="71"/>
        <v>BN</v>
      </c>
      <c r="G110" t="str">
        <f t="shared" si="71"/>
        <v>BN</v>
      </c>
      <c r="H110">
        <f t="shared" si="73"/>
        <v>40</v>
      </c>
      <c r="I110">
        <f t="shared" si="73"/>
        <v>0</v>
      </c>
      <c r="J110">
        <f t="shared" si="73"/>
        <v>84</v>
      </c>
      <c r="K110">
        <f t="shared" si="73"/>
        <v>0</v>
      </c>
      <c r="L110">
        <f t="shared" si="73"/>
        <v>0</v>
      </c>
      <c r="M110">
        <f t="shared" si="73"/>
        <v>0</v>
      </c>
      <c r="N110" s="4">
        <f t="shared" si="74"/>
        <v>0</v>
      </c>
    </row>
    <row r="111" spans="2:14">
      <c r="B111" s="5" t="str">
        <f>$B$28</f>
        <v>BN-0</v>
      </c>
      <c r="C111" t="str">
        <f>$B$28</f>
        <v>BN-0</v>
      </c>
      <c r="D111" t="str">
        <f t="shared" si="71"/>
        <v>BN</v>
      </c>
      <c r="E111" t="str">
        <f t="shared" si="71"/>
        <v>BN</v>
      </c>
      <c r="F111" t="str">
        <f t="shared" si="71"/>
        <v>BN</v>
      </c>
      <c r="G111" t="str">
        <f t="shared" si="71"/>
        <v>BN</v>
      </c>
      <c r="H111">
        <f t="shared" si="73"/>
        <v>40</v>
      </c>
      <c r="I111">
        <f t="shared" si="73"/>
        <v>73</v>
      </c>
      <c r="J111">
        <f t="shared" si="73"/>
        <v>0</v>
      </c>
      <c r="K111">
        <f t="shared" si="73"/>
        <v>0</v>
      </c>
      <c r="L111">
        <f t="shared" si="73"/>
        <v>0</v>
      </c>
      <c r="M111">
        <f t="shared" si="73"/>
        <v>0</v>
      </c>
      <c r="N111" s="4">
        <f t="shared" si="74"/>
        <v>0</v>
      </c>
    </row>
    <row r="112" spans="2:14">
      <c r="B112" s="5"/>
      <c r="N112" s="4"/>
    </row>
    <row r="113" spans="2:14">
      <c r="B113" s="5" t="str">
        <f t="shared" si="71"/>
        <v>BN</v>
      </c>
      <c r="C113" t="str">
        <f t="shared" si="71"/>
        <v>BN</v>
      </c>
      <c r="D113" t="str">
        <f t="shared" si="71"/>
        <v>BN</v>
      </c>
      <c r="E113" t="str">
        <f>$B$28</f>
        <v>BN-0</v>
      </c>
      <c r="F113" t="str">
        <f>$B$28</f>
        <v>BN-0</v>
      </c>
      <c r="G113" t="str">
        <f>$B$28</f>
        <v>BN-0</v>
      </c>
      <c r="H113">
        <f t="shared" si="73"/>
        <v>0</v>
      </c>
      <c r="I113">
        <f t="shared" si="73"/>
        <v>0</v>
      </c>
      <c r="J113">
        <f t="shared" si="73"/>
        <v>0</v>
      </c>
      <c r="K113">
        <f t="shared" si="73"/>
        <v>67</v>
      </c>
      <c r="L113">
        <f t="shared" si="73"/>
        <v>91</v>
      </c>
      <c r="M113">
        <f t="shared" si="73"/>
        <v>50</v>
      </c>
      <c r="N113" s="4">
        <f t="shared" si="74"/>
        <v>0</v>
      </c>
    </row>
    <row r="114" spans="2:14">
      <c r="B114" s="5" t="str">
        <f t="shared" si="71"/>
        <v>BN</v>
      </c>
      <c r="C114" t="str">
        <f t="shared" si="71"/>
        <v>BN</v>
      </c>
      <c r="D114" t="str">
        <f>$B$28</f>
        <v>BN-0</v>
      </c>
      <c r="E114" t="str">
        <f t="shared" si="71"/>
        <v>BN</v>
      </c>
      <c r="F114" t="str">
        <f>$B$28</f>
        <v>BN-0</v>
      </c>
      <c r="G114" t="str">
        <f>$B$28</f>
        <v>BN-0</v>
      </c>
      <c r="H114">
        <f t="shared" si="73"/>
        <v>0</v>
      </c>
      <c r="I114">
        <f t="shared" si="73"/>
        <v>0</v>
      </c>
      <c r="J114">
        <f t="shared" si="73"/>
        <v>84</v>
      </c>
      <c r="K114">
        <f t="shared" si="73"/>
        <v>0</v>
      </c>
      <c r="L114">
        <f t="shared" si="73"/>
        <v>91</v>
      </c>
      <c r="M114">
        <f t="shared" si="73"/>
        <v>50</v>
      </c>
      <c r="N114" s="4">
        <f t="shared" si="74"/>
        <v>0</v>
      </c>
    </row>
    <row r="115" spans="2:14">
      <c r="B115" s="5" t="str">
        <f t="shared" si="71"/>
        <v>BN</v>
      </c>
      <c r="C115" t="str">
        <f>$B$28</f>
        <v>BN-0</v>
      </c>
      <c r="D115" t="str">
        <f t="shared" si="71"/>
        <v>BN</v>
      </c>
      <c r="E115" t="str">
        <f t="shared" si="71"/>
        <v>BN</v>
      </c>
      <c r="F115" t="str">
        <f t="shared" ref="B115:G132" si="75">$B$28</f>
        <v>BN-0</v>
      </c>
      <c r="G115" t="str">
        <f t="shared" si="75"/>
        <v>BN-0</v>
      </c>
      <c r="H115">
        <f t="shared" si="73"/>
        <v>0</v>
      </c>
      <c r="I115">
        <f t="shared" si="73"/>
        <v>73</v>
      </c>
      <c r="J115">
        <f t="shared" si="73"/>
        <v>0</v>
      </c>
      <c r="K115">
        <f t="shared" si="73"/>
        <v>0</v>
      </c>
      <c r="L115">
        <f t="shared" si="73"/>
        <v>91</v>
      </c>
      <c r="M115">
        <f t="shared" si="73"/>
        <v>50</v>
      </c>
      <c r="N115" s="4">
        <f t="shared" si="74"/>
        <v>0</v>
      </c>
    </row>
    <row r="116" spans="2:14">
      <c r="B116" s="5" t="str">
        <f>$B$28</f>
        <v>BN-0</v>
      </c>
      <c r="C116" t="str">
        <f t="shared" si="71"/>
        <v>BN</v>
      </c>
      <c r="D116" t="str">
        <f t="shared" si="71"/>
        <v>BN</v>
      </c>
      <c r="E116" t="str">
        <f t="shared" si="71"/>
        <v>BN</v>
      </c>
      <c r="F116" t="str">
        <f t="shared" si="75"/>
        <v>BN-0</v>
      </c>
      <c r="G116" t="str">
        <f t="shared" si="75"/>
        <v>BN-0</v>
      </c>
      <c r="H116">
        <f t="shared" ref="H116:M131" si="76">SUMIF($B$3:$B$28,B116,C$3:C$28)</f>
        <v>40</v>
      </c>
      <c r="I116">
        <f t="shared" si="76"/>
        <v>0</v>
      </c>
      <c r="J116">
        <f t="shared" si="76"/>
        <v>0</v>
      </c>
      <c r="K116">
        <f t="shared" si="76"/>
        <v>0</v>
      </c>
      <c r="L116">
        <f t="shared" si="76"/>
        <v>91</v>
      </c>
      <c r="M116">
        <f t="shared" si="76"/>
        <v>50</v>
      </c>
      <c r="N116" s="4">
        <f t="shared" si="74"/>
        <v>0</v>
      </c>
    </row>
    <row r="117" spans="2:14">
      <c r="B117" s="5" t="str">
        <f t="shared" ref="B117:G132" si="77">$B$15</f>
        <v>BN</v>
      </c>
      <c r="C117" t="str">
        <f t="shared" si="77"/>
        <v>BN</v>
      </c>
      <c r="D117" t="str">
        <f t="shared" si="75"/>
        <v>BN-0</v>
      </c>
      <c r="E117" t="str">
        <f t="shared" si="75"/>
        <v>BN-0</v>
      </c>
      <c r="F117" t="str">
        <f t="shared" si="77"/>
        <v>BN</v>
      </c>
      <c r="G117" t="str">
        <f t="shared" si="75"/>
        <v>BN-0</v>
      </c>
      <c r="H117">
        <f t="shared" si="76"/>
        <v>0</v>
      </c>
      <c r="I117">
        <f t="shared" si="76"/>
        <v>0</v>
      </c>
      <c r="J117">
        <f t="shared" si="76"/>
        <v>84</v>
      </c>
      <c r="K117">
        <f t="shared" si="76"/>
        <v>67</v>
      </c>
      <c r="L117">
        <f t="shared" si="76"/>
        <v>0</v>
      </c>
      <c r="M117">
        <f t="shared" si="76"/>
        <v>50</v>
      </c>
      <c r="N117" s="4">
        <f t="shared" si="74"/>
        <v>0</v>
      </c>
    </row>
    <row r="118" spans="2:14">
      <c r="B118" s="5" t="str">
        <f t="shared" si="77"/>
        <v>BN</v>
      </c>
      <c r="C118" t="str">
        <f t="shared" si="75"/>
        <v>BN-0</v>
      </c>
      <c r="D118" t="str">
        <f t="shared" si="77"/>
        <v>BN</v>
      </c>
      <c r="E118" t="str">
        <f t="shared" si="75"/>
        <v>BN-0</v>
      </c>
      <c r="F118" t="str">
        <f t="shared" si="77"/>
        <v>BN</v>
      </c>
      <c r="G118" t="str">
        <f t="shared" si="75"/>
        <v>BN-0</v>
      </c>
      <c r="H118">
        <f t="shared" si="76"/>
        <v>0</v>
      </c>
      <c r="I118">
        <f t="shared" si="76"/>
        <v>73</v>
      </c>
      <c r="J118">
        <f t="shared" si="76"/>
        <v>0</v>
      </c>
      <c r="K118">
        <f t="shared" si="76"/>
        <v>67</v>
      </c>
      <c r="L118">
        <f t="shared" si="76"/>
        <v>0</v>
      </c>
      <c r="M118">
        <f t="shared" si="76"/>
        <v>50</v>
      </c>
      <c r="N118" s="4">
        <f t="shared" si="74"/>
        <v>0</v>
      </c>
    </row>
    <row r="119" spans="2:14">
      <c r="B119" s="5" t="str">
        <f t="shared" si="75"/>
        <v>BN-0</v>
      </c>
      <c r="C119" t="str">
        <f t="shared" si="77"/>
        <v>BN</v>
      </c>
      <c r="D119" t="str">
        <f t="shared" si="77"/>
        <v>BN</v>
      </c>
      <c r="E119" t="str">
        <f t="shared" si="75"/>
        <v>BN-0</v>
      </c>
      <c r="F119" t="str">
        <f t="shared" si="77"/>
        <v>BN</v>
      </c>
      <c r="G119" t="str">
        <f t="shared" si="75"/>
        <v>BN-0</v>
      </c>
      <c r="H119">
        <f t="shared" si="76"/>
        <v>40</v>
      </c>
      <c r="I119">
        <f t="shared" si="76"/>
        <v>0</v>
      </c>
      <c r="J119">
        <f t="shared" si="76"/>
        <v>0</v>
      </c>
      <c r="K119">
        <f t="shared" si="76"/>
        <v>67</v>
      </c>
      <c r="L119">
        <f t="shared" si="76"/>
        <v>0</v>
      </c>
      <c r="M119">
        <f t="shared" si="76"/>
        <v>50</v>
      </c>
      <c r="N119" s="4">
        <f t="shared" si="74"/>
        <v>0</v>
      </c>
    </row>
    <row r="120" spans="2:14">
      <c r="B120" s="5" t="str">
        <f t="shared" si="77"/>
        <v>BN</v>
      </c>
      <c r="C120" t="str">
        <f t="shared" si="75"/>
        <v>BN-0</v>
      </c>
      <c r="D120" t="str">
        <f t="shared" si="75"/>
        <v>BN-0</v>
      </c>
      <c r="E120" t="str">
        <f t="shared" si="77"/>
        <v>BN</v>
      </c>
      <c r="F120" t="str">
        <f t="shared" si="77"/>
        <v>BN</v>
      </c>
      <c r="G120" t="str">
        <f t="shared" si="75"/>
        <v>BN-0</v>
      </c>
      <c r="H120">
        <f t="shared" si="76"/>
        <v>0</v>
      </c>
      <c r="I120">
        <f t="shared" si="76"/>
        <v>73</v>
      </c>
      <c r="J120">
        <f t="shared" si="76"/>
        <v>84</v>
      </c>
      <c r="K120">
        <f t="shared" si="76"/>
        <v>0</v>
      </c>
      <c r="L120">
        <f t="shared" si="76"/>
        <v>0</v>
      </c>
      <c r="M120">
        <f t="shared" si="76"/>
        <v>50</v>
      </c>
      <c r="N120" s="4">
        <f t="shared" si="74"/>
        <v>0</v>
      </c>
    </row>
    <row r="121" spans="2:14">
      <c r="B121" s="5" t="str">
        <f t="shared" si="75"/>
        <v>BN-0</v>
      </c>
      <c r="C121" t="str">
        <f t="shared" si="77"/>
        <v>BN</v>
      </c>
      <c r="D121" t="str">
        <f t="shared" si="75"/>
        <v>BN-0</v>
      </c>
      <c r="E121" t="str">
        <f t="shared" si="77"/>
        <v>BN</v>
      </c>
      <c r="F121" t="str">
        <f t="shared" si="77"/>
        <v>BN</v>
      </c>
      <c r="G121" t="str">
        <f t="shared" si="75"/>
        <v>BN-0</v>
      </c>
      <c r="H121">
        <f t="shared" si="76"/>
        <v>40</v>
      </c>
      <c r="I121">
        <f t="shared" si="76"/>
        <v>0</v>
      </c>
      <c r="J121">
        <f t="shared" si="76"/>
        <v>84</v>
      </c>
      <c r="K121">
        <f t="shared" si="76"/>
        <v>0</v>
      </c>
      <c r="L121">
        <f t="shared" si="76"/>
        <v>0</v>
      </c>
      <c r="M121">
        <f t="shared" si="76"/>
        <v>50</v>
      </c>
      <c r="N121" s="4">
        <f t="shared" si="74"/>
        <v>0</v>
      </c>
    </row>
    <row r="122" spans="2:14">
      <c r="B122" s="5" t="str">
        <f t="shared" si="75"/>
        <v>BN-0</v>
      </c>
      <c r="C122" t="str">
        <f t="shared" si="75"/>
        <v>BN-0</v>
      </c>
      <c r="D122" t="str">
        <f t="shared" si="77"/>
        <v>BN</v>
      </c>
      <c r="E122" t="str">
        <f t="shared" si="77"/>
        <v>BN</v>
      </c>
      <c r="F122" t="str">
        <f t="shared" si="77"/>
        <v>BN</v>
      </c>
      <c r="G122" t="str">
        <f t="shared" si="75"/>
        <v>BN-0</v>
      </c>
      <c r="H122">
        <f t="shared" si="76"/>
        <v>40</v>
      </c>
      <c r="I122">
        <f t="shared" si="76"/>
        <v>73</v>
      </c>
      <c r="J122">
        <f t="shared" si="76"/>
        <v>0</v>
      </c>
      <c r="K122">
        <f t="shared" si="76"/>
        <v>0</v>
      </c>
      <c r="L122">
        <f t="shared" si="76"/>
        <v>0</v>
      </c>
      <c r="M122">
        <f t="shared" si="76"/>
        <v>50</v>
      </c>
      <c r="N122" s="4">
        <f t="shared" si="74"/>
        <v>0</v>
      </c>
    </row>
    <row r="123" spans="2:14">
      <c r="B123" s="5" t="str">
        <f t="shared" si="77"/>
        <v>BN</v>
      </c>
      <c r="C123" t="str">
        <f t="shared" si="77"/>
        <v>BN</v>
      </c>
      <c r="D123" t="str">
        <f t="shared" si="75"/>
        <v>BN-0</v>
      </c>
      <c r="E123" t="str">
        <f t="shared" si="75"/>
        <v>BN-0</v>
      </c>
      <c r="F123" t="str">
        <f t="shared" si="75"/>
        <v>BN-0</v>
      </c>
      <c r="G123" t="str">
        <f t="shared" si="77"/>
        <v>BN</v>
      </c>
      <c r="H123">
        <f t="shared" si="76"/>
        <v>0</v>
      </c>
      <c r="I123">
        <f t="shared" si="76"/>
        <v>0</v>
      </c>
      <c r="J123">
        <f t="shared" si="76"/>
        <v>84</v>
      </c>
      <c r="K123">
        <f t="shared" si="76"/>
        <v>67</v>
      </c>
      <c r="L123">
        <f t="shared" si="76"/>
        <v>91</v>
      </c>
      <c r="M123">
        <f t="shared" si="76"/>
        <v>0</v>
      </c>
      <c r="N123" s="4">
        <f t="shared" si="74"/>
        <v>0</v>
      </c>
    </row>
    <row r="124" spans="2:14">
      <c r="B124" s="5" t="str">
        <f t="shared" si="77"/>
        <v>BN</v>
      </c>
      <c r="C124" t="str">
        <f t="shared" si="75"/>
        <v>BN-0</v>
      </c>
      <c r="D124" t="str">
        <f t="shared" si="77"/>
        <v>BN</v>
      </c>
      <c r="E124" t="str">
        <f t="shared" si="75"/>
        <v>BN-0</v>
      </c>
      <c r="F124" t="str">
        <f t="shared" si="75"/>
        <v>BN-0</v>
      </c>
      <c r="G124" t="str">
        <f t="shared" si="77"/>
        <v>BN</v>
      </c>
      <c r="H124">
        <f t="shared" si="76"/>
        <v>0</v>
      </c>
      <c r="I124">
        <f t="shared" si="76"/>
        <v>73</v>
      </c>
      <c r="J124">
        <f t="shared" si="76"/>
        <v>0</v>
      </c>
      <c r="K124">
        <f t="shared" si="76"/>
        <v>67</v>
      </c>
      <c r="L124">
        <f t="shared" si="76"/>
        <v>91</v>
      </c>
      <c r="M124">
        <f t="shared" si="76"/>
        <v>0</v>
      </c>
      <c r="N124" s="4">
        <f t="shared" si="74"/>
        <v>0</v>
      </c>
    </row>
    <row r="125" spans="2:14">
      <c r="B125" s="5" t="str">
        <f t="shared" si="75"/>
        <v>BN-0</v>
      </c>
      <c r="C125" t="str">
        <f t="shared" si="77"/>
        <v>BN</v>
      </c>
      <c r="D125" t="str">
        <f t="shared" si="77"/>
        <v>BN</v>
      </c>
      <c r="E125" t="str">
        <f t="shared" si="75"/>
        <v>BN-0</v>
      </c>
      <c r="F125" t="str">
        <f t="shared" si="75"/>
        <v>BN-0</v>
      </c>
      <c r="G125" t="str">
        <f t="shared" si="77"/>
        <v>BN</v>
      </c>
      <c r="H125">
        <f t="shared" si="76"/>
        <v>40</v>
      </c>
      <c r="I125">
        <f t="shared" si="76"/>
        <v>0</v>
      </c>
      <c r="J125">
        <f t="shared" si="76"/>
        <v>0</v>
      </c>
      <c r="K125">
        <f t="shared" si="76"/>
        <v>67</v>
      </c>
      <c r="L125">
        <f t="shared" si="76"/>
        <v>91</v>
      </c>
      <c r="M125">
        <f t="shared" si="76"/>
        <v>0</v>
      </c>
      <c r="N125" s="4">
        <f t="shared" si="74"/>
        <v>0</v>
      </c>
    </row>
    <row r="126" spans="2:14">
      <c r="B126" s="5" t="str">
        <f t="shared" si="77"/>
        <v>BN</v>
      </c>
      <c r="C126" t="str">
        <f t="shared" si="75"/>
        <v>BN-0</v>
      </c>
      <c r="D126" t="str">
        <f t="shared" si="75"/>
        <v>BN-0</v>
      </c>
      <c r="E126" t="str">
        <f t="shared" si="77"/>
        <v>BN</v>
      </c>
      <c r="F126" t="str">
        <f t="shared" si="75"/>
        <v>BN-0</v>
      </c>
      <c r="G126" t="str">
        <f t="shared" si="77"/>
        <v>BN</v>
      </c>
      <c r="H126">
        <f t="shared" si="76"/>
        <v>0</v>
      </c>
      <c r="I126">
        <f t="shared" si="76"/>
        <v>73</v>
      </c>
      <c r="J126">
        <f t="shared" si="76"/>
        <v>84</v>
      </c>
      <c r="K126">
        <f t="shared" si="76"/>
        <v>0</v>
      </c>
      <c r="L126">
        <f t="shared" si="76"/>
        <v>91</v>
      </c>
      <c r="M126">
        <f t="shared" si="76"/>
        <v>0</v>
      </c>
      <c r="N126" s="4">
        <f t="shared" si="74"/>
        <v>0</v>
      </c>
    </row>
    <row r="127" spans="2:14">
      <c r="B127" s="5" t="str">
        <f t="shared" si="75"/>
        <v>BN-0</v>
      </c>
      <c r="C127" t="str">
        <f t="shared" si="77"/>
        <v>BN</v>
      </c>
      <c r="D127" t="str">
        <f t="shared" si="75"/>
        <v>BN-0</v>
      </c>
      <c r="E127" t="str">
        <f t="shared" si="77"/>
        <v>BN</v>
      </c>
      <c r="F127" t="str">
        <f t="shared" si="75"/>
        <v>BN-0</v>
      </c>
      <c r="G127" t="str">
        <f t="shared" si="77"/>
        <v>BN</v>
      </c>
      <c r="H127">
        <f t="shared" si="76"/>
        <v>40</v>
      </c>
      <c r="I127">
        <f t="shared" si="76"/>
        <v>0</v>
      </c>
      <c r="J127">
        <f t="shared" si="76"/>
        <v>84</v>
      </c>
      <c r="K127">
        <f t="shared" si="76"/>
        <v>0</v>
      </c>
      <c r="L127">
        <f t="shared" si="76"/>
        <v>91</v>
      </c>
      <c r="M127">
        <f t="shared" si="76"/>
        <v>0</v>
      </c>
      <c r="N127" s="4">
        <f t="shared" si="74"/>
        <v>0</v>
      </c>
    </row>
    <row r="128" spans="2:14">
      <c r="B128" s="5" t="str">
        <f t="shared" si="75"/>
        <v>BN-0</v>
      </c>
      <c r="C128" t="str">
        <f t="shared" si="75"/>
        <v>BN-0</v>
      </c>
      <c r="D128" t="str">
        <f t="shared" si="77"/>
        <v>BN</v>
      </c>
      <c r="E128" t="str">
        <f t="shared" si="77"/>
        <v>BN</v>
      </c>
      <c r="F128" t="str">
        <f t="shared" si="75"/>
        <v>BN-0</v>
      </c>
      <c r="G128" t="str">
        <f t="shared" si="77"/>
        <v>BN</v>
      </c>
      <c r="H128">
        <f t="shared" si="76"/>
        <v>40</v>
      </c>
      <c r="I128">
        <f t="shared" si="76"/>
        <v>73</v>
      </c>
      <c r="J128">
        <f t="shared" si="76"/>
        <v>0</v>
      </c>
      <c r="K128">
        <f t="shared" si="76"/>
        <v>0</v>
      </c>
      <c r="L128">
        <f t="shared" si="76"/>
        <v>91</v>
      </c>
      <c r="M128">
        <f t="shared" si="76"/>
        <v>0</v>
      </c>
      <c r="N128" s="4">
        <f t="shared" si="74"/>
        <v>0</v>
      </c>
    </row>
    <row r="129" spans="2:14">
      <c r="B129" s="5" t="str">
        <f t="shared" si="77"/>
        <v>BN</v>
      </c>
      <c r="C129" t="str">
        <f t="shared" si="75"/>
        <v>BN-0</v>
      </c>
      <c r="D129" t="str">
        <f t="shared" si="75"/>
        <v>BN-0</v>
      </c>
      <c r="E129" t="str">
        <f t="shared" si="75"/>
        <v>BN-0</v>
      </c>
      <c r="F129" t="str">
        <f t="shared" si="77"/>
        <v>BN</v>
      </c>
      <c r="G129" t="str">
        <f t="shared" si="77"/>
        <v>BN</v>
      </c>
      <c r="H129">
        <f t="shared" si="76"/>
        <v>0</v>
      </c>
      <c r="I129">
        <f t="shared" si="76"/>
        <v>73</v>
      </c>
      <c r="J129">
        <f t="shared" si="76"/>
        <v>84</v>
      </c>
      <c r="K129">
        <f t="shared" si="76"/>
        <v>67</v>
      </c>
      <c r="L129">
        <f t="shared" si="76"/>
        <v>0</v>
      </c>
      <c r="M129">
        <f t="shared" si="76"/>
        <v>0</v>
      </c>
      <c r="N129" s="4">
        <f t="shared" si="74"/>
        <v>0</v>
      </c>
    </row>
    <row r="130" spans="2:14">
      <c r="B130" s="5" t="str">
        <f t="shared" si="75"/>
        <v>BN-0</v>
      </c>
      <c r="C130" t="str">
        <f t="shared" si="77"/>
        <v>BN</v>
      </c>
      <c r="D130" t="str">
        <f t="shared" si="75"/>
        <v>BN-0</v>
      </c>
      <c r="E130" t="str">
        <f t="shared" si="75"/>
        <v>BN-0</v>
      </c>
      <c r="F130" t="str">
        <f t="shared" si="77"/>
        <v>BN</v>
      </c>
      <c r="G130" t="str">
        <f t="shared" si="77"/>
        <v>BN</v>
      </c>
      <c r="H130">
        <f t="shared" si="76"/>
        <v>40</v>
      </c>
      <c r="I130">
        <f t="shared" si="76"/>
        <v>0</v>
      </c>
      <c r="J130">
        <f t="shared" si="76"/>
        <v>84</v>
      </c>
      <c r="K130">
        <f t="shared" si="76"/>
        <v>67</v>
      </c>
      <c r="L130">
        <f t="shared" si="76"/>
        <v>0</v>
      </c>
      <c r="M130">
        <f t="shared" si="76"/>
        <v>0</v>
      </c>
      <c r="N130" s="4">
        <f t="shared" si="74"/>
        <v>0</v>
      </c>
    </row>
    <row r="131" spans="2:14">
      <c r="B131" s="5" t="str">
        <f t="shared" si="75"/>
        <v>BN-0</v>
      </c>
      <c r="C131" t="str">
        <f t="shared" si="75"/>
        <v>BN-0</v>
      </c>
      <c r="D131" t="str">
        <f t="shared" si="77"/>
        <v>BN</v>
      </c>
      <c r="E131" t="str">
        <f t="shared" si="75"/>
        <v>BN-0</v>
      </c>
      <c r="F131" t="str">
        <f t="shared" si="77"/>
        <v>BN</v>
      </c>
      <c r="G131" t="str">
        <f t="shared" si="77"/>
        <v>BN</v>
      </c>
      <c r="H131">
        <f t="shared" si="76"/>
        <v>40</v>
      </c>
      <c r="I131">
        <f t="shared" si="76"/>
        <v>73</v>
      </c>
      <c r="J131">
        <f t="shared" si="76"/>
        <v>0</v>
      </c>
      <c r="K131">
        <f t="shared" si="76"/>
        <v>67</v>
      </c>
      <c r="L131">
        <f t="shared" si="76"/>
        <v>0</v>
      </c>
      <c r="M131">
        <f t="shared" si="76"/>
        <v>0</v>
      </c>
      <c r="N131" s="4">
        <f t="shared" si="74"/>
        <v>0</v>
      </c>
    </row>
    <row r="132" spans="2:14">
      <c r="B132" s="3" t="str">
        <f t="shared" si="75"/>
        <v>BN-0</v>
      </c>
      <c r="C132" s="2" t="str">
        <f t="shared" si="75"/>
        <v>BN-0</v>
      </c>
      <c r="D132" s="2" t="str">
        <f t="shared" si="75"/>
        <v>BN-0</v>
      </c>
      <c r="E132" s="2" t="str">
        <f t="shared" si="77"/>
        <v>BN</v>
      </c>
      <c r="F132" s="2" t="str">
        <f t="shared" si="77"/>
        <v>BN</v>
      </c>
      <c r="G132" s="2" t="str">
        <f t="shared" si="77"/>
        <v>BN</v>
      </c>
      <c r="H132" s="2">
        <f t="shared" ref="H132:M132" si="78">SUMIF($B$3:$B$28,B132,C$3:C$28)</f>
        <v>40</v>
      </c>
      <c r="I132" s="2">
        <f t="shared" si="78"/>
        <v>73</v>
      </c>
      <c r="J132" s="2">
        <f t="shared" si="78"/>
        <v>84</v>
      </c>
      <c r="K132" s="2">
        <f t="shared" si="78"/>
        <v>0</v>
      </c>
      <c r="L132" s="2">
        <f t="shared" si="78"/>
        <v>0</v>
      </c>
      <c r="M132" s="2">
        <f t="shared" si="78"/>
        <v>0</v>
      </c>
      <c r="N132" s="1">
        <f t="shared" si="74"/>
        <v>0</v>
      </c>
    </row>
  </sheetData>
  <mergeCells count="4">
    <mergeCell ref="K17:P17"/>
    <mergeCell ref="AA30:AF30"/>
    <mergeCell ref="AK30:AL30"/>
    <mergeCell ref="AK31:AL31"/>
  </mergeCells>
  <conditionalFormatting sqref="AA31:AF65">
    <cfRule type="cellIs" dxfId="14" priority="1" operator="equal">
      <formula>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04DA-5A56-44B6-AC7F-87F61DE82AB9}">
  <dimension ref="B2:BL135"/>
  <sheetViews>
    <sheetView zoomScale="69" zoomScaleNormal="84" workbookViewId="0">
      <selection activeCell="AJ5" sqref="AJ5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'FG2 Calc'!K26</f>
        <v>2</v>
      </c>
      <c r="S3" s="37">
        <f>'FG2 Calc'!L26</f>
        <v>2</v>
      </c>
      <c r="T3" s="37">
        <f>'FG2 Calc'!M26</f>
        <v>2</v>
      </c>
      <c r="U3" s="37">
        <f>'FG2 Calc'!N26</f>
        <v>2</v>
      </c>
      <c r="V3" s="37">
        <f>'FG2 Calc'!O26</f>
        <v>2</v>
      </c>
      <c r="W3" s="38">
        <f>'FG2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GG</v>
      </c>
      <c r="D4" s="32" t="str">
        <f t="shared" si="1"/>
        <v>JJ</v>
      </c>
      <c r="E4" s="32" t="str">
        <f t="shared" si="1"/>
        <v>JJ</v>
      </c>
      <c r="F4" s="32" t="str">
        <f t="shared" si="1"/>
        <v>GG</v>
      </c>
      <c r="G4" s="32" t="str">
        <f t="shared" si="1"/>
        <v>CC</v>
      </c>
      <c r="H4" s="33" t="str">
        <f t="shared" si="1"/>
        <v>AA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HH</v>
      </c>
      <c r="D5" s="30" t="str">
        <f t="shared" si="1"/>
        <v>FF</v>
      </c>
      <c r="E5" s="30" t="str">
        <f t="shared" si="1"/>
        <v>BB</v>
      </c>
      <c r="F5" s="30" t="str">
        <f t="shared" si="1"/>
        <v>BB</v>
      </c>
      <c r="G5" s="30" t="str">
        <f t="shared" si="1"/>
        <v>KK</v>
      </c>
      <c r="H5" s="35" t="str">
        <f t="shared" si="1"/>
        <v>DD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HH</v>
      </c>
      <c r="D6" s="30" t="str">
        <f t="shared" si="1"/>
        <v>LL</v>
      </c>
      <c r="E6" s="30" t="str">
        <f t="shared" si="1"/>
        <v>KK</v>
      </c>
      <c r="F6" s="30" t="str">
        <f t="shared" si="1"/>
        <v>LL</v>
      </c>
      <c r="G6" s="30" t="str">
        <f t="shared" si="1"/>
        <v>BB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DD</v>
      </c>
      <c r="D7" s="30" t="str">
        <f t="shared" si="1"/>
        <v>GG</v>
      </c>
      <c r="E7" s="30" t="str">
        <f t="shared" si="1"/>
        <v>JJ</v>
      </c>
      <c r="F7" s="30" t="str">
        <f t="shared" si="1"/>
        <v>CC</v>
      </c>
      <c r="G7" s="30" t="str">
        <f t="shared" si="1"/>
        <v>DD</v>
      </c>
      <c r="H7" s="35" t="str">
        <f t="shared" si="1"/>
        <v>DD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BB</v>
      </c>
      <c r="D8" s="30" t="str">
        <f t="shared" si="1"/>
        <v>BB</v>
      </c>
      <c r="E8" s="30" t="str">
        <f t="shared" si="1"/>
        <v>BB</v>
      </c>
      <c r="F8" s="30" t="str">
        <f t="shared" si="1"/>
        <v>FF</v>
      </c>
      <c r="G8" s="30" t="str">
        <f t="shared" si="1"/>
        <v>BB</v>
      </c>
      <c r="H8" s="35" t="str">
        <f t="shared" si="1"/>
        <v>GG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JJ</v>
      </c>
      <c r="D9" s="37" t="str">
        <f t="shared" si="1"/>
        <v>AA</v>
      </c>
      <c r="E9" s="37" t="str">
        <f t="shared" si="1"/>
        <v>AA</v>
      </c>
      <c r="F9" s="37" t="str">
        <f t="shared" si="1"/>
        <v>GG</v>
      </c>
      <c r="G9" s="37" t="str">
        <f t="shared" si="1"/>
        <v>DD</v>
      </c>
      <c r="H9" s="38" t="str">
        <f t="shared" si="1"/>
        <v>AA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138</v>
      </c>
      <c r="D10" s="30" t="s">
        <v>129</v>
      </c>
      <c r="E10" s="30" t="s">
        <v>128</v>
      </c>
      <c r="F10" s="30" t="s">
        <v>132</v>
      </c>
      <c r="G10" s="30" t="s">
        <v>138</v>
      </c>
      <c r="H10" s="35" t="s">
        <v>128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0000000001010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0100000001000</v>
      </c>
      <c r="AD10" s="15" t="str">
        <f t="shared" si="7"/>
        <v>0100001000000</v>
      </c>
      <c r="AE10" s="15" t="str">
        <f t="shared" si="7"/>
        <v>0000000100100</v>
      </c>
      <c r="AF10" s="15" t="str">
        <f t="shared" si="7"/>
        <v>0000100000010</v>
      </c>
      <c r="AG10" s="41" t="str">
        <f t="shared" si="7"/>
        <v>0100001000000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138</v>
      </c>
      <c r="D11" s="30" t="s">
        <v>129</v>
      </c>
      <c r="E11" s="30" t="s">
        <v>128</v>
      </c>
      <c r="F11" s="30" t="s">
        <v>132</v>
      </c>
      <c r="G11" s="30" t="s">
        <v>134</v>
      </c>
      <c r="H11" s="35" t="s">
        <v>128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</v>
      </c>
      <c r="S11" s="30">
        <f t="shared" si="5"/>
        <v>4</v>
      </c>
      <c r="T11" s="30">
        <f t="shared" si="5"/>
        <v>4</v>
      </c>
      <c r="U11" s="30">
        <f t="shared" si="5"/>
        <v>5</v>
      </c>
      <c r="V11" s="30">
        <f t="shared" si="5"/>
        <v>13</v>
      </c>
      <c r="W11" s="35">
        <f t="shared" si="5"/>
        <v>7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0000000000020</v>
      </c>
      <c r="AC11" s="15" t="str">
        <f t="shared" si="7"/>
        <v>0000000002000</v>
      </c>
      <c r="AD11" s="15" t="str">
        <f t="shared" si="7"/>
        <v>0000002000000</v>
      </c>
      <c r="AE11" s="15" t="str">
        <f t="shared" si="7"/>
        <v>0000000000200</v>
      </c>
      <c r="AF11" s="15" t="str">
        <f t="shared" si="7"/>
        <v>0001000000010</v>
      </c>
      <c r="AG11" s="41" t="str">
        <f t="shared" si="7"/>
        <v>0000002000000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</v>
      </c>
      <c r="AT11" s="30" cm="1">
        <f t="array" ref="AT11">SUMPRODUCT($AI$10:$AI$113,AL$10:AL$113,IF(LEFT($AJ$10:$AJ$113,2)=$AR11,1,0))</f>
        <v>8</v>
      </c>
      <c r="AU11" s="30" cm="1">
        <f t="array" ref="AU11">SUMPRODUCT($AI$10:$AI$113,AM$10:AM$113,IF(LEFT($AJ$10:$AJ$113,2)=$AR11,1,0))</f>
        <v>8</v>
      </c>
      <c r="AV11" s="30" cm="1">
        <f t="array" ref="AV11">SUMPRODUCT($AI$10:$AI$113,AN$10:AN$113,IF(LEFT($AJ$10:$AJ$113,2)=$AR11,1,0))</f>
        <v>10</v>
      </c>
      <c r="AW11" s="30" cm="1">
        <f t="array" ref="AW11">SUMPRODUCT($AI$10:$AI$113,AO$10:AO$113,IF(LEFT($AJ$10:$AJ$113,2)=$AR11,1,0))</f>
        <v>26</v>
      </c>
      <c r="AX11" s="35" cm="1">
        <f t="array" ref="AX11">SUMPRODUCT($AI$10:$AI$113,AP$10:AP$113,IF(LEFT($AJ$10:$AJ$113,2)=$AR11,1,0))</f>
        <v>14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138</v>
      </c>
      <c r="D12" s="30" t="s">
        <v>129</v>
      </c>
      <c r="E12" s="30" t="s">
        <v>128</v>
      </c>
      <c r="F12" s="30" t="s">
        <v>132</v>
      </c>
      <c r="G12" s="30" t="s">
        <v>131</v>
      </c>
      <c r="H12" s="35" t="s">
        <v>128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</v>
      </c>
      <c r="S12" s="30">
        <f t="shared" si="5"/>
        <v>4</v>
      </c>
      <c r="T12" s="30">
        <f t="shared" si="5"/>
        <v>9</v>
      </c>
      <c r="U12" s="30">
        <f t="shared" si="5"/>
        <v>7</v>
      </c>
      <c r="V12" s="30">
        <f t="shared" si="5"/>
        <v>10</v>
      </c>
      <c r="W12" s="35">
        <f t="shared" si="5"/>
        <v>5</v>
      </c>
      <c r="Y12" s="20">
        <f t="shared" si="6"/>
        <v>4</v>
      </c>
      <c r="Z12" s="23" t="s">
        <v>134</v>
      </c>
      <c r="AB12" s="40" t="str">
        <f t="shared" si="11"/>
        <v>0000000000020</v>
      </c>
      <c r="AC12" s="15" t="str">
        <f t="shared" si="7"/>
        <v>0000000002000</v>
      </c>
      <c r="AD12" s="15" t="str">
        <f t="shared" si="7"/>
        <v>0000002000000</v>
      </c>
      <c r="AE12" s="15" t="str">
        <f t="shared" si="7"/>
        <v>0000000000200</v>
      </c>
      <c r="AF12" s="15" t="str">
        <f t="shared" si="7"/>
        <v>0101000000000</v>
      </c>
      <c r="AG12" s="41" t="str">
        <f t="shared" si="7"/>
        <v>0000002000000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</v>
      </c>
      <c r="AT12" s="30" cm="1">
        <f t="array" ref="AT12">SUMPRODUCT($AI$10:$AI$113,AL$10:AL$113,IF(LEFT($AJ$10:$AJ$113,2)=$AR12,1,0))</f>
        <v>8</v>
      </c>
      <c r="AU12" s="30" cm="1">
        <f t="array" ref="AU12">SUMPRODUCT($AI$10:$AI$113,AM$10:AM$113,IF(LEFT($AJ$10:$AJ$113,2)=$AR12,1,0))</f>
        <v>18</v>
      </c>
      <c r="AV12" s="30" cm="1">
        <f t="array" ref="AV12">SUMPRODUCT($AI$10:$AI$113,AN$10:AN$113,IF(LEFT($AJ$10:$AJ$113,2)=$AR12,1,0))</f>
        <v>14</v>
      </c>
      <c r="AW12" s="30" cm="1">
        <f t="array" ref="AW12">SUMPRODUCT($AI$10:$AI$113,AO$10:AO$113,IF(LEFT($AJ$10:$AJ$113,2)=$AR12,1,0))</f>
        <v>20</v>
      </c>
      <c r="AX12" s="35" cm="1">
        <f t="array" ref="AX12">SUMPRODUCT($AI$10:$AI$113,AP$10:AP$113,IF(LEFT($AJ$10:$AJ$113,2)=$AR12,1,0))</f>
        <v>10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129</v>
      </c>
      <c r="D13" s="30" t="s">
        <v>133</v>
      </c>
      <c r="E13" s="30" t="s">
        <v>129</v>
      </c>
      <c r="F13" s="30" t="s">
        <v>129</v>
      </c>
      <c r="G13" s="30" t="s">
        <v>131</v>
      </c>
      <c r="H13" s="35" t="s">
        <v>137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2</v>
      </c>
      <c r="S13" s="30">
        <f t="shared" si="5"/>
        <v>4</v>
      </c>
      <c r="T13" s="30">
        <f t="shared" si="5"/>
        <v>8</v>
      </c>
      <c r="U13" s="30">
        <f t="shared" si="5"/>
        <v>6</v>
      </c>
      <c r="V13" s="30">
        <f t="shared" si="5"/>
        <v>8</v>
      </c>
      <c r="W13" s="35">
        <f t="shared" si="5"/>
        <v>5</v>
      </c>
      <c r="Y13" s="20">
        <f t="shared" si="6"/>
        <v>5</v>
      </c>
      <c r="Z13" s="23" t="s">
        <v>136</v>
      </c>
      <c r="AB13" s="40" t="str">
        <f t="shared" si="11"/>
        <v>0000000001010</v>
      </c>
      <c r="AC13" s="15" t="str">
        <f t="shared" si="7"/>
        <v>0000000101000</v>
      </c>
      <c r="AD13" s="15" t="str">
        <f t="shared" si="7"/>
        <v>0000001001000</v>
      </c>
      <c r="AE13" s="15" t="str">
        <f t="shared" si="7"/>
        <v>0000000001100</v>
      </c>
      <c r="AF13" s="15" t="str">
        <f t="shared" si="7"/>
        <v>0200000000000</v>
      </c>
      <c r="AG13" s="41" t="str">
        <f t="shared" si="7"/>
        <v>0000011000000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4</v>
      </c>
      <c r="AT13" s="30" cm="1">
        <f t="array" ref="AT13">SUMPRODUCT($AI$10:$AI$113,AL$10:AL$113,IF(LEFT($AJ$10:$AJ$113,2)=$AR13,1,0))</f>
        <v>8</v>
      </c>
      <c r="AU13" s="30" cm="1">
        <f t="array" ref="AU13">SUMPRODUCT($AI$10:$AI$113,AM$10:AM$113,IF(LEFT($AJ$10:$AJ$113,2)=$AR13,1,0))</f>
        <v>16</v>
      </c>
      <c r="AV13" s="30" cm="1">
        <f t="array" ref="AV13">SUMPRODUCT($AI$10:$AI$113,AN$10:AN$113,IF(LEFT($AJ$10:$AJ$113,2)=$AR13,1,0))</f>
        <v>12</v>
      </c>
      <c r="AW13" s="30" cm="1">
        <f t="array" ref="AW13">SUMPRODUCT($AI$10:$AI$113,AO$10:AO$113,IF(LEFT($AJ$10:$AJ$113,2)=$AR13,1,0))</f>
        <v>16</v>
      </c>
      <c r="AX13" s="35" cm="1">
        <f t="array" ref="AX13">SUMPRODUCT($AI$10:$AI$113,AP$10:AP$113,IF(LEFT($AJ$10:$AJ$113,2)=$AR13,1,0))</f>
        <v>10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132</v>
      </c>
      <c r="D14" s="30" t="s">
        <v>137</v>
      </c>
      <c r="E14" s="30" t="s">
        <v>127</v>
      </c>
      <c r="F14" s="30" t="s">
        <v>128</v>
      </c>
      <c r="G14" s="30" t="s">
        <v>131</v>
      </c>
      <c r="H14" s="35" t="s">
        <v>130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2</v>
      </c>
      <c r="S14" s="30">
        <f t="shared" si="5"/>
        <v>4</v>
      </c>
      <c r="T14" s="30">
        <f t="shared" si="5"/>
        <v>4</v>
      </c>
      <c r="U14" s="30">
        <f t="shared" si="5"/>
        <v>10</v>
      </c>
      <c r="V14" s="30">
        <f t="shared" si="5"/>
        <v>10</v>
      </c>
      <c r="W14" s="35">
        <f t="shared" si="5"/>
        <v>7</v>
      </c>
      <c r="Y14" s="20">
        <f t="shared" si="6"/>
        <v>6</v>
      </c>
      <c r="Z14" s="23" t="s">
        <v>137</v>
      </c>
      <c r="AB14" s="40" t="str">
        <f t="shared" si="11"/>
        <v>0000000001100</v>
      </c>
      <c r="AC14" s="15" t="str">
        <f t="shared" si="7"/>
        <v>0000010100000</v>
      </c>
      <c r="AD14" s="15" t="str">
        <f t="shared" si="7"/>
        <v>0010000001000</v>
      </c>
      <c r="AE14" s="15" t="str">
        <f t="shared" si="7"/>
        <v>0000001001000</v>
      </c>
      <c r="AF14" s="15" t="str">
        <f t="shared" si="7"/>
        <v>0200000000000</v>
      </c>
      <c r="AG14" s="41" t="str">
        <f t="shared" si="7"/>
        <v>0000010010000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4</v>
      </c>
      <c r="AT14" s="30" cm="1">
        <f t="array" ref="AT14">SUMPRODUCT($AI$10:$AI$113,AL$10:AL$113,IF(LEFT($AJ$10:$AJ$113,2)=$AR14,1,0))</f>
        <v>8</v>
      </c>
      <c r="AU14" s="30" cm="1">
        <f t="array" ref="AU14">SUMPRODUCT($AI$10:$AI$113,AM$10:AM$113,IF(LEFT($AJ$10:$AJ$113,2)=$AR14,1,0))</f>
        <v>8</v>
      </c>
      <c r="AV14" s="30" cm="1">
        <f t="array" ref="AV14">SUMPRODUCT($AI$10:$AI$113,AN$10:AN$113,IF(LEFT($AJ$10:$AJ$113,2)=$AR14,1,0))</f>
        <v>20</v>
      </c>
      <c r="AW14" s="30" cm="1">
        <f t="array" ref="AW14">SUMPRODUCT($AI$10:$AI$113,AO$10:AO$113,IF(LEFT($AJ$10:$AJ$113,2)=$AR14,1,0))</f>
        <v>20</v>
      </c>
      <c r="AX14" s="35" cm="1">
        <f t="array" ref="AX14">SUMPRODUCT($AI$10:$AI$113,AP$10:AP$113,IF(LEFT($AJ$10:$AJ$113,2)=$AR14,1,0))</f>
        <v>14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132</v>
      </c>
      <c r="D15" s="30" t="s">
        <v>137</v>
      </c>
      <c r="E15" s="30" t="s">
        <v>130</v>
      </c>
      <c r="F15" s="30" t="s">
        <v>128</v>
      </c>
      <c r="G15" s="30" t="s">
        <v>133</v>
      </c>
      <c r="H15" s="35" t="s">
        <v>133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3</v>
      </c>
      <c r="S15" s="30">
        <f t="shared" si="5"/>
        <v>7</v>
      </c>
      <c r="T15" s="30">
        <f t="shared" si="5"/>
        <v>8</v>
      </c>
      <c r="U15" s="30">
        <f t="shared" si="5"/>
        <v>2</v>
      </c>
      <c r="V15" s="30">
        <f t="shared" si="5"/>
        <v>1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0000000000200</v>
      </c>
      <c r="AC15" s="15" t="str">
        <f t="shared" si="7"/>
        <v>0000020000000</v>
      </c>
      <c r="AD15" s="15" t="str">
        <f t="shared" si="7"/>
        <v>0010000010000</v>
      </c>
      <c r="AE15" s="15" t="str">
        <f t="shared" si="7"/>
        <v>0000002000000</v>
      </c>
      <c r="AF15" s="15" t="str">
        <f t="shared" si="7"/>
        <v>0100000100000</v>
      </c>
      <c r="AG15" s="41" t="str">
        <f t="shared" si="7"/>
        <v>0000000110000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0</v>
      </c>
      <c r="AL15" s="39" cm="1">
        <f t="array" ref="AL15">SUMPRODUCT(--(MID(AC$10:AC$135, SUMIF($Z$9:$Z$21, LEFT($AJ15,2), $Y$9:$Y$21), 1) = RIGHT($AJ15, 1)), K$10:K$135)</f>
        <v>0</v>
      </c>
      <c r="AM15" s="39" cm="1">
        <f t="array" ref="AM15">SUMPRODUCT(--(MID(AD$10:AD$135, SUMIF($Z$9:$Z$21, LEFT($AJ15,2), $Y$9:$Y$21), 1) = RIGHT($AJ15, 1)), L$10:L$135)</f>
        <v>0</v>
      </c>
      <c r="AN15" s="39" cm="1">
        <f t="array" ref="AN15">SUMPRODUCT(--(MID(AE$10:AE$135, SUMIF($Z$9:$Z$21, LEFT($AJ15,2), $Y$9:$Y$21), 1) = RIGHT($AJ15, 1)), M$10:M$135)</f>
        <v>3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6</v>
      </c>
      <c r="AT15" s="30" cm="1">
        <f t="array" ref="AT15">SUMPRODUCT($AI$10:$AI$113,AL$10:AL$113,IF(LEFT($AJ$10:$AJ$113,2)=$AR15,1,0))</f>
        <v>14</v>
      </c>
      <c r="AU15" s="30" cm="1">
        <f t="array" ref="AU15">SUMPRODUCT($AI$10:$AI$113,AM$10:AM$113,IF(LEFT($AJ$10:$AJ$113,2)=$AR15,1,0))</f>
        <v>16</v>
      </c>
      <c r="AV15" s="30" cm="1">
        <f t="array" ref="AV15">SUMPRODUCT($AI$10:$AI$113,AN$10:AN$113,IF(LEFT($AJ$10:$AJ$113,2)=$AR15,1,0))</f>
        <v>4</v>
      </c>
      <c r="AW15" s="30" cm="1">
        <f t="array" ref="AW15">SUMPRODUCT($AI$10:$AI$113,AO$10:AO$113,IF(LEFT($AJ$10:$AJ$113,2)=$AR15,1,0))</f>
        <v>2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132</v>
      </c>
      <c r="D16" s="30" t="s">
        <v>137</v>
      </c>
      <c r="E16" s="30" t="s">
        <v>137</v>
      </c>
      <c r="F16" s="30" t="s">
        <v>128</v>
      </c>
      <c r="G16" s="30" t="s">
        <v>133</v>
      </c>
      <c r="H16" s="35" t="s">
        <v>138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4</v>
      </c>
      <c r="S16" s="30">
        <f t="shared" si="5"/>
        <v>5</v>
      </c>
      <c r="T16" s="30">
        <f t="shared" si="5"/>
        <v>4</v>
      </c>
      <c r="U16" s="30">
        <f t="shared" si="5"/>
        <v>9</v>
      </c>
      <c r="V16" s="30">
        <f t="shared" si="5"/>
        <v>9</v>
      </c>
      <c r="W16" s="35">
        <f t="shared" si="5"/>
        <v>4</v>
      </c>
      <c r="Y16" s="20">
        <f t="shared" si="6"/>
        <v>8</v>
      </c>
      <c r="Z16" s="23" t="s">
        <v>133</v>
      </c>
      <c r="AB16" s="40" t="str">
        <f t="shared" si="11"/>
        <v>0000000000200</v>
      </c>
      <c r="AC16" s="15" t="str">
        <f t="shared" si="7"/>
        <v>0000020000000</v>
      </c>
      <c r="AD16" s="15" t="str">
        <f t="shared" si="7"/>
        <v>0000010010000</v>
      </c>
      <c r="AE16" s="15" t="str">
        <f t="shared" si="7"/>
        <v>0000002000000</v>
      </c>
      <c r="AF16" s="15" t="str">
        <f t="shared" si="7"/>
        <v>0000000200000</v>
      </c>
      <c r="AG16" s="41" t="str">
        <f t="shared" si="7"/>
        <v>0000000100010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</v>
      </c>
      <c r="AL16" s="39" cm="1">
        <f t="array" ref="AL16">SUMPRODUCT(--(MID(AC$10:AC$135, SUMIF($Z$9:$Z$21, LEFT($AJ16,2), $Y$9:$Y$21), 1) = RIGHT($AJ16, 1)), K$10:K$135)</f>
        <v>8</v>
      </c>
      <c r="AM16" s="39" cm="1">
        <f t="array" ref="AM16">SUMPRODUCT(--(MID(AD$10:AD$135, SUMIF($Z$9:$Z$21, LEFT($AJ16,2), $Y$9:$Y$21), 1) = RIGHT($AJ16, 1)), L$10:L$135)</f>
        <v>8</v>
      </c>
      <c r="AN16" s="39" cm="1">
        <f t="array" ref="AN16">SUMPRODUCT(--(MID(AE$10:AE$135, SUMIF($Z$9:$Z$21, LEFT($AJ16,2), $Y$9:$Y$21), 1) = RIGHT($AJ16, 1)), M$10:M$135)</f>
        <v>4</v>
      </c>
      <c r="AO16" s="39" cm="1">
        <f t="array" ref="AO16">SUMPRODUCT(--(MID(AF$10:AF$135, SUMIF($Z$9:$Z$21, LEFT($AJ16,2), $Y$9:$Y$21), 1) = RIGHT($AJ16, 1)), N$10:N$135)</f>
        <v>22</v>
      </c>
      <c r="AP16" s="19" cm="1">
        <f t="array" ref="AP16">SUMPRODUCT(--(MID(AG$10:AG$135, SUMIF($Z$9:$Z$21, LEFT($AJ16,2), $Y$9:$Y$21), 1) = RIGHT($AJ16, 1)), O$10:O$135)</f>
        <v>10</v>
      </c>
      <c r="AR16" s="34" t="str">
        <f t="shared" si="8"/>
        <v>FF</v>
      </c>
      <c r="AS16" s="30" cm="1">
        <f t="array" ref="AS16">SUMPRODUCT($AI$10:$AI$113,AK$10:AK$113,IF(LEFT($AJ$10:$AJ$113,2)=$AR16,1,0))</f>
        <v>8</v>
      </c>
      <c r="AT16" s="30" cm="1">
        <f t="array" ref="AT16">SUMPRODUCT($AI$10:$AI$113,AL$10:AL$113,IF(LEFT($AJ$10:$AJ$113,2)=$AR16,1,0))</f>
        <v>10</v>
      </c>
      <c r="AU16" s="30" cm="1">
        <f t="array" ref="AU16">SUMPRODUCT($AI$10:$AI$113,AM$10:AM$113,IF(LEFT($AJ$10:$AJ$113,2)=$AR16,1,0))</f>
        <v>8</v>
      </c>
      <c r="AV16" s="30" cm="1">
        <f t="array" ref="AV16">SUMPRODUCT($AI$10:$AI$113,AN$10:AN$113,IF(LEFT($AJ$10:$AJ$113,2)=$AR16,1,0))</f>
        <v>18</v>
      </c>
      <c r="AW16" s="30" cm="1">
        <f t="array" ref="AW16">SUMPRODUCT($AI$10:$AI$113,AO$10:AO$113,IF(LEFT($AJ$10:$AJ$113,2)=$AR16,1,0))</f>
        <v>18</v>
      </c>
      <c r="AX16" s="35" cm="1">
        <f t="array" ref="AX16">SUMPRODUCT($AI$10:$AI$113,AP$10:AP$113,IF(LEFT($AJ$10:$AJ$113,2)=$AR16,1,0))</f>
        <v>8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136</v>
      </c>
      <c r="D17" s="30" t="s">
        <v>127</v>
      </c>
      <c r="E17" s="30" t="s">
        <v>137</v>
      </c>
      <c r="F17" s="30" t="s">
        <v>128</v>
      </c>
      <c r="G17" s="30" t="s">
        <v>133</v>
      </c>
      <c r="H17" s="35" t="s">
        <v>138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6</v>
      </c>
      <c r="S17" s="30">
        <f t="shared" si="5"/>
        <v>13</v>
      </c>
      <c r="T17" s="30">
        <f t="shared" si="5"/>
        <v>11</v>
      </c>
      <c r="U17" s="30">
        <f t="shared" si="5"/>
        <v>12</v>
      </c>
      <c r="V17" s="30">
        <f t="shared" si="5"/>
        <v>14</v>
      </c>
      <c r="W17" s="35">
        <f t="shared" si="5"/>
        <v>5</v>
      </c>
      <c r="Y17" s="20">
        <f t="shared" si="6"/>
        <v>9</v>
      </c>
      <c r="Z17" s="23" t="s">
        <v>130</v>
      </c>
      <c r="AB17" s="40" t="str">
        <f t="shared" si="11"/>
        <v>0000100000100</v>
      </c>
      <c r="AC17" s="15" t="str">
        <f t="shared" si="7"/>
        <v>0010010000000</v>
      </c>
      <c r="AD17" s="15" t="str">
        <f t="shared" si="7"/>
        <v>0000020000000</v>
      </c>
      <c r="AE17" s="15" t="str">
        <f t="shared" si="7"/>
        <v>0000002000000</v>
      </c>
      <c r="AF17" s="15" t="str">
        <f t="shared" si="7"/>
        <v>0000000200000</v>
      </c>
      <c r="AG17" s="41" t="str">
        <f t="shared" si="7"/>
        <v>0000000000020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38</v>
      </c>
      <c r="AL17" s="39" cm="1">
        <f t="array" ref="AL17">SUMPRODUCT(--(MID(AC$10:AC$135, SUMIF($Z$9:$Z$21, LEFT($AJ17,2), $Y$9:$Y$21), 1) = RIGHT($AJ17, 1)), K$10:K$135)</f>
        <v>65</v>
      </c>
      <c r="AM17" s="39" cm="1">
        <f t="array" ref="AM17">SUMPRODUCT(--(MID(AD$10:AD$135, SUMIF($Z$9:$Z$21, LEFT($AJ17,2), $Y$9:$Y$21), 1) = RIGHT($AJ17, 1)), L$10:L$135)</f>
        <v>76</v>
      </c>
      <c r="AN17" s="39" cm="1">
        <f t="array" ref="AN17">SUMPRODUCT(--(MID(AE$10:AE$135, SUMIF($Z$9:$Z$21, LEFT($AJ17,2), $Y$9:$Y$21), 1) = RIGHT($AJ17, 1)), M$10:M$135)</f>
        <v>60</v>
      </c>
      <c r="AO17" s="39" cm="1">
        <f t="array" ref="AO17">SUMPRODUCT(--(MID(AF$10:AF$135, SUMIF($Z$9:$Z$21, LEFT($AJ17,2), $Y$9:$Y$21), 1) = RIGHT($AJ17, 1)), N$10:N$135)</f>
        <v>67</v>
      </c>
      <c r="AP17" s="19" cm="1">
        <f t="array" ref="AP17">SUMPRODUCT(--(MID(AG$10:AG$135, SUMIF($Z$9:$Z$21, LEFT($AJ17,2), $Y$9:$Y$21), 1) = RIGHT($AJ17, 1)), O$10:O$135)</f>
        <v>38</v>
      </c>
      <c r="AR17" s="34" t="str">
        <f t="shared" si="8"/>
        <v>GG</v>
      </c>
      <c r="AS17" s="30" cm="1">
        <f t="array" ref="AS17">SUMPRODUCT($AI$10:$AI$113,AK$10:AK$113,IF(LEFT($AJ$10:$AJ$113,2)=$AR17,1,0))</f>
        <v>12</v>
      </c>
      <c r="AT17" s="30" cm="1">
        <f t="array" ref="AT17">SUMPRODUCT($AI$10:$AI$113,AL$10:AL$113,IF(LEFT($AJ$10:$AJ$113,2)=$AR17,1,0))</f>
        <v>26</v>
      </c>
      <c r="AU17" s="30" cm="1">
        <f t="array" ref="AU17">SUMPRODUCT($AI$10:$AI$113,AM$10:AM$113,IF(LEFT($AJ$10:$AJ$113,2)=$AR17,1,0))</f>
        <v>22</v>
      </c>
      <c r="AV17" s="30" cm="1">
        <f t="array" ref="AV17">SUMPRODUCT($AI$10:$AI$113,AN$10:AN$113,IF(LEFT($AJ$10:$AJ$113,2)=$AR17,1,0))</f>
        <v>24</v>
      </c>
      <c r="AW17" s="30" cm="1">
        <f t="array" ref="AW17">SUMPRODUCT($AI$10:$AI$113,AO$10:AO$113,IF(LEFT($AJ$10:$AJ$113,2)=$AR17,1,0))</f>
        <v>28</v>
      </c>
      <c r="AX17" s="35" cm="1">
        <f t="array" ref="AX17">SUMPRODUCT($AI$10:$AI$113,AP$10:AP$113,IF(LEFT($AJ$10:$AJ$113,2)=$AR17,1,0))</f>
        <v>10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132</v>
      </c>
      <c r="D18" s="30" t="s">
        <v>133</v>
      </c>
      <c r="E18" s="30" t="s">
        <v>137</v>
      </c>
      <c r="F18" s="30" t="s">
        <v>134</v>
      </c>
      <c r="G18" s="30" t="s">
        <v>133</v>
      </c>
      <c r="H18" s="35" t="s">
        <v>138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6</v>
      </c>
      <c r="S18" s="30">
        <f t="shared" si="5"/>
        <v>7</v>
      </c>
      <c r="T18" s="30">
        <f t="shared" si="5"/>
        <v>3</v>
      </c>
      <c r="U18" s="30">
        <f t="shared" si="5"/>
        <v>1</v>
      </c>
      <c r="V18" s="30">
        <f t="shared" si="5"/>
        <v>1</v>
      </c>
      <c r="W18" s="35">
        <f t="shared" si="5"/>
        <v>1</v>
      </c>
      <c r="Y18" s="20">
        <f t="shared" si="6"/>
        <v>10</v>
      </c>
      <c r="Z18" s="23" t="s">
        <v>129</v>
      </c>
      <c r="AB18" s="40" t="str">
        <f t="shared" si="11"/>
        <v>0000100000100</v>
      </c>
      <c r="AC18" s="15" t="str">
        <f t="shared" si="7"/>
        <v>0010000100000</v>
      </c>
      <c r="AD18" s="15" t="str">
        <f t="shared" si="7"/>
        <v>0000020000000</v>
      </c>
      <c r="AE18" s="15" t="str">
        <f t="shared" si="7"/>
        <v>0001001000000</v>
      </c>
      <c r="AF18" s="15" t="str">
        <f t="shared" si="7"/>
        <v>0000000200000</v>
      </c>
      <c r="AG18" s="41" t="str">
        <f t="shared" si="7"/>
        <v>0000000000020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12</v>
      </c>
      <c r="AT18" s="30" cm="1">
        <f t="array" ref="AT18">SUMPRODUCT($AI$10:$AI$113,AL$10:AL$113,IF(LEFT($AJ$10:$AJ$113,2)=$AR18,1,0))</f>
        <v>14</v>
      </c>
      <c r="AU18" s="30" cm="1">
        <f t="array" ref="AU18">SUMPRODUCT($AI$10:$AI$113,AM$10:AM$113,IF(LEFT($AJ$10:$AJ$113,2)=$AR18,1,0))</f>
        <v>6</v>
      </c>
      <c r="AV18" s="30" cm="1">
        <f t="array" ref="AV18">SUMPRODUCT($AI$10:$AI$113,AN$10:AN$113,IF(LEFT($AJ$10:$AJ$113,2)=$AR18,1,0))</f>
        <v>2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2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133</v>
      </c>
      <c r="D19" s="30" t="s">
        <v>133</v>
      </c>
      <c r="E19" s="30" t="s">
        <v>136</v>
      </c>
      <c r="F19" s="30" t="s">
        <v>138</v>
      </c>
      <c r="G19" s="30" t="s">
        <v>137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6</v>
      </c>
      <c r="S19" s="30">
        <f t="shared" si="5"/>
        <v>9</v>
      </c>
      <c r="T19" s="30">
        <f t="shared" si="5"/>
        <v>12</v>
      </c>
      <c r="U19" s="30">
        <f t="shared" si="5"/>
        <v>5</v>
      </c>
      <c r="V19" s="30">
        <f t="shared" si="5"/>
        <v>9</v>
      </c>
      <c r="W19" s="35">
        <f t="shared" si="5"/>
        <v>5</v>
      </c>
      <c r="Y19" s="20">
        <f t="shared" si="6"/>
        <v>11</v>
      </c>
      <c r="Z19" s="23" t="s">
        <v>132</v>
      </c>
      <c r="AA19" s="21"/>
      <c r="AB19" s="40" t="str">
        <f t="shared" si="11"/>
        <v>0000000100100</v>
      </c>
      <c r="AC19" s="15" t="str">
        <f t="shared" si="7"/>
        <v>0000000200000</v>
      </c>
      <c r="AD19" s="15" t="str">
        <f t="shared" si="7"/>
        <v>0000110000000</v>
      </c>
      <c r="AE19" s="15" t="str">
        <f t="shared" si="7"/>
        <v>0001000000010</v>
      </c>
      <c r="AF19" s="15" t="str">
        <f t="shared" si="7"/>
        <v>0000010100000</v>
      </c>
      <c r="AG19" s="41" t="str">
        <f t="shared" si="7"/>
        <v>0000000000110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12</v>
      </c>
      <c r="AT19" s="30" cm="1">
        <f t="array" ref="AT19">SUMPRODUCT($AI$10:$AI$113,AL$10:AL$113,IF(LEFT($AJ$10:$AJ$113,2)=$AR19,1,0))</f>
        <v>18</v>
      </c>
      <c r="AU19" s="30" cm="1">
        <f t="array" ref="AU19">SUMPRODUCT($AI$10:$AI$113,AM$10:AM$113,IF(LEFT($AJ$10:$AJ$113,2)=$AR19,1,0))</f>
        <v>24</v>
      </c>
      <c r="AV19" s="30" cm="1">
        <f t="array" ref="AV19">SUMPRODUCT($AI$10:$AI$113,AN$10:AN$113,IF(LEFT($AJ$10:$AJ$113,2)=$AR19,1,0))</f>
        <v>10</v>
      </c>
      <c r="AW19" s="30" cm="1">
        <f t="array" ref="AW19">SUMPRODUCT($AI$10:$AI$113,AO$10:AO$113,IF(LEFT($AJ$10:$AJ$113,2)=$AR19,1,0))</f>
        <v>18</v>
      </c>
      <c r="AX19" s="35" cm="1">
        <f t="array" ref="AX19">SUMPRODUCT($AI$10:$AI$113,AP$10:AP$113,IF(LEFT($AJ$10:$AJ$113,2)=$AR19,1,0))</f>
        <v>10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130</v>
      </c>
      <c r="D20" s="30" t="s">
        <v>133</v>
      </c>
      <c r="E20" s="30" t="s">
        <v>138</v>
      </c>
      <c r="F20" s="30" t="s">
        <v>138</v>
      </c>
      <c r="G20" s="30" t="s">
        <v>136</v>
      </c>
      <c r="H20" s="35" t="s">
        <v>136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5</v>
      </c>
      <c r="S20" s="30">
        <f t="shared" si="5"/>
        <v>7</v>
      </c>
      <c r="T20" s="30">
        <f t="shared" si="5"/>
        <v>12</v>
      </c>
      <c r="U20" s="30">
        <f t="shared" si="5"/>
        <v>4</v>
      </c>
      <c r="V20" s="30">
        <f t="shared" si="5"/>
        <v>12</v>
      </c>
      <c r="W20" s="35">
        <f t="shared" si="5"/>
        <v>4</v>
      </c>
      <c r="Y20" s="20">
        <v>12</v>
      </c>
      <c r="Z20" s="23" t="s">
        <v>138</v>
      </c>
      <c r="AA20" s="21"/>
      <c r="AB20" s="40" t="str">
        <f t="shared" si="11"/>
        <v>0000000110000</v>
      </c>
      <c r="AC20" s="15" t="str">
        <f t="shared" si="7"/>
        <v>0000000200000</v>
      </c>
      <c r="AD20" s="15" t="str">
        <f t="shared" si="7"/>
        <v>0000100000010</v>
      </c>
      <c r="AE20" s="15" t="str">
        <f t="shared" si="7"/>
        <v>0000000000020</v>
      </c>
      <c r="AF20" s="15" t="str">
        <f t="shared" si="7"/>
        <v>0000110000000</v>
      </c>
      <c r="AG20" s="41" t="str">
        <f t="shared" si="7"/>
        <v>0000100000100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10</v>
      </c>
      <c r="AT20" s="30" cm="1">
        <f t="array" ref="AT20">SUMPRODUCT($AI$10:$AI$113,AL$10:AL$113,IF(LEFT($AJ$10:$AJ$113,2)=$AR20,1,0))</f>
        <v>14</v>
      </c>
      <c r="AU20" s="30" cm="1">
        <f t="array" ref="AU20">SUMPRODUCT($AI$10:$AI$113,AM$10:AM$113,IF(LEFT($AJ$10:$AJ$113,2)=$AR20,1,0))</f>
        <v>24</v>
      </c>
      <c r="AV20" s="30" cm="1">
        <f t="array" ref="AV20">SUMPRODUCT($AI$10:$AI$113,AN$10:AN$113,IF(LEFT($AJ$10:$AJ$113,2)=$AR20,1,0))</f>
        <v>8</v>
      </c>
      <c r="AW20" s="30" cm="1">
        <f t="array" ref="AW20">SUMPRODUCT($AI$10:$AI$113,AO$10:AO$113,IF(LEFT($AJ$10:$AJ$113,2)=$AR20,1,0))</f>
        <v>24</v>
      </c>
      <c r="AX20" s="35" cm="1">
        <f t="array" ref="AX20">SUMPRODUCT($AI$10:$AI$113,AP$10:AP$113,IF(LEFT($AJ$10:$AJ$113,2)=$AR20,1,0))</f>
        <v>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134</v>
      </c>
      <c r="D21" s="30" t="s">
        <v>131</v>
      </c>
      <c r="E21" s="30" t="s">
        <v>128</v>
      </c>
      <c r="F21" s="30" t="s">
        <v>138</v>
      </c>
      <c r="G21" s="30" t="s">
        <v>129</v>
      </c>
      <c r="H21" s="35" t="s">
        <v>132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4</v>
      </c>
      <c r="S21" s="30">
        <f t="shared" si="5"/>
        <v>9</v>
      </c>
      <c r="T21" s="30">
        <f t="shared" si="5"/>
        <v>9</v>
      </c>
      <c r="U21" s="30">
        <f t="shared" si="5"/>
        <v>6</v>
      </c>
      <c r="V21" s="30">
        <f t="shared" si="5"/>
        <v>4</v>
      </c>
      <c r="W21" s="35">
        <f t="shared" si="5"/>
        <v>6</v>
      </c>
      <c r="Y21" s="18">
        <v>13</v>
      </c>
      <c r="Z21" s="22" t="s">
        <v>135</v>
      </c>
      <c r="AA21" s="21"/>
      <c r="AB21" s="40" t="str">
        <f t="shared" si="11"/>
        <v>0001000010000</v>
      </c>
      <c r="AC21" s="15" t="str">
        <f t="shared" si="7"/>
        <v>0100000100000</v>
      </c>
      <c r="AD21" s="15" t="str">
        <f t="shared" si="7"/>
        <v>0000001000010</v>
      </c>
      <c r="AE21" s="15" t="str">
        <f t="shared" si="7"/>
        <v>0000000000020</v>
      </c>
      <c r="AF21" s="15" t="str">
        <f t="shared" si="7"/>
        <v>0000100001000</v>
      </c>
      <c r="AG21" s="41" t="str">
        <f t="shared" si="7"/>
        <v>0000100000100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8</v>
      </c>
      <c r="AT21" s="30" cm="1">
        <f t="array" ref="AT21">SUMPRODUCT($AI$10:$AI$113,AL$10:AL$113,IF(LEFT($AJ$10:$AJ$113,2)=$AR21,1,0))</f>
        <v>18</v>
      </c>
      <c r="AU21" s="30" cm="1">
        <f t="array" ref="AU21">SUMPRODUCT($AI$10:$AI$113,AM$10:AM$113,IF(LEFT($AJ$10:$AJ$113,2)=$AR21,1,0))</f>
        <v>18</v>
      </c>
      <c r="AV21" s="30" cm="1">
        <f t="array" ref="AV21">SUMPRODUCT($AI$10:$AI$113,AN$10:AN$113,IF(LEFT($AJ$10:$AJ$113,2)=$AR21,1,0))</f>
        <v>12</v>
      </c>
      <c r="AW21" s="30" cm="1">
        <f t="array" ref="AW21">SUMPRODUCT($AI$10:$AI$113,AO$10:AO$113,IF(LEFT($AJ$10:$AJ$113,2)=$AR21,1,0))</f>
        <v>8</v>
      </c>
      <c r="AX21" s="35" cm="1">
        <f t="array" ref="AX21">SUMPRODUCT($AI$10:$AI$113,AP$10:AP$113,IF(LEFT($AJ$10:$AJ$113,2)=$AR21,1,0))</f>
        <v>12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138</v>
      </c>
      <c r="D22" s="30" t="s">
        <v>138</v>
      </c>
      <c r="E22" s="30" t="s">
        <v>137</v>
      </c>
      <c r="F22" s="30" t="s">
        <v>137</v>
      </c>
      <c r="G22" s="30" t="s">
        <v>127</v>
      </c>
      <c r="H22" s="35" t="s">
        <v>132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0001000000010</v>
      </c>
      <c r="AC22" s="15" t="str">
        <f t="shared" si="7"/>
        <v>0100000000010</v>
      </c>
      <c r="AD22" s="15" t="str">
        <f t="shared" si="7"/>
        <v>0000011000000</v>
      </c>
      <c r="AE22" s="15" t="str">
        <f t="shared" si="7"/>
        <v>0000010000010</v>
      </c>
      <c r="AF22" s="15" t="str">
        <f t="shared" si="7"/>
        <v>0010000001000</v>
      </c>
      <c r="AG22" s="41" t="str">
        <f t="shared" si="7"/>
        <v>0000000000200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130</v>
      </c>
      <c r="D23" s="30" t="s">
        <v>138</v>
      </c>
      <c r="E23" s="30" t="s">
        <v>129</v>
      </c>
      <c r="F23" s="30" t="s">
        <v>134</v>
      </c>
      <c r="G23" s="30" t="s">
        <v>131</v>
      </c>
      <c r="H23" s="35" t="s">
        <v>132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40</v>
      </c>
      <c r="S23" s="37">
        <f t="shared" ref="S23:W23" si="14">SUM(S10:S22)</f>
        <v>73</v>
      </c>
      <c r="T23" s="37">
        <f t="shared" si="14"/>
        <v>84</v>
      </c>
      <c r="U23" s="37">
        <f t="shared" si="14"/>
        <v>67</v>
      </c>
      <c r="V23" s="37">
        <f t="shared" si="14"/>
        <v>91</v>
      </c>
      <c r="W23" s="38">
        <f t="shared" si="14"/>
        <v>50</v>
      </c>
      <c r="Y23" s="21"/>
      <c r="Z23" s="21"/>
      <c r="AA23" s="21"/>
      <c r="AB23" s="40" t="str">
        <f t="shared" si="11"/>
        <v>0000000010010</v>
      </c>
      <c r="AC23" s="15" t="str">
        <f t="shared" si="7"/>
        <v>0000000000020</v>
      </c>
      <c r="AD23" s="15" t="str">
        <f t="shared" si="7"/>
        <v>0000010001000</v>
      </c>
      <c r="AE23" s="15" t="str">
        <f t="shared" si="7"/>
        <v>0001010000000</v>
      </c>
      <c r="AF23" s="15" t="str">
        <f t="shared" si="7"/>
        <v>0110000000000</v>
      </c>
      <c r="AG23" s="41" t="str">
        <f t="shared" si="7"/>
        <v>0000000000200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0</v>
      </c>
      <c r="AL23" s="39" cm="1">
        <f t="array" ref="AL23">SUMPRODUCT(--(MID(AC$10:AC$135, SUMIF($Z$9:$Z$21, LEFT($AJ23,2), $Y$9:$Y$21), 1) = RIGHT($AJ23, 1)), K$10:K$135)</f>
        <v>0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40</v>
      </c>
      <c r="AT23" s="30">
        <f t="shared" si="16"/>
        <v>73</v>
      </c>
      <c r="AU23" s="30">
        <f t="shared" si="16"/>
        <v>84</v>
      </c>
      <c r="AV23" s="30">
        <f t="shared" si="16"/>
        <v>67</v>
      </c>
      <c r="AW23" s="30">
        <f t="shared" si="16"/>
        <v>91</v>
      </c>
      <c r="AX23" s="35">
        <f t="shared" si="16"/>
        <v>50</v>
      </c>
    </row>
    <row r="24" spans="2:64">
      <c r="B24" s="34">
        <f t="shared" si="9"/>
        <v>14</v>
      </c>
      <c r="C24" s="30" t="s">
        <v>133</v>
      </c>
      <c r="D24" s="30" t="s">
        <v>138</v>
      </c>
      <c r="E24" s="30" t="s">
        <v>129</v>
      </c>
      <c r="F24" s="30" t="s">
        <v>134</v>
      </c>
      <c r="G24" s="30" t="s">
        <v>128</v>
      </c>
      <c r="H24" s="35" t="s">
        <v>138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0000000110000</v>
      </c>
      <c r="AC24" s="15" t="str">
        <f t="shared" si="7"/>
        <v>0000000000020</v>
      </c>
      <c r="AD24" s="15" t="str">
        <f t="shared" si="7"/>
        <v>0000000002000</v>
      </c>
      <c r="AE24" s="15" t="str">
        <f t="shared" si="7"/>
        <v>0002000000000</v>
      </c>
      <c r="AF24" s="15" t="str">
        <f t="shared" si="7"/>
        <v>0100001000000</v>
      </c>
      <c r="AG24" s="41" t="str">
        <f t="shared" si="7"/>
        <v>0000000000110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2</v>
      </c>
      <c r="AL24" s="39" cm="1">
        <f t="array" ref="AL24">SUMPRODUCT(--(MID(AC$10:AC$135, SUMIF($Z$9:$Z$21, LEFT($AJ24,2), $Y$9:$Y$21), 1) = RIGHT($AJ24, 1)), K$10:K$135)</f>
        <v>8</v>
      </c>
      <c r="AM24" s="39" cm="1">
        <f t="array" ref="AM24">SUMPRODUCT(--(MID(AD$10:AD$135, SUMIF($Z$9:$Z$21, LEFT($AJ24,2), $Y$9:$Y$21), 1) = RIGHT($AJ24, 1)), L$10:L$135)</f>
        <v>14</v>
      </c>
      <c r="AN24" s="39" cm="1">
        <f t="array" ref="AN24">SUMPRODUCT(--(MID(AE$10:AE$135, SUMIF($Z$9:$Z$21, LEFT($AJ24,2), $Y$9:$Y$21), 1) = RIGHT($AJ24, 1)), M$10:M$135)</f>
        <v>10</v>
      </c>
      <c r="AO24" s="39" cm="1">
        <f t="array" ref="AO24">SUMPRODUCT(--(MID(AF$10:AF$135, SUMIF($Z$9:$Z$21, LEFT($AJ24,2), $Y$9:$Y$21), 1) = RIGHT($AJ24, 1)), N$10:N$135)</f>
        <v>16</v>
      </c>
      <c r="AP24" s="19" cm="1">
        <f t="array" ref="AP24">SUMPRODUCT(--(MID(AG$10:AG$135, SUMIF($Z$9:$Z$21, LEFT($AJ24,2), $Y$9:$Y$21), 1) = RIGHT($AJ24, 1)), O$10:O$135)</f>
        <v>6</v>
      </c>
      <c r="AR24" s="34" t="str">
        <f t="shared" si="15"/>
        <v>AA-0</v>
      </c>
      <c r="AS24" s="30">
        <f t="shared" si="16"/>
        <v>38</v>
      </c>
      <c r="AT24" s="30">
        <f t="shared" si="16"/>
        <v>65</v>
      </c>
      <c r="AU24" s="30">
        <f t="shared" si="16"/>
        <v>76</v>
      </c>
      <c r="AV24" s="30">
        <f t="shared" si="16"/>
        <v>60</v>
      </c>
      <c r="AW24" s="30">
        <f t="shared" si="16"/>
        <v>67</v>
      </c>
      <c r="AX24" s="35">
        <f t="shared" si="16"/>
        <v>38</v>
      </c>
    </row>
    <row r="25" spans="2:64">
      <c r="B25" s="34">
        <f t="shared" si="9"/>
        <v>15</v>
      </c>
      <c r="C25" s="30" t="s">
        <v>129</v>
      </c>
      <c r="D25" s="30" t="s">
        <v>132</v>
      </c>
      <c r="E25" s="30" t="s">
        <v>129</v>
      </c>
      <c r="F25" s="30" t="s">
        <v>134</v>
      </c>
      <c r="G25" s="30" t="s">
        <v>132</v>
      </c>
      <c r="H25" s="35" t="s">
        <v>131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0000000101000</v>
      </c>
      <c r="AC25" s="15" t="str">
        <f t="shared" si="7"/>
        <v>0000000000110</v>
      </c>
      <c r="AD25" s="15" t="str">
        <f t="shared" si="7"/>
        <v>0000000002000</v>
      </c>
      <c r="AE25" s="15" t="str">
        <f t="shared" si="7"/>
        <v>0002000000000</v>
      </c>
      <c r="AF25" s="15" t="str">
        <f t="shared" si="7"/>
        <v>0000001000100</v>
      </c>
      <c r="AG25" s="41" t="str">
        <f t="shared" si="7"/>
        <v>0100000000010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38</v>
      </c>
      <c r="AL25" s="39" cm="1">
        <f t="array" ref="AL25">SUMPRODUCT(--(MID(AC$10:AC$135, SUMIF($Z$9:$Z$21, LEFT($AJ25,2), $Y$9:$Y$21), 1) = RIGHT($AJ25, 1)), K$10:K$135)</f>
        <v>65</v>
      </c>
      <c r="AM25" s="39" cm="1">
        <f t="array" ref="AM25">SUMPRODUCT(--(MID(AD$10:AD$135, SUMIF($Z$9:$Z$21, LEFT($AJ25,2), $Y$9:$Y$21), 1) = RIGHT($AJ25, 1)), L$10:L$135)</f>
        <v>68</v>
      </c>
      <c r="AN25" s="39" cm="1">
        <f t="array" ref="AN25">SUMPRODUCT(--(MID(AE$10:AE$135, SUMIF($Z$9:$Z$21, LEFT($AJ25,2), $Y$9:$Y$21), 1) = RIGHT($AJ25, 1)), M$10:M$135)</f>
        <v>55</v>
      </c>
      <c r="AO25" s="39" cm="1">
        <f t="array" ref="AO25">SUMPRODUCT(--(MID(AF$10:AF$135, SUMIF($Z$9:$Z$21, LEFT($AJ25,2), $Y$9:$Y$21), 1) = RIGHT($AJ25, 1)), N$10:N$135)</f>
        <v>73</v>
      </c>
      <c r="AP25" s="19" cm="1">
        <f t="array" ref="AP25">SUMPRODUCT(--(MID(AG$10:AG$135, SUMIF($Z$9:$Z$21, LEFT($AJ25,2), $Y$9:$Y$21), 1) = RIGHT($AJ25, 1)), O$10:O$135)</f>
        <v>42</v>
      </c>
      <c r="AR25" s="34" t="str">
        <f t="shared" si="15"/>
        <v>BB-0</v>
      </c>
      <c r="AS25" s="30">
        <f t="shared" si="16"/>
        <v>38</v>
      </c>
      <c r="AT25" s="30">
        <f t="shared" si="16"/>
        <v>65</v>
      </c>
      <c r="AU25" s="30">
        <f t="shared" si="16"/>
        <v>68</v>
      </c>
      <c r="AV25" s="30">
        <f t="shared" si="16"/>
        <v>55</v>
      </c>
      <c r="AW25" s="30">
        <f t="shared" si="16"/>
        <v>73</v>
      </c>
      <c r="AX25" s="35">
        <f t="shared" si="16"/>
        <v>42</v>
      </c>
    </row>
    <row r="26" spans="2:64">
      <c r="B26" s="34">
        <f t="shared" si="9"/>
        <v>16</v>
      </c>
      <c r="C26" s="30" t="s">
        <v>130</v>
      </c>
      <c r="D26" s="30" t="s">
        <v>128</v>
      </c>
      <c r="E26" s="30" t="s">
        <v>137</v>
      </c>
      <c r="F26" s="30" t="s">
        <v>130</v>
      </c>
      <c r="G26" s="30" t="s">
        <v>130</v>
      </c>
      <c r="H26" s="35" t="s">
        <v>128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0000000011000</v>
      </c>
      <c r="AC26" s="15" t="str">
        <f t="shared" si="11"/>
        <v>0000001000100</v>
      </c>
      <c r="AD26" s="15" t="str">
        <f t="shared" si="11"/>
        <v>0000010001000</v>
      </c>
      <c r="AE26" s="15" t="str">
        <f t="shared" si="11"/>
        <v>0001000010000</v>
      </c>
      <c r="AF26" s="15" t="str">
        <f t="shared" si="11"/>
        <v>0000000010100</v>
      </c>
      <c r="AG26" s="41" t="str">
        <f t="shared" si="11"/>
        <v>0100001000000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36</v>
      </c>
      <c r="AT26" s="30">
        <f t="shared" si="16"/>
        <v>67</v>
      </c>
      <c r="AU26" s="30">
        <f t="shared" si="16"/>
        <v>70</v>
      </c>
      <c r="AV26" s="30">
        <f t="shared" si="16"/>
        <v>57</v>
      </c>
      <c r="AW26" s="30">
        <f t="shared" si="16"/>
        <v>77</v>
      </c>
      <c r="AX26" s="35">
        <f t="shared" si="16"/>
        <v>43</v>
      </c>
    </row>
    <row r="27" spans="2:64">
      <c r="B27" s="34">
        <f t="shared" si="9"/>
        <v>17</v>
      </c>
      <c r="C27" s="30" t="s">
        <v>130</v>
      </c>
      <c r="D27" s="30" t="s">
        <v>136</v>
      </c>
      <c r="E27" s="30" t="s">
        <v>138</v>
      </c>
      <c r="F27" s="30" t="s">
        <v>133</v>
      </c>
      <c r="G27" s="30" t="s">
        <v>129</v>
      </c>
      <c r="H27" s="35" t="s">
        <v>129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0000000020000</v>
      </c>
      <c r="AC27" s="15" t="str">
        <f t="shared" si="11"/>
        <v>0000101000000</v>
      </c>
      <c r="AD27" s="15" t="str">
        <f t="shared" si="11"/>
        <v>0000010000010</v>
      </c>
      <c r="AE27" s="15" t="str">
        <f t="shared" si="11"/>
        <v>0000000110000</v>
      </c>
      <c r="AF27" s="15" t="str">
        <f t="shared" si="11"/>
        <v>0000000011000</v>
      </c>
      <c r="AG27" s="41" t="str">
        <f t="shared" si="11"/>
        <v>0000001001000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36</v>
      </c>
      <c r="AT27" s="30">
        <f t="shared" si="16"/>
        <v>65</v>
      </c>
      <c r="AU27" s="30">
        <f t="shared" si="16"/>
        <v>76</v>
      </c>
      <c r="AV27" s="30">
        <f t="shared" si="16"/>
        <v>49</v>
      </c>
      <c r="AW27" s="30">
        <f t="shared" si="16"/>
        <v>73</v>
      </c>
      <c r="AX27" s="35">
        <f t="shared" si="16"/>
        <v>38</v>
      </c>
    </row>
    <row r="28" spans="2:64">
      <c r="B28" s="34">
        <f t="shared" si="9"/>
        <v>18</v>
      </c>
      <c r="C28" s="30" t="s">
        <v>132</v>
      </c>
      <c r="D28" s="30" t="s">
        <v>130</v>
      </c>
      <c r="E28" s="30" t="s">
        <v>138</v>
      </c>
      <c r="F28" s="30" t="s">
        <v>133</v>
      </c>
      <c r="G28" s="30" t="s">
        <v>129</v>
      </c>
      <c r="H28" s="35" t="s">
        <v>127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0000000010100</v>
      </c>
      <c r="AC28" s="15" t="str">
        <f t="shared" si="11"/>
        <v>0000100010000</v>
      </c>
      <c r="AD28" s="15" t="str">
        <f t="shared" si="11"/>
        <v>0000000000020</v>
      </c>
      <c r="AE28" s="15" t="str">
        <f t="shared" si="11"/>
        <v>0000000200000</v>
      </c>
      <c r="AF28" s="15" t="str">
        <f t="shared" si="11"/>
        <v>0000000002000</v>
      </c>
      <c r="AG28" s="41" t="str">
        <f t="shared" si="11"/>
        <v>0010000001000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35</v>
      </c>
      <c r="AT28" s="30">
        <f t="shared" si="16"/>
        <v>61</v>
      </c>
      <c r="AU28" s="30">
        <f t="shared" si="16"/>
        <v>70</v>
      </c>
      <c r="AV28" s="30">
        <f t="shared" si="16"/>
        <v>63</v>
      </c>
      <c r="AW28" s="30">
        <f t="shared" si="16"/>
        <v>89</v>
      </c>
      <c r="AX28" s="35">
        <f t="shared" si="16"/>
        <v>48</v>
      </c>
    </row>
    <row r="29" spans="2:64">
      <c r="B29" s="34">
        <f t="shared" si="9"/>
        <v>19</v>
      </c>
      <c r="C29" s="30" t="s">
        <v>134</v>
      </c>
      <c r="D29" s="30" t="s">
        <v>130</v>
      </c>
      <c r="E29" s="30" t="s">
        <v>138</v>
      </c>
      <c r="F29" s="30" t="s">
        <v>133</v>
      </c>
      <c r="G29" s="30" t="s">
        <v>129</v>
      </c>
      <c r="H29" s="35" t="s">
        <v>136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0001000000100</v>
      </c>
      <c r="AC29" s="15" t="str">
        <f t="shared" si="11"/>
        <v>0000000020000</v>
      </c>
      <c r="AD29" s="15" t="str">
        <f t="shared" si="11"/>
        <v>0000000000020</v>
      </c>
      <c r="AE29" s="15" t="str">
        <f t="shared" si="11"/>
        <v>0000000200000</v>
      </c>
      <c r="AF29" s="15" t="str">
        <f t="shared" si="11"/>
        <v>0000000002000</v>
      </c>
      <c r="AG29" s="41" t="str">
        <f t="shared" si="11"/>
        <v>0010100000000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34</v>
      </c>
      <c r="AT29" s="30">
        <f t="shared" si="16"/>
        <v>65</v>
      </c>
      <c r="AU29" s="30">
        <f t="shared" si="16"/>
        <v>78</v>
      </c>
      <c r="AV29" s="30">
        <f t="shared" si="16"/>
        <v>52</v>
      </c>
      <c r="AW29" s="30">
        <f t="shared" si="16"/>
        <v>75</v>
      </c>
      <c r="AX29" s="35">
        <f t="shared" si="16"/>
        <v>44</v>
      </c>
    </row>
    <row r="30" spans="2:64">
      <c r="B30" s="34">
        <f t="shared" si="9"/>
        <v>20</v>
      </c>
      <c r="C30" s="30" t="s">
        <v>137</v>
      </c>
      <c r="D30" s="30" t="s">
        <v>130</v>
      </c>
      <c r="E30" s="30" t="s">
        <v>133</v>
      </c>
      <c r="F30" s="30" t="s">
        <v>132</v>
      </c>
      <c r="G30" s="30" t="s">
        <v>132</v>
      </c>
      <c r="H30" s="35" t="s">
        <v>136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0001010000000</v>
      </c>
      <c r="AC30" s="15" t="str">
        <f t="shared" si="11"/>
        <v>0000000020000</v>
      </c>
      <c r="AD30" s="15" t="str">
        <f t="shared" si="11"/>
        <v>0000000100010</v>
      </c>
      <c r="AE30" s="15" t="str">
        <f t="shared" si="11"/>
        <v>0000000100100</v>
      </c>
      <c r="AF30" s="15" t="str">
        <f t="shared" si="11"/>
        <v>0000000001100</v>
      </c>
      <c r="AG30" s="41" t="str">
        <f t="shared" si="11"/>
        <v>0000200000000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30</v>
      </c>
      <c r="AT30" s="30">
        <f t="shared" si="16"/>
        <v>49</v>
      </c>
      <c r="AU30" s="30">
        <f t="shared" si="16"/>
        <v>64</v>
      </c>
      <c r="AV30" s="30">
        <f t="shared" si="16"/>
        <v>45</v>
      </c>
      <c r="AW30" s="30">
        <f t="shared" si="16"/>
        <v>66</v>
      </c>
      <c r="AX30" s="35">
        <f t="shared" si="16"/>
        <v>42</v>
      </c>
    </row>
    <row r="31" spans="2:64">
      <c r="B31" s="34">
        <f t="shared" si="9"/>
        <v>21</v>
      </c>
      <c r="C31" s="30" t="s">
        <v>137</v>
      </c>
      <c r="D31" s="30" t="s">
        <v>130</v>
      </c>
      <c r="E31" s="30" t="s">
        <v>134</v>
      </c>
      <c r="F31" s="30" t="s">
        <v>136</v>
      </c>
      <c r="G31" s="30" t="s">
        <v>132</v>
      </c>
      <c r="H31" s="35" t="s">
        <v>136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0000020000000</v>
      </c>
      <c r="AC31" s="15" t="str">
        <f t="shared" si="11"/>
        <v>0000000020000</v>
      </c>
      <c r="AD31" s="15" t="str">
        <f t="shared" si="11"/>
        <v>0001000100000</v>
      </c>
      <c r="AE31" s="15" t="str">
        <f t="shared" si="11"/>
        <v>0000100000100</v>
      </c>
      <c r="AF31" s="15" t="str">
        <f t="shared" si="11"/>
        <v>0000000000200</v>
      </c>
      <c r="AG31" s="41" t="str">
        <f t="shared" si="11"/>
        <v>0000200000000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0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3</v>
      </c>
      <c r="AR31" s="34" t="str">
        <f t="shared" si="15"/>
        <v>HH-0</v>
      </c>
      <c r="AS31" s="30">
        <f t="shared" si="16"/>
        <v>30</v>
      </c>
      <c r="AT31" s="30">
        <f t="shared" si="16"/>
        <v>62</v>
      </c>
      <c r="AU31" s="30">
        <f t="shared" si="16"/>
        <v>78</v>
      </c>
      <c r="AV31" s="30">
        <f t="shared" si="16"/>
        <v>65</v>
      </c>
      <c r="AW31" s="30">
        <f t="shared" si="16"/>
        <v>89</v>
      </c>
      <c r="AX31" s="35">
        <f t="shared" si="16"/>
        <v>48</v>
      </c>
    </row>
    <row r="32" spans="2:64">
      <c r="B32" s="34">
        <f t="shared" si="9"/>
        <v>22</v>
      </c>
      <c r="C32" s="30" t="s">
        <v>128</v>
      </c>
      <c r="D32" s="30" t="s">
        <v>138</v>
      </c>
      <c r="E32" s="30" t="s">
        <v>132</v>
      </c>
      <c r="F32" s="30" t="s">
        <v>136</v>
      </c>
      <c r="G32" s="30" t="s">
        <v>132</v>
      </c>
      <c r="H32" s="35" t="s">
        <v>134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0000011000000</v>
      </c>
      <c r="AC32" s="15" t="str">
        <f t="shared" si="11"/>
        <v>0000000010010</v>
      </c>
      <c r="AD32" s="15" t="str">
        <f t="shared" si="11"/>
        <v>0001000000100</v>
      </c>
      <c r="AE32" s="15" t="str">
        <f t="shared" si="11"/>
        <v>0000200000000</v>
      </c>
      <c r="AF32" s="15" t="str">
        <f t="shared" si="11"/>
        <v>0000000000200</v>
      </c>
      <c r="AG32" s="41" t="str">
        <f t="shared" si="11"/>
        <v>0001100000000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4</v>
      </c>
      <c r="AL32" s="39" cm="1">
        <f t="array" ref="AL32">SUMPRODUCT(--(MID(AC$10:AC$135, SUMIF($Z$9:$Z$21, LEFT($AJ32,2), $Y$9:$Y$21), 1) = RIGHT($AJ32, 1)), K$10:K$135)</f>
        <v>4</v>
      </c>
      <c r="AM32" s="39" cm="1">
        <f t="array" ref="AM32">SUMPRODUCT(--(MID(AD$10:AD$135, SUMIF($Z$9:$Z$21, LEFT($AJ32,2), $Y$9:$Y$21), 1) = RIGHT($AJ32, 1)), L$10:L$135)</f>
        <v>12</v>
      </c>
      <c r="AN32" s="39" cm="1">
        <f t="array" ref="AN32">SUMPRODUCT(--(MID(AE$10:AE$135, SUMIF($Z$9:$Z$21, LEFT($AJ32,2), $Y$9:$Y$21), 1) = RIGHT($AJ32, 1)), M$10:M$135)</f>
        <v>8</v>
      </c>
      <c r="AO32" s="39" cm="1">
        <f t="array" ref="AO32">SUMPRODUCT(--(MID(AF$10:AF$135, SUMIF($Z$9:$Z$21, LEFT($AJ32,2), $Y$9:$Y$21), 1) = RIGHT($AJ32, 1)), N$10:N$135)</f>
        <v>12</v>
      </c>
      <c r="AP32" s="19" cm="1">
        <f t="array" ref="AP32">SUMPRODUCT(--(MID(AG$10:AG$135, SUMIF($Z$9:$Z$21, LEFT($AJ32,2), $Y$9:$Y$21), 1) = RIGHT($AJ32, 1)), O$10:O$135)</f>
        <v>4</v>
      </c>
      <c r="AR32" s="34" t="str">
        <f t="shared" si="15"/>
        <v>JJ-0</v>
      </c>
      <c r="AS32" s="30">
        <f t="shared" si="16"/>
        <v>30</v>
      </c>
      <c r="AT32" s="30">
        <f t="shared" si="16"/>
        <v>60</v>
      </c>
      <c r="AU32" s="30">
        <f t="shared" si="16"/>
        <v>64</v>
      </c>
      <c r="AV32" s="30">
        <f t="shared" si="16"/>
        <v>59</v>
      </c>
      <c r="AW32" s="30">
        <f t="shared" si="16"/>
        <v>75</v>
      </c>
      <c r="AX32" s="35">
        <f t="shared" si="16"/>
        <v>42</v>
      </c>
    </row>
    <row r="33" spans="2:50">
      <c r="B33" s="34">
        <f t="shared" si="9"/>
        <v>23</v>
      </c>
      <c r="C33" s="30" t="s">
        <v>129</v>
      </c>
      <c r="D33" s="30" t="s">
        <v>132</v>
      </c>
      <c r="E33" s="30" t="s">
        <v>129</v>
      </c>
      <c r="F33" s="30" t="s">
        <v>136</v>
      </c>
      <c r="G33" s="30" t="s">
        <v>134</v>
      </c>
      <c r="H33" s="35" t="s">
        <v>134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0000001001000</v>
      </c>
      <c r="AC33" s="15" t="str">
        <f t="shared" si="11"/>
        <v>0000000000110</v>
      </c>
      <c r="AD33" s="15" t="str">
        <f t="shared" si="11"/>
        <v>0000000001100</v>
      </c>
      <c r="AE33" s="15" t="str">
        <f t="shared" si="11"/>
        <v>0000200000000</v>
      </c>
      <c r="AF33" s="15" t="str">
        <f t="shared" si="11"/>
        <v>0001000000100</v>
      </c>
      <c r="AG33" s="41" t="str">
        <f t="shared" si="11"/>
        <v>0002000000000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36</v>
      </c>
      <c r="AL33" s="39" cm="1">
        <f t="array" ref="AL33">SUMPRODUCT(--(MID(AC$10:AC$135, SUMIF($Z$9:$Z$21, LEFT($AJ33,2), $Y$9:$Y$21), 1) = RIGHT($AJ33, 1)), K$10:K$135)</f>
        <v>67</v>
      </c>
      <c r="AM33" s="39" cm="1">
        <f t="array" ref="AM33">SUMPRODUCT(--(MID(AD$10:AD$135, SUMIF($Z$9:$Z$21, LEFT($AJ33,2), $Y$9:$Y$21), 1) = RIGHT($AJ33, 1)), L$10:L$135)</f>
        <v>70</v>
      </c>
      <c r="AN33" s="39" cm="1">
        <f t="array" ref="AN33">SUMPRODUCT(--(MID(AE$10:AE$135, SUMIF($Z$9:$Z$21, LEFT($AJ33,2), $Y$9:$Y$21), 1) = RIGHT($AJ33, 1)), M$10:M$135)</f>
        <v>57</v>
      </c>
      <c r="AO33" s="39" cm="1">
        <f t="array" ref="AO33">SUMPRODUCT(--(MID(AF$10:AF$135, SUMIF($Z$9:$Z$21, LEFT($AJ33,2), $Y$9:$Y$21), 1) = RIGHT($AJ33, 1)), N$10:N$135)</f>
        <v>77</v>
      </c>
      <c r="AP33" s="19" cm="1">
        <f t="array" ref="AP33">SUMPRODUCT(--(MID(AG$10:AG$135, SUMIF($Z$9:$Z$21, LEFT($AJ33,2), $Y$9:$Y$21), 1) = RIGHT($AJ33, 1)), O$10:O$135)</f>
        <v>43</v>
      </c>
      <c r="AR33" s="34" t="str">
        <f t="shared" si="15"/>
        <v>KK-0</v>
      </c>
      <c r="AS33" s="30">
        <f t="shared" si="16"/>
        <v>32</v>
      </c>
      <c r="AT33" s="30">
        <f t="shared" si="16"/>
        <v>61</v>
      </c>
      <c r="AU33" s="30">
        <f t="shared" si="16"/>
        <v>62</v>
      </c>
      <c r="AV33" s="30">
        <f t="shared" si="16"/>
        <v>61</v>
      </c>
      <c r="AW33" s="30">
        <f t="shared" si="16"/>
        <v>69</v>
      </c>
      <c r="AX33" s="35">
        <f t="shared" si="16"/>
        <v>44</v>
      </c>
    </row>
    <row r="34" spans="2:50">
      <c r="B34" s="34">
        <f t="shared" si="9"/>
        <v>24</v>
      </c>
      <c r="C34" s="30" t="s">
        <v>129</v>
      </c>
      <c r="D34" s="30" t="s">
        <v>132</v>
      </c>
      <c r="E34" s="30" t="s">
        <v>129</v>
      </c>
      <c r="F34" s="30" t="s">
        <v>131</v>
      </c>
      <c r="G34" s="30" t="s">
        <v>134</v>
      </c>
      <c r="H34" s="35" t="s">
        <v>134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0000000002000</v>
      </c>
      <c r="AC34" s="15" t="str">
        <f t="shared" si="11"/>
        <v>0000000000200</v>
      </c>
      <c r="AD34" s="15" t="str">
        <f t="shared" si="11"/>
        <v>0000000002000</v>
      </c>
      <c r="AE34" s="15" t="str">
        <f t="shared" si="11"/>
        <v>0100100000000</v>
      </c>
      <c r="AF34" s="15" t="str">
        <f t="shared" si="11"/>
        <v>0002000000000</v>
      </c>
      <c r="AG34" s="41" t="str">
        <f t="shared" si="11"/>
        <v>0002000000000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34</v>
      </c>
      <c r="AT34" s="30">
        <f t="shared" si="16"/>
        <v>57</v>
      </c>
      <c r="AU34" s="30">
        <f t="shared" si="16"/>
        <v>68</v>
      </c>
      <c r="AV34" s="30">
        <f t="shared" si="16"/>
        <v>57</v>
      </c>
      <c r="AW34" s="30">
        <f t="shared" si="16"/>
        <v>85</v>
      </c>
      <c r="AX34" s="35">
        <f t="shared" si="16"/>
        <v>40</v>
      </c>
    </row>
    <row r="35" spans="2:50">
      <c r="B35" s="34">
        <f t="shared" si="9"/>
        <v>25</v>
      </c>
      <c r="C35" s="30" t="s">
        <v>129</v>
      </c>
      <c r="D35" s="30" t="s">
        <v>132</v>
      </c>
      <c r="E35" s="30" t="s">
        <v>129</v>
      </c>
      <c r="F35" s="30" t="s">
        <v>131</v>
      </c>
      <c r="G35" s="30" t="s">
        <v>134</v>
      </c>
      <c r="H35" s="35" t="s">
        <v>134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0000000002000</v>
      </c>
      <c r="AC35" s="15" t="str">
        <f t="shared" si="11"/>
        <v>0000000000200</v>
      </c>
      <c r="AD35" s="15" t="str">
        <f t="shared" si="11"/>
        <v>0000000002000</v>
      </c>
      <c r="AE35" s="15" t="str">
        <f t="shared" si="11"/>
        <v>0200000000000</v>
      </c>
      <c r="AF35" s="15" t="str">
        <f t="shared" si="11"/>
        <v>0002000000000</v>
      </c>
      <c r="AG35" s="41" t="str">
        <f t="shared" si="11"/>
        <v>0002000000000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40</v>
      </c>
      <c r="AT35" s="37">
        <f t="shared" si="16"/>
        <v>73</v>
      </c>
      <c r="AU35" s="37">
        <f t="shared" si="16"/>
        <v>84</v>
      </c>
      <c r="AV35" s="37">
        <f t="shared" si="16"/>
        <v>67</v>
      </c>
      <c r="AW35" s="37">
        <f t="shared" si="16"/>
        <v>91</v>
      </c>
      <c r="AX35" s="38">
        <f t="shared" si="16"/>
        <v>50</v>
      </c>
    </row>
    <row r="36" spans="2:50">
      <c r="B36" s="34">
        <f t="shared" si="9"/>
        <v>26</v>
      </c>
      <c r="C36" s="30" t="s">
        <v>137</v>
      </c>
      <c r="D36" s="30" t="s">
        <v>134</v>
      </c>
      <c r="E36" s="30" t="s">
        <v>127</v>
      </c>
      <c r="F36" s="30" t="s">
        <v>131</v>
      </c>
      <c r="G36" s="30" t="s">
        <v>136</v>
      </c>
      <c r="H36" s="35" t="s">
        <v>127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0000010001000</v>
      </c>
      <c r="AC36" s="15" t="str">
        <f t="shared" si="11"/>
        <v>0001000000100</v>
      </c>
      <c r="AD36" s="15" t="str">
        <f t="shared" si="11"/>
        <v>0010000001000</v>
      </c>
      <c r="AE36" s="15" t="str">
        <f t="shared" si="11"/>
        <v>0200000000000</v>
      </c>
      <c r="AF36" s="15" t="str">
        <f t="shared" si="11"/>
        <v>0001100000000</v>
      </c>
      <c r="AG36" s="41" t="str">
        <f t="shared" si="11"/>
        <v>0011000000000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131</v>
      </c>
      <c r="D37" s="30" t="s">
        <v>137</v>
      </c>
      <c r="E37" s="30" t="s">
        <v>127</v>
      </c>
      <c r="F37" s="30" t="s">
        <v>131</v>
      </c>
      <c r="G37" s="30" t="s">
        <v>136</v>
      </c>
      <c r="H37" s="35" t="s">
        <v>127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0100010000000</v>
      </c>
      <c r="AC37" s="15" t="str">
        <f t="shared" si="11"/>
        <v>0001010000000</v>
      </c>
      <c r="AD37" s="15" t="str">
        <f t="shared" si="11"/>
        <v>0020000000000</v>
      </c>
      <c r="AE37" s="15" t="str">
        <f t="shared" si="11"/>
        <v>0200000000000</v>
      </c>
      <c r="AF37" s="15" t="str">
        <f t="shared" si="11"/>
        <v>0000200000000</v>
      </c>
      <c r="AG37" s="41" t="str">
        <f t="shared" si="11"/>
        <v>0020000000000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133</v>
      </c>
      <c r="D38" s="30" t="s">
        <v>134</v>
      </c>
      <c r="E38" s="30" t="s">
        <v>127</v>
      </c>
      <c r="F38" s="30" t="s">
        <v>138</v>
      </c>
      <c r="G38" s="30" t="s">
        <v>136</v>
      </c>
      <c r="H38" s="35" t="s">
        <v>127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0100000100000</v>
      </c>
      <c r="AC38" s="15" t="str">
        <f t="shared" si="11"/>
        <v>0001010000000</v>
      </c>
      <c r="AD38" s="15" t="str">
        <f t="shared" si="11"/>
        <v>0020000000000</v>
      </c>
      <c r="AE38" s="15" t="str">
        <f t="shared" si="11"/>
        <v>0100000000010</v>
      </c>
      <c r="AF38" s="15" t="str">
        <f t="shared" si="11"/>
        <v>0000200000000</v>
      </c>
      <c r="AG38" s="41" t="str">
        <f t="shared" si="11"/>
        <v>0020000000000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128</v>
      </c>
      <c r="D39" s="30" t="s">
        <v>134</v>
      </c>
      <c r="E39" s="30" t="s">
        <v>133</v>
      </c>
      <c r="F39" s="30" t="s">
        <v>127</v>
      </c>
      <c r="G39" s="30" t="s">
        <v>127</v>
      </c>
      <c r="H39" s="35" t="s">
        <v>133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0000001100000</v>
      </c>
      <c r="AC39" s="15" t="str">
        <f t="shared" si="11"/>
        <v>0002000000000</v>
      </c>
      <c r="AD39" s="15" t="str">
        <f t="shared" si="11"/>
        <v>0010000100000</v>
      </c>
      <c r="AE39" s="15" t="str">
        <f t="shared" si="11"/>
        <v>0010000000010</v>
      </c>
      <c r="AF39" s="15" t="str">
        <f t="shared" si="11"/>
        <v>0010100000000</v>
      </c>
      <c r="AG39" s="41" t="str">
        <f t="shared" si="11"/>
        <v>0010000100000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0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2</v>
      </c>
      <c r="AO39" s="39" cm="1">
        <f t="array" ref="AO39">SUMPRODUCT(--(MID(AF$10:AF$135, SUMIF($Z$9:$Z$21, LEFT($AJ39,2), $Y$9:$Y$21), 1) = RIGHT($AJ39, 1)), N$10:N$135)</f>
        <v>2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128</v>
      </c>
      <c r="D40" s="30" t="s">
        <v>134</v>
      </c>
      <c r="E40" s="30" t="s">
        <v>133</v>
      </c>
      <c r="F40" s="30" t="s">
        <v>127</v>
      </c>
      <c r="G40" s="30" t="s">
        <v>127</v>
      </c>
      <c r="H40" s="35" t="s">
        <v>133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0000002000000</v>
      </c>
      <c r="AC40" s="15" t="str">
        <f t="shared" si="11"/>
        <v>0002000000000</v>
      </c>
      <c r="AD40" s="15" t="str">
        <f t="shared" si="11"/>
        <v>0000000200000</v>
      </c>
      <c r="AE40" s="15" t="str">
        <f t="shared" si="11"/>
        <v>0020000000000</v>
      </c>
      <c r="AF40" s="15" t="str">
        <f t="shared" si="11"/>
        <v>0020000000000</v>
      </c>
      <c r="AG40" s="41" t="str">
        <f t="shared" si="11"/>
        <v>0000000200000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4</v>
      </c>
      <c r="AL40" s="39" cm="1">
        <f t="array" ref="AL40">SUMPRODUCT(--(MID(AC$10:AC$135, SUMIF($Z$9:$Z$21, LEFT($AJ40,2), $Y$9:$Y$21), 1) = RIGHT($AJ40, 1)), K$10:K$135)</f>
        <v>8</v>
      </c>
      <c r="AM40" s="39" cm="1">
        <f t="array" ref="AM40">SUMPRODUCT(--(MID(AD$10:AD$135, SUMIF($Z$9:$Z$21, LEFT($AJ40,2), $Y$9:$Y$21), 1) = RIGHT($AJ40, 1)), L$10:L$135)</f>
        <v>8</v>
      </c>
      <c r="AN40" s="39" cm="1">
        <f t="array" ref="AN40">SUMPRODUCT(--(MID(AE$10:AE$135, SUMIF($Z$9:$Z$21, LEFT($AJ40,2), $Y$9:$Y$21), 1) = RIGHT($AJ40, 1)), M$10:M$135)</f>
        <v>16</v>
      </c>
      <c r="AO40" s="39" cm="1">
        <f t="array" ref="AO40">SUMPRODUCT(--(MID(AF$10:AF$135, SUMIF($Z$9:$Z$21, LEFT($AJ40,2), $Y$9:$Y$21), 1) = RIGHT($AJ40, 1)), N$10:N$135)</f>
        <v>16</v>
      </c>
      <c r="AP40" s="19" cm="1">
        <f t="array" ref="AP40">SUMPRODUCT(--(MID(AG$10:AG$135, SUMIF($Z$9:$Z$21, LEFT($AJ40,2), $Y$9:$Y$21), 1) = RIGHT($AJ40, 1)), O$10:O$135)</f>
        <v>10</v>
      </c>
    </row>
    <row r="41" spans="2:50">
      <c r="B41" s="34">
        <f t="shared" si="9"/>
        <v>31</v>
      </c>
      <c r="C41" s="30" t="s">
        <v>128</v>
      </c>
      <c r="D41" s="30" t="s">
        <v>129</v>
      </c>
      <c r="E41" s="30" t="s">
        <v>133</v>
      </c>
      <c r="F41" s="30" t="s">
        <v>127</v>
      </c>
      <c r="G41" s="30" t="s">
        <v>127</v>
      </c>
      <c r="H41" s="35" t="s">
        <v>133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0000002000000</v>
      </c>
      <c r="AC41" s="15" t="str">
        <f t="shared" si="11"/>
        <v>0001000001000</v>
      </c>
      <c r="AD41" s="15" t="str">
        <f t="shared" si="11"/>
        <v>0000000200000</v>
      </c>
      <c r="AE41" s="15" t="str">
        <f t="shared" si="11"/>
        <v>0020000000000</v>
      </c>
      <c r="AF41" s="15" t="str">
        <f t="shared" si="11"/>
        <v>0020000000000</v>
      </c>
      <c r="AG41" s="41" t="str">
        <f t="shared" si="11"/>
        <v>0000000200000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36</v>
      </c>
      <c r="AL41" s="39" cm="1">
        <f t="array" ref="AL41">SUMPRODUCT(--(MID(AC$10:AC$135, SUMIF($Z$9:$Z$21, LEFT($AJ41,2), $Y$9:$Y$21), 1) = RIGHT($AJ41, 1)), K$10:K$135)</f>
        <v>65</v>
      </c>
      <c r="AM41" s="39" cm="1">
        <f t="array" ref="AM41">SUMPRODUCT(--(MID(AD$10:AD$135, SUMIF($Z$9:$Z$21, LEFT($AJ41,2), $Y$9:$Y$21), 1) = RIGHT($AJ41, 1)), L$10:L$135)</f>
        <v>76</v>
      </c>
      <c r="AN41" s="39" cm="1">
        <f t="array" ref="AN41">SUMPRODUCT(--(MID(AE$10:AE$135, SUMIF($Z$9:$Z$21, LEFT($AJ41,2), $Y$9:$Y$21), 1) = RIGHT($AJ41, 1)), M$10:M$135)</f>
        <v>49</v>
      </c>
      <c r="AO41" s="39" cm="1">
        <f t="array" ref="AO41">SUMPRODUCT(--(MID(AF$10:AF$135, SUMIF($Z$9:$Z$21, LEFT($AJ41,2), $Y$9:$Y$21), 1) = RIGHT($AJ41, 1)), N$10:N$135)</f>
        <v>73</v>
      </c>
      <c r="AP41" s="19" cm="1">
        <f t="array" ref="AP41">SUMPRODUCT(--(MID(AG$10:AG$135, SUMIF($Z$9:$Z$21, LEFT($AJ41,2), $Y$9:$Y$21), 1) = RIGHT($AJ41, 1)), O$10:O$135)</f>
        <v>38</v>
      </c>
    </row>
    <row r="42" spans="2:50">
      <c r="B42" s="34">
        <f t="shared" si="9"/>
        <v>32</v>
      </c>
      <c r="C42" s="30" t="s">
        <v>133</v>
      </c>
      <c r="D42" s="30" t="s">
        <v>129</v>
      </c>
      <c r="E42" s="30" t="s">
        <v>134</v>
      </c>
      <c r="F42" s="30" t="s">
        <v>136</v>
      </c>
      <c r="G42" s="30" t="s">
        <v>128</v>
      </c>
      <c r="H42" s="35" t="s">
        <v>131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0000001100000</v>
      </c>
      <c r="AC42" s="15" t="str">
        <f t="shared" si="11"/>
        <v>0000000002000</v>
      </c>
      <c r="AD42" s="15" t="str">
        <f t="shared" si="11"/>
        <v>0001000100000</v>
      </c>
      <c r="AE42" s="15" t="str">
        <f t="shared" si="11"/>
        <v>0010100000000</v>
      </c>
      <c r="AF42" s="15" t="str">
        <f t="shared" si="11"/>
        <v>0010001000000</v>
      </c>
      <c r="AG42" s="41" t="str">
        <f t="shared" si="11"/>
        <v>0100000100000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133</v>
      </c>
      <c r="D43" s="30" t="s">
        <v>129</v>
      </c>
      <c r="E43" s="30" t="s">
        <v>134</v>
      </c>
      <c r="F43" s="30" t="s">
        <v>127</v>
      </c>
      <c r="G43" s="30" t="s">
        <v>128</v>
      </c>
      <c r="H43" s="35" t="s">
        <v>131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0000000200000</v>
      </c>
      <c r="AC43" s="15" t="str">
        <f t="shared" si="11"/>
        <v>0000000002000</v>
      </c>
      <c r="AD43" s="15" t="str">
        <f t="shared" si="11"/>
        <v>0002000000000</v>
      </c>
      <c r="AE43" s="15" t="str">
        <f t="shared" si="11"/>
        <v>0010100000000</v>
      </c>
      <c r="AF43" s="15" t="str">
        <f t="shared" si="11"/>
        <v>0000002000000</v>
      </c>
      <c r="AG43" s="41" t="str">
        <f t="shared" si="11"/>
        <v>0200000000000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133</v>
      </c>
      <c r="D44" s="30" t="s">
        <v>129</v>
      </c>
      <c r="E44" s="30" t="s">
        <v>134</v>
      </c>
      <c r="F44" s="30" t="s">
        <v>133</v>
      </c>
      <c r="G44" s="30" t="s">
        <v>128</v>
      </c>
      <c r="H44" s="35" t="s">
        <v>131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0000000200000</v>
      </c>
      <c r="AC44" s="15" t="str">
        <f t="shared" si="11"/>
        <v>0000000002000</v>
      </c>
      <c r="AD44" s="15" t="str">
        <f t="shared" si="11"/>
        <v>0002000000000</v>
      </c>
      <c r="AE44" s="15" t="str">
        <f t="shared" si="11"/>
        <v>0010000100000</v>
      </c>
      <c r="AF44" s="15" t="str">
        <f t="shared" si="11"/>
        <v>0000002000000</v>
      </c>
      <c r="AG44" s="41" t="str">
        <f t="shared" si="11"/>
        <v>0200000000000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130</v>
      </c>
      <c r="D45" s="30" t="s">
        <v>128</v>
      </c>
      <c r="E45" s="30" t="s">
        <v>132</v>
      </c>
      <c r="F45" s="30" t="s">
        <v>129</v>
      </c>
      <c r="G45" s="30" t="s">
        <v>138</v>
      </c>
      <c r="H45" s="35" t="s">
        <v>129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0000000110000</v>
      </c>
      <c r="AC45" s="15" t="str">
        <f t="shared" si="11"/>
        <v>0000001001000</v>
      </c>
      <c r="AD45" s="15" t="str">
        <f t="shared" si="11"/>
        <v>0001000000100</v>
      </c>
      <c r="AE45" s="15" t="str">
        <f t="shared" si="11"/>
        <v>0000000101000</v>
      </c>
      <c r="AF45" s="15" t="str">
        <f t="shared" si="11"/>
        <v>0000001000010</v>
      </c>
      <c r="AG45" s="41" t="str">
        <f t="shared" si="11"/>
        <v>0100000001000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130</v>
      </c>
      <c r="D46" s="30" t="s">
        <v>128</v>
      </c>
      <c r="E46" s="30" t="s">
        <v>132</v>
      </c>
      <c r="F46" s="30" t="s">
        <v>129</v>
      </c>
      <c r="G46" s="30" t="s">
        <v>138</v>
      </c>
      <c r="H46" s="35" t="s">
        <v>129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0000000020000</v>
      </c>
      <c r="AC46" s="15" t="str">
        <f t="shared" si="11"/>
        <v>0000002000000</v>
      </c>
      <c r="AD46" s="15" t="str">
        <f t="shared" si="11"/>
        <v>0000000000200</v>
      </c>
      <c r="AE46" s="15" t="str">
        <f t="shared" si="11"/>
        <v>0000000002000</v>
      </c>
      <c r="AF46" s="15" t="str">
        <f t="shared" si="11"/>
        <v>0000000000020</v>
      </c>
      <c r="AG46" s="41" t="str">
        <f t="shared" si="11"/>
        <v>0000000002000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136</v>
      </c>
      <c r="D47" s="30" t="s">
        <v>128</v>
      </c>
      <c r="E47" s="30" t="s">
        <v>132</v>
      </c>
      <c r="F47" s="30" t="s">
        <v>129</v>
      </c>
      <c r="G47" s="30" t="s">
        <v>138</v>
      </c>
      <c r="H47" s="35" t="s">
        <v>129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0000100010000</v>
      </c>
      <c r="AC47" s="15" t="str">
        <f t="shared" si="11"/>
        <v>0000002000000</v>
      </c>
      <c r="AD47" s="15" t="str">
        <f t="shared" si="11"/>
        <v>0000000000200</v>
      </c>
      <c r="AE47" s="15" t="str">
        <f t="shared" si="11"/>
        <v>0000000002000</v>
      </c>
      <c r="AF47" s="15" t="str">
        <f t="shared" si="11"/>
        <v>0000000000020</v>
      </c>
      <c r="AG47" s="41" t="str">
        <f t="shared" si="11"/>
        <v>0000000002000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1</v>
      </c>
      <c r="AL47" s="39" cm="1">
        <f t="array" ref="AL47">SUMPRODUCT(--(MID(AC$10:AC$135, SUMIF($Z$9:$Z$21, LEFT($AJ47,2), $Y$9:$Y$21), 1) = RIGHT($AJ47, 1)), K$10:K$135)</f>
        <v>2</v>
      </c>
      <c r="AM47" s="39" cm="1">
        <f t="array" ref="AM47">SUMPRODUCT(--(MID(AD$10:AD$135, SUMIF($Z$9:$Z$21, LEFT($AJ47,2), $Y$9:$Y$21), 1) = RIGHT($AJ47, 1)), L$10:L$135)</f>
        <v>2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127</v>
      </c>
      <c r="D48" s="30" t="s">
        <v>136</v>
      </c>
      <c r="E48" s="30" t="s">
        <v>137</v>
      </c>
      <c r="F48" s="30" t="s">
        <v>136</v>
      </c>
      <c r="G48" s="30" t="s">
        <v>131</v>
      </c>
      <c r="H48" s="35" t="s">
        <v>127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0010100000000</v>
      </c>
      <c r="AC48" s="15" t="str">
        <f t="shared" si="11"/>
        <v>0000101000000</v>
      </c>
      <c r="AD48" s="15" t="str">
        <f t="shared" si="11"/>
        <v>0000010000100</v>
      </c>
      <c r="AE48" s="15" t="str">
        <f t="shared" si="11"/>
        <v>0000100001000</v>
      </c>
      <c r="AF48" s="15" t="str">
        <f t="shared" si="11"/>
        <v>0100000000010</v>
      </c>
      <c r="AG48" s="41" t="str">
        <f t="shared" si="11"/>
        <v>0010000001000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4</v>
      </c>
      <c r="AL48" s="39" cm="1">
        <f t="array" ref="AL48">SUMPRODUCT(--(MID(AC$10:AC$135, SUMIF($Z$9:$Z$21, LEFT($AJ48,2), $Y$9:$Y$21), 1) = RIGHT($AJ48, 1)), K$10:K$135)</f>
        <v>10</v>
      </c>
      <c r="AM48" s="39" cm="1">
        <f t="array" ref="AM48">SUMPRODUCT(--(MID(AD$10:AD$135, SUMIF($Z$9:$Z$21, LEFT($AJ48,2), $Y$9:$Y$21), 1) = RIGHT($AJ48, 1)), L$10:L$135)</f>
        <v>12</v>
      </c>
      <c r="AN48" s="39" cm="1">
        <f t="array" ref="AN48">SUMPRODUCT(--(MID(AE$10:AE$135, SUMIF($Z$9:$Z$21, LEFT($AJ48,2), $Y$9:$Y$21), 1) = RIGHT($AJ48, 1)), M$10:M$135)</f>
        <v>4</v>
      </c>
      <c r="AO48" s="39" cm="1">
        <f t="array" ref="AO48">SUMPRODUCT(--(MID(AF$10:AF$135, SUMIF($Z$9:$Z$21, LEFT($AJ48,2), $Y$9:$Y$21), 1) = RIGHT($AJ48, 1)), N$10:N$135)</f>
        <v>2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129</v>
      </c>
      <c r="D49" s="30" t="s">
        <v>131</v>
      </c>
      <c r="E49" s="30" t="s">
        <v>132</v>
      </c>
      <c r="F49" s="30" t="s">
        <v>133</v>
      </c>
      <c r="G49" s="30" t="s">
        <v>128</v>
      </c>
      <c r="H49" s="35" t="s">
        <v>138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0010000001000</v>
      </c>
      <c r="AC49" s="15" t="str">
        <f t="shared" si="11"/>
        <v>0100100000000</v>
      </c>
      <c r="AD49" s="15" t="str">
        <f t="shared" si="11"/>
        <v>0000010000100</v>
      </c>
      <c r="AE49" s="15" t="str">
        <f t="shared" si="11"/>
        <v>0000100100000</v>
      </c>
      <c r="AF49" s="15" t="str">
        <f t="shared" si="11"/>
        <v>0100001000000</v>
      </c>
      <c r="AG49" s="41" t="str">
        <f t="shared" si="11"/>
        <v>0010000000010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35</v>
      </c>
      <c r="AL49" s="39" cm="1">
        <f t="array" ref="AL49">SUMPRODUCT(--(MID(AC$10:AC$135, SUMIF($Z$9:$Z$21, LEFT($AJ49,2), $Y$9:$Y$21), 1) = RIGHT($AJ49, 1)), K$10:K$135)</f>
        <v>61</v>
      </c>
      <c r="AM49" s="39" cm="1">
        <f t="array" ref="AM49">SUMPRODUCT(--(MID(AD$10:AD$135, SUMIF($Z$9:$Z$21, LEFT($AJ49,2), $Y$9:$Y$21), 1) = RIGHT($AJ49, 1)), L$10:L$135)</f>
        <v>70</v>
      </c>
      <c r="AN49" s="39" cm="1">
        <f t="array" ref="AN49">SUMPRODUCT(--(MID(AE$10:AE$135, SUMIF($Z$9:$Z$21, LEFT($AJ49,2), $Y$9:$Y$21), 1) = RIGHT($AJ49, 1)), M$10:M$135)</f>
        <v>63</v>
      </c>
      <c r="AO49" s="39" cm="1">
        <f t="array" ref="AO49">SUMPRODUCT(--(MID(AF$10:AF$135, SUMIF($Z$9:$Z$21, LEFT($AJ49,2), $Y$9:$Y$21), 1) = RIGHT($AJ49, 1)), N$10:N$135)</f>
        <v>89</v>
      </c>
      <c r="AP49" s="19" cm="1">
        <f t="array" ref="AP49">SUMPRODUCT(--(MID(AG$10:AG$135, SUMIF($Z$9:$Z$21, LEFT($AJ49,2), $Y$9:$Y$21), 1) = RIGHT($AJ49, 1)), O$10:O$135)</f>
        <v>48</v>
      </c>
    </row>
    <row r="50" spans="2:42">
      <c r="B50" s="34">
        <f t="shared" si="9"/>
        <v>40</v>
      </c>
      <c r="C50" s="30"/>
      <c r="D50" s="30" t="s">
        <v>133</v>
      </c>
      <c r="E50" s="30" t="s">
        <v>137</v>
      </c>
      <c r="F50" s="30" t="s">
        <v>136</v>
      </c>
      <c r="G50" s="30" t="s">
        <v>133</v>
      </c>
      <c r="H50" s="35" t="s">
        <v>136</v>
      </c>
      <c r="J50" s="34" t="str">
        <f t="shared" si="3"/>
        <v/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/>
      </c>
      <c r="AC50" s="15" t="str">
        <f t="shared" si="11"/>
        <v>0100000100000</v>
      </c>
      <c r="AD50" s="15" t="str">
        <f t="shared" si="11"/>
        <v>0000010000100</v>
      </c>
      <c r="AE50" s="15" t="str">
        <f t="shared" si="11"/>
        <v>0000100100000</v>
      </c>
      <c r="AF50" s="15" t="str">
        <f t="shared" si="11"/>
        <v>0000001100000</v>
      </c>
      <c r="AG50" s="41" t="str">
        <f t="shared" si="11"/>
        <v>0000100000010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/>
      <c r="D51" s="30" t="s">
        <v>138</v>
      </c>
      <c r="E51" s="30" t="s">
        <v>136</v>
      </c>
      <c r="F51" s="30" t="s">
        <v>138</v>
      </c>
      <c r="G51" s="30" t="s">
        <v>136</v>
      </c>
      <c r="H51" s="35" t="s">
        <v>131</v>
      </c>
      <c r="J51" s="34" t="str">
        <f t="shared" si="3"/>
        <v/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/>
      </c>
      <c r="AC51" s="15" t="str">
        <f t="shared" si="11"/>
        <v>0000000100010</v>
      </c>
      <c r="AD51" s="15" t="str">
        <f t="shared" si="11"/>
        <v>0000110000000</v>
      </c>
      <c r="AE51" s="15" t="str">
        <f t="shared" si="11"/>
        <v>0000100000010</v>
      </c>
      <c r="AF51" s="15" t="str">
        <f t="shared" si="11"/>
        <v>0000100100000</v>
      </c>
      <c r="AG51" s="41" t="str">
        <f t="shared" si="11"/>
        <v>0100100000000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/>
      <c r="D52" s="30" t="s">
        <v>137</v>
      </c>
      <c r="E52" s="30" t="s">
        <v>133</v>
      </c>
      <c r="F52" s="30" t="s">
        <v>128</v>
      </c>
      <c r="G52" s="30" t="s">
        <v>132</v>
      </c>
      <c r="H52" s="35" t="s">
        <v>129</v>
      </c>
      <c r="J52" s="34" t="str">
        <f t="shared" si="3"/>
        <v/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/>
      </c>
      <c r="AC52" s="15" t="str">
        <f t="shared" si="11"/>
        <v>0000010000010</v>
      </c>
      <c r="AD52" s="15" t="str">
        <f t="shared" si="11"/>
        <v>0000100100000</v>
      </c>
      <c r="AE52" s="15" t="str">
        <f t="shared" si="11"/>
        <v>0000001000010</v>
      </c>
      <c r="AF52" s="15" t="str">
        <f t="shared" si="11"/>
        <v>0000100000100</v>
      </c>
      <c r="AG52" s="41" t="str">
        <f t="shared" si="11"/>
        <v>0100000001000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/>
      <c r="D53" s="30" t="s">
        <v>133</v>
      </c>
      <c r="E53" s="30" t="s">
        <v>129</v>
      </c>
      <c r="F53" s="30" t="s">
        <v>136</v>
      </c>
      <c r="G53" s="30" t="s">
        <v>128</v>
      </c>
      <c r="H53" s="35" t="s">
        <v>138</v>
      </c>
      <c r="J53" s="34" t="str">
        <f t="shared" si="3"/>
        <v/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/>
      </c>
      <c r="AC53" s="15" t="str">
        <f t="shared" si="11"/>
        <v>0000010100000</v>
      </c>
      <c r="AD53" s="15" t="str">
        <f t="shared" si="11"/>
        <v>0000000101000</v>
      </c>
      <c r="AE53" s="15" t="str">
        <f t="shared" si="11"/>
        <v>0000101000000</v>
      </c>
      <c r="AF53" s="15" t="str">
        <f t="shared" si="11"/>
        <v>0000001000100</v>
      </c>
      <c r="AG53" s="41" t="str">
        <f t="shared" si="11"/>
        <v>0000000001010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/>
      <c r="D54" s="30" t="s">
        <v>137</v>
      </c>
      <c r="E54" s="30" t="s">
        <v>132</v>
      </c>
      <c r="F54" s="30" t="s">
        <v>128</v>
      </c>
      <c r="G54" s="30" t="s">
        <v>133</v>
      </c>
      <c r="H54" s="35" t="s">
        <v>131</v>
      </c>
      <c r="J54" s="34" t="str">
        <f t="shared" si="3"/>
        <v/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/>
      </c>
      <c r="AC54" s="15" t="str">
        <f t="shared" si="11"/>
        <v>0000010100000</v>
      </c>
      <c r="AD54" s="15" t="str">
        <f t="shared" si="11"/>
        <v>0000000001100</v>
      </c>
      <c r="AE54" s="15" t="str">
        <f t="shared" si="11"/>
        <v>0000101000000</v>
      </c>
      <c r="AF54" s="15" t="str">
        <f t="shared" si="11"/>
        <v>0000001100000</v>
      </c>
      <c r="AG54" s="41" t="str">
        <f t="shared" si="11"/>
        <v>0100000000010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/>
      <c r="D55" s="30" t="s">
        <v>138</v>
      </c>
      <c r="E55" s="30" t="s">
        <v>134</v>
      </c>
      <c r="F55" s="30" t="s">
        <v>136</v>
      </c>
      <c r="G55" s="30" t="s">
        <v>131</v>
      </c>
      <c r="H55" s="35" t="s">
        <v>136</v>
      </c>
      <c r="J55" s="34" t="str">
        <f t="shared" si="3"/>
        <v/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/>
      </c>
      <c r="AC55" s="15" t="str">
        <f t="shared" si="11"/>
        <v>0000010000010</v>
      </c>
      <c r="AD55" s="15" t="str">
        <f t="shared" si="11"/>
        <v>0001000000100</v>
      </c>
      <c r="AE55" s="15" t="str">
        <f t="shared" si="11"/>
        <v>0000101000000</v>
      </c>
      <c r="AF55" s="15" t="str">
        <f t="shared" si="11"/>
        <v>0100000100000</v>
      </c>
      <c r="AG55" s="41" t="str">
        <f t="shared" si="11"/>
        <v>0100100000000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3</v>
      </c>
      <c r="AO55" s="39" cm="1">
        <f t="array" ref="AO55">SUMPRODUCT(--(MID(AF$10:AF$135, SUMIF($Z$9:$Z$21, LEFT($AJ55,2), $Y$9:$Y$21), 1) = RIGHT($AJ55, 1)), N$10:N$135)</f>
        <v>2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/>
      <c r="D56" s="30" t="s">
        <v>133</v>
      </c>
      <c r="E56" s="30" t="s">
        <v>132</v>
      </c>
      <c r="F56" s="30" t="s">
        <v>131</v>
      </c>
      <c r="G56" s="30" t="s">
        <v>128</v>
      </c>
      <c r="H56" s="35" t="s">
        <v>134</v>
      </c>
      <c r="J56" s="34" t="str">
        <f t="shared" si="3"/>
        <v/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/>
      </c>
      <c r="AC56" s="15" t="str">
        <f t="shared" si="11"/>
        <v>0000000100010</v>
      </c>
      <c r="AD56" s="15" t="str">
        <f t="shared" si="11"/>
        <v>0001000000100</v>
      </c>
      <c r="AE56" s="15" t="str">
        <f t="shared" si="11"/>
        <v>0100100000000</v>
      </c>
      <c r="AF56" s="15" t="str">
        <f t="shared" si="11"/>
        <v>0100001000000</v>
      </c>
      <c r="AG56" s="41" t="str">
        <f t="shared" si="11"/>
        <v>0001100000000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4</v>
      </c>
      <c r="AL56" s="39" cm="1">
        <f t="array" ref="AL56">SUMPRODUCT(--(MID(AC$10:AC$135, SUMIF($Z$9:$Z$21, LEFT($AJ56,2), $Y$9:$Y$21), 1) = RIGHT($AJ56, 1)), K$10:K$135)</f>
        <v>6</v>
      </c>
      <c r="AM56" s="39" cm="1">
        <f t="array" ref="AM56">SUMPRODUCT(--(MID(AD$10:AD$135, SUMIF($Z$9:$Z$21, LEFT($AJ56,2), $Y$9:$Y$21), 1) = RIGHT($AJ56, 1)), L$10:L$135)</f>
        <v>4</v>
      </c>
      <c r="AN56" s="39" cm="1">
        <f t="array" ref="AN56">SUMPRODUCT(--(MID(AE$10:AE$135, SUMIF($Z$9:$Z$21, LEFT($AJ56,2), $Y$9:$Y$21), 1) = RIGHT($AJ56, 1)), M$10:M$135)</f>
        <v>12</v>
      </c>
      <c r="AO56" s="39" cm="1">
        <f t="array" ref="AO56">SUMPRODUCT(--(MID(AF$10:AF$135, SUMIF($Z$9:$Z$21, LEFT($AJ56,2), $Y$9:$Y$21), 1) = RIGHT($AJ56, 1)), N$10:N$135)</f>
        <v>14</v>
      </c>
      <c r="AP56" s="19" cm="1">
        <f t="array" ref="AP56">SUMPRODUCT(--(MID(AG$10:AG$135, SUMIF($Z$9:$Z$21, LEFT($AJ56,2), $Y$9:$Y$21), 1) = RIGHT($AJ56, 1)), O$10:O$135)</f>
        <v>4</v>
      </c>
    </row>
    <row r="57" spans="2:42">
      <c r="B57" s="34">
        <f t="shared" si="9"/>
        <v>47</v>
      </c>
      <c r="C57" s="30"/>
      <c r="D57" s="30" t="s">
        <v>132</v>
      </c>
      <c r="E57" s="30" t="s">
        <v>138</v>
      </c>
      <c r="F57" s="30" t="s">
        <v>136</v>
      </c>
      <c r="G57" s="30" t="s">
        <v>127</v>
      </c>
      <c r="H57" s="35" t="s">
        <v>136</v>
      </c>
      <c r="J57" s="34" t="str">
        <f t="shared" si="3"/>
        <v/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/>
      </c>
      <c r="AC57" s="15" t="str">
        <f t="shared" si="11"/>
        <v>0000000100100</v>
      </c>
      <c r="AD57" s="15" t="str">
        <f t="shared" si="11"/>
        <v>0000000000110</v>
      </c>
      <c r="AE57" s="15" t="str">
        <f t="shared" si="11"/>
        <v>0100100000000</v>
      </c>
      <c r="AF57" s="15" t="str">
        <f t="shared" si="11"/>
        <v>0010001000000</v>
      </c>
      <c r="AG57" s="41" t="str">
        <f t="shared" si="11"/>
        <v>0001100000000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34</v>
      </c>
      <c r="AL57" s="39" cm="1">
        <f t="array" ref="AL57">SUMPRODUCT(--(MID(AC$10:AC$135, SUMIF($Z$9:$Z$21, LEFT($AJ57,2), $Y$9:$Y$21), 1) = RIGHT($AJ57, 1)), K$10:K$135)</f>
        <v>65</v>
      </c>
      <c r="AM57" s="39" cm="1">
        <f t="array" ref="AM57">SUMPRODUCT(--(MID(AD$10:AD$135, SUMIF($Z$9:$Z$21, LEFT($AJ57,2), $Y$9:$Y$21), 1) = RIGHT($AJ57, 1)), L$10:L$135)</f>
        <v>78</v>
      </c>
      <c r="AN57" s="39" cm="1">
        <f t="array" ref="AN57">SUMPRODUCT(--(MID(AE$10:AE$135, SUMIF($Z$9:$Z$21, LEFT($AJ57,2), $Y$9:$Y$21), 1) = RIGHT($AJ57, 1)), M$10:M$135)</f>
        <v>52</v>
      </c>
      <c r="AO57" s="39" cm="1">
        <f t="array" ref="AO57">SUMPRODUCT(--(MID(AF$10:AF$135, SUMIF($Z$9:$Z$21, LEFT($AJ57,2), $Y$9:$Y$21), 1) = RIGHT($AJ57, 1)), N$10:N$135)</f>
        <v>75</v>
      </c>
      <c r="AP57" s="19" cm="1">
        <f t="array" ref="AP57">SUMPRODUCT(--(MID(AG$10:AG$135, SUMIF($Z$9:$Z$21, LEFT($AJ57,2), $Y$9:$Y$21), 1) = RIGHT($AJ57, 1)), O$10:O$135)</f>
        <v>44</v>
      </c>
    </row>
    <row r="58" spans="2:42">
      <c r="B58" s="34">
        <f t="shared" si="9"/>
        <v>48</v>
      </c>
      <c r="C58" s="30"/>
      <c r="D58" s="30" t="s">
        <v>130</v>
      </c>
      <c r="E58" s="30" t="s">
        <v>134</v>
      </c>
      <c r="F58" s="30" t="s">
        <v>133</v>
      </c>
      <c r="G58" s="30" t="s">
        <v>131</v>
      </c>
      <c r="H58" s="35" t="s">
        <v>133</v>
      </c>
      <c r="J58" s="34" t="str">
        <f t="shared" si="3"/>
        <v/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/>
      </c>
      <c r="AC58" s="15" t="str">
        <f t="shared" si="11"/>
        <v>0000000010100</v>
      </c>
      <c r="AD58" s="15" t="str">
        <f t="shared" si="11"/>
        <v>0001000000010</v>
      </c>
      <c r="AE58" s="15" t="str">
        <f t="shared" si="11"/>
        <v>0000100100000</v>
      </c>
      <c r="AF58" s="15" t="str">
        <f t="shared" si="11"/>
        <v>0110000000000</v>
      </c>
      <c r="AG58" s="41" t="str">
        <f t="shared" si="11"/>
        <v>0000100100000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/>
      <c r="D59" s="30" t="s">
        <v>133</v>
      </c>
      <c r="E59" s="30" t="s">
        <v>133</v>
      </c>
      <c r="F59" s="30" t="s">
        <v>127</v>
      </c>
      <c r="G59" s="30" t="s">
        <v>129</v>
      </c>
      <c r="H59" s="35" t="s">
        <v>131</v>
      </c>
      <c r="J59" s="34" t="str">
        <f t="shared" si="3"/>
        <v/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/>
      </c>
      <c r="AC59" s="15" t="str">
        <f t="shared" si="11"/>
        <v>0000000110000</v>
      </c>
      <c r="AD59" s="15" t="str">
        <f t="shared" si="11"/>
        <v>0001000100000</v>
      </c>
      <c r="AE59" s="15" t="str">
        <f t="shared" si="11"/>
        <v>0010000100000</v>
      </c>
      <c r="AF59" s="15" t="str">
        <f t="shared" si="11"/>
        <v>0100000001000</v>
      </c>
      <c r="AG59" s="41" t="str">
        <f t="shared" si="11"/>
        <v>0100000100000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/>
      <c r="D60" s="30" t="s">
        <v>130</v>
      </c>
      <c r="E60" s="30" t="s">
        <v>132</v>
      </c>
      <c r="F60" s="30" t="s">
        <v>133</v>
      </c>
      <c r="G60" s="30" t="s">
        <v>127</v>
      </c>
      <c r="H60" s="35"/>
      <c r="J60" s="34" t="str">
        <f t="shared" ref="J60:O102" si="21">IF(C60="","",1)</f>
        <v/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 t="str">
        <f t="shared" si="21"/>
        <v/>
      </c>
      <c r="AA60" s="15"/>
      <c r="AB60" s="40" t="str">
        <f t="shared" si="11"/>
        <v/>
      </c>
      <c r="AC60" s="15" t="str">
        <f t="shared" si="11"/>
        <v>0000000110000</v>
      </c>
      <c r="AD60" s="15" t="str">
        <f t="shared" si="11"/>
        <v>0000000100100</v>
      </c>
      <c r="AE60" s="15" t="str">
        <f t="shared" si="11"/>
        <v>0010000100000</v>
      </c>
      <c r="AF60" s="15" t="str">
        <f t="shared" si="11"/>
        <v>0010000001000</v>
      </c>
      <c r="AG60" s="41" t="str">
        <f t="shared" si="11"/>
        <v/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/>
      <c r="D61" s="30" t="s">
        <v>137</v>
      </c>
      <c r="E61" s="30" t="s">
        <v>134</v>
      </c>
      <c r="F61" s="30" t="s">
        <v>136</v>
      </c>
      <c r="G61" s="30" t="s">
        <v>131</v>
      </c>
      <c r="H61" s="35"/>
      <c r="J61" s="34" t="str">
        <f t="shared" si="21"/>
        <v/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 t="str">
        <f t="shared" si="21"/>
        <v/>
      </c>
      <c r="AA61" s="15"/>
      <c r="AB61" s="40" t="str">
        <f t="shared" si="11"/>
        <v/>
      </c>
      <c r="AC61" s="15" t="str">
        <f t="shared" si="11"/>
        <v>0000010010000</v>
      </c>
      <c r="AD61" s="15" t="str">
        <f t="shared" si="11"/>
        <v>0001000000100</v>
      </c>
      <c r="AE61" s="15" t="str">
        <f t="shared" si="11"/>
        <v>0000100100000</v>
      </c>
      <c r="AF61" s="15" t="str">
        <f t="shared" si="11"/>
        <v>0110000000000</v>
      </c>
      <c r="AG61" s="41" t="str">
        <f t="shared" si="11"/>
        <v/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/>
      <c r="D62" s="30" t="s">
        <v>138</v>
      </c>
      <c r="E62" s="30" t="s">
        <v>129</v>
      </c>
      <c r="F62" s="30" t="s">
        <v>129</v>
      </c>
      <c r="G62" s="30" t="s">
        <v>132</v>
      </c>
      <c r="H62" s="35"/>
      <c r="J62" s="34" t="str">
        <f t="shared" si="21"/>
        <v/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 t="str">
        <f t="shared" si="21"/>
        <v/>
      </c>
      <c r="AA62" s="15"/>
      <c r="AB62" s="40" t="str">
        <f t="shared" si="11"/>
        <v/>
      </c>
      <c r="AC62" s="15" t="str">
        <f t="shared" si="11"/>
        <v>0000010000010</v>
      </c>
      <c r="AD62" s="15" t="str">
        <f t="shared" si="11"/>
        <v>0001000001000</v>
      </c>
      <c r="AE62" s="15" t="str">
        <f t="shared" si="11"/>
        <v>0000100001000</v>
      </c>
      <c r="AF62" s="15" t="str">
        <f t="shared" si="11"/>
        <v>0100000000100</v>
      </c>
      <c r="AG62" s="41" t="str">
        <f t="shared" si="11"/>
        <v/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/>
      <c r="D63" s="30" t="s">
        <v>133</v>
      </c>
      <c r="E63" s="30" t="s">
        <v>137</v>
      </c>
      <c r="F63" s="30" t="s">
        <v>128</v>
      </c>
      <c r="G63" s="30" t="s">
        <v>136</v>
      </c>
      <c r="H63" s="35"/>
      <c r="J63" s="34" t="str">
        <f t="shared" si="21"/>
        <v/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 t="str">
        <f t="shared" si="21"/>
        <v/>
      </c>
      <c r="AA63" s="15"/>
      <c r="AB63" s="40" t="str">
        <f t="shared" si="11"/>
        <v/>
      </c>
      <c r="AC63" s="15" t="str">
        <f t="shared" si="11"/>
        <v>0000000100010</v>
      </c>
      <c r="AD63" s="15" t="str">
        <f t="shared" si="11"/>
        <v>0000010001000</v>
      </c>
      <c r="AE63" s="15" t="str">
        <f t="shared" si="11"/>
        <v>0000001001000</v>
      </c>
      <c r="AF63" s="15" t="str">
        <f t="shared" si="11"/>
        <v>0000100000100</v>
      </c>
      <c r="AG63" s="41" t="str">
        <f t="shared" si="11"/>
        <v/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3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/>
      <c r="D64" s="30" t="s">
        <v>138</v>
      </c>
      <c r="E64" s="30" t="s">
        <v>127</v>
      </c>
      <c r="F64" s="30" t="s">
        <v>134</v>
      </c>
      <c r="G64" s="30" t="s">
        <v>129</v>
      </c>
      <c r="H64" s="35"/>
      <c r="J64" s="34" t="str">
        <f t="shared" si="21"/>
        <v/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 t="str">
        <f t="shared" si="21"/>
        <v/>
      </c>
      <c r="AB64" s="40" t="str">
        <f t="shared" si="11"/>
        <v/>
      </c>
      <c r="AC64" s="15" t="str">
        <f t="shared" si="11"/>
        <v>0000000100010</v>
      </c>
      <c r="AD64" s="15" t="str">
        <f t="shared" si="11"/>
        <v>0010010000000</v>
      </c>
      <c r="AE64" s="15" t="str">
        <f t="shared" si="11"/>
        <v>0001001000000</v>
      </c>
      <c r="AF64" s="15" t="str">
        <f t="shared" si="11"/>
        <v>0000100001000</v>
      </c>
      <c r="AG64" s="41" t="str">
        <f t="shared" si="11"/>
        <v/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8</v>
      </c>
      <c r="AL64" s="39" cm="1">
        <f t="array" ref="AL64">SUMPRODUCT(--(MID(AC$10:AC$135, SUMIF($Z$9:$Z$21, LEFT($AJ64,2), $Y$9:$Y$21), 1) = RIGHT($AJ64, 1)), K$10:K$135)</f>
        <v>22</v>
      </c>
      <c r="AM64" s="39" cm="1">
        <f t="array" ref="AM64">SUMPRODUCT(--(MID(AD$10:AD$135, SUMIF($Z$9:$Z$21, LEFT($AJ64,2), $Y$9:$Y$21), 1) = RIGHT($AJ64, 1)), L$10:L$135)</f>
        <v>18</v>
      </c>
      <c r="AN64" s="39" cm="1">
        <f t="array" ref="AN64">SUMPRODUCT(--(MID(AE$10:AE$135, SUMIF($Z$9:$Z$21, LEFT($AJ64,2), $Y$9:$Y$21), 1) = RIGHT($AJ64, 1)), M$10:M$135)</f>
        <v>20</v>
      </c>
      <c r="AO64" s="39" cm="1">
        <f t="array" ref="AO64">SUMPRODUCT(--(MID(AF$10:AF$135, SUMIF($Z$9:$Z$21, LEFT($AJ64,2), $Y$9:$Y$21), 1) = RIGHT($AJ64, 1)), N$10:N$135)</f>
        <v>22</v>
      </c>
      <c r="AP64" s="19" cm="1">
        <f t="array" ref="AP64">SUMPRODUCT(--(MID(AG$10:AG$135, SUMIF($Z$9:$Z$21, LEFT($AJ64,2), $Y$9:$Y$21), 1) = RIGHT($AJ64, 1)), O$10:O$135)</f>
        <v>6</v>
      </c>
    </row>
    <row r="65" spans="2:42">
      <c r="B65" s="34">
        <f t="shared" si="9"/>
        <v>55</v>
      </c>
      <c r="C65" s="30"/>
      <c r="D65" s="30" t="s">
        <v>136</v>
      </c>
      <c r="E65" s="30" t="s">
        <v>133</v>
      </c>
      <c r="F65" s="30" t="s">
        <v>133</v>
      </c>
      <c r="G65" s="30" t="s">
        <v>133</v>
      </c>
      <c r="H65" s="35"/>
      <c r="J65" s="34" t="str">
        <f t="shared" si="21"/>
        <v/>
      </c>
      <c r="K65" s="30">
        <f t="shared" si="21"/>
        <v>1</v>
      </c>
      <c r="L65" s="30">
        <f t="shared" si="21"/>
        <v>1</v>
      </c>
      <c r="M65" s="30">
        <f t="shared" si="21"/>
        <v>1</v>
      </c>
      <c r="N65" s="30">
        <f t="shared" si="21"/>
        <v>1</v>
      </c>
      <c r="O65" s="35" t="str">
        <f t="shared" si="21"/>
        <v/>
      </c>
      <c r="AB65" s="40" t="str">
        <f t="shared" si="11"/>
        <v/>
      </c>
      <c r="AC65" s="15" t="str">
        <f t="shared" si="11"/>
        <v>0000100000010</v>
      </c>
      <c r="AD65" s="15" t="str">
        <f t="shared" si="11"/>
        <v>0010000100000</v>
      </c>
      <c r="AE65" s="15" t="str">
        <f t="shared" si="11"/>
        <v>0001000100000</v>
      </c>
      <c r="AF65" s="15" t="str">
        <f t="shared" si="11"/>
        <v>0000000101000</v>
      </c>
      <c r="AG65" s="41" t="str">
        <f t="shared" si="11"/>
        <v/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30</v>
      </c>
      <c r="AL65" s="39" cm="1">
        <f t="array" ref="AL65">SUMPRODUCT(--(MID(AC$10:AC$135, SUMIF($Z$9:$Z$21, LEFT($AJ65,2), $Y$9:$Y$21), 1) = RIGHT($AJ65, 1)), K$10:K$135)</f>
        <v>49</v>
      </c>
      <c r="AM65" s="39" cm="1">
        <f t="array" ref="AM65">SUMPRODUCT(--(MID(AD$10:AD$135, SUMIF($Z$9:$Z$21, LEFT($AJ65,2), $Y$9:$Y$21), 1) = RIGHT($AJ65, 1)), L$10:L$135)</f>
        <v>64</v>
      </c>
      <c r="AN65" s="39" cm="1">
        <f t="array" ref="AN65">SUMPRODUCT(--(MID(AE$10:AE$135, SUMIF($Z$9:$Z$21, LEFT($AJ65,2), $Y$9:$Y$21), 1) = RIGHT($AJ65, 1)), M$10:M$135)</f>
        <v>45</v>
      </c>
      <c r="AO65" s="39" cm="1">
        <f t="array" ref="AO65">SUMPRODUCT(--(MID(AF$10:AF$135, SUMIF($Z$9:$Z$21, LEFT($AJ65,2), $Y$9:$Y$21), 1) = RIGHT($AJ65, 1)), N$10:N$135)</f>
        <v>66</v>
      </c>
      <c r="AP65" s="19" cm="1">
        <f t="array" ref="AP65">SUMPRODUCT(--(MID(AG$10:AG$135, SUMIF($Z$9:$Z$21, LEFT($AJ65,2), $Y$9:$Y$21), 1) = RIGHT($AJ65, 1)), O$10:O$135)</f>
        <v>42</v>
      </c>
    </row>
    <row r="66" spans="2:42">
      <c r="B66" s="34">
        <f t="shared" si="9"/>
        <v>56</v>
      </c>
      <c r="C66" s="30"/>
      <c r="D66" s="30" t="s">
        <v>127</v>
      </c>
      <c r="E66" s="30" t="s">
        <v>127</v>
      </c>
      <c r="F66" s="30" t="s">
        <v>127</v>
      </c>
      <c r="G66" s="30" t="s">
        <v>132</v>
      </c>
      <c r="H66" s="35"/>
      <c r="J66" s="34" t="str">
        <f t="shared" si="21"/>
        <v/>
      </c>
      <c r="K66" s="30">
        <f t="shared" si="21"/>
        <v>1</v>
      </c>
      <c r="L66" s="30">
        <f t="shared" si="21"/>
        <v>1</v>
      </c>
      <c r="M66" s="30">
        <f t="shared" si="21"/>
        <v>1</v>
      </c>
      <c r="N66" s="30">
        <f t="shared" si="21"/>
        <v>1</v>
      </c>
      <c r="O66" s="35" t="str">
        <f t="shared" si="21"/>
        <v/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/>
      </c>
      <c r="AC66" s="15" t="str">
        <f t="shared" si="23"/>
        <v>0010100000000</v>
      </c>
      <c r="AD66" s="15" t="str">
        <f t="shared" si="23"/>
        <v>0010000100000</v>
      </c>
      <c r="AE66" s="15" t="str">
        <f t="shared" si="23"/>
        <v>0010000100000</v>
      </c>
      <c r="AF66" s="15" t="str">
        <f t="shared" si="23"/>
        <v>0000000100100</v>
      </c>
      <c r="AG66" s="41" t="str">
        <f t="shared" si="23"/>
        <v/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/>
      <c r="D67" s="30" t="s">
        <v>133</v>
      </c>
      <c r="E67" s="30" t="s">
        <v>130</v>
      </c>
      <c r="F67" s="30" t="s">
        <v>133</v>
      </c>
      <c r="G67" s="30" t="s">
        <v>127</v>
      </c>
      <c r="H67" s="35"/>
      <c r="J67" s="34" t="str">
        <f t="shared" si="21"/>
        <v/>
      </c>
      <c r="K67" s="30">
        <f t="shared" si="21"/>
        <v>1</v>
      </c>
      <c r="L67" s="30">
        <f t="shared" si="21"/>
        <v>1</v>
      </c>
      <c r="M67" s="30">
        <f t="shared" si="21"/>
        <v>1</v>
      </c>
      <c r="N67" s="30">
        <f t="shared" si="21"/>
        <v>1</v>
      </c>
      <c r="O67" s="35" t="str">
        <f t="shared" si="21"/>
        <v/>
      </c>
      <c r="AB67" s="40" t="str">
        <f t="shared" si="23"/>
        <v/>
      </c>
      <c r="AC67" s="15" t="str">
        <f t="shared" si="23"/>
        <v>0010000100000</v>
      </c>
      <c r="AD67" s="15" t="str">
        <f t="shared" si="23"/>
        <v>0010000010000</v>
      </c>
      <c r="AE67" s="15" t="str">
        <f t="shared" si="23"/>
        <v>0010000100000</v>
      </c>
      <c r="AF67" s="15" t="str">
        <f t="shared" si="23"/>
        <v>0010000000100</v>
      </c>
      <c r="AG67" s="41" t="str">
        <f t="shared" si="23"/>
        <v/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/>
      <c r="D68" s="30" t="s">
        <v>131</v>
      </c>
      <c r="E68" s="30" t="s">
        <v>138</v>
      </c>
      <c r="F68" s="30" t="s">
        <v>137</v>
      </c>
      <c r="G68" s="30" t="s">
        <v>129</v>
      </c>
      <c r="H68" s="35"/>
      <c r="J68" s="34" t="str">
        <f t="shared" si="21"/>
        <v/>
      </c>
      <c r="K68" s="30">
        <f t="shared" si="21"/>
        <v>1</v>
      </c>
      <c r="L68" s="30">
        <f t="shared" si="21"/>
        <v>1</v>
      </c>
      <c r="M68" s="30">
        <f t="shared" si="21"/>
        <v>1</v>
      </c>
      <c r="N68" s="30">
        <f t="shared" si="21"/>
        <v>1</v>
      </c>
      <c r="O68" s="35" t="str">
        <f t="shared" si="21"/>
        <v/>
      </c>
      <c r="AB68" s="40" t="str">
        <f t="shared" si="23"/>
        <v/>
      </c>
      <c r="AC68" s="15" t="str">
        <f t="shared" si="23"/>
        <v>0100000100000</v>
      </c>
      <c r="AD68" s="15" t="str">
        <f t="shared" si="23"/>
        <v>0000000010010</v>
      </c>
      <c r="AE68" s="15" t="str">
        <f t="shared" si="23"/>
        <v>0000010100000</v>
      </c>
      <c r="AF68" s="15" t="str">
        <f t="shared" si="23"/>
        <v>0010000001000</v>
      </c>
      <c r="AG68" s="41" t="str">
        <f t="shared" si="23"/>
        <v/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/>
      <c r="D69" s="30" t="s">
        <v>132</v>
      </c>
      <c r="E69" s="30" t="s">
        <v>130</v>
      </c>
      <c r="F69" s="30" t="s">
        <v>133</v>
      </c>
      <c r="G69" s="30" t="s">
        <v>133</v>
      </c>
      <c r="H69" s="35"/>
      <c r="J69" s="34" t="str">
        <f t="shared" si="21"/>
        <v/>
      </c>
      <c r="K69" s="30">
        <f t="shared" si="21"/>
        <v>1</v>
      </c>
      <c r="L69" s="30">
        <f t="shared" si="21"/>
        <v>1</v>
      </c>
      <c r="M69" s="30">
        <f t="shared" si="21"/>
        <v>1</v>
      </c>
      <c r="N69" s="30">
        <f t="shared" si="21"/>
        <v>1</v>
      </c>
      <c r="O69" s="35" t="str">
        <f t="shared" si="21"/>
        <v/>
      </c>
      <c r="AB69" s="40" t="str">
        <f t="shared" si="23"/>
        <v/>
      </c>
      <c r="AC69" s="15" t="str">
        <f t="shared" si="23"/>
        <v>0100000000100</v>
      </c>
      <c r="AD69" s="15" t="str">
        <f t="shared" si="23"/>
        <v>0000000010010</v>
      </c>
      <c r="AE69" s="15" t="str">
        <f t="shared" si="23"/>
        <v>0000010100000</v>
      </c>
      <c r="AF69" s="15" t="str">
        <f t="shared" si="23"/>
        <v>0000000101000</v>
      </c>
      <c r="AG69" s="41" t="str">
        <f t="shared" si="23"/>
        <v/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/>
      <c r="D70" s="30" t="s">
        <v>133</v>
      </c>
      <c r="E70" s="30" t="s">
        <v>138</v>
      </c>
      <c r="F70" s="30" t="s">
        <v>128</v>
      </c>
      <c r="G70" s="30" t="s">
        <v>131</v>
      </c>
      <c r="H70" s="35"/>
      <c r="J70" s="34" t="str">
        <f t="shared" si="21"/>
        <v/>
      </c>
      <c r="K70" s="30">
        <f t="shared" si="21"/>
        <v>1</v>
      </c>
      <c r="L70" s="30">
        <f t="shared" si="21"/>
        <v>1</v>
      </c>
      <c r="M70" s="30">
        <f t="shared" si="21"/>
        <v>1</v>
      </c>
      <c r="N70" s="30">
        <f t="shared" si="21"/>
        <v>1</v>
      </c>
      <c r="O70" s="35" t="str">
        <f t="shared" si="21"/>
        <v/>
      </c>
      <c r="AB70" s="40" t="str">
        <f t="shared" si="23"/>
        <v/>
      </c>
      <c r="AC70" s="15" t="str">
        <f t="shared" si="23"/>
        <v>0000000100100</v>
      </c>
      <c r="AD70" s="15" t="str">
        <f t="shared" si="23"/>
        <v>0000000010010</v>
      </c>
      <c r="AE70" s="15" t="str">
        <f t="shared" si="23"/>
        <v>0000001100000</v>
      </c>
      <c r="AF70" s="15" t="str">
        <f t="shared" si="23"/>
        <v>0100000100000</v>
      </c>
      <c r="AG70" s="41" t="str">
        <f t="shared" si="23"/>
        <v/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/>
      <c r="D71" s="30" t="s">
        <v>132</v>
      </c>
      <c r="E71" s="30" t="s">
        <v>131</v>
      </c>
      <c r="F71" s="30" t="s">
        <v>133</v>
      </c>
      <c r="G71" s="30" t="s">
        <v>128</v>
      </c>
      <c r="H71" s="35"/>
      <c r="J71" s="34" t="str">
        <f t="shared" si="21"/>
        <v/>
      </c>
      <c r="K71" s="30">
        <f t="shared" si="21"/>
        <v>1</v>
      </c>
      <c r="L71" s="30">
        <f t="shared" si="21"/>
        <v>1</v>
      </c>
      <c r="M71" s="30">
        <f t="shared" si="21"/>
        <v>1</v>
      </c>
      <c r="N71" s="30">
        <f t="shared" si="21"/>
        <v>1</v>
      </c>
      <c r="O71" s="35" t="str">
        <f t="shared" si="21"/>
        <v/>
      </c>
      <c r="AB71" s="40" t="str">
        <f t="shared" si="23"/>
        <v/>
      </c>
      <c r="AC71" s="15" t="str">
        <f t="shared" si="23"/>
        <v>0000000100100</v>
      </c>
      <c r="AD71" s="15" t="str">
        <f t="shared" si="23"/>
        <v>0100000000010</v>
      </c>
      <c r="AE71" s="15" t="str">
        <f t="shared" si="23"/>
        <v>0000001100000</v>
      </c>
      <c r="AF71" s="15" t="str">
        <f t="shared" si="23"/>
        <v>0100001000000</v>
      </c>
      <c r="AG71" s="41" t="str">
        <f t="shared" si="23"/>
        <v/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2</v>
      </c>
      <c r="AL71" s="39" cm="1">
        <f t="array" ref="AL71">SUMPRODUCT(--(MID(AC$10:AC$135, SUMIF($Z$9:$Z$21, LEFT($AJ71,2), $Y$9:$Y$21), 1) = RIGHT($AJ71, 1)), K$10:K$135)</f>
        <v>3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/>
      <c r="D72" s="30" t="s">
        <v>130</v>
      </c>
      <c r="E72" s="30" t="s">
        <v>134</v>
      </c>
      <c r="F72" s="30" t="s">
        <v>127</v>
      </c>
      <c r="G72" s="30" t="s">
        <v>131</v>
      </c>
      <c r="H72" s="35"/>
      <c r="J72" s="34" t="str">
        <f t="shared" si="21"/>
        <v/>
      </c>
      <c r="K72" s="30">
        <f t="shared" si="21"/>
        <v>1</v>
      </c>
      <c r="L72" s="30">
        <f t="shared" si="21"/>
        <v>1</v>
      </c>
      <c r="M72" s="30">
        <f t="shared" si="21"/>
        <v>1</v>
      </c>
      <c r="N72" s="30">
        <f t="shared" si="21"/>
        <v>1</v>
      </c>
      <c r="O72" s="35" t="str">
        <f t="shared" si="21"/>
        <v/>
      </c>
      <c r="AB72" s="40" t="str">
        <f t="shared" si="23"/>
        <v/>
      </c>
      <c r="AC72" s="15" t="str">
        <f t="shared" si="23"/>
        <v>0000000010100</v>
      </c>
      <c r="AD72" s="15" t="str">
        <f t="shared" si="23"/>
        <v>0101000000000</v>
      </c>
      <c r="AE72" s="15" t="str">
        <f t="shared" si="23"/>
        <v>0010000100000</v>
      </c>
      <c r="AF72" s="15" t="str">
        <f t="shared" si="23"/>
        <v>0100001000000</v>
      </c>
      <c r="AG72" s="41" t="str">
        <f t="shared" si="23"/>
        <v/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8</v>
      </c>
      <c r="AL72" s="39" cm="1">
        <f t="array" ref="AL72">SUMPRODUCT(--(MID(AC$10:AC$135, SUMIF($Z$9:$Z$21, LEFT($AJ72,2), $Y$9:$Y$21), 1) = RIGHT($AJ72, 1)), K$10:K$135)</f>
        <v>8</v>
      </c>
      <c r="AM72" s="39" cm="1">
        <f t="array" ref="AM72">SUMPRODUCT(--(MID(AD$10:AD$135, SUMIF($Z$9:$Z$21, LEFT($AJ72,2), $Y$9:$Y$21), 1) = RIGHT($AJ72, 1)), L$10:L$135)</f>
        <v>6</v>
      </c>
      <c r="AN72" s="39" cm="1">
        <f t="array" ref="AN72">SUMPRODUCT(--(MID(AE$10:AE$135, SUMIF($Z$9:$Z$21, LEFT($AJ72,2), $Y$9:$Y$21), 1) = RIGHT($AJ72, 1)), M$10:M$135)</f>
        <v>2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2</v>
      </c>
    </row>
    <row r="73" spans="2:42">
      <c r="B73" s="34">
        <f t="shared" si="9"/>
        <v>63</v>
      </c>
      <c r="C73" s="30"/>
      <c r="D73" s="30" t="s">
        <v>129</v>
      </c>
      <c r="E73" s="30" t="s">
        <v>132</v>
      </c>
      <c r="F73" s="30" t="s">
        <v>138</v>
      </c>
      <c r="G73" s="30" t="s">
        <v>129</v>
      </c>
      <c r="H73" s="35"/>
      <c r="J73" s="34" t="str">
        <f t="shared" si="21"/>
        <v/>
      </c>
      <c r="K73" s="30">
        <f t="shared" si="21"/>
        <v>1</v>
      </c>
      <c r="L73" s="30">
        <f t="shared" si="21"/>
        <v>1</v>
      </c>
      <c r="M73" s="30">
        <f t="shared" si="21"/>
        <v>1</v>
      </c>
      <c r="N73" s="30">
        <f t="shared" si="21"/>
        <v>1</v>
      </c>
      <c r="O73" s="35" t="str">
        <f t="shared" si="21"/>
        <v/>
      </c>
      <c r="AB73" s="40" t="str">
        <f t="shared" si="23"/>
        <v/>
      </c>
      <c r="AC73" s="15" t="str">
        <f t="shared" si="23"/>
        <v>0000000011000</v>
      </c>
      <c r="AD73" s="15" t="str">
        <f t="shared" si="23"/>
        <v>0001000000100</v>
      </c>
      <c r="AE73" s="15" t="str">
        <f t="shared" si="23"/>
        <v>0010000000010</v>
      </c>
      <c r="AF73" s="15" t="str">
        <f t="shared" si="23"/>
        <v>0100000001000</v>
      </c>
      <c r="AG73" s="41" t="str">
        <f t="shared" si="23"/>
        <v/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30</v>
      </c>
      <c r="AL73" s="39" cm="1">
        <f t="array" ref="AL73">SUMPRODUCT(--(MID(AC$10:AC$135, SUMIF($Z$9:$Z$21, LEFT($AJ73,2), $Y$9:$Y$21), 1) = RIGHT($AJ73, 1)), K$10:K$135)</f>
        <v>62</v>
      </c>
      <c r="AM73" s="39" cm="1">
        <f t="array" ref="AM73">SUMPRODUCT(--(MID(AD$10:AD$135, SUMIF($Z$9:$Z$21, LEFT($AJ73,2), $Y$9:$Y$21), 1) = RIGHT($AJ73, 1)), L$10:L$135)</f>
        <v>78</v>
      </c>
      <c r="AN73" s="39" cm="1">
        <f t="array" ref="AN73">SUMPRODUCT(--(MID(AE$10:AE$135, SUMIF($Z$9:$Z$21, LEFT($AJ73,2), $Y$9:$Y$21), 1) = RIGHT($AJ73, 1)), M$10:M$135)</f>
        <v>65</v>
      </c>
      <c r="AO73" s="39" cm="1">
        <f t="array" ref="AO73">SUMPRODUCT(--(MID(AF$10:AF$135, SUMIF($Z$9:$Z$21, LEFT($AJ73,2), $Y$9:$Y$21), 1) = RIGHT($AJ73, 1)), N$10:N$135)</f>
        <v>89</v>
      </c>
      <c r="AP73" s="19" cm="1">
        <f t="array" ref="AP73">SUMPRODUCT(--(MID(AG$10:AG$135, SUMIF($Z$9:$Z$21, LEFT($AJ73,2), $Y$9:$Y$21), 1) = RIGHT($AJ73, 1)), O$10:O$135)</f>
        <v>48</v>
      </c>
    </row>
    <row r="74" spans="2:42">
      <c r="B74" s="34">
        <f t="shared" si="9"/>
        <v>64</v>
      </c>
      <c r="C74" s="30"/>
      <c r="D74" s="30" t="s">
        <v>136</v>
      </c>
      <c r="E74" s="30" t="s">
        <v>131</v>
      </c>
      <c r="F74" s="30" t="s">
        <v>134</v>
      </c>
      <c r="G74" s="30" t="s">
        <v>131</v>
      </c>
      <c r="H74" s="35"/>
      <c r="J74" s="34" t="str">
        <f t="shared" si="21"/>
        <v/>
      </c>
      <c r="K74" s="30">
        <f t="shared" si="21"/>
        <v>1</v>
      </c>
      <c r="L74" s="30">
        <f t="shared" si="21"/>
        <v>1</v>
      </c>
      <c r="M74" s="30">
        <f t="shared" si="21"/>
        <v>1</v>
      </c>
      <c r="N74" s="30">
        <f t="shared" si="21"/>
        <v>1</v>
      </c>
      <c r="O74" s="35" t="str">
        <f t="shared" si="21"/>
        <v/>
      </c>
      <c r="AB74" s="40" t="str">
        <f t="shared" si="23"/>
        <v/>
      </c>
      <c r="AC74" s="15" t="str">
        <f t="shared" si="23"/>
        <v>0000100001000</v>
      </c>
      <c r="AD74" s="15" t="str">
        <f t="shared" si="23"/>
        <v>0100000000100</v>
      </c>
      <c r="AE74" s="15" t="str">
        <f t="shared" si="23"/>
        <v>0001000000010</v>
      </c>
      <c r="AF74" s="15" t="str">
        <f t="shared" si="23"/>
        <v>0100000001000</v>
      </c>
      <c r="AG74" s="41" t="str">
        <f t="shared" si="23"/>
        <v/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/>
      <c r="D75" s="30" t="s">
        <v>127</v>
      </c>
      <c r="E75" s="30" t="s">
        <v>136</v>
      </c>
      <c r="F75" s="30" t="s">
        <v>128</v>
      </c>
      <c r="G75" s="30" t="s">
        <v>129</v>
      </c>
      <c r="H75" s="35"/>
      <c r="J75" s="34" t="str">
        <f t="shared" si="21"/>
        <v/>
      </c>
      <c r="K75" s="30">
        <f t="shared" si="21"/>
        <v>1</v>
      </c>
      <c r="L75" s="30">
        <f t="shared" si="21"/>
        <v>1</v>
      </c>
      <c r="M75" s="30">
        <f t="shared" si="21"/>
        <v>1</v>
      </c>
      <c r="N75" s="30">
        <f t="shared" si="21"/>
        <v>1</v>
      </c>
      <c r="O75" s="35" t="str">
        <f t="shared" si="21"/>
        <v/>
      </c>
      <c r="AB75" s="40" t="str">
        <f t="shared" si="23"/>
        <v/>
      </c>
      <c r="AC75" s="15" t="str">
        <f t="shared" si="23"/>
        <v>0010100000000</v>
      </c>
      <c r="AD75" s="15" t="str">
        <f t="shared" si="23"/>
        <v>0100100000000</v>
      </c>
      <c r="AE75" s="15" t="str">
        <f t="shared" si="23"/>
        <v>0001001000000</v>
      </c>
      <c r="AF75" s="15" t="str">
        <f t="shared" si="23"/>
        <v>0100000001000</v>
      </c>
      <c r="AG75" s="41" t="str">
        <f t="shared" si="23"/>
        <v/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/>
      <c r="D76" s="30" t="s">
        <v>133</v>
      </c>
      <c r="E76" s="30" t="s">
        <v>129</v>
      </c>
      <c r="F76" s="30" t="s">
        <v>133</v>
      </c>
      <c r="G76" s="30" t="s">
        <v>136</v>
      </c>
      <c r="H76" s="35"/>
      <c r="J76" s="34" t="str">
        <f t="shared" si="21"/>
        <v/>
      </c>
      <c r="K76" s="30">
        <f t="shared" si="21"/>
        <v>1</v>
      </c>
      <c r="L76" s="30">
        <f t="shared" si="21"/>
        <v>1</v>
      </c>
      <c r="M76" s="30">
        <f t="shared" si="21"/>
        <v>1</v>
      </c>
      <c r="N76" s="30">
        <f t="shared" si="21"/>
        <v>1</v>
      </c>
      <c r="O76" s="35" t="str">
        <f t="shared" si="21"/>
        <v/>
      </c>
      <c r="AB76" s="40" t="str">
        <f t="shared" si="23"/>
        <v/>
      </c>
      <c r="AC76" s="15" t="str">
        <f t="shared" si="23"/>
        <v>0010000100000</v>
      </c>
      <c r="AD76" s="15" t="str">
        <f t="shared" si="23"/>
        <v>0000100001000</v>
      </c>
      <c r="AE76" s="15" t="str">
        <f t="shared" si="23"/>
        <v>0000001100000</v>
      </c>
      <c r="AF76" s="15" t="str">
        <f t="shared" si="23"/>
        <v>0000100001000</v>
      </c>
      <c r="AG76" s="41" t="str">
        <f t="shared" si="23"/>
        <v/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/>
      <c r="D77" s="30" t="s">
        <v>129</v>
      </c>
      <c r="E77" s="30" t="s">
        <v>133</v>
      </c>
      <c r="F77" s="30"/>
      <c r="G77" s="30" t="s">
        <v>132</v>
      </c>
      <c r="H77" s="35"/>
      <c r="J77" s="34" t="str">
        <f t="shared" si="21"/>
        <v/>
      </c>
      <c r="K77" s="30">
        <f t="shared" si="21"/>
        <v>1</v>
      </c>
      <c r="L77" s="30">
        <f t="shared" si="21"/>
        <v>1</v>
      </c>
      <c r="M77" s="30" t="str">
        <f t="shared" si="21"/>
        <v/>
      </c>
      <c r="N77" s="30">
        <f t="shared" si="21"/>
        <v>1</v>
      </c>
      <c r="O77" s="35" t="str">
        <f t="shared" si="21"/>
        <v/>
      </c>
      <c r="AB77" s="40" t="str">
        <f t="shared" si="23"/>
        <v/>
      </c>
      <c r="AC77" s="15" t="str">
        <f t="shared" si="23"/>
        <v>0000000101000</v>
      </c>
      <c r="AD77" s="15" t="str">
        <f t="shared" si="23"/>
        <v>0000000101000</v>
      </c>
      <c r="AE77" s="15" t="str">
        <f t="shared" si="23"/>
        <v/>
      </c>
      <c r="AF77" s="15" t="str">
        <f t="shared" si="23"/>
        <v>0000100000100</v>
      </c>
      <c r="AG77" s="41" t="str">
        <f t="shared" si="23"/>
        <v/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 t="s">
        <v>128</v>
      </c>
      <c r="E78" s="30" t="s">
        <v>132</v>
      </c>
      <c r="F78" s="30"/>
      <c r="G78" s="30" t="s">
        <v>134</v>
      </c>
      <c r="H78" s="35"/>
      <c r="J78" s="34" t="str">
        <f t="shared" si="21"/>
        <v/>
      </c>
      <c r="K78" s="30">
        <f t="shared" si="21"/>
        <v>1</v>
      </c>
      <c r="L78" s="30">
        <f t="shared" si="21"/>
        <v>1</v>
      </c>
      <c r="M78" s="30" t="str">
        <f t="shared" si="21"/>
        <v/>
      </c>
      <c r="N78" s="30">
        <f t="shared" si="21"/>
        <v>1</v>
      </c>
      <c r="O78" s="35" t="str">
        <f t="shared" si="21"/>
        <v/>
      </c>
      <c r="AB78" s="40" t="str">
        <f t="shared" si="23"/>
        <v/>
      </c>
      <c r="AC78" s="15" t="str">
        <f t="shared" si="23"/>
        <v>0000001001000</v>
      </c>
      <c r="AD78" s="15" t="str">
        <f t="shared" si="23"/>
        <v>0000000100100</v>
      </c>
      <c r="AE78" s="15" t="str">
        <f t="shared" si="23"/>
        <v/>
      </c>
      <c r="AF78" s="15" t="str">
        <f t="shared" si="23"/>
        <v>0001000000100</v>
      </c>
      <c r="AG78" s="41" t="str">
        <f t="shared" si="23"/>
        <v/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 t="s">
        <v>138</v>
      </c>
      <c r="E79" s="30" t="s">
        <v>133</v>
      </c>
      <c r="F79" s="30"/>
      <c r="G79" s="30" t="s">
        <v>133</v>
      </c>
      <c r="H79" s="35"/>
      <c r="J79" s="34" t="str">
        <f t="shared" si="21"/>
        <v/>
      </c>
      <c r="K79" s="30">
        <f t="shared" si="21"/>
        <v>1</v>
      </c>
      <c r="L79" s="30">
        <f t="shared" si="21"/>
        <v>1</v>
      </c>
      <c r="M79" s="30" t="str">
        <f t="shared" si="21"/>
        <v/>
      </c>
      <c r="N79" s="30">
        <f t="shared" si="21"/>
        <v>1</v>
      </c>
      <c r="O79" s="35" t="str">
        <f t="shared" si="21"/>
        <v/>
      </c>
      <c r="AB79" s="40" t="str">
        <f t="shared" si="23"/>
        <v/>
      </c>
      <c r="AC79" s="15" t="str">
        <f t="shared" si="23"/>
        <v>0000001000010</v>
      </c>
      <c r="AD79" s="15" t="str">
        <f t="shared" si="23"/>
        <v>0000000100100</v>
      </c>
      <c r="AE79" s="15" t="str">
        <f t="shared" si="23"/>
        <v/>
      </c>
      <c r="AF79" s="15" t="str">
        <f t="shared" si="23"/>
        <v>0001000100000</v>
      </c>
      <c r="AG79" s="41" t="str">
        <f t="shared" si="23"/>
        <v/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5</v>
      </c>
      <c r="AM79" s="39" cm="1">
        <f t="array" ref="AM79">SUMPRODUCT(--(MID(AD$10:AD$135, SUMIF($Z$9:$Z$21, LEFT($AJ79,2), $Y$9:$Y$21), 1) = RIGHT($AJ79, 1)), L$10:L$135)</f>
        <v>4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 t="s">
        <v>133</v>
      </c>
      <c r="E80" s="30" t="s">
        <v>138</v>
      </c>
      <c r="F80" s="30"/>
      <c r="G80" s="30" t="s">
        <v>132</v>
      </c>
      <c r="H80" s="35"/>
      <c r="J80" s="34" t="str">
        <f t="shared" si="21"/>
        <v/>
      </c>
      <c r="K80" s="30">
        <f t="shared" si="21"/>
        <v>1</v>
      </c>
      <c r="L80" s="30">
        <f t="shared" si="21"/>
        <v>1</v>
      </c>
      <c r="M80" s="30" t="str">
        <f t="shared" si="21"/>
        <v/>
      </c>
      <c r="N80" s="30">
        <f t="shared" si="21"/>
        <v>1</v>
      </c>
      <c r="O80" s="35" t="str">
        <f t="shared" si="21"/>
        <v/>
      </c>
      <c r="AB80" s="40" t="str">
        <f t="shared" si="23"/>
        <v/>
      </c>
      <c r="AC80" s="15" t="str">
        <f t="shared" si="23"/>
        <v>0000000100010</v>
      </c>
      <c r="AD80" s="15" t="str">
        <f t="shared" si="23"/>
        <v>0000000100010</v>
      </c>
      <c r="AE80" s="15" t="str">
        <f t="shared" si="23"/>
        <v/>
      </c>
      <c r="AF80" s="15" t="str">
        <f t="shared" si="23"/>
        <v>0000000100100</v>
      </c>
      <c r="AG80" s="41" t="str">
        <f t="shared" si="23"/>
        <v/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8</v>
      </c>
      <c r="AL80" s="39" cm="1">
        <f t="array" ref="AL80">SUMPRODUCT(--(MID(AC$10:AC$135, SUMIF($Z$9:$Z$21, LEFT($AJ80,2), $Y$9:$Y$21), 1) = RIGHT($AJ80, 1)), K$10:K$135)</f>
        <v>8</v>
      </c>
      <c r="AM80" s="39" cm="1">
        <f t="array" ref="AM80">SUMPRODUCT(--(MID(AD$10:AD$135, SUMIF($Z$9:$Z$21, LEFT($AJ80,2), $Y$9:$Y$21), 1) = RIGHT($AJ80, 1)), L$10:L$135)</f>
        <v>16</v>
      </c>
      <c r="AN80" s="39" cm="1">
        <f t="array" ref="AN80">SUMPRODUCT(--(MID(AE$10:AE$135, SUMIF($Z$9:$Z$21, LEFT($AJ80,2), $Y$9:$Y$21), 1) = RIGHT($AJ80, 1)), M$10:M$135)</f>
        <v>6</v>
      </c>
      <c r="AO80" s="39" cm="1">
        <f t="array" ref="AO80">SUMPRODUCT(--(MID(AF$10:AF$135, SUMIF($Z$9:$Z$21, LEFT($AJ80,2), $Y$9:$Y$21), 1) = RIGHT($AJ80, 1)), N$10:N$135)</f>
        <v>14</v>
      </c>
      <c r="AP80" s="19" cm="1">
        <f t="array" ref="AP80">SUMPRODUCT(--(MID(AG$10:AG$135, SUMIF($Z$9:$Z$21, LEFT($AJ80,2), $Y$9:$Y$21), 1) = RIGHT($AJ80, 1)), O$10:O$135)</f>
        <v>6</v>
      </c>
    </row>
    <row r="81" spans="2:42">
      <c r="B81" s="34">
        <f t="shared" si="25"/>
        <v>71</v>
      </c>
      <c r="C81" s="30"/>
      <c r="D81" s="30" t="s">
        <v>127</v>
      </c>
      <c r="E81" s="30" t="s">
        <v>131</v>
      </c>
      <c r="F81" s="30"/>
      <c r="G81" s="30" t="s">
        <v>133</v>
      </c>
      <c r="H81" s="35"/>
      <c r="J81" s="34" t="str">
        <f t="shared" si="21"/>
        <v/>
      </c>
      <c r="K81" s="30">
        <f t="shared" si="21"/>
        <v>1</v>
      </c>
      <c r="L81" s="30">
        <f t="shared" si="21"/>
        <v>1</v>
      </c>
      <c r="M81" s="30" t="str">
        <f t="shared" si="21"/>
        <v/>
      </c>
      <c r="N81" s="30">
        <f t="shared" si="21"/>
        <v>1</v>
      </c>
      <c r="O81" s="35" t="str">
        <f t="shared" si="21"/>
        <v/>
      </c>
      <c r="AB81" s="40" t="str">
        <f t="shared" si="23"/>
        <v/>
      </c>
      <c r="AC81" s="15" t="str">
        <f t="shared" si="23"/>
        <v>0010000100000</v>
      </c>
      <c r="AD81" s="15" t="str">
        <f t="shared" si="23"/>
        <v>0100000000010</v>
      </c>
      <c r="AE81" s="15" t="str">
        <f t="shared" si="23"/>
        <v/>
      </c>
      <c r="AF81" s="15" t="str">
        <f t="shared" si="23"/>
        <v>0000000100100</v>
      </c>
      <c r="AG81" s="41" t="str">
        <f t="shared" si="23"/>
        <v/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30</v>
      </c>
      <c r="AL81" s="39" cm="1">
        <f t="array" ref="AL81">SUMPRODUCT(--(MID(AC$10:AC$135, SUMIF($Z$9:$Z$21, LEFT($AJ81,2), $Y$9:$Y$21), 1) = RIGHT($AJ81, 1)), K$10:K$135)</f>
        <v>60</v>
      </c>
      <c r="AM81" s="39" cm="1">
        <f t="array" ref="AM81">SUMPRODUCT(--(MID(AD$10:AD$135, SUMIF($Z$9:$Z$21, LEFT($AJ81,2), $Y$9:$Y$21), 1) = RIGHT($AJ81, 1)), L$10:L$135)</f>
        <v>64</v>
      </c>
      <c r="AN81" s="39" cm="1">
        <f t="array" ref="AN81">SUMPRODUCT(--(MID(AE$10:AE$135, SUMIF($Z$9:$Z$21, LEFT($AJ81,2), $Y$9:$Y$21), 1) = RIGHT($AJ81, 1)), M$10:M$135)</f>
        <v>59</v>
      </c>
      <c r="AO81" s="39" cm="1">
        <f t="array" ref="AO81">SUMPRODUCT(--(MID(AF$10:AF$135, SUMIF($Z$9:$Z$21, LEFT($AJ81,2), $Y$9:$Y$21), 1) = RIGHT($AJ81, 1)), N$10:N$135)</f>
        <v>75</v>
      </c>
      <c r="AP81" s="19" cm="1">
        <f t="array" ref="AP81">SUMPRODUCT(--(MID(AG$10:AG$135, SUMIF($Z$9:$Z$21, LEFT($AJ81,2), $Y$9:$Y$21), 1) = RIGHT($AJ81, 1)), O$10:O$135)</f>
        <v>42</v>
      </c>
    </row>
    <row r="82" spans="2:42">
      <c r="B82" s="34">
        <f t="shared" si="25"/>
        <v>72</v>
      </c>
      <c r="C82" s="30"/>
      <c r="D82" s="30" t="s">
        <v>131</v>
      </c>
      <c r="E82" s="30" t="s">
        <v>138</v>
      </c>
      <c r="F82" s="30"/>
      <c r="G82" s="30" t="s">
        <v>134</v>
      </c>
      <c r="H82" s="35"/>
      <c r="J82" s="34" t="str">
        <f t="shared" si="21"/>
        <v/>
      </c>
      <c r="K82" s="30">
        <f t="shared" si="21"/>
        <v>1</v>
      </c>
      <c r="L82" s="30">
        <f t="shared" si="21"/>
        <v>1</v>
      </c>
      <c r="M82" s="30" t="str">
        <f t="shared" si="21"/>
        <v/>
      </c>
      <c r="N82" s="30">
        <f t="shared" si="21"/>
        <v>1</v>
      </c>
      <c r="O82" s="35" t="str">
        <f t="shared" si="21"/>
        <v/>
      </c>
      <c r="AB82" s="40" t="str">
        <f t="shared" si="23"/>
        <v/>
      </c>
      <c r="AC82" s="15" t="str">
        <f t="shared" si="23"/>
        <v>0110000000000</v>
      </c>
      <c r="AD82" s="15" t="str">
        <f t="shared" si="23"/>
        <v>0100000000010</v>
      </c>
      <c r="AE82" s="15" t="str">
        <f t="shared" si="23"/>
        <v/>
      </c>
      <c r="AF82" s="15" t="str">
        <f t="shared" si="23"/>
        <v>0001000100000</v>
      </c>
      <c r="AG82" s="41" t="str">
        <f t="shared" si="23"/>
        <v/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/>
      <c r="E83" s="30" t="s">
        <v>133</v>
      </c>
      <c r="F83" s="30"/>
      <c r="G83" s="30" t="s">
        <v>128</v>
      </c>
      <c r="H83" s="35"/>
      <c r="J83" s="34" t="str">
        <f t="shared" si="21"/>
        <v/>
      </c>
      <c r="K83" s="30" t="str">
        <f t="shared" si="21"/>
        <v/>
      </c>
      <c r="L83" s="30">
        <f t="shared" si="21"/>
        <v>1</v>
      </c>
      <c r="M83" s="30" t="str">
        <f t="shared" si="21"/>
        <v/>
      </c>
      <c r="N83" s="30">
        <f t="shared" si="21"/>
        <v>1</v>
      </c>
      <c r="O83" s="35" t="str">
        <f t="shared" si="21"/>
        <v/>
      </c>
      <c r="AB83" s="40" t="str">
        <f t="shared" si="23"/>
        <v/>
      </c>
      <c r="AC83" s="15" t="str">
        <f t="shared" si="23"/>
        <v/>
      </c>
      <c r="AD83" s="15" t="str">
        <f t="shared" si="23"/>
        <v>0000000100010</v>
      </c>
      <c r="AE83" s="15" t="str">
        <f t="shared" si="23"/>
        <v/>
      </c>
      <c r="AF83" s="15" t="str">
        <f t="shared" si="23"/>
        <v>0001001000000</v>
      </c>
      <c r="AG83" s="41" t="str">
        <f t="shared" si="23"/>
        <v/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/>
      <c r="E84" s="30" t="s">
        <v>127</v>
      </c>
      <c r="F84" s="30"/>
      <c r="G84" s="30" t="s">
        <v>127</v>
      </c>
      <c r="H84" s="35"/>
      <c r="J84" s="34" t="str">
        <f t="shared" si="21"/>
        <v/>
      </c>
      <c r="K84" s="30" t="str">
        <f t="shared" si="21"/>
        <v/>
      </c>
      <c r="L84" s="30">
        <f t="shared" si="21"/>
        <v>1</v>
      </c>
      <c r="M84" s="30" t="str">
        <f t="shared" si="21"/>
        <v/>
      </c>
      <c r="N84" s="30">
        <f t="shared" si="21"/>
        <v>1</v>
      </c>
      <c r="O84" s="35" t="str">
        <f t="shared" si="21"/>
        <v/>
      </c>
      <c r="AB84" s="40" t="str">
        <f t="shared" si="23"/>
        <v/>
      </c>
      <c r="AC84" s="15" t="str">
        <f t="shared" si="23"/>
        <v/>
      </c>
      <c r="AD84" s="15" t="str">
        <f t="shared" si="23"/>
        <v>0010000100000</v>
      </c>
      <c r="AE84" s="15" t="str">
        <f t="shared" si="23"/>
        <v/>
      </c>
      <c r="AF84" s="15" t="str">
        <f t="shared" si="23"/>
        <v>0010001000000</v>
      </c>
      <c r="AG84" s="41" t="str">
        <f t="shared" si="23"/>
        <v/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/>
      <c r="E85" s="30" t="s">
        <v>133</v>
      </c>
      <c r="F85" s="30"/>
      <c r="G85" s="30" t="s">
        <v>133</v>
      </c>
      <c r="H85" s="35"/>
      <c r="J85" s="34" t="str">
        <f t="shared" si="21"/>
        <v/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>
        <f t="shared" si="21"/>
        <v>1</v>
      </c>
      <c r="O85" s="35" t="str">
        <f t="shared" si="21"/>
        <v/>
      </c>
      <c r="AB85" s="40" t="str">
        <f t="shared" si="23"/>
        <v/>
      </c>
      <c r="AC85" s="15" t="str">
        <f t="shared" si="23"/>
        <v/>
      </c>
      <c r="AD85" s="15" t="str">
        <f t="shared" si="23"/>
        <v>0010000100000</v>
      </c>
      <c r="AE85" s="15" t="str">
        <f t="shared" si="23"/>
        <v/>
      </c>
      <c r="AF85" s="15" t="str">
        <f t="shared" si="23"/>
        <v>0010000100000</v>
      </c>
      <c r="AG85" s="41" t="str">
        <f t="shared" si="23"/>
        <v/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/>
      <c r="E86" s="30" t="s">
        <v>136</v>
      </c>
      <c r="F86" s="30"/>
      <c r="G86" s="30" t="s">
        <v>131</v>
      </c>
      <c r="H86" s="35"/>
      <c r="J86" s="34" t="str">
        <f t="shared" si="21"/>
        <v/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>
        <f t="shared" si="21"/>
        <v>1</v>
      </c>
      <c r="O86" s="35" t="str">
        <f t="shared" si="21"/>
        <v/>
      </c>
      <c r="AB86" s="40" t="str">
        <f t="shared" si="23"/>
        <v/>
      </c>
      <c r="AC86" s="15" t="str">
        <f t="shared" si="23"/>
        <v/>
      </c>
      <c r="AD86" s="15" t="str">
        <f t="shared" si="23"/>
        <v>0000100100000</v>
      </c>
      <c r="AE86" s="15" t="str">
        <f t="shared" si="23"/>
        <v/>
      </c>
      <c r="AF86" s="15" t="str">
        <f t="shared" si="23"/>
        <v>0100000100000</v>
      </c>
      <c r="AG86" s="41" t="str">
        <f t="shared" si="23"/>
        <v/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/>
      <c r="E87" s="30" t="s">
        <v>132</v>
      </c>
      <c r="F87" s="30"/>
      <c r="G87" s="30" t="s">
        <v>132</v>
      </c>
      <c r="H87" s="35"/>
      <c r="J87" s="34" t="str">
        <f t="shared" si="21"/>
        <v/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>
        <f t="shared" si="21"/>
        <v>1</v>
      </c>
      <c r="O87" s="35" t="str">
        <f t="shared" si="21"/>
        <v/>
      </c>
      <c r="AB87" s="40" t="str">
        <f t="shared" si="23"/>
        <v/>
      </c>
      <c r="AC87" s="15" t="str">
        <f t="shared" si="23"/>
        <v/>
      </c>
      <c r="AD87" s="15" t="str">
        <f t="shared" si="23"/>
        <v>0000100000100</v>
      </c>
      <c r="AE87" s="15" t="str">
        <f t="shared" si="23"/>
        <v/>
      </c>
      <c r="AF87" s="15" t="str">
        <f t="shared" si="23"/>
        <v>0100000000100</v>
      </c>
      <c r="AG87" s="41" t="str">
        <f t="shared" si="23"/>
        <v/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/>
      <c r="E88" s="30" t="s">
        <v>129</v>
      </c>
      <c r="F88" s="30"/>
      <c r="G88" s="30" t="s">
        <v>133</v>
      </c>
      <c r="H88" s="35"/>
      <c r="J88" s="34" t="str">
        <f t="shared" si="21"/>
        <v/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>
        <f t="shared" si="21"/>
        <v>1</v>
      </c>
      <c r="O88" s="35" t="str">
        <f t="shared" si="21"/>
        <v/>
      </c>
      <c r="AB88" s="40" t="str">
        <f t="shared" si="23"/>
        <v/>
      </c>
      <c r="AC88" s="15" t="str">
        <f t="shared" si="23"/>
        <v/>
      </c>
      <c r="AD88" s="15" t="str">
        <f t="shared" si="23"/>
        <v>0000000001100</v>
      </c>
      <c r="AE88" s="15" t="str">
        <f t="shared" si="23"/>
        <v/>
      </c>
      <c r="AF88" s="15" t="str">
        <f t="shared" si="23"/>
        <v>0000000100100</v>
      </c>
      <c r="AG88" s="41" t="str">
        <f t="shared" si="23"/>
        <v/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6</v>
      </c>
      <c r="AL88" s="39" cm="1">
        <f t="array" ref="AL88">SUMPRODUCT(--(MID(AC$10:AC$135, SUMIF($Z$9:$Z$21, LEFT($AJ88,2), $Y$9:$Y$21), 1) = RIGHT($AJ88, 1)), K$10:K$135)</f>
        <v>10</v>
      </c>
      <c r="AM88" s="39" cm="1">
        <f t="array" ref="AM88">SUMPRODUCT(--(MID(AD$10:AD$135, SUMIF($Z$9:$Z$21, LEFT($AJ88,2), $Y$9:$Y$21), 1) = RIGHT($AJ88, 1)), L$10:L$135)</f>
        <v>20</v>
      </c>
      <c r="AN88" s="39" cm="1">
        <f t="array" ref="AN88">SUMPRODUCT(--(MID(AE$10:AE$135, SUMIF($Z$9:$Z$21, LEFT($AJ88,2), $Y$9:$Y$21), 1) = RIGHT($AJ88, 1)), M$10:M$135)</f>
        <v>4</v>
      </c>
      <c r="AO88" s="39" cm="1">
        <f t="array" ref="AO88">SUMPRODUCT(--(MID(AF$10:AF$135, SUMIF($Z$9:$Z$21, LEFT($AJ88,2), $Y$9:$Y$21), 1) = RIGHT($AJ88, 1)), N$10:N$135)</f>
        <v>20</v>
      </c>
      <c r="AP88" s="19" cm="1">
        <f t="array" ref="AP88">SUMPRODUCT(--(MID(AG$10:AG$135, SUMIF($Z$9:$Z$21, LEFT($AJ88,2), $Y$9:$Y$21), 1) = RIGHT($AJ88, 1)), O$10:O$135)</f>
        <v>4</v>
      </c>
    </row>
    <row r="89" spans="2:42">
      <c r="B89" s="34">
        <f t="shared" si="25"/>
        <v>79</v>
      </c>
      <c r="C89" s="30"/>
      <c r="D89" s="30"/>
      <c r="E89" s="30" t="s">
        <v>127</v>
      </c>
      <c r="F89" s="30"/>
      <c r="G89" s="30" t="s">
        <v>136</v>
      </c>
      <c r="H89" s="35"/>
      <c r="J89" s="34" t="str">
        <f t="shared" si="21"/>
        <v/>
      </c>
      <c r="K89" s="30" t="str">
        <f t="shared" si="21"/>
        <v/>
      </c>
      <c r="L89" s="30">
        <f t="shared" si="21"/>
        <v>1</v>
      </c>
      <c r="M89" s="30" t="str">
        <f t="shared" si="21"/>
        <v/>
      </c>
      <c r="N89" s="30">
        <f t="shared" si="21"/>
        <v>1</v>
      </c>
      <c r="O89" s="35" t="str">
        <f t="shared" si="21"/>
        <v/>
      </c>
      <c r="AB89" s="40" t="str">
        <f t="shared" si="23"/>
        <v/>
      </c>
      <c r="AC89" s="15" t="str">
        <f t="shared" si="23"/>
        <v/>
      </c>
      <c r="AD89" s="15" t="str">
        <f t="shared" si="23"/>
        <v>0010000001000</v>
      </c>
      <c r="AE89" s="15" t="str">
        <f t="shared" si="23"/>
        <v/>
      </c>
      <c r="AF89" s="15" t="str">
        <f t="shared" si="23"/>
        <v>0000100100000</v>
      </c>
      <c r="AG89" s="41" t="str">
        <f t="shared" si="23"/>
        <v/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32</v>
      </c>
      <c r="AL89" s="39" cm="1">
        <f t="array" ref="AL89">SUMPRODUCT(--(MID(AC$10:AC$135, SUMIF($Z$9:$Z$21, LEFT($AJ89,2), $Y$9:$Y$21), 1) = RIGHT($AJ89, 1)), K$10:K$135)</f>
        <v>61</v>
      </c>
      <c r="AM89" s="39" cm="1">
        <f t="array" ref="AM89">SUMPRODUCT(--(MID(AD$10:AD$135, SUMIF($Z$9:$Z$21, LEFT($AJ89,2), $Y$9:$Y$21), 1) = RIGHT($AJ89, 1)), L$10:L$135)</f>
        <v>62</v>
      </c>
      <c r="AN89" s="39" cm="1">
        <f t="array" ref="AN89">SUMPRODUCT(--(MID(AE$10:AE$135, SUMIF($Z$9:$Z$21, LEFT($AJ89,2), $Y$9:$Y$21), 1) = RIGHT($AJ89, 1)), M$10:M$135)</f>
        <v>61</v>
      </c>
      <c r="AO89" s="39" cm="1">
        <f t="array" ref="AO89">SUMPRODUCT(--(MID(AF$10:AF$135, SUMIF($Z$9:$Z$21, LEFT($AJ89,2), $Y$9:$Y$21), 1) = RIGHT($AJ89, 1)), N$10:N$135)</f>
        <v>69</v>
      </c>
      <c r="AP89" s="19" cm="1">
        <f t="array" ref="AP89">SUMPRODUCT(--(MID(AG$10:AG$135, SUMIF($Z$9:$Z$21, LEFT($AJ89,2), $Y$9:$Y$21), 1) = RIGHT($AJ89, 1)), O$10:O$135)</f>
        <v>44</v>
      </c>
    </row>
    <row r="90" spans="2:42">
      <c r="B90" s="34">
        <f t="shared" si="25"/>
        <v>80</v>
      </c>
      <c r="C90" s="30"/>
      <c r="D90" s="30"/>
      <c r="E90" s="30" t="s">
        <v>132</v>
      </c>
      <c r="F90" s="30"/>
      <c r="G90" s="30" t="s">
        <v>134</v>
      </c>
      <c r="H90" s="35"/>
      <c r="J90" s="34" t="str">
        <f t="shared" si="21"/>
        <v/>
      </c>
      <c r="K90" s="30" t="str">
        <f t="shared" si="21"/>
        <v/>
      </c>
      <c r="L90" s="30">
        <f t="shared" si="21"/>
        <v>1</v>
      </c>
      <c r="M90" s="30" t="str">
        <f t="shared" si="21"/>
        <v/>
      </c>
      <c r="N90" s="30">
        <f t="shared" si="21"/>
        <v>1</v>
      </c>
      <c r="O90" s="35" t="str">
        <f t="shared" si="21"/>
        <v/>
      </c>
      <c r="AB90" s="40" t="str">
        <f t="shared" si="23"/>
        <v/>
      </c>
      <c r="AC90" s="15" t="str">
        <f t="shared" si="23"/>
        <v/>
      </c>
      <c r="AD90" s="15" t="str">
        <f t="shared" si="23"/>
        <v>0010000000100</v>
      </c>
      <c r="AE90" s="15" t="str">
        <f t="shared" si="23"/>
        <v/>
      </c>
      <c r="AF90" s="15" t="str">
        <f t="shared" si="23"/>
        <v>0001100000000</v>
      </c>
      <c r="AG90" s="41" t="str">
        <f t="shared" si="23"/>
        <v/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/>
      <c r="E91" s="30" t="s">
        <v>129</v>
      </c>
      <c r="F91" s="30"/>
      <c r="G91" s="30" t="s">
        <v>133</v>
      </c>
      <c r="H91" s="35"/>
      <c r="J91" s="34" t="str">
        <f t="shared" si="21"/>
        <v/>
      </c>
      <c r="K91" s="30" t="str">
        <f t="shared" si="21"/>
        <v/>
      </c>
      <c r="L91" s="30">
        <f t="shared" si="21"/>
        <v>1</v>
      </c>
      <c r="M91" s="30" t="str">
        <f t="shared" si="21"/>
        <v/>
      </c>
      <c r="N91" s="30">
        <f t="shared" si="21"/>
        <v>1</v>
      </c>
      <c r="O91" s="35" t="str">
        <f t="shared" si="21"/>
        <v/>
      </c>
      <c r="AB91" s="40" t="str">
        <f t="shared" si="23"/>
        <v/>
      </c>
      <c r="AC91" s="15" t="str">
        <f t="shared" si="23"/>
        <v/>
      </c>
      <c r="AD91" s="15" t="str">
        <f t="shared" si="23"/>
        <v>0000000001100</v>
      </c>
      <c r="AE91" s="15" t="str">
        <f t="shared" si="23"/>
        <v/>
      </c>
      <c r="AF91" s="15" t="str">
        <f t="shared" si="23"/>
        <v>0001000100000</v>
      </c>
      <c r="AG91" s="41" t="str">
        <f t="shared" si="23"/>
        <v/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/>
      <c r="E92" s="30" t="s">
        <v>127</v>
      </c>
      <c r="F92" s="30"/>
      <c r="G92" s="30" t="s">
        <v>132</v>
      </c>
      <c r="H92" s="35"/>
      <c r="J92" s="34" t="str">
        <f t="shared" si="21"/>
        <v/>
      </c>
      <c r="K92" s="30" t="str">
        <f t="shared" si="21"/>
        <v/>
      </c>
      <c r="L92" s="30">
        <f t="shared" si="21"/>
        <v>1</v>
      </c>
      <c r="M92" s="30" t="str">
        <f t="shared" si="21"/>
        <v/>
      </c>
      <c r="N92" s="30">
        <f t="shared" si="21"/>
        <v>1</v>
      </c>
      <c r="O92" s="35" t="str">
        <f t="shared" si="21"/>
        <v/>
      </c>
      <c r="AB92" s="40" t="str">
        <f t="shared" si="23"/>
        <v/>
      </c>
      <c r="AC92" s="15" t="str">
        <f t="shared" si="23"/>
        <v/>
      </c>
      <c r="AD92" s="15" t="str">
        <f t="shared" si="23"/>
        <v>0010000001000</v>
      </c>
      <c r="AE92" s="15" t="str">
        <f t="shared" si="23"/>
        <v/>
      </c>
      <c r="AF92" s="15" t="str">
        <f t="shared" si="23"/>
        <v>0000000100100</v>
      </c>
      <c r="AG92" s="41" t="str">
        <f t="shared" si="23"/>
        <v/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/>
      <c r="E93" s="30" t="s">
        <v>131</v>
      </c>
      <c r="F93" s="30"/>
      <c r="G93" s="30" t="s">
        <v>131</v>
      </c>
      <c r="H93" s="35"/>
      <c r="J93" s="34" t="str">
        <f t="shared" si="21"/>
        <v/>
      </c>
      <c r="K93" s="30" t="str">
        <f t="shared" si="21"/>
        <v/>
      </c>
      <c r="L93" s="30">
        <f t="shared" si="21"/>
        <v>1</v>
      </c>
      <c r="M93" s="30" t="str">
        <f t="shared" si="21"/>
        <v/>
      </c>
      <c r="N93" s="30">
        <f t="shared" si="21"/>
        <v>1</v>
      </c>
      <c r="O93" s="35" t="str">
        <f t="shared" si="21"/>
        <v/>
      </c>
      <c r="AB93" s="40" t="str">
        <f t="shared" si="23"/>
        <v/>
      </c>
      <c r="AC93" s="15" t="str">
        <f t="shared" si="23"/>
        <v/>
      </c>
      <c r="AD93" s="15" t="str">
        <f t="shared" si="23"/>
        <v>0110000000000</v>
      </c>
      <c r="AE93" s="15" t="str">
        <f t="shared" si="23"/>
        <v/>
      </c>
      <c r="AF93" s="15" t="str">
        <f t="shared" si="23"/>
        <v>0100000000100</v>
      </c>
      <c r="AG93" s="41" t="str">
        <f t="shared" si="23"/>
        <v/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/>
      <c r="E94" s="30"/>
      <c r="F94" s="30"/>
      <c r="G94" s="30" t="s">
        <v>133</v>
      </c>
      <c r="H94" s="35"/>
      <c r="J94" s="34" t="str">
        <f t="shared" si="21"/>
        <v/>
      </c>
      <c r="K94" s="30" t="str">
        <f t="shared" si="21"/>
        <v/>
      </c>
      <c r="L94" s="30" t="str">
        <f t="shared" si="21"/>
        <v/>
      </c>
      <c r="M94" s="30" t="str">
        <f t="shared" si="21"/>
        <v/>
      </c>
      <c r="N94" s="30">
        <f t="shared" si="21"/>
        <v>1</v>
      </c>
      <c r="O94" s="35" t="str">
        <f t="shared" si="21"/>
        <v/>
      </c>
      <c r="AB94" s="40" t="str">
        <f t="shared" si="23"/>
        <v/>
      </c>
      <c r="AC94" s="15" t="str">
        <f t="shared" si="23"/>
        <v/>
      </c>
      <c r="AD94" s="15" t="str">
        <f t="shared" si="23"/>
        <v/>
      </c>
      <c r="AE94" s="15" t="str">
        <f t="shared" si="23"/>
        <v/>
      </c>
      <c r="AF94" s="15" t="str">
        <f t="shared" si="23"/>
        <v>0100000100000</v>
      </c>
      <c r="AG94" s="41" t="str">
        <f t="shared" si="23"/>
        <v/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/>
      <c r="E95" s="30"/>
      <c r="F95" s="30"/>
      <c r="G95" s="30" t="s">
        <v>134</v>
      </c>
      <c r="H95" s="35"/>
      <c r="J95" s="34" t="str">
        <f t="shared" si="21"/>
        <v/>
      </c>
      <c r="K95" s="30" t="str">
        <f t="shared" si="21"/>
        <v/>
      </c>
      <c r="L95" s="30" t="str">
        <f t="shared" si="21"/>
        <v/>
      </c>
      <c r="M95" s="30" t="str">
        <f t="shared" si="21"/>
        <v/>
      </c>
      <c r="N95" s="30">
        <f t="shared" si="21"/>
        <v>1</v>
      </c>
      <c r="O95" s="35" t="str">
        <f t="shared" si="21"/>
        <v/>
      </c>
      <c r="AB95" s="40" t="str">
        <f t="shared" si="23"/>
        <v/>
      </c>
      <c r="AC95" s="15" t="str">
        <f t="shared" si="23"/>
        <v/>
      </c>
      <c r="AD95" s="15" t="str">
        <f t="shared" si="23"/>
        <v/>
      </c>
      <c r="AE95" s="15" t="str">
        <f t="shared" si="23"/>
        <v/>
      </c>
      <c r="AF95" s="15" t="str">
        <f t="shared" si="23"/>
        <v>0001000100000</v>
      </c>
      <c r="AG95" s="41" t="str">
        <f t="shared" si="23"/>
        <v/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/>
      <c r="D96" s="30"/>
      <c r="E96" s="30"/>
      <c r="F96" s="30"/>
      <c r="G96" s="30" t="s">
        <v>132</v>
      </c>
      <c r="H96" s="35"/>
      <c r="J96" s="34" t="str">
        <f t="shared" si="21"/>
        <v/>
      </c>
      <c r="K96" s="30" t="str">
        <f t="shared" si="21"/>
        <v/>
      </c>
      <c r="L96" s="30" t="str">
        <f t="shared" si="21"/>
        <v/>
      </c>
      <c r="M96" s="30" t="str">
        <f t="shared" si="21"/>
        <v/>
      </c>
      <c r="N96" s="30">
        <f t="shared" si="21"/>
        <v>1</v>
      </c>
      <c r="O96" s="35" t="str">
        <f t="shared" si="21"/>
        <v/>
      </c>
      <c r="AB96" s="40" t="str">
        <f t="shared" si="23"/>
        <v/>
      </c>
      <c r="AC96" s="15" t="str">
        <f t="shared" si="23"/>
        <v/>
      </c>
      <c r="AD96" s="15" t="str">
        <f t="shared" si="23"/>
        <v/>
      </c>
      <c r="AE96" s="15" t="str">
        <f t="shared" si="23"/>
        <v/>
      </c>
      <c r="AF96" s="15" t="str">
        <f t="shared" si="23"/>
        <v>0001000000100</v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4</v>
      </c>
      <c r="AL96" s="39" cm="1">
        <f t="array" ref="AL96">SUMPRODUCT(--(MID(AC$10:AC$135, SUMIF($Z$9:$Z$21, LEFT($AJ96,2), $Y$9:$Y$21), 1) = RIGHT($AJ96, 1)), K$10:K$135)</f>
        <v>14</v>
      </c>
      <c r="AM96" s="39" cm="1">
        <f t="array" ref="AM96">SUMPRODUCT(--(MID(AD$10:AD$135, SUMIF($Z$9:$Z$21, LEFT($AJ96,2), $Y$9:$Y$21), 1) = RIGHT($AJ96, 1)), L$10:L$135)</f>
        <v>14</v>
      </c>
      <c r="AN96" s="39" cm="1">
        <f t="array" ref="AN96">SUMPRODUCT(--(MID(AE$10:AE$135, SUMIF($Z$9:$Z$21, LEFT($AJ96,2), $Y$9:$Y$21), 1) = RIGHT($AJ96, 1)), M$10:M$135)</f>
        <v>8</v>
      </c>
      <c r="AO96" s="39" cm="1">
        <f t="array" ref="AO96">SUMPRODUCT(--(MID(AF$10:AF$135, SUMIF($Z$9:$Z$21, LEFT($AJ96,2), $Y$9:$Y$21), 1) = RIGHT($AJ96, 1)), N$10:N$135)</f>
        <v>4</v>
      </c>
      <c r="AP96" s="19" cm="1">
        <f t="array" ref="AP96">SUMPRODUCT(--(MID(AG$10:AG$135, SUMIF($Z$9:$Z$21, LEFT($AJ96,2), $Y$9:$Y$21), 1) = RIGHT($AJ96, 1)), O$10:O$135)</f>
        <v>8</v>
      </c>
    </row>
    <row r="97" spans="2:44">
      <c r="B97" s="34">
        <f t="shared" si="25"/>
        <v>87</v>
      </c>
      <c r="C97" s="30"/>
      <c r="D97" s="30"/>
      <c r="E97" s="30"/>
      <c r="F97" s="30"/>
      <c r="G97" s="30" t="s">
        <v>127</v>
      </c>
      <c r="H97" s="35"/>
      <c r="J97" s="34" t="str">
        <f t="shared" si="21"/>
        <v/>
      </c>
      <c r="K97" s="30" t="str">
        <f t="shared" si="21"/>
        <v/>
      </c>
      <c r="L97" s="30" t="str">
        <f t="shared" si="21"/>
        <v/>
      </c>
      <c r="M97" s="30" t="str">
        <f t="shared" si="21"/>
        <v/>
      </c>
      <c r="N97" s="30">
        <f t="shared" si="21"/>
        <v>1</v>
      </c>
      <c r="O97" s="35" t="str">
        <f t="shared" si="21"/>
        <v/>
      </c>
      <c r="AB97" s="40" t="str">
        <f t="shared" si="23"/>
        <v/>
      </c>
      <c r="AC97" s="15" t="str">
        <f t="shared" si="23"/>
        <v/>
      </c>
      <c r="AD97" s="15" t="str">
        <f t="shared" si="23"/>
        <v/>
      </c>
      <c r="AE97" s="15" t="str">
        <f t="shared" si="23"/>
        <v/>
      </c>
      <c r="AF97" s="15" t="str">
        <f t="shared" si="23"/>
        <v>0010000000100</v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34</v>
      </c>
      <c r="AL97" s="39" cm="1">
        <f t="array" ref="AL97">SUMPRODUCT(--(MID(AC$10:AC$135, SUMIF($Z$9:$Z$21, LEFT($AJ97,2), $Y$9:$Y$21), 1) = RIGHT($AJ97, 1)), K$10:K$135)</f>
        <v>57</v>
      </c>
      <c r="AM97" s="39" cm="1">
        <f t="array" ref="AM97">SUMPRODUCT(--(MID(AD$10:AD$135, SUMIF($Z$9:$Z$21, LEFT($AJ97,2), $Y$9:$Y$21), 1) = RIGHT($AJ97, 1)), L$10:L$135)</f>
        <v>68</v>
      </c>
      <c r="AN97" s="39" cm="1">
        <f t="array" ref="AN97">SUMPRODUCT(--(MID(AE$10:AE$135, SUMIF($Z$9:$Z$21, LEFT($AJ97,2), $Y$9:$Y$21), 1) = RIGHT($AJ97, 1)), M$10:M$135)</f>
        <v>57</v>
      </c>
      <c r="AO97" s="39" cm="1">
        <f t="array" ref="AO97">SUMPRODUCT(--(MID(AF$10:AF$135, SUMIF($Z$9:$Z$21, LEFT($AJ97,2), $Y$9:$Y$21), 1) = RIGHT($AJ97, 1)), N$10:N$135)</f>
        <v>85</v>
      </c>
      <c r="AP97" s="19" cm="1">
        <f t="array" ref="AP97">SUMPRODUCT(--(MID(AG$10:AG$135, SUMIF($Z$9:$Z$21, LEFT($AJ97,2), $Y$9:$Y$21), 1) = RIGHT($AJ97, 1)), O$10:O$135)</f>
        <v>40</v>
      </c>
    </row>
    <row r="98" spans="2:44">
      <c r="B98" s="34">
        <f t="shared" si="25"/>
        <v>88</v>
      </c>
      <c r="C98" s="30"/>
      <c r="D98" s="30"/>
      <c r="E98" s="30"/>
      <c r="F98" s="30"/>
      <c r="G98" s="30" t="s">
        <v>136</v>
      </c>
      <c r="H98" s="35"/>
      <c r="J98" s="34" t="str">
        <f t="shared" si="21"/>
        <v/>
      </c>
      <c r="K98" s="30" t="str">
        <f t="shared" si="21"/>
        <v/>
      </c>
      <c r="L98" s="30" t="str">
        <f t="shared" si="21"/>
        <v/>
      </c>
      <c r="M98" s="30" t="str">
        <f t="shared" si="21"/>
        <v/>
      </c>
      <c r="N98" s="30">
        <f t="shared" si="21"/>
        <v>1</v>
      </c>
      <c r="O98" s="35" t="str">
        <f t="shared" si="21"/>
        <v/>
      </c>
      <c r="AB98" s="40" t="str">
        <f t="shared" si="23"/>
        <v/>
      </c>
      <c r="AC98" s="15" t="str">
        <f t="shared" si="23"/>
        <v/>
      </c>
      <c r="AD98" s="15" t="str">
        <f t="shared" si="23"/>
        <v/>
      </c>
      <c r="AE98" s="15" t="str">
        <f t="shared" si="23"/>
        <v/>
      </c>
      <c r="AF98" s="15" t="str">
        <f t="shared" si="23"/>
        <v>0010100000000</v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/>
      <c r="F99" s="30"/>
      <c r="G99" s="30" t="s">
        <v>127</v>
      </c>
      <c r="H99" s="35"/>
      <c r="J99" s="34" t="str">
        <f t="shared" si="21"/>
        <v/>
      </c>
      <c r="K99" s="30" t="str">
        <f t="shared" si="21"/>
        <v/>
      </c>
      <c r="L99" s="30" t="str">
        <f t="shared" si="21"/>
        <v/>
      </c>
      <c r="M99" s="30" t="str">
        <f t="shared" si="21"/>
        <v/>
      </c>
      <c r="N99" s="30">
        <f t="shared" si="21"/>
        <v>1</v>
      </c>
      <c r="O99" s="35" t="str">
        <f t="shared" si="21"/>
        <v/>
      </c>
      <c r="AB99" s="40" t="str">
        <f t="shared" si="23"/>
        <v/>
      </c>
      <c r="AC99" s="15" t="str">
        <f t="shared" si="23"/>
        <v/>
      </c>
      <c r="AD99" s="15" t="str">
        <f t="shared" si="23"/>
        <v/>
      </c>
      <c r="AE99" s="15" t="str">
        <f t="shared" si="23"/>
        <v/>
      </c>
      <c r="AF99" s="15" t="str">
        <f t="shared" si="23"/>
        <v>0010100000000</v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 t="s">
        <v>136</v>
      </c>
      <c r="H100" s="35"/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>
        <f t="shared" si="21"/>
        <v>1</v>
      </c>
      <c r="O100" s="35" t="str">
        <f t="shared" si="21"/>
        <v/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>0010100000000</v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/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/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/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/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/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40</v>
      </c>
      <c r="AL105" s="39" cm="1">
        <f t="array" ref="AL105">SUMPRODUCT(--(MID(AC$10:AC$135, SUMIF($Z$9:$Z$21, LEFT($AJ105,2), $Y$9:$Y$21), 1) = RIGHT($AJ105, 1)), K$10:K$135)</f>
        <v>73</v>
      </c>
      <c r="AM105" s="39" cm="1">
        <f t="array" ref="AM105">SUMPRODUCT(--(MID(AD$10:AD$135, SUMIF($Z$9:$Z$21, LEFT($AJ105,2), $Y$9:$Y$21), 1) = RIGHT($AJ105, 1)), L$10:L$135)</f>
        <v>84</v>
      </c>
      <c r="AN105" s="39" cm="1">
        <f t="array" ref="AN105">SUMPRODUCT(--(MID(AE$10:AE$135, SUMIF($Z$9:$Z$21, LEFT($AJ105,2), $Y$9:$Y$21), 1) = RIGHT($AJ105, 1)), M$10:M$135)</f>
        <v>67</v>
      </c>
      <c r="AO105" s="39" cm="1">
        <f t="array" ref="AO105">SUMPRODUCT(--(MID(AF$10:AF$135, SUMIF($Z$9:$Z$21, LEFT($AJ105,2), $Y$9:$Y$21), 1) = RIGHT($AJ105, 1)), N$10:N$135)</f>
        <v>91</v>
      </c>
      <c r="AP105" s="19" cm="1">
        <f t="array" ref="AP105">SUMPRODUCT(--(MID(AG$10:AG$135, SUMIF($Z$9:$Z$21, LEFT($AJ105,2), $Y$9:$Y$21), 1) = RIGHT($AJ105, 1)), O$10:O$135)</f>
        <v>50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/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40</v>
      </c>
      <c r="AL113" s="17" cm="1">
        <f t="array" ref="AL113">SUMPRODUCT(--(MID(AC$10:AC$135, SUMIF($Z$9:$Z$21, LEFT($AJ113,2), $Y$9:$Y$21), 1) = RIGHT($AJ113, 1)), K$10:K$135)</f>
        <v>73</v>
      </c>
      <c r="AM113" s="17" cm="1">
        <f t="array" ref="AM113">SUMPRODUCT(--(MID(AD$10:AD$135, SUMIF($Z$9:$Z$21, LEFT($AJ113,2), $Y$9:$Y$21), 1) = RIGHT($AJ113, 1)), L$10:L$135)</f>
        <v>84</v>
      </c>
      <c r="AN113" s="17" cm="1">
        <f t="array" ref="AN113">SUMPRODUCT(--(MID(AE$10:AE$135, SUMIF($Z$9:$Z$21, LEFT($AJ113,2), $Y$9:$Y$21), 1) = RIGHT($AJ113, 1)), M$10:M$135)</f>
        <v>67</v>
      </c>
      <c r="AO113" s="17" cm="1">
        <f t="array" ref="AO113">SUMPRODUCT(--(MID(AF$10:AF$135, SUMIF($Z$9:$Z$21, LEFT($AJ113,2), $Y$9:$Y$21), 1) = RIGHT($AJ113, 1)), N$10:N$135)</f>
        <v>91</v>
      </c>
      <c r="AP113" s="16" cm="1">
        <f t="array" ref="AP113">SUMPRODUCT(--(MID(AG$10:AG$135, SUMIF($Z$9:$Z$21, LEFT($AJ113,2), $Y$9:$Y$21), 1) = RIGHT($AJ113, 1)), O$10:O$135)</f>
        <v>50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13" priority="1" operator="equal">
      <formula>"WC"</formula>
    </cfRule>
    <cfRule type="cellIs" dxfId="12" priority="2" operator="equal">
      <formula>"FG"</formula>
    </cfRule>
  </conditionalFormatting>
  <conditionalFormatting sqref="J3:O3">
    <cfRule type="cellIs" dxfId="11" priority="3" operator="equal">
      <formula>$E$24</formula>
    </cfRule>
    <cfRule type="cellIs" dxfId="10" priority="4" operator="equal">
      <formula>$C$20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6F39-29D7-48C5-ACB4-9869FC061005}">
  <dimension ref="A1:AD715"/>
  <sheetViews>
    <sheetView zoomScale="119" workbookViewId="0">
      <selection activeCell="D2" sqref="D2:D4"/>
    </sheetView>
  </sheetViews>
  <sheetFormatPr defaultColWidth="9.140625" defaultRowHeight="14.25"/>
  <cols>
    <col min="1" max="1" width="14.7109375" style="30" bestFit="1" customWidth="1"/>
    <col min="2" max="2" width="15" style="30" bestFit="1" customWidth="1"/>
    <col min="3" max="3" width="19" style="30" bestFit="1" customWidth="1"/>
    <col min="4" max="17" width="9.140625" style="30"/>
    <col min="18" max="18" width="11.85546875" style="30" bestFit="1" customWidth="1"/>
    <col min="19" max="19" width="9.140625" style="30"/>
    <col min="20" max="20" width="9.85546875" style="30" bestFit="1" customWidth="1"/>
    <col min="21" max="16384" width="9.140625" style="30"/>
  </cols>
  <sheetData>
    <row r="1" spans="1:30">
      <c r="A1" s="56" t="s">
        <v>157</v>
      </c>
      <c r="B1" s="56" t="s">
        <v>158</v>
      </c>
      <c r="C1" s="28" t="s">
        <v>159</v>
      </c>
      <c r="D1" s="78" t="s">
        <v>119</v>
      </c>
      <c r="E1" s="79"/>
      <c r="F1" s="79"/>
      <c r="G1" s="79"/>
      <c r="H1" s="79"/>
      <c r="I1" s="79"/>
      <c r="J1" s="80"/>
      <c r="K1" s="78" t="s">
        <v>160</v>
      </c>
      <c r="L1" s="79"/>
      <c r="M1" s="79"/>
      <c r="N1" s="79"/>
      <c r="O1" s="79"/>
      <c r="P1" s="79"/>
      <c r="Q1" s="80"/>
      <c r="R1" s="30" t="s">
        <v>161</v>
      </c>
      <c r="S1" s="30" t="s">
        <v>162</v>
      </c>
      <c r="U1" s="30">
        <v>1</v>
      </c>
      <c r="V1" s="30">
        <v>2</v>
      </c>
      <c r="W1" s="30">
        <v>3</v>
      </c>
      <c r="X1" s="30">
        <v>4</v>
      </c>
      <c r="Y1" s="30">
        <v>5</v>
      </c>
      <c r="Z1" s="30">
        <v>6</v>
      </c>
      <c r="AA1" s="30">
        <v>7</v>
      </c>
      <c r="AB1" s="30">
        <v>8</v>
      </c>
      <c r="AC1" s="30">
        <v>9</v>
      </c>
      <c r="AD1" s="30">
        <v>10</v>
      </c>
    </row>
    <row r="2" spans="1:30">
      <c r="A2" s="59">
        <v>3</v>
      </c>
      <c r="B2" s="59">
        <v>1</v>
      </c>
      <c r="C2" s="32">
        <v>2</v>
      </c>
      <c r="D2" s="31">
        <v>1</v>
      </c>
      <c r="E2" s="32"/>
      <c r="F2" s="32"/>
      <c r="G2" s="32"/>
      <c r="H2" s="32"/>
      <c r="I2" s="32"/>
      <c r="J2" s="33"/>
      <c r="K2" s="32">
        <v>1</v>
      </c>
      <c r="L2" s="32"/>
      <c r="M2" s="32"/>
      <c r="N2" s="32"/>
      <c r="O2" s="32"/>
      <c r="P2" s="32"/>
      <c r="Q2" s="33"/>
      <c r="R2" s="30">
        <f>J2*8^0+I2*8^1+H2*8^2+G2*8^3+F2*8^4+E2*8^5+D2*8^6+C2*8^7+B2*8^8+A2*8^9</f>
        <v>423886848</v>
      </c>
      <c r="S2" s="30">
        <f>Q2*8^0+P2*8^1+O2*8^2+N2*8^3+M2*8^4+L2*8^5+K2*8^6</f>
        <v>262144</v>
      </c>
      <c r="U2" s="30">
        <f>_xlfn.FLOOR.MATH(MOD($S2,8^U$1)/8^T$1)</f>
        <v>0</v>
      </c>
      <c r="V2" s="30">
        <f t="shared" ref="V2:AD2" si="0">_xlfn.FLOOR.MATH(MOD($S2,8^V$1)/8^U$1)</f>
        <v>0</v>
      </c>
      <c r="W2" s="30">
        <f t="shared" si="0"/>
        <v>0</v>
      </c>
      <c r="X2" s="30">
        <f t="shared" si="0"/>
        <v>0</v>
      </c>
      <c r="Y2" s="30">
        <f t="shared" si="0"/>
        <v>0</v>
      </c>
      <c r="Z2" s="30">
        <f t="shared" si="0"/>
        <v>0</v>
      </c>
      <c r="AA2" s="30">
        <f t="shared" si="0"/>
        <v>1</v>
      </c>
      <c r="AB2" s="30">
        <f t="shared" si="0"/>
        <v>0</v>
      </c>
      <c r="AC2" s="30">
        <f t="shared" si="0"/>
        <v>0</v>
      </c>
      <c r="AD2" s="30">
        <f t="shared" si="0"/>
        <v>0</v>
      </c>
    </row>
    <row r="3" spans="1:30">
      <c r="A3" s="57">
        <v>3</v>
      </c>
      <c r="B3" s="57">
        <v>1</v>
      </c>
      <c r="C3" s="30">
        <v>2</v>
      </c>
      <c r="D3" s="34">
        <v>2</v>
      </c>
      <c r="J3" s="35"/>
      <c r="K3" s="30">
        <v>2</v>
      </c>
      <c r="Q3" s="35"/>
      <c r="R3" s="30">
        <f t="shared" ref="R3:R66" si="1">J3*8^0+I3*8^1+H3*8^2+G3*8^3+F3*8^4+E3*8^5+D3*8^6+C3*8^7+B3*8^8+A3*8^9</f>
        <v>424148992</v>
      </c>
      <c r="S3" s="30">
        <f>Q3*8^0+P3*8^1+O3*8^2+N3*8^3+M3*8^4+L3*8^5+K3*8^6</f>
        <v>524288</v>
      </c>
      <c r="U3" s="30">
        <f t="shared" ref="U3:AD3" si="2">_xlfn.FLOOR.MATH(MOD($S3,8^U$1)/8^T$1)</f>
        <v>0</v>
      </c>
      <c r="V3" s="30">
        <f t="shared" si="2"/>
        <v>0</v>
      </c>
      <c r="W3" s="30">
        <f t="shared" si="2"/>
        <v>0</v>
      </c>
      <c r="X3" s="30">
        <f t="shared" si="2"/>
        <v>0</v>
      </c>
      <c r="Y3" s="30">
        <f t="shared" si="2"/>
        <v>0</v>
      </c>
      <c r="Z3" s="30">
        <f t="shared" si="2"/>
        <v>0</v>
      </c>
      <c r="AA3" s="30">
        <f t="shared" si="2"/>
        <v>2</v>
      </c>
      <c r="AB3" s="30">
        <f t="shared" si="2"/>
        <v>0</v>
      </c>
      <c r="AC3" s="30">
        <f t="shared" si="2"/>
        <v>0</v>
      </c>
      <c r="AD3" s="30">
        <f t="shared" si="2"/>
        <v>0</v>
      </c>
    </row>
    <row r="4" spans="1:30">
      <c r="A4" s="58">
        <v>3</v>
      </c>
      <c r="B4" s="58">
        <v>1</v>
      </c>
      <c r="C4" s="37">
        <v>2</v>
      </c>
      <c r="D4" s="36">
        <v>3</v>
      </c>
      <c r="E4" s="37"/>
      <c r="F4" s="37"/>
      <c r="G4" s="37"/>
      <c r="H4" s="37"/>
      <c r="I4" s="37"/>
      <c r="J4" s="38"/>
      <c r="K4" s="37">
        <v>1</v>
      </c>
      <c r="L4" s="37"/>
      <c r="M4" s="37"/>
      <c r="N4" s="37"/>
      <c r="O4" s="37"/>
      <c r="P4" s="37"/>
      <c r="Q4" s="38"/>
      <c r="R4" s="30">
        <f t="shared" si="1"/>
        <v>424411136</v>
      </c>
      <c r="S4" s="30">
        <f>Q4*8^0+P4*8^1+O4*8^2+N4*8^3+M4*8^4+L4*8^5+K4*8^6</f>
        <v>262144</v>
      </c>
      <c r="U4" s="30">
        <f t="shared" ref="U4:AD4" si="3">_xlfn.FLOOR.MATH(MOD($S4,8^U$1)/8^T$1)</f>
        <v>0</v>
      </c>
      <c r="V4" s="30">
        <f t="shared" si="3"/>
        <v>0</v>
      </c>
      <c r="W4" s="30">
        <f t="shared" si="3"/>
        <v>0</v>
      </c>
      <c r="X4" s="30">
        <f t="shared" si="3"/>
        <v>0</v>
      </c>
      <c r="Y4" s="30">
        <f t="shared" si="3"/>
        <v>0</v>
      </c>
      <c r="Z4" s="30">
        <f t="shared" si="3"/>
        <v>0</v>
      </c>
      <c r="AA4" s="30">
        <f t="shared" si="3"/>
        <v>1</v>
      </c>
      <c r="AB4" s="30">
        <f t="shared" si="3"/>
        <v>0</v>
      </c>
      <c r="AC4" s="30">
        <f t="shared" si="3"/>
        <v>0</v>
      </c>
      <c r="AD4" s="30">
        <f t="shared" si="3"/>
        <v>0</v>
      </c>
    </row>
    <row r="5" spans="1:30">
      <c r="A5" s="59">
        <v>3</v>
      </c>
      <c r="B5" s="59">
        <v>2</v>
      </c>
      <c r="C5" s="32">
        <v>2</v>
      </c>
      <c r="D5" s="31">
        <v>1</v>
      </c>
      <c r="E5" s="32">
        <v>2</v>
      </c>
      <c r="F5" s="32"/>
      <c r="G5" s="32"/>
      <c r="H5" s="32"/>
      <c r="I5" s="32"/>
      <c r="J5" s="33"/>
      <c r="K5" s="32">
        <v>1</v>
      </c>
      <c r="L5" s="32">
        <v>2</v>
      </c>
      <c r="M5" s="32"/>
      <c r="N5" s="32"/>
      <c r="O5" s="32"/>
      <c r="P5" s="32"/>
      <c r="Q5" s="33"/>
      <c r="R5" s="30">
        <f t="shared" si="1"/>
        <v>440729600</v>
      </c>
      <c r="S5" s="30">
        <f t="shared" ref="S5:S68" si="4">Q5*8^0+P5*8^1+O5*8^2+N5*8^3+M5*8^4+L5*8^5+K5*8^6</f>
        <v>327680</v>
      </c>
      <c r="U5" s="30">
        <f t="shared" ref="U5:AD5" si="5">_xlfn.FLOOR.MATH(MOD($S5,8^U$1)/8^T$1)</f>
        <v>0</v>
      </c>
      <c r="V5" s="30">
        <f t="shared" si="5"/>
        <v>0</v>
      </c>
      <c r="W5" s="30">
        <f t="shared" si="5"/>
        <v>0</v>
      </c>
      <c r="X5" s="30">
        <f t="shared" si="5"/>
        <v>0</v>
      </c>
      <c r="Y5" s="30">
        <f t="shared" si="5"/>
        <v>0</v>
      </c>
      <c r="Z5" s="30">
        <f t="shared" si="5"/>
        <v>2</v>
      </c>
      <c r="AA5" s="30">
        <f t="shared" si="5"/>
        <v>1</v>
      </c>
      <c r="AB5" s="30">
        <f t="shared" si="5"/>
        <v>0</v>
      </c>
      <c r="AC5" s="30">
        <f t="shared" si="5"/>
        <v>0</v>
      </c>
      <c r="AD5" s="30">
        <f t="shared" si="5"/>
        <v>0</v>
      </c>
    </row>
    <row r="6" spans="1:30">
      <c r="A6" s="57">
        <v>3</v>
      </c>
      <c r="B6" s="57">
        <v>2</v>
      </c>
      <c r="C6" s="30">
        <v>2</v>
      </c>
      <c r="D6" s="34">
        <v>1</v>
      </c>
      <c r="E6" s="30">
        <v>3</v>
      </c>
      <c r="J6" s="35"/>
      <c r="K6" s="30">
        <v>1</v>
      </c>
      <c r="L6" s="30">
        <v>2</v>
      </c>
      <c r="Q6" s="35"/>
      <c r="R6" s="30">
        <f t="shared" si="1"/>
        <v>440762368</v>
      </c>
      <c r="S6" s="30">
        <f t="shared" si="4"/>
        <v>327680</v>
      </c>
      <c r="U6" s="30">
        <f t="shared" ref="U6:AD6" si="6">_xlfn.FLOOR.MATH(MOD($S6,8^U$1)/8^T$1)</f>
        <v>0</v>
      </c>
      <c r="V6" s="30">
        <f t="shared" si="6"/>
        <v>0</v>
      </c>
      <c r="W6" s="30">
        <f t="shared" si="6"/>
        <v>0</v>
      </c>
      <c r="X6" s="30">
        <f t="shared" si="6"/>
        <v>0</v>
      </c>
      <c r="Y6" s="30">
        <f t="shared" si="6"/>
        <v>0</v>
      </c>
      <c r="Z6" s="30">
        <f t="shared" si="6"/>
        <v>2</v>
      </c>
      <c r="AA6" s="30">
        <f t="shared" si="6"/>
        <v>1</v>
      </c>
      <c r="AB6" s="30">
        <f t="shared" si="6"/>
        <v>0</v>
      </c>
      <c r="AC6" s="30">
        <f t="shared" si="6"/>
        <v>0</v>
      </c>
      <c r="AD6" s="30">
        <f t="shared" si="6"/>
        <v>0</v>
      </c>
    </row>
    <row r="7" spans="1:30">
      <c r="A7" s="58">
        <v>3</v>
      </c>
      <c r="B7" s="58">
        <v>2</v>
      </c>
      <c r="C7" s="37">
        <v>2</v>
      </c>
      <c r="D7" s="36">
        <v>2</v>
      </c>
      <c r="E7" s="37">
        <v>3</v>
      </c>
      <c r="F7" s="37"/>
      <c r="G7" s="37"/>
      <c r="H7" s="37"/>
      <c r="I7" s="37"/>
      <c r="J7" s="38"/>
      <c r="K7" s="37">
        <v>1</v>
      </c>
      <c r="L7" s="37">
        <v>2</v>
      </c>
      <c r="M7" s="37"/>
      <c r="N7" s="37"/>
      <c r="O7" s="37"/>
      <c r="P7" s="37"/>
      <c r="Q7" s="38"/>
      <c r="R7" s="30">
        <f t="shared" si="1"/>
        <v>441024512</v>
      </c>
      <c r="S7" s="30">
        <f t="shared" si="4"/>
        <v>327680</v>
      </c>
      <c r="U7" s="30">
        <f t="shared" ref="U7:AD7" si="7">_xlfn.FLOOR.MATH(MOD($S7,8^U$1)/8^T$1)</f>
        <v>0</v>
      </c>
      <c r="V7" s="30">
        <f t="shared" si="7"/>
        <v>0</v>
      </c>
      <c r="W7" s="30">
        <f t="shared" si="7"/>
        <v>0</v>
      </c>
      <c r="X7" s="30">
        <f t="shared" si="7"/>
        <v>0</v>
      </c>
      <c r="Y7" s="30">
        <f t="shared" si="7"/>
        <v>0</v>
      </c>
      <c r="Z7" s="30">
        <f t="shared" si="7"/>
        <v>2</v>
      </c>
      <c r="AA7" s="30">
        <f t="shared" si="7"/>
        <v>1</v>
      </c>
      <c r="AB7" s="30">
        <f t="shared" si="7"/>
        <v>0</v>
      </c>
      <c r="AC7" s="30">
        <f t="shared" si="7"/>
        <v>0</v>
      </c>
      <c r="AD7" s="30">
        <f t="shared" si="7"/>
        <v>0</v>
      </c>
    </row>
    <row r="8" spans="1:30">
      <c r="A8" s="59">
        <v>4</v>
      </c>
      <c r="B8" s="59">
        <v>1</v>
      </c>
      <c r="C8" s="32">
        <v>2</v>
      </c>
      <c r="D8" s="31">
        <v>1</v>
      </c>
      <c r="E8" s="32"/>
      <c r="F8" s="32"/>
      <c r="G8" s="32"/>
      <c r="H8" s="32"/>
      <c r="I8" s="32"/>
      <c r="J8" s="33"/>
      <c r="K8" s="32">
        <v>1</v>
      </c>
      <c r="L8" s="32"/>
      <c r="M8" s="32"/>
      <c r="N8" s="32"/>
      <c r="O8" s="32"/>
      <c r="P8" s="32"/>
      <c r="Q8" s="33"/>
      <c r="R8" s="30">
        <f t="shared" si="1"/>
        <v>558104576</v>
      </c>
      <c r="S8" s="30">
        <f t="shared" si="4"/>
        <v>262144</v>
      </c>
      <c r="U8" s="30">
        <f t="shared" ref="U8:AD8" si="8">_xlfn.FLOOR.MATH(MOD($S8,8^U$1)/8^T$1)</f>
        <v>0</v>
      </c>
      <c r="V8" s="30">
        <f t="shared" si="8"/>
        <v>0</v>
      </c>
      <c r="W8" s="30">
        <f t="shared" si="8"/>
        <v>0</v>
      </c>
      <c r="X8" s="30">
        <f t="shared" si="8"/>
        <v>0</v>
      </c>
      <c r="Y8" s="30">
        <f t="shared" si="8"/>
        <v>0</v>
      </c>
      <c r="Z8" s="30">
        <f t="shared" si="8"/>
        <v>0</v>
      </c>
      <c r="AA8" s="30">
        <f t="shared" si="8"/>
        <v>1</v>
      </c>
      <c r="AB8" s="30">
        <f t="shared" si="8"/>
        <v>0</v>
      </c>
      <c r="AC8" s="30">
        <f t="shared" si="8"/>
        <v>0</v>
      </c>
      <c r="AD8" s="30">
        <f t="shared" si="8"/>
        <v>0</v>
      </c>
    </row>
    <row r="9" spans="1:30">
      <c r="A9" s="57">
        <v>4</v>
      </c>
      <c r="B9" s="57">
        <v>1</v>
      </c>
      <c r="C9" s="30">
        <v>2</v>
      </c>
      <c r="D9" s="34">
        <v>2</v>
      </c>
      <c r="J9" s="35"/>
      <c r="K9" s="30">
        <v>2</v>
      </c>
      <c r="Q9" s="35"/>
      <c r="R9" s="30">
        <f t="shared" si="1"/>
        <v>558366720</v>
      </c>
      <c r="S9" s="30">
        <f t="shared" si="4"/>
        <v>524288</v>
      </c>
      <c r="U9" s="30">
        <f t="shared" ref="U9:AD9" si="9">_xlfn.FLOOR.MATH(MOD($S9,8^U$1)/8^T$1)</f>
        <v>0</v>
      </c>
      <c r="V9" s="30">
        <f t="shared" si="9"/>
        <v>0</v>
      </c>
      <c r="W9" s="30">
        <f t="shared" si="9"/>
        <v>0</v>
      </c>
      <c r="X9" s="30">
        <f t="shared" si="9"/>
        <v>0</v>
      </c>
      <c r="Y9" s="30">
        <f t="shared" si="9"/>
        <v>0</v>
      </c>
      <c r="Z9" s="30">
        <f t="shared" si="9"/>
        <v>0</v>
      </c>
      <c r="AA9" s="30">
        <f t="shared" si="9"/>
        <v>2</v>
      </c>
      <c r="AB9" s="30">
        <f t="shared" si="9"/>
        <v>0</v>
      </c>
      <c r="AC9" s="30">
        <f t="shared" si="9"/>
        <v>0</v>
      </c>
      <c r="AD9" s="30">
        <f t="shared" si="9"/>
        <v>0</v>
      </c>
    </row>
    <row r="10" spans="1:30">
      <c r="A10" s="57">
        <v>4</v>
      </c>
      <c r="B10" s="57">
        <v>1</v>
      </c>
      <c r="C10" s="30">
        <v>2</v>
      </c>
      <c r="D10" s="34">
        <v>3</v>
      </c>
      <c r="J10" s="35"/>
      <c r="K10" s="30">
        <v>1</v>
      </c>
      <c r="Q10" s="35"/>
      <c r="R10" s="30">
        <f t="shared" si="1"/>
        <v>558628864</v>
      </c>
      <c r="S10" s="30">
        <f t="shared" si="4"/>
        <v>262144</v>
      </c>
      <c r="U10" s="30">
        <f t="shared" ref="U10:AD10" si="10">_xlfn.FLOOR.MATH(MOD($S10,8^U$1)/8^T$1)</f>
        <v>0</v>
      </c>
      <c r="V10" s="30">
        <f t="shared" si="10"/>
        <v>0</v>
      </c>
      <c r="W10" s="30">
        <f t="shared" si="10"/>
        <v>0</v>
      </c>
      <c r="X10" s="30">
        <f t="shared" si="10"/>
        <v>0</v>
      </c>
      <c r="Y10" s="30">
        <f t="shared" si="10"/>
        <v>0</v>
      </c>
      <c r="Z10" s="30">
        <f t="shared" si="10"/>
        <v>0</v>
      </c>
      <c r="AA10" s="30">
        <f t="shared" si="10"/>
        <v>1</v>
      </c>
      <c r="AB10" s="30">
        <f t="shared" si="10"/>
        <v>0</v>
      </c>
      <c r="AC10" s="30">
        <f t="shared" si="10"/>
        <v>0</v>
      </c>
      <c r="AD10" s="30">
        <f t="shared" si="10"/>
        <v>0</v>
      </c>
    </row>
    <row r="11" spans="1:30">
      <c r="A11" s="58">
        <v>4</v>
      </c>
      <c r="B11" s="58">
        <v>1</v>
      </c>
      <c r="C11" s="37">
        <v>2</v>
      </c>
      <c r="D11" s="36">
        <v>4</v>
      </c>
      <c r="E11" s="37"/>
      <c r="F11" s="37"/>
      <c r="G11" s="37"/>
      <c r="H11" s="37"/>
      <c r="I11" s="37"/>
      <c r="J11" s="38"/>
      <c r="K11" s="37">
        <v>2</v>
      </c>
      <c r="L11" s="37"/>
      <c r="M11" s="37"/>
      <c r="N11" s="37"/>
      <c r="O11" s="37"/>
      <c r="P11" s="37"/>
      <c r="Q11" s="38"/>
      <c r="R11" s="30">
        <f t="shared" si="1"/>
        <v>558891008</v>
      </c>
      <c r="S11" s="30">
        <f t="shared" si="4"/>
        <v>524288</v>
      </c>
      <c r="U11" s="30">
        <f t="shared" ref="U11:AD11" si="11">_xlfn.FLOOR.MATH(MOD($S11,8^U$1)/8^T$1)</f>
        <v>0</v>
      </c>
      <c r="V11" s="30">
        <f t="shared" si="11"/>
        <v>0</v>
      </c>
      <c r="W11" s="30">
        <f t="shared" si="11"/>
        <v>0</v>
      </c>
      <c r="X11" s="30">
        <f t="shared" si="11"/>
        <v>0</v>
      </c>
      <c r="Y11" s="30">
        <f t="shared" si="11"/>
        <v>0</v>
      </c>
      <c r="Z11" s="30">
        <f t="shared" si="11"/>
        <v>0</v>
      </c>
      <c r="AA11" s="30">
        <f t="shared" si="11"/>
        <v>2</v>
      </c>
      <c r="AB11" s="30">
        <f t="shared" si="11"/>
        <v>0</v>
      </c>
      <c r="AC11" s="30">
        <f t="shared" si="11"/>
        <v>0</v>
      </c>
      <c r="AD11" s="30">
        <f t="shared" si="11"/>
        <v>0</v>
      </c>
    </row>
    <row r="12" spans="1:30">
      <c r="A12" s="59">
        <v>4</v>
      </c>
      <c r="B12" s="59">
        <v>1</v>
      </c>
      <c r="C12" s="32">
        <v>3</v>
      </c>
      <c r="D12" s="31">
        <v>1</v>
      </c>
      <c r="E12" s="32"/>
      <c r="F12" s="32"/>
      <c r="G12" s="32"/>
      <c r="H12" s="32"/>
      <c r="I12" s="32"/>
      <c r="J12" s="33"/>
      <c r="K12" s="32">
        <v>1</v>
      </c>
      <c r="L12" s="32"/>
      <c r="M12" s="32"/>
      <c r="N12" s="32"/>
      <c r="O12" s="32"/>
      <c r="P12" s="32"/>
      <c r="Q12" s="33"/>
      <c r="R12" s="30">
        <f t="shared" si="1"/>
        <v>560201728</v>
      </c>
      <c r="S12" s="30">
        <f t="shared" si="4"/>
        <v>262144</v>
      </c>
      <c r="U12" s="30">
        <f t="shared" ref="U12:AD12" si="12">_xlfn.FLOOR.MATH(MOD($S12,8^U$1)/8^T$1)</f>
        <v>0</v>
      </c>
      <c r="V12" s="30">
        <f t="shared" si="12"/>
        <v>0</v>
      </c>
      <c r="W12" s="30">
        <f t="shared" si="12"/>
        <v>0</v>
      </c>
      <c r="X12" s="30">
        <f t="shared" si="12"/>
        <v>0</v>
      </c>
      <c r="Y12" s="30">
        <f t="shared" si="12"/>
        <v>0</v>
      </c>
      <c r="Z12" s="30">
        <f t="shared" si="12"/>
        <v>0</v>
      </c>
      <c r="AA12" s="30">
        <f t="shared" si="12"/>
        <v>1</v>
      </c>
      <c r="AB12" s="30">
        <f t="shared" si="12"/>
        <v>0</v>
      </c>
      <c r="AC12" s="30">
        <f t="shared" si="12"/>
        <v>0</v>
      </c>
      <c r="AD12" s="30">
        <f t="shared" si="12"/>
        <v>0</v>
      </c>
    </row>
    <row r="13" spans="1:30">
      <c r="A13" s="57">
        <v>4</v>
      </c>
      <c r="B13" s="57">
        <v>1</v>
      </c>
      <c r="C13" s="30">
        <v>3</v>
      </c>
      <c r="D13" s="34">
        <v>2</v>
      </c>
      <c r="J13" s="35"/>
      <c r="K13" s="30">
        <v>2</v>
      </c>
      <c r="Q13" s="35"/>
      <c r="R13" s="30">
        <f t="shared" si="1"/>
        <v>560463872</v>
      </c>
      <c r="S13" s="30">
        <f t="shared" si="4"/>
        <v>524288</v>
      </c>
      <c r="U13" s="30">
        <f t="shared" ref="U13:AD13" si="13">_xlfn.FLOOR.MATH(MOD($S13,8^U$1)/8^T$1)</f>
        <v>0</v>
      </c>
      <c r="V13" s="30">
        <f t="shared" si="13"/>
        <v>0</v>
      </c>
      <c r="W13" s="30">
        <f t="shared" si="13"/>
        <v>0</v>
      </c>
      <c r="X13" s="30">
        <f t="shared" si="13"/>
        <v>0</v>
      </c>
      <c r="Y13" s="30">
        <f t="shared" si="13"/>
        <v>0</v>
      </c>
      <c r="Z13" s="30">
        <f t="shared" si="13"/>
        <v>0</v>
      </c>
      <c r="AA13" s="30">
        <f t="shared" si="13"/>
        <v>2</v>
      </c>
      <c r="AB13" s="30">
        <f t="shared" si="13"/>
        <v>0</v>
      </c>
      <c r="AC13" s="30">
        <f t="shared" si="13"/>
        <v>0</v>
      </c>
      <c r="AD13" s="30">
        <f t="shared" si="13"/>
        <v>0</v>
      </c>
    </row>
    <row r="14" spans="1:30">
      <c r="A14" s="57">
        <v>4</v>
      </c>
      <c r="B14" s="57">
        <v>1</v>
      </c>
      <c r="C14" s="30">
        <v>3</v>
      </c>
      <c r="D14" s="34">
        <v>3</v>
      </c>
      <c r="J14" s="35"/>
      <c r="K14" s="30">
        <v>3</v>
      </c>
      <c r="Q14" s="35"/>
      <c r="R14" s="30">
        <f t="shared" si="1"/>
        <v>560726016</v>
      </c>
      <c r="S14" s="30">
        <f t="shared" si="4"/>
        <v>786432</v>
      </c>
      <c r="U14" s="30">
        <f t="shared" ref="U14:AD14" si="14">_xlfn.FLOOR.MATH(MOD($S14,8^U$1)/8^T$1)</f>
        <v>0</v>
      </c>
      <c r="V14" s="30">
        <f t="shared" si="14"/>
        <v>0</v>
      </c>
      <c r="W14" s="30">
        <f t="shared" si="14"/>
        <v>0</v>
      </c>
      <c r="X14" s="30">
        <f t="shared" si="14"/>
        <v>0</v>
      </c>
      <c r="Y14" s="30">
        <f t="shared" si="14"/>
        <v>0</v>
      </c>
      <c r="Z14" s="30">
        <f t="shared" si="14"/>
        <v>0</v>
      </c>
      <c r="AA14" s="30">
        <f t="shared" si="14"/>
        <v>3</v>
      </c>
      <c r="AB14" s="30">
        <f t="shared" si="14"/>
        <v>0</v>
      </c>
      <c r="AC14" s="30">
        <f t="shared" si="14"/>
        <v>0</v>
      </c>
      <c r="AD14" s="30">
        <f t="shared" si="14"/>
        <v>0</v>
      </c>
    </row>
    <row r="15" spans="1:30">
      <c r="A15" s="58">
        <v>4</v>
      </c>
      <c r="B15" s="58">
        <v>1</v>
      </c>
      <c r="C15" s="37">
        <v>3</v>
      </c>
      <c r="D15" s="36">
        <v>4</v>
      </c>
      <c r="E15" s="37"/>
      <c r="F15" s="37"/>
      <c r="G15" s="37"/>
      <c r="H15" s="37"/>
      <c r="I15" s="37"/>
      <c r="J15" s="38"/>
      <c r="K15" s="37">
        <v>3</v>
      </c>
      <c r="L15" s="37"/>
      <c r="M15" s="37"/>
      <c r="N15" s="37"/>
      <c r="O15" s="37"/>
      <c r="P15" s="37"/>
      <c r="Q15" s="38"/>
      <c r="R15" s="30">
        <f t="shared" si="1"/>
        <v>560988160</v>
      </c>
      <c r="S15" s="30">
        <f t="shared" si="4"/>
        <v>786432</v>
      </c>
      <c r="U15" s="30">
        <f t="shared" ref="U15:AD15" si="15">_xlfn.FLOOR.MATH(MOD($S15,8^U$1)/8^T$1)</f>
        <v>0</v>
      </c>
      <c r="V15" s="30">
        <f t="shared" si="15"/>
        <v>0</v>
      </c>
      <c r="W15" s="30">
        <f t="shared" si="15"/>
        <v>0</v>
      </c>
      <c r="X15" s="30">
        <f t="shared" si="15"/>
        <v>0</v>
      </c>
      <c r="Y15" s="30">
        <f t="shared" si="15"/>
        <v>0</v>
      </c>
      <c r="Z15" s="30">
        <f t="shared" si="15"/>
        <v>0</v>
      </c>
      <c r="AA15" s="30">
        <f t="shared" si="15"/>
        <v>3</v>
      </c>
      <c r="AB15" s="30">
        <f t="shared" si="15"/>
        <v>0</v>
      </c>
      <c r="AC15" s="30">
        <f t="shared" si="15"/>
        <v>0</v>
      </c>
      <c r="AD15" s="30">
        <f t="shared" si="15"/>
        <v>0</v>
      </c>
    </row>
    <row r="16" spans="1:30">
      <c r="A16" s="59">
        <v>4</v>
      </c>
      <c r="B16" s="59">
        <v>2</v>
      </c>
      <c r="C16" s="32">
        <v>2</v>
      </c>
      <c r="D16" s="31">
        <v>1</v>
      </c>
      <c r="E16" s="32">
        <v>2</v>
      </c>
      <c r="F16" s="32"/>
      <c r="G16" s="32"/>
      <c r="H16" s="32"/>
      <c r="I16" s="32"/>
      <c r="J16" s="33"/>
      <c r="K16" s="32">
        <v>1</v>
      </c>
      <c r="L16" s="32">
        <v>2</v>
      </c>
      <c r="M16" s="32"/>
      <c r="N16" s="32"/>
      <c r="O16" s="32"/>
      <c r="P16" s="32"/>
      <c r="Q16" s="33"/>
      <c r="R16" s="30">
        <f t="shared" si="1"/>
        <v>574947328</v>
      </c>
      <c r="S16" s="30">
        <f t="shared" si="4"/>
        <v>327680</v>
      </c>
      <c r="U16" s="30">
        <f t="shared" ref="U16:AD16" si="16">_xlfn.FLOOR.MATH(MOD($S16,8^U$1)/8^T$1)</f>
        <v>0</v>
      </c>
      <c r="V16" s="30">
        <f t="shared" si="16"/>
        <v>0</v>
      </c>
      <c r="W16" s="30">
        <f t="shared" si="16"/>
        <v>0</v>
      </c>
      <c r="X16" s="30">
        <f t="shared" si="16"/>
        <v>0</v>
      </c>
      <c r="Y16" s="30">
        <f t="shared" si="16"/>
        <v>0</v>
      </c>
      <c r="Z16" s="30">
        <f t="shared" si="16"/>
        <v>2</v>
      </c>
      <c r="AA16" s="30">
        <f t="shared" si="16"/>
        <v>1</v>
      </c>
      <c r="AB16" s="30">
        <f t="shared" si="16"/>
        <v>0</v>
      </c>
      <c r="AC16" s="30">
        <f t="shared" si="16"/>
        <v>0</v>
      </c>
      <c r="AD16" s="30">
        <f t="shared" si="16"/>
        <v>0</v>
      </c>
    </row>
    <row r="17" spans="1:30">
      <c r="A17" s="57">
        <v>4</v>
      </c>
      <c r="B17" s="57">
        <v>2</v>
      </c>
      <c r="C17" s="30">
        <v>2</v>
      </c>
      <c r="D17" s="34">
        <v>1</v>
      </c>
      <c r="E17" s="30">
        <v>3</v>
      </c>
      <c r="J17" s="35"/>
      <c r="K17" s="30">
        <v>1</v>
      </c>
      <c r="L17" s="30">
        <v>2</v>
      </c>
      <c r="Q17" s="35"/>
      <c r="R17" s="30">
        <f t="shared" si="1"/>
        <v>574980096</v>
      </c>
      <c r="S17" s="30">
        <f t="shared" si="4"/>
        <v>327680</v>
      </c>
      <c r="U17" s="30">
        <f t="shared" ref="U17:AD17" si="17">_xlfn.FLOOR.MATH(MOD($S17,8^U$1)/8^T$1)</f>
        <v>0</v>
      </c>
      <c r="V17" s="30">
        <f t="shared" si="17"/>
        <v>0</v>
      </c>
      <c r="W17" s="30">
        <f t="shared" si="17"/>
        <v>0</v>
      </c>
      <c r="X17" s="30">
        <f t="shared" si="17"/>
        <v>0</v>
      </c>
      <c r="Y17" s="30">
        <f t="shared" si="17"/>
        <v>0</v>
      </c>
      <c r="Z17" s="30">
        <f t="shared" si="17"/>
        <v>2</v>
      </c>
      <c r="AA17" s="30">
        <f t="shared" si="17"/>
        <v>1</v>
      </c>
      <c r="AB17" s="30">
        <f t="shared" si="17"/>
        <v>0</v>
      </c>
      <c r="AC17" s="30">
        <f t="shared" si="17"/>
        <v>0</v>
      </c>
      <c r="AD17" s="30">
        <f t="shared" si="17"/>
        <v>0</v>
      </c>
    </row>
    <row r="18" spans="1:30">
      <c r="A18" s="57">
        <v>4</v>
      </c>
      <c r="B18" s="57">
        <v>2</v>
      </c>
      <c r="C18" s="30">
        <v>2</v>
      </c>
      <c r="D18" s="34">
        <v>1</v>
      </c>
      <c r="E18" s="30">
        <v>4</v>
      </c>
      <c r="J18" s="35"/>
      <c r="K18" s="30">
        <v>1</v>
      </c>
      <c r="L18" s="30">
        <v>2</v>
      </c>
      <c r="Q18" s="35"/>
      <c r="R18" s="30">
        <f t="shared" si="1"/>
        <v>575012864</v>
      </c>
      <c r="S18" s="30">
        <f t="shared" si="4"/>
        <v>327680</v>
      </c>
      <c r="U18" s="30">
        <f t="shared" ref="U18:AD18" si="18">_xlfn.FLOOR.MATH(MOD($S18,8^U$1)/8^T$1)</f>
        <v>0</v>
      </c>
      <c r="V18" s="30">
        <f t="shared" si="18"/>
        <v>0</v>
      </c>
      <c r="W18" s="30">
        <f t="shared" si="18"/>
        <v>0</v>
      </c>
      <c r="X18" s="30">
        <f t="shared" si="18"/>
        <v>0</v>
      </c>
      <c r="Y18" s="30">
        <f t="shared" si="18"/>
        <v>0</v>
      </c>
      <c r="Z18" s="30">
        <f t="shared" si="18"/>
        <v>2</v>
      </c>
      <c r="AA18" s="30">
        <f t="shared" si="18"/>
        <v>1</v>
      </c>
      <c r="AB18" s="30">
        <f t="shared" si="18"/>
        <v>0</v>
      </c>
      <c r="AC18" s="30">
        <f t="shared" si="18"/>
        <v>0</v>
      </c>
      <c r="AD18" s="30">
        <f t="shared" si="18"/>
        <v>0</v>
      </c>
    </row>
    <row r="19" spans="1:30">
      <c r="A19" s="57">
        <v>4</v>
      </c>
      <c r="B19" s="57">
        <v>2</v>
      </c>
      <c r="C19" s="30">
        <v>2</v>
      </c>
      <c r="D19" s="34">
        <v>2</v>
      </c>
      <c r="E19" s="30">
        <v>3</v>
      </c>
      <c r="J19" s="35"/>
      <c r="K19" s="30">
        <v>1</v>
      </c>
      <c r="L19" s="30">
        <v>2</v>
      </c>
      <c r="Q19" s="35"/>
      <c r="R19" s="30">
        <f t="shared" si="1"/>
        <v>575242240</v>
      </c>
      <c r="S19" s="30">
        <f t="shared" si="4"/>
        <v>327680</v>
      </c>
      <c r="U19" s="30">
        <f t="shared" ref="U19:AD19" si="19">_xlfn.FLOOR.MATH(MOD($S19,8^U$1)/8^T$1)</f>
        <v>0</v>
      </c>
      <c r="V19" s="30">
        <f t="shared" si="19"/>
        <v>0</v>
      </c>
      <c r="W19" s="30">
        <f t="shared" si="19"/>
        <v>0</v>
      </c>
      <c r="X19" s="30">
        <f t="shared" si="19"/>
        <v>0</v>
      </c>
      <c r="Y19" s="30">
        <f t="shared" si="19"/>
        <v>0</v>
      </c>
      <c r="Z19" s="30">
        <f t="shared" si="19"/>
        <v>2</v>
      </c>
      <c r="AA19" s="30">
        <f t="shared" si="19"/>
        <v>1</v>
      </c>
      <c r="AB19" s="30">
        <f t="shared" si="19"/>
        <v>0</v>
      </c>
      <c r="AC19" s="30">
        <f t="shared" si="19"/>
        <v>0</v>
      </c>
      <c r="AD19" s="30">
        <f t="shared" si="19"/>
        <v>0</v>
      </c>
    </row>
    <row r="20" spans="1:30">
      <c r="A20" s="57">
        <v>4</v>
      </c>
      <c r="B20" s="57">
        <v>2</v>
      </c>
      <c r="C20" s="30">
        <v>2</v>
      </c>
      <c r="D20" s="34">
        <v>2</v>
      </c>
      <c r="E20" s="30">
        <v>4</v>
      </c>
      <c r="J20" s="35"/>
      <c r="K20" s="30">
        <v>1</v>
      </c>
      <c r="L20" s="30">
        <v>2</v>
      </c>
      <c r="Q20" s="35"/>
      <c r="R20" s="30">
        <f t="shared" si="1"/>
        <v>575275008</v>
      </c>
      <c r="S20" s="30">
        <f t="shared" si="4"/>
        <v>327680</v>
      </c>
      <c r="U20" s="30">
        <f t="shared" ref="U20:AD20" si="20">_xlfn.FLOOR.MATH(MOD($S20,8^U$1)/8^T$1)</f>
        <v>0</v>
      </c>
      <c r="V20" s="30">
        <f t="shared" si="20"/>
        <v>0</v>
      </c>
      <c r="W20" s="30">
        <f t="shared" si="20"/>
        <v>0</v>
      </c>
      <c r="X20" s="30">
        <f t="shared" si="20"/>
        <v>0</v>
      </c>
      <c r="Y20" s="30">
        <f t="shared" si="20"/>
        <v>0</v>
      </c>
      <c r="Z20" s="30">
        <f t="shared" si="20"/>
        <v>2</v>
      </c>
      <c r="AA20" s="30">
        <f t="shared" si="20"/>
        <v>1</v>
      </c>
      <c r="AB20" s="30">
        <f t="shared" si="20"/>
        <v>0</v>
      </c>
      <c r="AC20" s="30">
        <f t="shared" si="20"/>
        <v>0</v>
      </c>
      <c r="AD20" s="30">
        <f t="shared" si="20"/>
        <v>0</v>
      </c>
    </row>
    <row r="21" spans="1:30">
      <c r="A21" s="58">
        <v>4</v>
      </c>
      <c r="B21" s="58">
        <v>2</v>
      </c>
      <c r="C21" s="37">
        <v>2</v>
      </c>
      <c r="D21" s="36">
        <v>3</v>
      </c>
      <c r="E21" s="37">
        <v>4</v>
      </c>
      <c r="F21" s="37"/>
      <c r="G21" s="37"/>
      <c r="H21" s="37"/>
      <c r="I21" s="37"/>
      <c r="J21" s="38"/>
      <c r="K21" s="37">
        <v>1</v>
      </c>
      <c r="L21" s="37">
        <v>2</v>
      </c>
      <c r="M21" s="37"/>
      <c r="N21" s="37"/>
      <c r="O21" s="37"/>
      <c r="P21" s="37"/>
      <c r="Q21" s="38"/>
      <c r="R21" s="30">
        <f t="shared" si="1"/>
        <v>575537152</v>
      </c>
      <c r="S21" s="30">
        <f t="shared" si="4"/>
        <v>327680</v>
      </c>
      <c r="U21" s="30">
        <f t="shared" ref="U21:AD21" si="21">_xlfn.FLOOR.MATH(MOD($S21,8^U$1)/8^T$1)</f>
        <v>0</v>
      </c>
      <c r="V21" s="30">
        <f t="shared" si="21"/>
        <v>0</v>
      </c>
      <c r="W21" s="30">
        <f t="shared" si="21"/>
        <v>0</v>
      </c>
      <c r="X21" s="30">
        <f t="shared" si="21"/>
        <v>0</v>
      </c>
      <c r="Y21" s="30">
        <f t="shared" si="21"/>
        <v>0</v>
      </c>
      <c r="Z21" s="30">
        <f t="shared" si="21"/>
        <v>2</v>
      </c>
      <c r="AA21" s="30">
        <f t="shared" si="21"/>
        <v>1</v>
      </c>
      <c r="AB21" s="30">
        <f t="shared" si="21"/>
        <v>0</v>
      </c>
      <c r="AC21" s="30">
        <f t="shared" si="21"/>
        <v>0</v>
      </c>
      <c r="AD21" s="30">
        <f t="shared" si="21"/>
        <v>0</v>
      </c>
    </row>
    <row r="22" spans="1:30">
      <c r="A22" s="59">
        <v>4</v>
      </c>
      <c r="B22" s="59">
        <v>2</v>
      </c>
      <c r="C22" s="32">
        <v>3</v>
      </c>
      <c r="D22" s="31">
        <v>1</v>
      </c>
      <c r="E22" s="32">
        <v>2</v>
      </c>
      <c r="F22" s="32"/>
      <c r="G22" s="32"/>
      <c r="H22" s="32"/>
      <c r="I22" s="32"/>
      <c r="J22" s="33"/>
      <c r="K22" s="32">
        <v>1</v>
      </c>
      <c r="L22" s="32">
        <v>2</v>
      </c>
      <c r="M22" s="32"/>
      <c r="N22" s="32"/>
      <c r="O22" s="32"/>
      <c r="P22" s="32"/>
      <c r="Q22" s="33"/>
      <c r="R22" s="30">
        <f t="shared" si="1"/>
        <v>577044480</v>
      </c>
      <c r="S22" s="30">
        <f t="shared" si="4"/>
        <v>327680</v>
      </c>
      <c r="U22" s="30">
        <f t="shared" ref="U22:AD22" si="22">_xlfn.FLOOR.MATH(MOD($S22,8^U$1)/8^T$1)</f>
        <v>0</v>
      </c>
      <c r="V22" s="30">
        <f t="shared" si="22"/>
        <v>0</v>
      </c>
      <c r="W22" s="30">
        <f t="shared" si="22"/>
        <v>0</v>
      </c>
      <c r="X22" s="30">
        <f t="shared" si="22"/>
        <v>0</v>
      </c>
      <c r="Y22" s="30">
        <f t="shared" si="22"/>
        <v>0</v>
      </c>
      <c r="Z22" s="30">
        <f t="shared" si="22"/>
        <v>2</v>
      </c>
      <c r="AA22" s="30">
        <f t="shared" si="22"/>
        <v>1</v>
      </c>
      <c r="AB22" s="30">
        <f t="shared" si="22"/>
        <v>0</v>
      </c>
      <c r="AC22" s="30">
        <f t="shared" si="22"/>
        <v>0</v>
      </c>
      <c r="AD22" s="30">
        <f t="shared" si="22"/>
        <v>0</v>
      </c>
    </row>
    <row r="23" spans="1:30">
      <c r="A23" s="57">
        <v>4</v>
      </c>
      <c r="B23" s="57">
        <v>2</v>
      </c>
      <c r="C23" s="30">
        <v>3</v>
      </c>
      <c r="D23" s="34">
        <v>1</v>
      </c>
      <c r="E23" s="30">
        <v>3</v>
      </c>
      <c r="J23" s="35"/>
      <c r="K23" s="30">
        <v>1</v>
      </c>
      <c r="L23" s="30">
        <v>3</v>
      </c>
      <c r="Q23" s="35"/>
      <c r="R23" s="30">
        <f t="shared" si="1"/>
        <v>577077248</v>
      </c>
      <c r="S23" s="30">
        <f t="shared" si="4"/>
        <v>360448</v>
      </c>
      <c r="U23" s="30">
        <f t="shared" ref="U23:AD23" si="23">_xlfn.FLOOR.MATH(MOD($S23,8^U$1)/8^T$1)</f>
        <v>0</v>
      </c>
      <c r="V23" s="30">
        <f t="shared" si="23"/>
        <v>0</v>
      </c>
      <c r="W23" s="30">
        <f t="shared" si="23"/>
        <v>0</v>
      </c>
      <c r="X23" s="30">
        <f t="shared" si="23"/>
        <v>0</v>
      </c>
      <c r="Y23" s="30">
        <f t="shared" si="23"/>
        <v>0</v>
      </c>
      <c r="Z23" s="30">
        <f t="shared" si="23"/>
        <v>3</v>
      </c>
      <c r="AA23" s="30">
        <f t="shared" si="23"/>
        <v>1</v>
      </c>
      <c r="AB23" s="30">
        <f t="shared" si="23"/>
        <v>0</v>
      </c>
      <c r="AC23" s="30">
        <f t="shared" si="23"/>
        <v>0</v>
      </c>
      <c r="AD23" s="30">
        <f t="shared" si="23"/>
        <v>0</v>
      </c>
    </row>
    <row r="24" spans="1:30">
      <c r="A24" s="57">
        <v>4</v>
      </c>
      <c r="B24" s="57">
        <v>2</v>
      </c>
      <c r="C24" s="30">
        <v>3</v>
      </c>
      <c r="D24" s="34">
        <v>1</v>
      </c>
      <c r="E24" s="30">
        <v>4</v>
      </c>
      <c r="J24" s="35"/>
      <c r="K24" s="30">
        <v>1</v>
      </c>
      <c r="L24" s="30">
        <v>3</v>
      </c>
      <c r="Q24" s="35"/>
      <c r="R24" s="30">
        <f t="shared" si="1"/>
        <v>577110016</v>
      </c>
      <c r="S24" s="30">
        <f t="shared" si="4"/>
        <v>360448</v>
      </c>
      <c r="U24" s="30">
        <f t="shared" ref="U24:AD24" si="24">_xlfn.FLOOR.MATH(MOD($S24,8^U$1)/8^T$1)</f>
        <v>0</v>
      </c>
      <c r="V24" s="30">
        <f t="shared" si="24"/>
        <v>0</v>
      </c>
      <c r="W24" s="30">
        <f t="shared" si="24"/>
        <v>0</v>
      </c>
      <c r="X24" s="30">
        <f t="shared" si="24"/>
        <v>0</v>
      </c>
      <c r="Y24" s="30">
        <f t="shared" si="24"/>
        <v>0</v>
      </c>
      <c r="Z24" s="30">
        <f t="shared" si="24"/>
        <v>3</v>
      </c>
      <c r="AA24" s="30">
        <f t="shared" si="24"/>
        <v>1</v>
      </c>
      <c r="AB24" s="30">
        <f t="shared" si="24"/>
        <v>0</v>
      </c>
      <c r="AC24" s="30">
        <f t="shared" si="24"/>
        <v>0</v>
      </c>
      <c r="AD24" s="30">
        <f t="shared" si="24"/>
        <v>0</v>
      </c>
    </row>
    <row r="25" spans="1:30">
      <c r="A25" s="57">
        <v>4</v>
      </c>
      <c r="B25" s="57">
        <v>2</v>
      </c>
      <c r="C25" s="30">
        <v>3</v>
      </c>
      <c r="D25" s="34">
        <v>2</v>
      </c>
      <c r="E25" s="30">
        <v>3</v>
      </c>
      <c r="J25" s="35"/>
      <c r="K25" s="30">
        <v>2</v>
      </c>
      <c r="L25" s="30">
        <v>3</v>
      </c>
      <c r="Q25" s="35"/>
      <c r="R25" s="30">
        <f t="shared" si="1"/>
        <v>577339392</v>
      </c>
      <c r="S25" s="30">
        <f t="shared" si="4"/>
        <v>622592</v>
      </c>
      <c r="U25" s="30">
        <f t="shared" ref="U25:AD25" si="25">_xlfn.FLOOR.MATH(MOD($S25,8^U$1)/8^T$1)</f>
        <v>0</v>
      </c>
      <c r="V25" s="30">
        <f t="shared" si="25"/>
        <v>0</v>
      </c>
      <c r="W25" s="30">
        <f t="shared" si="25"/>
        <v>0</v>
      </c>
      <c r="X25" s="30">
        <f t="shared" si="25"/>
        <v>0</v>
      </c>
      <c r="Y25" s="30">
        <f t="shared" si="25"/>
        <v>0</v>
      </c>
      <c r="Z25" s="30">
        <f t="shared" si="25"/>
        <v>3</v>
      </c>
      <c r="AA25" s="30">
        <f t="shared" si="25"/>
        <v>2</v>
      </c>
      <c r="AB25" s="30">
        <f t="shared" si="25"/>
        <v>0</v>
      </c>
      <c r="AC25" s="30">
        <f t="shared" si="25"/>
        <v>0</v>
      </c>
      <c r="AD25" s="30">
        <f t="shared" si="25"/>
        <v>0</v>
      </c>
    </row>
    <row r="26" spans="1:30">
      <c r="A26" s="57">
        <v>4</v>
      </c>
      <c r="B26" s="57">
        <v>2</v>
      </c>
      <c r="C26" s="30">
        <v>3</v>
      </c>
      <c r="D26" s="34">
        <v>2</v>
      </c>
      <c r="E26" s="30">
        <v>4</v>
      </c>
      <c r="J26" s="35"/>
      <c r="K26" s="30">
        <v>2</v>
      </c>
      <c r="L26" s="30">
        <v>3</v>
      </c>
      <c r="Q26" s="35"/>
      <c r="R26" s="30">
        <f t="shared" si="1"/>
        <v>577372160</v>
      </c>
      <c r="S26" s="30">
        <f t="shared" si="4"/>
        <v>622592</v>
      </c>
      <c r="U26" s="30">
        <f t="shared" ref="U26:AD26" si="26">_xlfn.FLOOR.MATH(MOD($S26,8^U$1)/8^T$1)</f>
        <v>0</v>
      </c>
      <c r="V26" s="30">
        <f t="shared" si="26"/>
        <v>0</v>
      </c>
      <c r="W26" s="30">
        <f t="shared" si="26"/>
        <v>0</v>
      </c>
      <c r="X26" s="30">
        <f t="shared" si="26"/>
        <v>0</v>
      </c>
      <c r="Y26" s="30">
        <f t="shared" si="26"/>
        <v>0</v>
      </c>
      <c r="Z26" s="30">
        <f t="shared" si="26"/>
        <v>3</v>
      </c>
      <c r="AA26" s="30">
        <f t="shared" si="26"/>
        <v>2</v>
      </c>
      <c r="AB26" s="30">
        <f t="shared" si="26"/>
        <v>0</v>
      </c>
      <c r="AC26" s="30">
        <f t="shared" si="26"/>
        <v>0</v>
      </c>
      <c r="AD26" s="30">
        <f t="shared" si="26"/>
        <v>0</v>
      </c>
    </row>
    <row r="27" spans="1:30">
      <c r="A27" s="58">
        <v>4</v>
      </c>
      <c r="B27" s="58">
        <v>2</v>
      </c>
      <c r="C27" s="37">
        <v>3</v>
      </c>
      <c r="D27" s="36">
        <v>3</v>
      </c>
      <c r="E27" s="37">
        <v>4</v>
      </c>
      <c r="F27" s="37"/>
      <c r="G27" s="37"/>
      <c r="H27" s="37"/>
      <c r="I27" s="37"/>
      <c r="J27" s="38"/>
      <c r="K27" s="37">
        <v>2</v>
      </c>
      <c r="L27" s="37">
        <v>3</v>
      </c>
      <c r="M27" s="37"/>
      <c r="N27" s="37"/>
      <c r="O27" s="37"/>
      <c r="P27" s="37"/>
      <c r="Q27" s="38"/>
      <c r="R27" s="30">
        <f t="shared" si="1"/>
        <v>577634304</v>
      </c>
      <c r="S27" s="30">
        <f t="shared" si="4"/>
        <v>622592</v>
      </c>
      <c r="U27" s="30">
        <f t="shared" ref="U27:AD27" si="27">_xlfn.FLOOR.MATH(MOD($S27,8^U$1)/8^T$1)</f>
        <v>0</v>
      </c>
      <c r="V27" s="30">
        <f t="shared" si="27"/>
        <v>0</v>
      </c>
      <c r="W27" s="30">
        <f t="shared" si="27"/>
        <v>0</v>
      </c>
      <c r="X27" s="30">
        <f t="shared" si="27"/>
        <v>0</v>
      </c>
      <c r="Y27" s="30">
        <f t="shared" si="27"/>
        <v>0</v>
      </c>
      <c r="Z27" s="30">
        <f t="shared" si="27"/>
        <v>3</v>
      </c>
      <c r="AA27" s="30">
        <f t="shared" si="27"/>
        <v>2</v>
      </c>
      <c r="AB27" s="30">
        <f t="shared" si="27"/>
        <v>0</v>
      </c>
      <c r="AC27" s="30">
        <f t="shared" si="27"/>
        <v>0</v>
      </c>
      <c r="AD27" s="30">
        <f t="shared" si="27"/>
        <v>0</v>
      </c>
    </row>
    <row r="28" spans="1:30">
      <c r="A28" s="59">
        <v>4</v>
      </c>
      <c r="B28" s="59">
        <v>3</v>
      </c>
      <c r="C28" s="32">
        <v>3</v>
      </c>
      <c r="D28" s="31">
        <v>1</v>
      </c>
      <c r="E28" s="32">
        <v>2</v>
      </c>
      <c r="F28" s="32">
        <v>3</v>
      </c>
      <c r="G28" s="32"/>
      <c r="H28" s="32"/>
      <c r="I28" s="32"/>
      <c r="J28" s="33"/>
      <c r="K28" s="32">
        <v>1</v>
      </c>
      <c r="L28" s="32">
        <v>2</v>
      </c>
      <c r="M28" s="32">
        <v>3</v>
      </c>
      <c r="N28" s="32"/>
      <c r="O28" s="32"/>
      <c r="P28" s="32"/>
      <c r="Q28" s="33"/>
      <c r="R28" s="30">
        <f t="shared" si="1"/>
        <v>593833984</v>
      </c>
      <c r="S28" s="30">
        <f t="shared" si="4"/>
        <v>339968</v>
      </c>
      <c r="U28" s="30">
        <f t="shared" ref="U28:AD28" si="28">_xlfn.FLOOR.MATH(MOD($S28,8^U$1)/8^T$1)</f>
        <v>0</v>
      </c>
      <c r="V28" s="30">
        <f t="shared" si="28"/>
        <v>0</v>
      </c>
      <c r="W28" s="30">
        <f t="shared" si="28"/>
        <v>0</v>
      </c>
      <c r="X28" s="30">
        <f t="shared" si="28"/>
        <v>0</v>
      </c>
      <c r="Y28" s="30">
        <f t="shared" si="28"/>
        <v>3</v>
      </c>
      <c r="Z28" s="30">
        <f t="shared" si="28"/>
        <v>2</v>
      </c>
      <c r="AA28" s="30">
        <f t="shared" si="28"/>
        <v>1</v>
      </c>
      <c r="AB28" s="30">
        <f t="shared" si="28"/>
        <v>0</v>
      </c>
      <c r="AC28" s="30">
        <f t="shared" si="28"/>
        <v>0</v>
      </c>
      <c r="AD28" s="30">
        <f t="shared" si="28"/>
        <v>0</v>
      </c>
    </row>
    <row r="29" spans="1:30">
      <c r="A29" s="57">
        <v>4</v>
      </c>
      <c r="B29" s="57">
        <v>3</v>
      </c>
      <c r="C29" s="30">
        <v>3</v>
      </c>
      <c r="D29" s="34">
        <v>1</v>
      </c>
      <c r="E29" s="30">
        <v>2</v>
      </c>
      <c r="F29" s="30">
        <v>4</v>
      </c>
      <c r="J29" s="35"/>
      <c r="K29" s="30">
        <v>1</v>
      </c>
      <c r="L29" s="30">
        <v>2</v>
      </c>
      <c r="M29" s="30">
        <v>3</v>
      </c>
      <c r="Q29" s="35"/>
      <c r="R29" s="30">
        <f t="shared" si="1"/>
        <v>593838080</v>
      </c>
      <c r="S29" s="30">
        <f t="shared" si="4"/>
        <v>339968</v>
      </c>
      <c r="U29" s="30">
        <f t="shared" ref="U29:AD29" si="29">_xlfn.FLOOR.MATH(MOD($S29,8^U$1)/8^T$1)</f>
        <v>0</v>
      </c>
      <c r="V29" s="30">
        <f t="shared" si="29"/>
        <v>0</v>
      </c>
      <c r="W29" s="30">
        <f t="shared" si="29"/>
        <v>0</v>
      </c>
      <c r="X29" s="30">
        <f t="shared" si="29"/>
        <v>0</v>
      </c>
      <c r="Y29" s="30">
        <f t="shared" si="29"/>
        <v>3</v>
      </c>
      <c r="Z29" s="30">
        <f t="shared" si="29"/>
        <v>2</v>
      </c>
      <c r="AA29" s="30">
        <f t="shared" si="29"/>
        <v>1</v>
      </c>
      <c r="AB29" s="30">
        <f t="shared" si="29"/>
        <v>0</v>
      </c>
      <c r="AC29" s="30">
        <f t="shared" si="29"/>
        <v>0</v>
      </c>
      <c r="AD29" s="30">
        <f t="shared" si="29"/>
        <v>0</v>
      </c>
    </row>
    <row r="30" spans="1:30">
      <c r="A30" s="57">
        <v>4</v>
      </c>
      <c r="B30" s="57">
        <v>3</v>
      </c>
      <c r="C30" s="30">
        <v>3</v>
      </c>
      <c r="D30" s="34">
        <v>1</v>
      </c>
      <c r="E30" s="30">
        <v>3</v>
      </c>
      <c r="F30" s="30">
        <v>4</v>
      </c>
      <c r="J30" s="35"/>
      <c r="K30" s="30">
        <v>1</v>
      </c>
      <c r="L30" s="30">
        <v>2</v>
      </c>
      <c r="M30" s="30">
        <v>3</v>
      </c>
      <c r="Q30" s="35"/>
      <c r="R30" s="30">
        <f t="shared" si="1"/>
        <v>593870848</v>
      </c>
      <c r="S30" s="30">
        <f t="shared" si="4"/>
        <v>339968</v>
      </c>
      <c r="U30" s="30">
        <f t="shared" ref="U30:AD30" si="30">_xlfn.FLOOR.MATH(MOD($S30,8^U$1)/8^T$1)</f>
        <v>0</v>
      </c>
      <c r="V30" s="30">
        <f t="shared" si="30"/>
        <v>0</v>
      </c>
      <c r="W30" s="30">
        <f t="shared" si="30"/>
        <v>0</v>
      </c>
      <c r="X30" s="30">
        <f t="shared" si="30"/>
        <v>0</v>
      </c>
      <c r="Y30" s="30">
        <f t="shared" si="30"/>
        <v>3</v>
      </c>
      <c r="Z30" s="30">
        <f t="shared" si="30"/>
        <v>2</v>
      </c>
      <c r="AA30" s="30">
        <f t="shared" si="30"/>
        <v>1</v>
      </c>
      <c r="AB30" s="30">
        <f t="shared" si="30"/>
        <v>0</v>
      </c>
      <c r="AC30" s="30">
        <f t="shared" si="30"/>
        <v>0</v>
      </c>
      <c r="AD30" s="30">
        <f t="shared" si="30"/>
        <v>0</v>
      </c>
    </row>
    <row r="31" spans="1:30">
      <c r="A31" s="58">
        <v>4</v>
      </c>
      <c r="B31" s="58">
        <v>3</v>
      </c>
      <c r="C31" s="37">
        <v>3</v>
      </c>
      <c r="D31" s="36">
        <v>2</v>
      </c>
      <c r="E31" s="37">
        <v>3</v>
      </c>
      <c r="F31" s="37">
        <v>4</v>
      </c>
      <c r="G31" s="37"/>
      <c r="H31" s="37"/>
      <c r="I31" s="37"/>
      <c r="J31" s="38"/>
      <c r="K31" s="37">
        <v>1</v>
      </c>
      <c r="L31" s="37">
        <v>2</v>
      </c>
      <c r="M31" s="37">
        <v>3</v>
      </c>
      <c r="N31" s="37"/>
      <c r="O31" s="37"/>
      <c r="P31" s="37"/>
      <c r="Q31" s="38"/>
      <c r="R31" s="30">
        <f t="shared" si="1"/>
        <v>594132992</v>
      </c>
      <c r="S31" s="30">
        <f t="shared" si="4"/>
        <v>339968</v>
      </c>
      <c r="U31" s="30">
        <f t="shared" ref="U31:AD31" si="31">_xlfn.FLOOR.MATH(MOD($S31,8^U$1)/8^T$1)</f>
        <v>0</v>
      </c>
      <c r="V31" s="30">
        <f t="shared" si="31"/>
        <v>0</v>
      </c>
      <c r="W31" s="30">
        <f t="shared" si="31"/>
        <v>0</v>
      </c>
      <c r="X31" s="30">
        <f t="shared" si="31"/>
        <v>0</v>
      </c>
      <c r="Y31" s="30">
        <f t="shared" si="31"/>
        <v>3</v>
      </c>
      <c r="Z31" s="30">
        <f t="shared" si="31"/>
        <v>2</v>
      </c>
      <c r="AA31" s="30">
        <f t="shared" si="31"/>
        <v>1</v>
      </c>
      <c r="AB31" s="30">
        <f t="shared" si="31"/>
        <v>0</v>
      </c>
      <c r="AC31" s="30">
        <f t="shared" si="31"/>
        <v>0</v>
      </c>
      <c r="AD31" s="30">
        <f t="shared" si="31"/>
        <v>0</v>
      </c>
    </row>
    <row r="32" spans="1:30">
      <c r="A32" s="59">
        <v>5</v>
      </c>
      <c r="B32" s="59">
        <v>1</v>
      </c>
      <c r="C32" s="32">
        <v>2</v>
      </c>
      <c r="D32" s="31">
        <v>1</v>
      </c>
      <c r="E32" s="32"/>
      <c r="F32" s="32"/>
      <c r="G32" s="32"/>
      <c r="H32" s="32"/>
      <c r="I32" s="32"/>
      <c r="J32" s="33"/>
      <c r="K32" s="32">
        <v>1</v>
      </c>
      <c r="L32" s="32"/>
      <c r="M32" s="32"/>
      <c r="N32" s="32"/>
      <c r="O32" s="32"/>
      <c r="P32" s="32"/>
      <c r="Q32" s="33"/>
      <c r="R32" s="30">
        <f t="shared" si="1"/>
        <v>692322304</v>
      </c>
      <c r="S32" s="30">
        <f t="shared" si="4"/>
        <v>262144</v>
      </c>
      <c r="U32" s="30">
        <f t="shared" ref="U32:AD32" si="32">_xlfn.FLOOR.MATH(MOD($S32,8^U$1)/8^T$1)</f>
        <v>0</v>
      </c>
      <c r="V32" s="30">
        <f t="shared" si="32"/>
        <v>0</v>
      </c>
      <c r="W32" s="30">
        <f t="shared" si="32"/>
        <v>0</v>
      </c>
      <c r="X32" s="30">
        <f t="shared" si="32"/>
        <v>0</v>
      </c>
      <c r="Y32" s="30">
        <f t="shared" si="32"/>
        <v>0</v>
      </c>
      <c r="Z32" s="30">
        <f t="shared" si="32"/>
        <v>0</v>
      </c>
      <c r="AA32" s="30">
        <f t="shared" si="32"/>
        <v>1</v>
      </c>
      <c r="AB32" s="30">
        <f t="shared" si="32"/>
        <v>0</v>
      </c>
      <c r="AC32" s="30">
        <f t="shared" si="32"/>
        <v>0</v>
      </c>
      <c r="AD32" s="30">
        <f t="shared" si="32"/>
        <v>0</v>
      </c>
    </row>
    <row r="33" spans="1:19">
      <c r="A33" s="57">
        <v>5</v>
      </c>
      <c r="B33" s="57">
        <v>1</v>
      </c>
      <c r="C33" s="30">
        <v>2</v>
      </c>
      <c r="D33" s="34">
        <v>2</v>
      </c>
      <c r="J33" s="35"/>
      <c r="K33" s="30">
        <v>2</v>
      </c>
      <c r="Q33" s="35"/>
      <c r="R33" s="30">
        <f t="shared" si="1"/>
        <v>692584448</v>
      </c>
      <c r="S33" s="30">
        <f>Q33*8^0+P33*8^1+O33*8^2+N33*8^3+M33*8^4+L33*8^5+K33*8^6</f>
        <v>524288</v>
      </c>
    </row>
    <row r="34" spans="1:19">
      <c r="A34" s="57">
        <v>5</v>
      </c>
      <c r="B34" s="57">
        <v>1</v>
      </c>
      <c r="C34" s="30">
        <v>2</v>
      </c>
      <c r="D34" s="34">
        <v>3</v>
      </c>
      <c r="J34" s="35"/>
      <c r="K34" s="30">
        <v>1</v>
      </c>
      <c r="Q34" s="35"/>
      <c r="R34" s="30">
        <f t="shared" si="1"/>
        <v>692846592</v>
      </c>
      <c r="S34" s="30">
        <f t="shared" si="4"/>
        <v>262144</v>
      </c>
    </row>
    <row r="35" spans="1:19">
      <c r="A35" s="57">
        <v>5</v>
      </c>
      <c r="B35" s="57">
        <v>1</v>
      </c>
      <c r="C35" s="30">
        <v>2</v>
      </c>
      <c r="D35" s="34">
        <v>4</v>
      </c>
      <c r="J35" s="35"/>
      <c r="K35" s="30">
        <v>2</v>
      </c>
      <c r="Q35" s="35"/>
      <c r="R35" s="30">
        <f t="shared" si="1"/>
        <v>693108736</v>
      </c>
      <c r="S35" s="30">
        <f t="shared" si="4"/>
        <v>524288</v>
      </c>
    </row>
    <row r="36" spans="1:19">
      <c r="A36" s="58">
        <v>5</v>
      </c>
      <c r="B36" s="58">
        <v>1</v>
      </c>
      <c r="C36" s="37">
        <v>2</v>
      </c>
      <c r="D36" s="36">
        <v>5</v>
      </c>
      <c r="E36" s="37"/>
      <c r="F36" s="37"/>
      <c r="G36" s="37"/>
      <c r="H36" s="37"/>
      <c r="I36" s="37"/>
      <c r="J36" s="38"/>
      <c r="K36" s="37">
        <v>1</v>
      </c>
      <c r="L36" s="37"/>
      <c r="M36" s="37"/>
      <c r="N36" s="37"/>
      <c r="O36" s="37"/>
      <c r="P36" s="37"/>
      <c r="Q36" s="38"/>
      <c r="R36" s="30">
        <f t="shared" si="1"/>
        <v>693370880</v>
      </c>
      <c r="S36" s="30">
        <f t="shared" si="4"/>
        <v>262144</v>
      </c>
    </row>
    <row r="37" spans="1:19">
      <c r="A37" s="59">
        <v>5</v>
      </c>
      <c r="B37" s="59">
        <v>1</v>
      </c>
      <c r="C37" s="32">
        <v>3</v>
      </c>
      <c r="D37" s="31">
        <v>1</v>
      </c>
      <c r="E37" s="32"/>
      <c r="F37" s="32"/>
      <c r="G37" s="32"/>
      <c r="H37" s="32"/>
      <c r="I37" s="32"/>
      <c r="J37" s="33"/>
      <c r="K37" s="32">
        <v>1</v>
      </c>
      <c r="L37" s="32"/>
      <c r="M37" s="32"/>
      <c r="N37" s="32"/>
      <c r="O37" s="32"/>
      <c r="P37" s="32"/>
      <c r="Q37" s="33"/>
      <c r="R37" s="30">
        <f t="shared" si="1"/>
        <v>694419456</v>
      </c>
      <c r="S37" s="30">
        <f t="shared" si="4"/>
        <v>262144</v>
      </c>
    </row>
    <row r="38" spans="1:19">
      <c r="A38" s="57">
        <v>5</v>
      </c>
      <c r="B38" s="57">
        <v>1</v>
      </c>
      <c r="C38" s="30">
        <v>3</v>
      </c>
      <c r="D38" s="34">
        <v>2</v>
      </c>
      <c r="J38" s="35"/>
      <c r="K38" s="30">
        <v>2</v>
      </c>
      <c r="Q38" s="35"/>
      <c r="R38" s="30">
        <f t="shared" si="1"/>
        <v>694681600</v>
      </c>
      <c r="S38" s="30">
        <f t="shared" si="4"/>
        <v>524288</v>
      </c>
    </row>
    <row r="39" spans="1:19">
      <c r="A39" s="57">
        <v>5</v>
      </c>
      <c r="B39" s="57">
        <v>1</v>
      </c>
      <c r="C39" s="30">
        <v>3</v>
      </c>
      <c r="D39" s="34">
        <v>3</v>
      </c>
      <c r="J39" s="35"/>
      <c r="K39" s="30">
        <v>2</v>
      </c>
      <c r="Q39" s="35"/>
      <c r="R39" s="30">
        <f t="shared" si="1"/>
        <v>694943744</v>
      </c>
      <c r="S39" s="30">
        <f t="shared" si="4"/>
        <v>524288</v>
      </c>
    </row>
    <row r="40" spans="1:19">
      <c r="A40" s="57">
        <v>5</v>
      </c>
      <c r="B40" s="57">
        <v>1</v>
      </c>
      <c r="C40" s="30">
        <v>3</v>
      </c>
      <c r="D40" s="34">
        <v>4</v>
      </c>
      <c r="J40" s="35"/>
      <c r="K40" s="30">
        <v>3</v>
      </c>
      <c r="Q40" s="35"/>
      <c r="R40" s="30">
        <f t="shared" si="1"/>
        <v>695205888</v>
      </c>
      <c r="S40" s="30">
        <f t="shared" si="4"/>
        <v>786432</v>
      </c>
    </row>
    <row r="41" spans="1:19">
      <c r="A41" s="58">
        <v>5</v>
      </c>
      <c r="B41" s="58">
        <v>1</v>
      </c>
      <c r="C41" s="37">
        <v>3</v>
      </c>
      <c r="D41" s="36">
        <v>5</v>
      </c>
      <c r="E41" s="37"/>
      <c r="F41" s="37"/>
      <c r="G41" s="37"/>
      <c r="H41" s="37"/>
      <c r="I41" s="37"/>
      <c r="J41" s="38"/>
      <c r="K41" s="37">
        <v>3</v>
      </c>
      <c r="L41" s="37"/>
      <c r="M41" s="37"/>
      <c r="N41" s="37"/>
      <c r="O41" s="37"/>
      <c r="P41" s="37"/>
      <c r="Q41" s="38"/>
      <c r="R41" s="30">
        <f t="shared" si="1"/>
        <v>695468032</v>
      </c>
      <c r="S41" s="30">
        <f t="shared" si="4"/>
        <v>786432</v>
      </c>
    </row>
    <row r="42" spans="1:19">
      <c r="A42" s="59">
        <v>5</v>
      </c>
      <c r="B42" s="59">
        <v>1</v>
      </c>
      <c r="C42" s="32">
        <v>4</v>
      </c>
      <c r="D42" s="31">
        <v>1</v>
      </c>
      <c r="E42" s="32"/>
      <c r="F42" s="32"/>
      <c r="G42" s="32"/>
      <c r="H42" s="32"/>
      <c r="I42" s="32"/>
      <c r="J42" s="33"/>
      <c r="K42" s="32">
        <v>1</v>
      </c>
      <c r="L42" s="32"/>
      <c r="M42" s="32"/>
      <c r="N42" s="32"/>
      <c r="O42" s="32"/>
      <c r="P42" s="32"/>
      <c r="Q42" s="33"/>
      <c r="R42" s="30">
        <f t="shared" si="1"/>
        <v>696516608</v>
      </c>
      <c r="S42" s="30">
        <f t="shared" si="4"/>
        <v>262144</v>
      </c>
    </row>
    <row r="43" spans="1:19">
      <c r="A43" s="57">
        <v>5</v>
      </c>
      <c r="B43" s="57">
        <v>1</v>
      </c>
      <c r="C43" s="30">
        <v>4</v>
      </c>
      <c r="D43" s="34">
        <v>2</v>
      </c>
      <c r="J43" s="35"/>
      <c r="K43" s="30">
        <v>2</v>
      </c>
      <c r="Q43" s="35"/>
      <c r="R43" s="30">
        <f t="shared" si="1"/>
        <v>696778752</v>
      </c>
      <c r="S43" s="30">
        <f t="shared" si="4"/>
        <v>524288</v>
      </c>
    </row>
    <row r="44" spans="1:19">
      <c r="A44" s="57">
        <v>5</v>
      </c>
      <c r="B44" s="57">
        <v>1</v>
      </c>
      <c r="C44" s="30">
        <v>4</v>
      </c>
      <c r="D44" s="34">
        <v>3</v>
      </c>
      <c r="J44" s="35"/>
      <c r="K44" s="30">
        <v>3</v>
      </c>
      <c r="Q44" s="35"/>
      <c r="R44" s="30">
        <f t="shared" si="1"/>
        <v>697040896</v>
      </c>
      <c r="S44" s="30">
        <f t="shared" si="4"/>
        <v>786432</v>
      </c>
    </row>
    <row r="45" spans="1:19">
      <c r="A45" s="57">
        <v>5</v>
      </c>
      <c r="B45" s="57">
        <v>1</v>
      </c>
      <c r="C45" s="30">
        <v>4</v>
      </c>
      <c r="D45" s="34">
        <v>4</v>
      </c>
      <c r="J45" s="35"/>
      <c r="K45" s="30">
        <v>4</v>
      </c>
      <c r="Q45" s="35"/>
      <c r="R45" s="30">
        <f t="shared" si="1"/>
        <v>697303040</v>
      </c>
      <c r="S45" s="30">
        <f t="shared" si="4"/>
        <v>1048576</v>
      </c>
    </row>
    <row r="46" spans="1:19">
      <c r="A46" s="58">
        <v>5</v>
      </c>
      <c r="B46" s="58">
        <v>1</v>
      </c>
      <c r="C46" s="37">
        <v>4</v>
      </c>
      <c r="D46" s="36">
        <v>5</v>
      </c>
      <c r="E46" s="37"/>
      <c r="F46" s="37"/>
      <c r="G46" s="37"/>
      <c r="H46" s="37"/>
      <c r="I46" s="37"/>
      <c r="J46" s="38"/>
      <c r="K46" s="37">
        <v>4</v>
      </c>
      <c r="L46" s="37"/>
      <c r="M46" s="37"/>
      <c r="N46" s="37"/>
      <c r="O46" s="37"/>
      <c r="P46" s="37"/>
      <c r="Q46" s="38"/>
      <c r="R46" s="30">
        <f t="shared" si="1"/>
        <v>697565184</v>
      </c>
      <c r="S46" s="30">
        <f t="shared" si="4"/>
        <v>1048576</v>
      </c>
    </row>
    <row r="47" spans="1:19">
      <c r="A47" s="59">
        <v>5</v>
      </c>
      <c r="B47" s="59">
        <v>2</v>
      </c>
      <c r="C47" s="32">
        <v>2</v>
      </c>
      <c r="D47" s="31">
        <v>1</v>
      </c>
      <c r="E47" s="32">
        <v>2</v>
      </c>
      <c r="F47" s="32"/>
      <c r="G47" s="32"/>
      <c r="H47" s="32"/>
      <c r="I47" s="32"/>
      <c r="J47" s="33"/>
      <c r="K47" s="32">
        <v>1</v>
      </c>
      <c r="L47" s="32">
        <v>2</v>
      </c>
      <c r="M47" s="32"/>
      <c r="N47" s="32"/>
      <c r="O47" s="32"/>
      <c r="P47" s="32"/>
      <c r="Q47" s="33"/>
      <c r="R47" s="30">
        <f t="shared" si="1"/>
        <v>709165056</v>
      </c>
      <c r="S47" s="30">
        <f t="shared" si="4"/>
        <v>327680</v>
      </c>
    </row>
    <row r="48" spans="1:19">
      <c r="A48" s="57">
        <v>5</v>
      </c>
      <c r="B48" s="57">
        <v>2</v>
      </c>
      <c r="C48" s="30">
        <v>2</v>
      </c>
      <c r="D48" s="34">
        <v>1</v>
      </c>
      <c r="E48" s="30">
        <v>3</v>
      </c>
      <c r="J48" s="35"/>
      <c r="K48" s="30">
        <v>1</v>
      </c>
      <c r="L48" s="30">
        <v>2</v>
      </c>
      <c r="Q48" s="35"/>
      <c r="R48" s="30">
        <f t="shared" si="1"/>
        <v>709197824</v>
      </c>
      <c r="S48" s="30">
        <f t="shared" si="4"/>
        <v>327680</v>
      </c>
    </row>
    <row r="49" spans="1:19">
      <c r="A49" s="57">
        <v>5</v>
      </c>
      <c r="B49" s="57">
        <v>2</v>
      </c>
      <c r="C49" s="30">
        <v>2</v>
      </c>
      <c r="D49" s="34">
        <v>1</v>
      </c>
      <c r="E49" s="30">
        <v>4</v>
      </c>
      <c r="J49" s="35"/>
      <c r="K49" s="30">
        <v>1</v>
      </c>
      <c r="L49" s="30">
        <v>2</v>
      </c>
      <c r="Q49" s="35"/>
      <c r="R49" s="30">
        <f t="shared" si="1"/>
        <v>709230592</v>
      </c>
      <c r="S49" s="30">
        <f t="shared" si="4"/>
        <v>327680</v>
      </c>
    </row>
    <row r="50" spans="1:19">
      <c r="A50" s="57">
        <v>5</v>
      </c>
      <c r="B50" s="57">
        <v>2</v>
      </c>
      <c r="C50" s="30">
        <v>2</v>
      </c>
      <c r="D50" s="34">
        <v>1</v>
      </c>
      <c r="E50" s="30">
        <v>5</v>
      </c>
      <c r="J50" s="35"/>
      <c r="K50" s="30">
        <v>1</v>
      </c>
      <c r="L50" s="30">
        <v>2</v>
      </c>
      <c r="Q50" s="35"/>
      <c r="R50" s="30">
        <f t="shared" si="1"/>
        <v>709263360</v>
      </c>
      <c r="S50" s="30">
        <f t="shared" si="4"/>
        <v>327680</v>
      </c>
    </row>
    <row r="51" spans="1:19">
      <c r="A51" s="57">
        <v>5</v>
      </c>
      <c r="B51" s="57">
        <v>2</v>
      </c>
      <c r="C51" s="30">
        <v>2</v>
      </c>
      <c r="D51" s="34">
        <v>2</v>
      </c>
      <c r="E51" s="30">
        <v>3</v>
      </c>
      <c r="J51" s="35"/>
      <c r="K51" s="30">
        <v>1</v>
      </c>
      <c r="L51" s="30">
        <v>2</v>
      </c>
      <c r="Q51" s="35"/>
      <c r="R51" s="30">
        <f t="shared" si="1"/>
        <v>709459968</v>
      </c>
      <c r="S51" s="30">
        <f t="shared" si="4"/>
        <v>327680</v>
      </c>
    </row>
    <row r="52" spans="1:19">
      <c r="A52" s="57">
        <v>5</v>
      </c>
      <c r="B52" s="57">
        <v>2</v>
      </c>
      <c r="C52" s="30">
        <v>2</v>
      </c>
      <c r="D52" s="34">
        <v>2</v>
      </c>
      <c r="E52" s="30">
        <v>4</v>
      </c>
      <c r="J52" s="35"/>
      <c r="K52" s="30">
        <v>1</v>
      </c>
      <c r="L52" s="30">
        <v>2</v>
      </c>
      <c r="Q52" s="35"/>
      <c r="R52" s="30">
        <f t="shared" si="1"/>
        <v>709492736</v>
      </c>
      <c r="S52" s="30">
        <f t="shared" si="4"/>
        <v>327680</v>
      </c>
    </row>
    <row r="53" spans="1:19">
      <c r="A53" s="57">
        <v>5</v>
      </c>
      <c r="B53" s="57">
        <v>2</v>
      </c>
      <c r="C53" s="30">
        <v>2</v>
      </c>
      <c r="D53" s="34">
        <v>2</v>
      </c>
      <c r="E53" s="30">
        <v>5</v>
      </c>
      <c r="J53" s="35"/>
      <c r="K53" s="30">
        <v>1</v>
      </c>
      <c r="L53" s="30">
        <v>2</v>
      </c>
      <c r="Q53" s="35"/>
      <c r="R53" s="30">
        <f t="shared" si="1"/>
        <v>709525504</v>
      </c>
      <c r="S53" s="30">
        <f t="shared" si="4"/>
        <v>327680</v>
      </c>
    </row>
    <row r="54" spans="1:19">
      <c r="A54" s="57">
        <v>5</v>
      </c>
      <c r="B54" s="57">
        <v>2</v>
      </c>
      <c r="C54" s="30">
        <v>2</v>
      </c>
      <c r="D54" s="34">
        <v>3</v>
      </c>
      <c r="E54" s="30">
        <v>4</v>
      </c>
      <c r="J54" s="35"/>
      <c r="K54" s="30">
        <v>1</v>
      </c>
      <c r="L54" s="30">
        <v>2</v>
      </c>
      <c r="Q54" s="35"/>
      <c r="R54" s="30">
        <f t="shared" si="1"/>
        <v>709754880</v>
      </c>
      <c r="S54" s="30">
        <f t="shared" si="4"/>
        <v>327680</v>
      </c>
    </row>
    <row r="55" spans="1:19">
      <c r="A55" s="57">
        <v>5</v>
      </c>
      <c r="B55" s="57">
        <v>2</v>
      </c>
      <c r="C55" s="30">
        <v>2</v>
      </c>
      <c r="D55" s="34">
        <v>3</v>
      </c>
      <c r="E55" s="30">
        <v>5</v>
      </c>
      <c r="J55" s="35"/>
      <c r="K55" s="30">
        <v>1</v>
      </c>
      <c r="L55" s="30">
        <v>2</v>
      </c>
      <c r="Q55" s="35"/>
      <c r="R55" s="30">
        <f t="shared" si="1"/>
        <v>709787648</v>
      </c>
      <c r="S55" s="30">
        <f t="shared" si="4"/>
        <v>327680</v>
      </c>
    </row>
    <row r="56" spans="1:19">
      <c r="A56" s="58">
        <v>5</v>
      </c>
      <c r="B56" s="58">
        <v>2</v>
      </c>
      <c r="C56" s="37">
        <v>2</v>
      </c>
      <c r="D56" s="36">
        <v>4</v>
      </c>
      <c r="E56" s="37">
        <v>5</v>
      </c>
      <c r="F56" s="37"/>
      <c r="G56" s="37"/>
      <c r="H56" s="37"/>
      <c r="I56" s="37"/>
      <c r="J56" s="38"/>
      <c r="K56" s="37">
        <v>1</v>
      </c>
      <c r="L56" s="37">
        <v>2</v>
      </c>
      <c r="M56" s="37"/>
      <c r="N56" s="37"/>
      <c r="O56" s="37"/>
      <c r="P56" s="37"/>
      <c r="Q56" s="38"/>
      <c r="R56" s="30">
        <f t="shared" si="1"/>
        <v>710049792</v>
      </c>
      <c r="S56" s="30">
        <f t="shared" si="4"/>
        <v>327680</v>
      </c>
    </row>
    <row r="57" spans="1:19">
      <c r="A57" s="59">
        <v>5</v>
      </c>
      <c r="B57" s="59">
        <v>2</v>
      </c>
      <c r="C57" s="32">
        <v>3</v>
      </c>
      <c r="D57" s="31">
        <v>1</v>
      </c>
      <c r="E57" s="32">
        <v>2</v>
      </c>
      <c r="F57" s="32"/>
      <c r="G57" s="32"/>
      <c r="H57" s="32"/>
      <c r="I57" s="32"/>
      <c r="J57" s="33"/>
      <c r="K57" s="32">
        <v>1</v>
      </c>
      <c r="L57" s="32">
        <v>2</v>
      </c>
      <c r="M57" s="32"/>
      <c r="N57" s="32"/>
      <c r="O57" s="32"/>
      <c r="P57" s="32"/>
      <c r="Q57" s="33"/>
      <c r="R57" s="30">
        <f t="shared" si="1"/>
        <v>711262208</v>
      </c>
      <c r="S57" s="30">
        <f t="shared" si="4"/>
        <v>327680</v>
      </c>
    </row>
    <row r="58" spans="1:19">
      <c r="A58" s="57">
        <v>5</v>
      </c>
      <c r="B58" s="57">
        <v>2</v>
      </c>
      <c r="C58" s="30">
        <v>3</v>
      </c>
      <c r="D58" s="34">
        <v>1</v>
      </c>
      <c r="E58" s="30">
        <v>3</v>
      </c>
      <c r="J58" s="35"/>
      <c r="K58" s="30">
        <v>1</v>
      </c>
      <c r="L58" s="30">
        <v>3</v>
      </c>
      <c r="Q58" s="35"/>
      <c r="R58" s="30">
        <f t="shared" si="1"/>
        <v>711294976</v>
      </c>
      <c r="S58" s="30">
        <f t="shared" si="4"/>
        <v>360448</v>
      </c>
    </row>
    <row r="59" spans="1:19">
      <c r="A59" s="57">
        <v>5</v>
      </c>
      <c r="B59" s="57">
        <v>2</v>
      </c>
      <c r="C59" s="30">
        <v>3</v>
      </c>
      <c r="D59" s="34">
        <v>1</v>
      </c>
      <c r="E59" s="30">
        <v>4</v>
      </c>
      <c r="J59" s="35"/>
      <c r="K59" s="30">
        <v>1</v>
      </c>
      <c r="L59" s="30">
        <v>2</v>
      </c>
      <c r="Q59" s="35"/>
      <c r="R59" s="30">
        <f t="shared" si="1"/>
        <v>711327744</v>
      </c>
      <c r="S59" s="30">
        <f t="shared" si="4"/>
        <v>327680</v>
      </c>
    </row>
    <row r="60" spans="1:19">
      <c r="A60" s="57">
        <v>5</v>
      </c>
      <c r="B60" s="57">
        <v>2</v>
      </c>
      <c r="C60" s="30">
        <v>3</v>
      </c>
      <c r="D60" s="34">
        <v>1</v>
      </c>
      <c r="E60" s="30">
        <v>5</v>
      </c>
      <c r="J60" s="35"/>
      <c r="K60" s="30">
        <v>1</v>
      </c>
      <c r="L60" s="30">
        <v>3</v>
      </c>
      <c r="Q60" s="35"/>
      <c r="R60" s="30">
        <f t="shared" si="1"/>
        <v>711360512</v>
      </c>
      <c r="S60" s="30">
        <f t="shared" si="4"/>
        <v>360448</v>
      </c>
    </row>
    <row r="61" spans="1:19">
      <c r="A61" s="57">
        <v>5</v>
      </c>
      <c r="B61" s="57">
        <v>2</v>
      </c>
      <c r="C61" s="30">
        <v>3</v>
      </c>
      <c r="D61" s="34">
        <v>2</v>
      </c>
      <c r="E61" s="30">
        <v>3</v>
      </c>
      <c r="J61" s="35"/>
      <c r="K61" s="30">
        <v>2</v>
      </c>
      <c r="L61" s="30">
        <v>3</v>
      </c>
      <c r="Q61" s="35"/>
      <c r="R61" s="30">
        <f t="shared" si="1"/>
        <v>711557120</v>
      </c>
      <c r="S61" s="30">
        <f t="shared" si="4"/>
        <v>622592</v>
      </c>
    </row>
    <row r="62" spans="1:19">
      <c r="A62" s="57">
        <v>5</v>
      </c>
      <c r="B62" s="57">
        <v>2</v>
      </c>
      <c r="C62" s="30">
        <v>3</v>
      </c>
      <c r="D62" s="34">
        <v>2</v>
      </c>
      <c r="E62" s="30">
        <v>4</v>
      </c>
      <c r="J62" s="35"/>
      <c r="K62" s="30">
        <v>2</v>
      </c>
      <c r="L62" s="30">
        <v>3</v>
      </c>
      <c r="Q62" s="35"/>
      <c r="R62" s="30">
        <f t="shared" si="1"/>
        <v>711589888</v>
      </c>
      <c r="S62" s="30">
        <f t="shared" si="4"/>
        <v>622592</v>
      </c>
    </row>
    <row r="63" spans="1:19">
      <c r="A63" s="57">
        <v>5</v>
      </c>
      <c r="B63" s="57">
        <v>2</v>
      </c>
      <c r="C63" s="30">
        <v>3</v>
      </c>
      <c r="D63" s="34">
        <v>2</v>
      </c>
      <c r="E63" s="30">
        <v>5</v>
      </c>
      <c r="J63" s="35"/>
      <c r="K63" s="30">
        <v>1</v>
      </c>
      <c r="L63" s="30">
        <v>3</v>
      </c>
      <c r="Q63" s="35"/>
      <c r="R63" s="30">
        <f t="shared" si="1"/>
        <v>711622656</v>
      </c>
      <c r="S63" s="30">
        <f t="shared" si="4"/>
        <v>360448</v>
      </c>
    </row>
    <row r="64" spans="1:19">
      <c r="A64" s="57">
        <v>5</v>
      </c>
      <c r="B64" s="57">
        <v>2</v>
      </c>
      <c r="C64" s="30">
        <v>3</v>
      </c>
      <c r="D64" s="34">
        <v>3</v>
      </c>
      <c r="E64" s="30">
        <v>4</v>
      </c>
      <c r="J64" s="35"/>
      <c r="K64" s="30">
        <v>2</v>
      </c>
      <c r="L64" s="30">
        <v>3</v>
      </c>
      <c r="Q64" s="35"/>
      <c r="R64" s="30">
        <f t="shared" si="1"/>
        <v>711852032</v>
      </c>
      <c r="S64" s="30">
        <f t="shared" si="4"/>
        <v>622592</v>
      </c>
    </row>
    <row r="65" spans="1:19">
      <c r="A65" s="57">
        <v>5</v>
      </c>
      <c r="B65" s="57">
        <v>2</v>
      </c>
      <c r="C65" s="30">
        <v>3</v>
      </c>
      <c r="D65" s="34">
        <v>3</v>
      </c>
      <c r="E65" s="30">
        <v>5</v>
      </c>
      <c r="J65" s="35"/>
      <c r="K65" s="30">
        <v>1</v>
      </c>
      <c r="L65" s="30">
        <v>3</v>
      </c>
      <c r="Q65" s="35"/>
      <c r="R65" s="30">
        <f t="shared" si="1"/>
        <v>711884800</v>
      </c>
      <c r="S65" s="30">
        <f t="shared" si="4"/>
        <v>360448</v>
      </c>
    </row>
    <row r="66" spans="1:19">
      <c r="A66" s="58">
        <v>5</v>
      </c>
      <c r="B66" s="58">
        <v>2</v>
      </c>
      <c r="C66" s="37">
        <v>3</v>
      </c>
      <c r="D66" s="36">
        <v>4</v>
      </c>
      <c r="E66" s="37">
        <v>5</v>
      </c>
      <c r="F66" s="37"/>
      <c r="G66" s="37"/>
      <c r="H66" s="37"/>
      <c r="I66" s="37"/>
      <c r="J66" s="38"/>
      <c r="K66" s="37">
        <v>2</v>
      </c>
      <c r="L66" s="37">
        <v>3</v>
      </c>
      <c r="M66" s="37"/>
      <c r="N66" s="37"/>
      <c r="O66" s="37"/>
      <c r="P66" s="37"/>
      <c r="Q66" s="38"/>
      <c r="R66" s="30">
        <f t="shared" si="1"/>
        <v>712146944</v>
      </c>
      <c r="S66" s="30">
        <f t="shared" si="4"/>
        <v>622592</v>
      </c>
    </row>
    <row r="67" spans="1:19">
      <c r="A67" s="59">
        <v>5</v>
      </c>
      <c r="B67" s="59">
        <v>2</v>
      </c>
      <c r="C67" s="32">
        <v>4</v>
      </c>
      <c r="D67" s="31">
        <v>1</v>
      </c>
      <c r="E67" s="32">
        <v>2</v>
      </c>
      <c r="F67" s="32"/>
      <c r="G67" s="32"/>
      <c r="H67" s="32"/>
      <c r="I67" s="32"/>
      <c r="J67" s="33"/>
      <c r="K67" s="32">
        <v>1</v>
      </c>
      <c r="L67" s="32">
        <v>2</v>
      </c>
      <c r="M67" s="32"/>
      <c r="N67" s="32"/>
      <c r="O67" s="32"/>
      <c r="P67" s="32"/>
      <c r="Q67" s="33"/>
      <c r="R67" s="30">
        <f t="shared" ref="R67:R130" si="33">J67*8^0+I67*8^1+H67*8^2+G67*8^3+F67*8^4+E67*8^5+D67*8^6+C67*8^7+B67*8^8+A67*8^9</f>
        <v>713359360</v>
      </c>
      <c r="S67" s="30">
        <f t="shared" si="4"/>
        <v>327680</v>
      </c>
    </row>
    <row r="68" spans="1:19">
      <c r="A68" s="57">
        <v>5</v>
      </c>
      <c r="B68" s="57">
        <v>2</v>
      </c>
      <c r="C68" s="30">
        <v>4</v>
      </c>
      <c r="D68" s="34">
        <v>1</v>
      </c>
      <c r="E68" s="30">
        <v>3</v>
      </c>
      <c r="J68" s="35"/>
      <c r="K68" s="30">
        <v>1</v>
      </c>
      <c r="L68" s="30">
        <v>3</v>
      </c>
      <c r="Q68" s="35"/>
      <c r="R68" s="30">
        <f t="shared" si="33"/>
        <v>713392128</v>
      </c>
      <c r="S68" s="30">
        <f t="shared" si="4"/>
        <v>360448</v>
      </c>
    </row>
    <row r="69" spans="1:19">
      <c r="A69" s="57">
        <v>5</v>
      </c>
      <c r="B69" s="57">
        <v>2</v>
      </c>
      <c r="C69" s="30">
        <v>4</v>
      </c>
      <c r="D69" s="34">
        <v>1</v>
      </c>
      <c r="E69" s="30">
        <v>4</v>
      </c>
      <c r="J69" s="35"/>
      <c r="K69" s="30">
        <v>1</v>
      </c>
      <c r="L69" s="30">
        <v>4</v>
      </c>
      <c r="Q69" s="35"/>
      <c r="R69" s="30">
        <f t="shared" si="33"/>
        <v>713424896</v>
      </c>
      <c r="S69" s="30">
        <f t="shared" ref="S69:S132" si="34">Q69*8^0+P69*8^1+O69*8^2+N69*8^3+M69*8^4+L69*8^5+K69*8^6</f>
        <v>393216</v>
      </c>
    </row>
    <row r="70" spans="1:19">
      <c r="A70" s="57">
        <v>5</v>
      </c>
      <c r="B70" s="57">
        <v>2</v>
      </c>
      <c r="C70" s="30">
        <v>4</v>
      </c>
      <c r="D70" s="34">
        <v>1</v>
      </c>
      <c r="E70" s="30">
        <v>5</v>
      </c>
      <c r="J70" s="35"/>
      <c r="K70" s="30">
        <v>1</v>
      </c>
      <c r="L70" s="30">
        <v>4</v>
      </c>
      <c r="Q70" s="35"/>
      <c r="R70" s="30">
        <f t="shared" si="33"/>
        <v>713457664</v>
      </c>
      <c r="S70" s="30">
        <f t="shared" si="34"/>
        <v>393216</v>
      </c>
    </row>
    <row r="71" spans="1:19">
      <c r="A71" s="57">
        <v>5</v>
      </c>
      <c r="B71" s="57">
        <v>2</v>
      </c>
      <c r="C71" s="30">
        <v>4</v>
      </c>
      <c r="D71" s="34">
        <v>2</v>
      </c>
      <c r="E71" s="30">
        <v>3</v>
      </c>
      <c r="J71" s="35"/>
      <c r="K71" s="30">
        <v>2</v>
      </c>
      <c r="L71" s="30">
        <v>3</v>
      </c>
      <c r="Q71" s="35"/>
      <c r="R71" s="30">
        <f t="shared" si="33"/>
        <v>713654272</v>
      </c>
      <c r="S71" s="30">
        <f t="shared" si="34"/>
        <v>622592</v>
      </c>
    </row>
    <row r="72" spans="1:19">
      <c r="A72" s="57">
        <v>5</v>
      </c>
      <c r="B72" s="57">
        <v>2</v>
      </c>
      <c r="C72" s="30">
        <v>4</v>
      </c>
      <c r="D72" s="34">
        <v>2</v>
      </c>
      <c r="E72" s="30">
        <v>4</v>
      </c>
      <c r="J72" s="35"/>
      <c r="K72" s="30">
        <v>2</v>
      </c>
      <c r="L72" s="30">
        <v>4</v>
      </c>
      <c r="Q72" s="35"/>
      <c r="R72" s="30">
        <f t="shared" si="33"/>
        <v>713687040</v>
      </c>
      <c r="S72" s="30">
        <f t="shared" si="34"/>
        <v>655360</v>
      </c>
    </row>
    <row r="73" spans="1:19">
      <c r="A73" s="57">
        <v>5</v>
      </c>
      <c r="B73" s="57">
        <v>2</v>
      </c>
      <c r="C73" s="30">
        <v>4</v>
      </c>
      <c r="D73" s="34">
        <v>2</v>
      </c>
      <c r="E73" s="30">
        <v>5</v>
      </c>
      <c r="J73" s="35"/>
      <c r="K73" s="30">
        <v>1</v>
      </c>
      <c r="L73" s="30">
        <v>4</v>
      </c>
      <c r="Q73" s="35"/>
      <c r="R73" s="30">
        <f t="shared" si="33"/>
        <v>713719808</v>
      </c>
      <c r="S73" s="30">
        <f t="shared" si="34"/>
        <v>393216</v>
      </c>
    </row>
    <row r="74" spans="1:19">
      <c r="A74" s="57">
        <v>5</v>
      </c>
      <c r="B74" s="57">
        <v>2</v>
      </c>
      <c r="C74" s="30">
        <v>4</v>
      </c>
      <c r="D74" s="34">
        <v>3</v>
      </c>
      <c r="E74" s="30">
        <v>4</v>
      </c>
      <c r="J74" s="35"/>
      <c r="K74" s="30">
        <v>2</v>
      </c>
      <c r="L74" s="30">
        <v>3</v>
      </c>
      <c r="Q74" s="35"/>
      <c r="R74" s="30">
        <f t="shared" si="33"/>
        <v>713949184</v>
      </c>
      <c r="S74" s="30">
        <f t="shared" si="34"/>
        <v>622592</v>
      </c>
    </row>
    <row r="75" spans="1:19">
      <c r="A75" s="57">
        <v>5</v>
      </c>
      <c r="B75" s="57">
        <v>2</v>
      </c>
      <c r="C75" s="30">
        <v>4</v>
      </c>
      <c r="D75" s="34">
        <v>3</v>
      </c>
      <c r="E75" s="30">
        <v>5</v>
      </c>
      <c r="J75" s="35"/>
      <c r="K75" s="30">
        <v>2</v>
      </c>
      <c r="L75" s="30">
        <v>4</v>
      </c>
      <c r="Q75" s="35"/>
      <c r="R75" s="30">
        <f t="shared" si="33"/>
        <v>713981952</v>
      </c>
      <c r="S75" s="30">
        <f t="shared" si="34"/>
        <v>655360</v>
      </c>
    </row>
    <row r="76" spans="1:19">
      <c r="A76" s="58">
        <v>5</v>
      </c>
      <c r="B76" s="58">
        <v>2</v>
      </c>
      <c r="C76" s="37">
        <v>4</v>
      </c>
      <c r="D76" s="36">
        <v>4</v>
      </c>
      <c r="E76" s="37">
        <v>5</v>
      </c>
      <c r="F76" s="37"/>
      <c r="G76" s="37"/>
      <c r="H76" s="37"/>
      <c r="I76" s="37"/>
      <c r="J76" s="38"/>
      <c r="K76" s="37">
        <v>3</v>
      </c>
      <c r="L76" s="37">
        <v>4</v>
      </c>
      <c r="M76" s="37"/>
      <c r="N76" s="37"/>
      <c r="O76" s="37"/>
      <c r="P76" s="37"/>
      <c r="Q76" s="38"/>
      <c r="R76" s="30">
        <f t="shared" si="33"/>
        <v>714244096</v>
      </c>
      <c r="S76" s="30">
        <f t="shared" si="34"/>
        <v>917504</v>
      </c>
    </row>
    <row r="77" spans="1:19">
      <c r="A77" s="59">
        <v>5</v>
      </c>
      <c r="B77" s="59">
        <v>3</v>
      </c>
      <c r="C77" s="32">
        <v>3</v>
      </c>
      <c r="D77" s="31">
        <v>1</v>
      </c>
      <c r="E77" s="32">
        <v>2</v>
      </c>
      <c r="F77" s="32">
        <v>3</v>
      </c>
      <c r="G77" s="32"/>
      <c r="H77" s="32"/>
      <c r="I77" s="32"/>
      <c r="J77" s="33"/>
      <c r="K77" s="32">
        <v>1</v>
      </c>
      <c r="L77" s="32">
        <v>2</v>
      </c>
      <c r="M77" s="32">
        <v>3</v>
      </c>
      <c r="N77" s="32"/>
      <c r="O77" s="32"/>
      <c r="P77" s="32"/>
      <c r="Q77" s="33"/>
      <c r="R77" s="30">
        <f t="shared" si="33"/>
        <v>728051712</v>
      </c>
      <c r="S77" s="30">
        <f t="shared" si="34"/>
        <v>339968</v>
      </c>
    </row>
    <row r="78" spans="1:19">
      <c r="A78" s="57">
        <v>5</v>
      </c>
      <c r="B78" s="57">
        <v>3</v>
      </c>
      <c r="C78" s="30">
        <v>3</v>
      </c>
      <c r="D78" s="34">
        <v>1</v>
      </c>
      <c r="E78" s="30">
        <v>2</v>
      </c>
      <c r="F78" s="30">
        <v>4</v>
      </c>
      <c r="J78" s="35"/>
      <c r="K78" s="30">
        <v>1</v>
      </c>
      <c r="L78" s="30">
        <v>2</v>
      </c>
      <c r="M78" s="30">
        <v>3</v>
      </c>
      <c r="Q78" s="35"/>
      <c r="R78" s="30">
        <f t="shared" si="33"/>
        <v>728055808</v>
      </c>
      <c r="S78" s="30">
        <f t="shared" si="34"/>
        <v>339968</v>
      </c>
    </row>
    <row r="79" spans="1:19">
      <c r="A79" s="57">
        <v>5</v>
      </c>
      <c r="B79" s="57">
        <v>3</v>
      </c>
      <c r="C79" s="30">
        <v>3</v>
      </c>
      <c r="D79" s="34">
        <v>1</v>
      </c>
      <c r="E79" s="30">
        <v>2</v>
      </c>
      <c r="F79" s="30">
        <v>5</v>
      </c>
      <c r="J79" s="35"/>
      <c r="K79" s="30">
        <v>1</v>
      </c>
      <c r="L79" s="30">
        <v>2</v>
      </c>
      <c r="M79" s="30">
        <v>3</v>
      </c>
      <c r="Q79" s="35"/>
      <c r="R79" s="30">
        <f t="shared" si="33"/>
        <v>728059904</v>
      </c>
      <c r="S79" s="30">
        <f t="shared" si="34"/>
        <v>339968</v>
      </c>
    </row>
    <row r="80" spans="1:19">
      <c r="A80" s="57">
        <v>5</v>
      </c>
      <c r="B80" s="57">
        <v>3</v>
      </c>
      <c r="C80" s="30">
        <v>3</v>
      </c>
      <c r="D80" s="34">
        <v>1</v>
      </c>
      <c r="E80" s="30">
        <v>3</v>
      </c>
      <c r="F80" s="30">
        <v>4</v>
      </c>
      <c r="J80" s="35"/>
      <c r="K80" s="30">
        <v>1</v>
      </c>
      <c r="L80" s="30">
        <v>2</v>
      </c>
      <c r="M80" s="30">
        <v>3</v>
      </c>
      <c r="Q80" s="35"/>
      <c r="R80" s="30">
        <f t="shared" si="33"/>
        <v>728088576</v>
      </c>
      <c r="S80" s="30">
        <f t="shared" si="34"/>
        <v>339968</v>
      </c>
    </row>
    <row r="81" spans="1:19">
      <c r="A81" s="57">
        <v>5</v>
      </c>
      <c r="B81" s="57">
        <v>3</v>
      </c>
      <c r="C81" s="30">
        <v>3</v>
      </c>
      <c r="D81" s="34">
        <v>1</v>
      </c>
      <c r="E81" s="30">
        <v>3</v>
      </c>
      <c r="F81" s="30">
        <v>5</v>
      </c>
      <c r="J81" s="35"/>
      <c r="K81" s="30">
        <v>1</v>
      </c>
      <c r="L81" s="30">
        <v>2</v>
      </c>
      <c r="M81" s="30">
        <v>3</v>
      </c>
      <c r="Q81" s="35"/>
      <c r="R81" s="30">
        <f t="shared" si="33"/>
        <v>728092672</v>
      </c>
      <c r="S81" s="30">
        <f t="shared" si="34"/>
        <v>339968</v>
      </c>
    </row>
    <row r="82" spans="1:19">
      <c r="A82" s="57">
        <v>5</v>
      </c>
      <c r="B82" s="57">
        <v>3</v>
      </c>
      <c r="C82" s="30">
        <v>3</v>
      </c>
      <c r="D82" s="34">
        <v>1</v>
      </c>
      <c r="E82" s="30">
        <v>4</v>
      </c>
      <c r="F82" s="30">
        <v>5</v>
      </c>
      <c r="J82" s="35"/>
      <c r="K82" s="30">
        <v>1</v>
      </c>
      <c r="L82" s="30">
        <v>2</v>
      </c>
      <c r="M82" s="30">
        <v>3</v>
      </c>
      <c r="Q82" s="35"/>
      <c r="R82" s="30">
        <f t="shared" si="33"/>
        <v>728125440</v>
      </c>
      <c r="S82" s="30">
        <f t="shared" si="34"/>
        <v>339968</v>
      </c>
    </row>
    <row r="83" spans="1:19">
      <c r="A83" s="57">
        <v>5</v>
      </c>
      <c r="B83" s="57">
        <v>3</v>
      </c>
      <c r="C83" s="30">
        <v>3</v>
      </c>
      <c r="D83" s="34">
        <v>2</v>
      </c>
      <c r="E83" s="30">
        <v>3</v>
      </c>
      <c r="F83" s="30">
        <v>4</v>
      </c>
      <c r="J83" s="35"/>
      <c r="K83" s="30">
        <v>1</v>
      </c>
      <c r="L83" s="30">
        <v>2</v>
      </c>
      <c r="M83" s="30">
        <v>3</v>
      </c>
      <c r="Q83" s="35"/>
      <c r="R83" s="30">
        <f t="shared" si="33"/>
        <v>728350720</v>
      </c>
      <c r="S83" s="30">
        <f t="shared" si="34"/>
        <v>339968</v>
      </c>
    </row>
    <row r="84" spans="1:19">
      <c r="A84" s="57">
        <v>5</v>
      </c>
      <c r="B84" s="57">
        <v>3</v>
      </c>
      <c r="C84" s="30">
        <v>3</v>
      </c>
      <c r="D84" s="34">
        <v>2</v>
      </c>
      <c r="E84" s="30">
        <v>3</v>
      </c>
      <c r="F84" s="30">
        <v>5</v>
      </c>
      <c r="J84" s="35"/>
      <c r="K84" s="30">
        <v>1</v>
      </c>
      <c r="L84" s="30">
        <v>2</v>
      </c>
      <c r="M84" s="30">
        <v>3</v>
      </c>
      <c r="Q84" s="35"/>
      <c r="R84" s="30">
        <f t="shared" si="33"/>
        <v>728354816</v>
      </c>
      <c r="S84" s="30">
        <f t="shared" si="34"/>
        <v>339968</v>
      </c>
    </row>
    <row r="85" spans="1:19">
      <c r="A85" s="57">
        <v>5</v>
      </c>
      <c r="B85" s="57">
        <v>3</v>
      </c>
      <c r="C85" s="30">
        <v>3</v>
      </c>
      <c r="D85" s="34">
        <v>2</v>
      </c>
      <c r="E85" s="30">
        <v>4</v>
      </c>
      <c r="F85" s="30">
        <v>5</v>
      </c>
      <c r="J85" s="35"/>
      <c r="K85" s="30">
        <v>1</v>
      </c>
      <c r="L85" s="30">
        <v>2</v>
      </c>
      <c r="M85" s="30">
        <v>3</v>
      </c>
      <c r="Q85" s="35"/>
      <c r="R85" s="30">
        <f t="shared" si="33"/>
        <v>728387584</v>
      </c>
      <c r="S85" s="30">
        <f t="shared" si="34"/>
        <v>339968</v>
      </c>
    </row>
    <row r="86" spans="1:19">
      <c r="A86" s="58">
        <v>5</v>
      </c>
      <c r="B86" s="58">
        <v>3</v>
      </c>
      <c r="C86" s="37">
        <v>3</v>
      </c>
      <c r="D86" s="36">
        <v>3</v>
      </c>
      <c r="E86" s="37">
        <v>4</v>
      </c>
      <c r="F86" s="37">
        <v>5</v>
      </c>
      <c r="G86" s="37"/>
      <c r="H86" s="37"/>
      <c r="I86" s="37"/>
      <c r="J86" s="38"/>
      <c r="K86" s="37">
        <v>1</v>
      </c>
      <c r="L86" s="37">
        <v>2</v>
      </c>
      <c r="M86" s="37">
        <v>3</v>
      </c>
      <c r="N86" s="37"/>
      <c r="O86" s="37"/>
      <c r="P86" s="37"/>
      <c r="Q86" s="38"/>
      <c r="R86" s="30">
        <f t="shared" si="33"/>
        <v>728649728</v>
      </c>
      <c r="S86" s="30">
        <f t="shared" si="34"/>
        <v>339968</v>
      </c>
    </row>
    <row r="87" spans="1:19">
      <c r="A87" s="59">
        <v>5</v>
      </c>
      <c r="B87" s="59">
        <v>3</v>
      </c>
      <c r="C87" s="32">
        <v>4</v>
      </c>
      <c r="D87" s="31">
        <v>1</v>
      </c>
      <c r="E87" s="32">
        <v>2</v>
      </c>
      <c r="F87" s="32">
        <v>3</v>
      </c>
      <c r="G87" s="32"/>
      <c r="H87" s="32"/>
      <c r="I87" s="32"/>
      <c r="J87" s="33"/>
      <c r="K87" s="32">
        <v>1</v>
      </c>
      <c r="L87" s="32">
        <v>2</v>
      </c>
      <c r="M87" s="32">
        <v>3</v>
      </c>
      <c r="N87" s="32"/>
      <c r="O87" s="32"/>
      <c r="P87" s="32"/>
      <c r="Q87" s="33"/>
      <c r="R87" s="30">
        <f t="shared" si="33"/>
        <v>730148864</v>
      </c>
      <c r="S87" s="30">
        <f t="shared" si="34"/>
        <v>339968</v>
      </c>
    </row>
    <row r="88" spans="1:19">
      <c r="A88" s="57">
        <v>5</v>
      </c>
      <c r="B88" s="57">
        <v>3</v>
      </c>
      <c r="C88" s="30">
        <v>4</v>
      </c>
      <c r="D88" s="34">
        <v>1</v>
      </c>
      <c r="E88" s="30">
        <v>2</v>
      </c>
      <c r="F88" s="30">
        <v>4</v>
      </c>
      <c r="J88" s="35"/>
      <c r="K88" s="30">
        <v>1</v>
      </c>
      <c r="L88" s="30">
        <v>2</v>
      </c>
      <c r="M88" s="30">
        <v>4</v>
      </c>
      <c r="Q88" s="35"/>
      <c r="R88" s="30">
        <f t="shared" si="33"/>
        <v>730152960</v>
      </c>
      <c r="S88" s="30">
        <f t="shared" si="34"/>
        <v>344064</v>
      </c>
    </row>
    <row r="89" spans="1:19">
      <c r="A89" s="57">
        <v>5</v>
      </c>
      <c r="B89" s="57">
        <v>3</v>
      </c>
      <c r="C89" s="30">
        <v>4</v>
      </c>
      <c r="D89" s="34">
        <v>1</v>
      </c>
      <c r="E89" s="30">
        <v>2</v>
      </c>
      <c r="F89" s="30">
        <v>5</v>
      </c>
      <c r="J89" s="35"/>
      <c r="K89" s="30">
        <v>1</v>
      </c>
      <c r="L89" s="30">
        <v>2</v>
      </c>
      <c r="M89" s="30">
        <v>4</v>
      </c>
      <c r="Q89" s="35"/>
      <c r="R89" s="30">
        <f t="shared" si="33"/>
        <v>730157056</v>
      </c>
      <c r="S89" s="30">
        <f t="shared" si="34"/>
        <v>344064</v>
      </c>
    </row>
    <row r="90" spans="1:19">
      <c r="A90" s="57">
        <v>5</v>
      </c>
      <c r="B90" s="57">
        <v>3</v>
      </c>
      <c r="C90" s="30">
        <v>4</v>
      </c>
      <c r="D90" s="34">
        <v>1</v>
      </c>
      <c r="E90" s="30">
        <v>3</v>
      </c>
      <c r="F90" s="30">
        <v>4</v>
      </c>
      <c r="J90" s="35"/>
      <c r="K90" s="30">
        <v>1</v>
      </c>
      <c r="L90" s="30">
        <v>3</v>
      </c>
      <c r="M90" s="30">
        <v>4</v>
      </c>
      <c r="Q90" s="35"/>
      <c r="R90" s="30">
        <f t="shared" si="33"/>
        <v>730185728</v>
      </c>
      <c r="S90" s="30">
        <f t="shared" si="34"/>
        <v>376832</v>
      </c>
    </row>
    <row r="91" spans="1:19">
      <c r="A91" s="57">
        <v>5</v>
      </c>
      <c r="B91" s="57">
        <v>3</v>
      </c>
      <c r="C91" s="30">
        <v>4</v>
      </c>
      <c r="D91" s="34">
        <v>1</v>
      </c>
      <c r="E91" s="30">
        <v>3</v>
      </c>
      <c r="F91" s="30">
        <v>5</v>
      </c>
      <c r="J91" s="35"/>
      <c r="K91" s="30">
        <v>1</v>
      </c>
      <c r="L91" s="30">
        <v>3</v>
      </c>
      <c r="M91" s="30">
        <v>4</v>
      </c>
      <c r="Q91" s="35"/>
      <c r="R91" s="30">
        <f t="shared" si="33"/>
        <v>730189824</v>
      </c>
      <c r="S91" s="30">
        <f t="shared" si="34"/>
        <v>376832</v>
      </c>
    </row>
    <row r="92" spans="1:19">
      <c r="A92" s="57">
        <v>5</v>
      </c>
      <c r="B92" s="57">
        <v>3</v>
      </c>
      <c r="C92" s="30">
        <v>4</v>
      </c>
      <c r="D92" s="34">
        <v>1</v>
      </c>
      <c r="E92" s="30">
        <v>4</v>
      </c>
      <c r="F92" s="30">
        <v>5</v>
      </c>
      <c r="J92" s="35"/>
      <c r="K92" s="30">
        <v>1</v>
      </c>
      <c r="L92" s="30">
        <v>3</v>
      </c>
      <c r="M92" s="30">
        <v>4</v>
      </c>
      <c r="Q92" s="35"/>
      <c r="R92" s="30">
        <f t="shared" si="33"/>
        <v>730222592</v>
      </c>
      <c r="S92" s="30">
        <f t="shared" si="34"/>
        <v>376832</v>
      </c>
    </row>
    <row r="93" spans="1:19">
      <c r="A93" s="57">
        <v>5</v>
      </c>
      <c r="B93" s="57">
        <v>3</v>
      </c>
      <c r="C93" s="30">
        <v>4</v>
      </c>
      <c r="D93" s="34">
        <v>2</v>
      </c>
      <c r="E93" s="30">
        <v>3</v>
      </c>
      <c r="F93" s="30">
        <v>4</v>
      </c>
      <c r="J93" s="35"/>
      <c r="K93" s="30">
        <v>2</v>
      </c>
      <c r="L93" s="30">
        <v>3</v>
      </c>
      <c r="M93" s="30">
        <v>4</v>
      </c>
      <c r="Q93" s="35"/>
      <c r="R93" s="30">
        <f t="shared" si="33"/>
        <v>730447872</v>
      </c>
      <c r="S93" s="30">
        <f t="shared" si="34"/>
        <v>638976</v>
      </c>
    </row>
    <row r="94" spans="1:19">
      <c r="A94" s="57">
        <v>5</v>
      </c>
      <c r="B94" s="57">
        <v>3</v>
      </c>
      <c r="C94" s="30">
        <v>4</v>
      </c>
      <c r="D94" s="34">
        <v>2</v>
      </c>
      <c r="E94" s="30">
        <v>3</v>
      </c>
      <c r="F94" s="30">
        <v>5</v>
      </c>
      <c r="J94" s="35"/>
      <c r="K94" s="30">
        <v>2</v>
      </c>
      <c r="L94" s="30">
        <v>3</v>
      </c>
      <c r="M94" s="30">
        <v>4</v>
      </c>
      <c r="Q94" s="35"/>
      <c r="R94" s="30">
        <f t="shared" si="33"/>
        <v>730451968</v>
      </c>
      <c r="S94" s="30">
        <f t="shared" si="34"/>
        <v>638976</v>
      </c>
    </row>
    <row r="95" spans="1:19">
      <c r="A95" s="57">
        <v>5</v>
      </c>
      <c r="B95" s="57">
        <v>3</v>
      </c>
      <c r="C95" s="30">
        <v>4</v>
      </c>
      <c r="D95" s="34">
        <v>2</v>
      </c>
      <c r="E95" s="30">
        <v>4</v>
      </c>
      <c r="F95" s="30">
        <v>5</v>
      </c>
      <c r="J95" s="35"/>
      <c r="K95" s="30">
        <v>2</v>
      </c>
      <c r="L95" s="30">
        <v>3</v>
      </c>
      <c r="M95" s="30">
        <v>4</v>
      </c>
      <c r="Q95" s="35"/>
      <c r="R95" s="30">
        <f t="shared" si="33"/>
        <v>730484736</v>
      </c>
      <c r="S95" s="30">
        <f t="shared" si="34"/>
        <v>638976</v>
      </c>
    </row>
    <row r="96" spans="1:19">
      <c r="A96" s="58">
        <v>5</v>
      </c>
      <c r="B96" s="58">
        <v>3</v>
      </c>
      <c r="C96" s="37">
        <v>4</v>
      </c>
      <c r="D96" s="36">
        <v>3</v>
      </c>
      <c r="E96" s="37">
        <v>4</v>
      </c>
      <c r="F96" s="37">
        <v>5</v>
      </c>
      <c r="G96" s="37"/>
      <c r="H96" s="37"/>
      <c r="I96" s="37"/>
      <c r="J96" s="38"/>
      <c r="K96" s="37">
        <v>2</v>
      </c>
      <c r="L96" s="37">
        <v>3</v>
      </c>
      <c r="M96" s="37">
        <v>4</v>
      </c>
      <c r="N96" s="37"/>
      <c r="O96" s="37"/>
      <c r="P96" s="37"/>
      <c r="Q96" s="38"/>
      <c r="R96" s="30">
        <f t="shared" si="33"/>
        <v>730746880</v>
      </c>
      <c r="S96" s="30">
        <f t="shared" si="34"/>
        <v>638976</v>
      </c>
    </row>
    <row r="97" spans="1:19">
      <c r="A97" s="59">
        <v>5</v>
      </c>
      <c r="B97" s="59">
        <v>4</v>
      </c>
      <c r="C97" s="32">
        <v>4</v>
      </c>
      <c r="D97" s="31">
        <v>1</v>
      </c>
      <c r="E97" s="32">
        <v>2</v>
      </c>
      <c r="F97" s="32">
        <v>3</v>
      </c>
      <c r="G97" s="32">
        <v>4</v>
      </c>
      <c r="H97" s="32"/>
      <c r="I97" s="32"/>
      <c r="J97" s="33"/>
      <c r="K97" s="32">
        <v>1</v>
      </c>
      <c r="L97" s="32">
        <v>2</v>
      </c>
      <c r="M97" s="32">
        <v>3</v>
      </c>
      <c r="N97" s="32">
        <v>4</v>
      </c>
      <c r="O97" s="32"/>
      <c r="P97" s="32"/>
      <c r="Q97" s="33"/>
      <c r="R97" s="30">
        <f t="shared" si="33"/>
        <v>746928128</v>
      </c>
      <c r="S97" s="30">
        <f t="shared" si="34"/>
        <v>342016</v>
      </c>
    </row>
    <row r="98" spans="1:19">
      <c r="A98" s="57">
        <v>5</v>
      </c>
      <c r="B98" s="57">
        <v>4</v>
      </c>
      <c r="C98" s="30">
        <v>4</v>
      </c>
      <c r="D98" s="34">
        <v>1</v>
      </c>
      <c r="E98" s="30">
        <v>2</v>
      </c>
      <c r="F98" s="30">
        <v>3</v>
      </c>
      <c r="G98" s="30">
        <v>5</v>
      </c>
      <c r="J98" s="35"/>
      <c r="K98" s="30">
        <v>1</v>
      </c>
      <c r="L98" s="30">
        <v>2</v>
      </c>
      <c r="M98" s="30">
        <v>3</v>
      </c>
      <c r="N98" s="30">
        <v>4</v>
      </c>
      <c r="Q98" s="35"/>
      <c r="R98" s="30">
        <f t="shared" si="33"/>
        <v>746928640</v>
      </c>
      <c r="S98" s="30">
        <f t="shared" si="34"/>
        <v>342016</v>
      </c>
    </row>
    <row r="99" spans="1:19">
      <c r="A99" s="57">
        <v>5</v>
      </c>
      <c r="B99" s="57">
        <v>4</v>
      </c>
      <c r="C99" s="30">
        <v>4</v>
      </c>
      <c r="D99" s="34">
        <v>1</v>
      </c>
      <c r="E99" s="30">
        <v>2</v>
      </c>
      <c r="F99" s="30">
        <v>4</v>
      </c>
      <c r="G99" s="30">
        <v>5</v>
      </c>
      <c r="J99" s="35"/>
      <c r="K99" s="30">
        <v>1</v>
      </c>
      <c r="L99" s="30">
        <v>2</v>
      </c>
      <c r="M99" s="30">
        <v>3</v>
      </c>
      <c r="N99" s="30">
        <v>4</v>
      </c>
      <c r="Q99" s="35"/>
      <c r="R99" s="30">
        <f t="shared" si="33"/>
        <v>746932736</v>
      </c>
      <c r="S99" s="30">
        <f t="shared" si="34"/>
        <v>342016</v>
      </c>
    </row>
    <row r="100" spans="1:19">
      <c r="A100" s="57">
        <v>5</v>
      </c>
      <c r="B100" s="57">
        <v>4</v>
      </c>
      <c r="C100" s="30">
        <v>4</v>
      </c>
      <c r="D100" s="34">
        <v>1</v>
      </c>
      <c r="E100" s="30">
        <v>3</v>
      </c>
      <c r="F100" s="30">
        <v>4</v>
      </c>
      <c r="G100" s="30">
        <v>5</v>
      </c>
      <c r="J100" s="35"/>
      <c r="K100" s="30">
        <v>1</v>
      </c>
      <c r="L100" s="30">
        <v>2</v>
      </c>
      <c r="M100" s="30">
        <v>3</v>
      </c>
      <c r="N100" s="30">
        <v>4</v>
      </c>
      <c r="Q100" s="35"/>
      <c r="R100" s="30">
        <f t="shared" si="33"/>
        <v>746965504</v>
      </c>
      <c r="S100" s="30">
        <f t="shared" si="34"/>
        <v>342016</v>
      </c>
    </row>
    <row r="101" spans="1:19">
      <c r="A101" s="58">
        <v>5</v>
      </c>
      <c r="B101" s="58">
        <v>4</v>
      </c>
      <c r="C101" s="37">
        <v>4</v>
      </c>
      <c r="D101" s="36">
        <v>2</v>
      </c>
      <c r="E101" s="37">
        <v>3</v>
      </c>
      <c r="F101" s="37">
        <v>4</v>
      </c>
      <c r="G101" s="37">
        <v>5</v>
      </c>
      <c r="H101" s="37"/>
      <c r="I101" s="37"/>
      <c r="J101" s="38"/>
      <c r="K101" s="37">
        <v>1</v>
      </c>
      <c r="L101" s="37">
        <v>2</v>
      </c>
      <c r="M101" s="37">
        <v>3</v>
      </c>
      <c r="N101" s="37">
        <v>4</v>
      </c>
      <c r="O101" s="37"/>
      <c r="P101" s="37"/>
      <c r="Q101" s="38"/>
      <c r="R101" s="30">
        <f t="shared" si="33"/>
        <v>747227648</v>
      </c>
      <c r="S101" s="30">
        <f t="shared" si="34"/>
        <v>342016</v>
      </c>
    </row>
    <row r="102" spans="1:19">
      <c r="A102" s="59">
        <v>6</v>
      </c>
      <c r="B102" s="59">
        <v>1</v>
      </c>
      <c r="C102" s="32">
        <v>2</v>
      </c>
      <c r="D102" s="31">
        <v>1</v>
      </c>
      <c r="E102" s="32"/>
      <c r="F102" s="32"/>
      <c r="G102" s="32"/>
      <c r="H102" s="32"/>
      <c r="I102" s="32"/>
      <c r="J102" s="33"/>
      <c r="K102" s="32">
        <v>1</v>
      </c>
      <c r="L102" s="32"/>
      <c r="M102" s="32"/>
      <c r="N102" s="32"/>
      <c r="O102" s="32"/>
      <c r="P102" s="32"/>
      <c r="Q102" s="33"/>
      <c r="R102" s="30">
        <f t="shared" si="33"/>
        <v>826540032</v>
      </c>
      <c r="S102" s="30">
        <f t="shared" si="34"/>
        <v>262144</v>
      </c>
    </row>
    <row r="103" spans="1:19">
      <c r="A103" s="57">
        <v>6</v>
      </c>
      <c r="B103" s="57">
        <v>1</v>
      </c>
      <c r="C103" s="30">
        <v>2</v>
      </c>
      <c r="D103" s="34">
        <v>2</v>
      </c>
      <c r="J103" s="35"/>
      <c r="K103" s="30">
        <v>2</v>
      </c>
      <c r="Q103" s="35"/>
      <c r="R103" s="30">
        <f t="shared" si="33"/>
        <v>826802176</v>
      </c>
      <c r="S103" s="30">
        <f t="shared" si="34"/>
        <v>524288</v>
      </c>
    </row>
    <row r="104" spans="1:19">
      <c r="A104" s="57">
        <v>6</v>
      </c>
      <c r="B104" s="57">
        <v>1</v>
      </c>
      <c r="C104" s="30">
        <v>2</v>
      </c>
      <c r="D104" s="34">
        <v>3</v>
      </c>
      <c r="J104" s="35"/>
      <c r="K104" s="30">
        <v>1</v>
      </c>
      <c r="Q104" s="35"/>
      <c r="R104" s="30">
        <f t="shared" si="33"/>
        <v>827064320</v>
      </c>
      <c r="S104" s="30">
        <f t="shared" si="34"/>
        <v>262144</v>
      </c>
    </row>
    <row r="105" spans="1:19">
      <c r="A105" s="57">
        <v>6</v>
      </c>
      <c r="B105" s="57">
        <v>1</v>
      </c>
      <c r="C105" s="30">
        <v>2</v>
      </c>
      <c r="D105" s="34">
        <v>4</v>
      </c>
      <c r="J105" s="35"/>
      <c r="K105" s="30">
        <v>2</v>
      </c>
      <c r="Q105" s="35"/>
      <c r="R105" s="30">
        <f t="shared" si="33"/>
        <v>827326464</v>
      </c>
      <c r="S105" s="30">
        <f t="shared" si="34"/>
        <v>524288</v>
      </c>
    </row>
    <row r="106" spans="1:19">
      <c r="A106" s="57">
        <v>6</v>
      </c>
      <c r="B106" s="57">
        <v>1</v>
      </c>
      <c r="C106" s="30">
        <v>2</v>
      </c>
      <c r="D106" s="34">
        <v>5</v>
      </c>
      <c r="J106" s="35"/>
      <c r="K106" s="30">
        <v>1</v>
      </c>
      <c r="Q106" s="35"/>
      <c r="R106" s="30">
        <f t="shared" si="33"/>
        <v>827588608</v>
      </c>
      <c r="S106" s="30">
        <f t="shared" si="34"/>
        <v>262144</v>
      </c>
    </row>
    <row r="107" spans="1:19">
      <c r="A107" s="58">
        <v>6</v>
      </c>
      <c r="B107" s="58">
        <v>1</v>
      </c>
      <c r="C107" s="37">
        <v>2</v>
      </c>
      <c r="D107" s="36">
        <v>6</v>
      </c>
      <c r="E107" s="37"/>
      <c r="F107" s="37"/>
      <c r="G107" s="37"/>
      <c r="H107" s="37"/>
      <c r="I107" s="37"/>
      <c r="J107" s="38"/>
      <c r="K107" s="37">
        <v>2</v>
      </c>
      <c r="L107" s="37"/>
      <c r="M107" s="37"/>
      <c r="N107" s="37"/>
      <c r="O107" s="37"/>
      <c r="P107" s="37"/>
      <c r="Q107" s="38"/>
      <c r="R107" s="30">
        <f t="shared" si="33"/>
        <v>827850752</v>
      </c>
      <c r="S107" s="30">
        <f t="shared" si="34"/>
        <v>524288</v>
      </c>
    </row>
    <row r="108" spans="1:19">
      <c r="A108" s="59">
        <v>6</v>
      </c>
      <c r="B108" s="59">
        <v>1</v>
      </c>
      <c r="C108" s="32">
        <v>3</v>
      </c>
      <c r="D108" s="31">
        <v>1</v>
      </c>
      <c r="E108" s="32"/>
      <c r="F108" s="32"/>
      <c r="G108" s="32"/>
      <c r="H108" s="32"/>
      <c r="I108" s="32"/>
      <c r="J108" s="33"/>
      <c r="K108" s="32">
        <v>1</v>
      </c>
      <c r="L108" s="32"/>
      <c r="M108" s="32"/>
      <c r="N108" s="32"/>
      <c r="O108" s="32"/>
      <c r="P108" s="32"/>
      <c r="Q108" s="33"/>
      <c r="R108" s="30">
        <f t="shared" si="33"/>
        <v>828637184</v>
      </c>
      <c r="S108" s="30">
        <f t="shared" si="34"/>
        <v>262144</v>
      </c>
    </row>
    <row r="109" spans="1:19">
      <c r="A109" s="57">
        <v>6</v>
      </c>
      <c r="B109" s="57">
        <v>1</v>
      </c>
      <c r="C109" s="30">
        <v>3</v>
      </c>
      <c r="D109" s="34">
        <v>2</v>
      </c>
      <c r="J109" s="35"/>
      <c r="K109" s="30">
        <v>1</v>
      </c>
      <c r="Q109" s="35"/>
      <c r="R109" s="30">
        <f t="shared" si="33"/>
        <v>828899328</v>
      </c>
      <c r="S109" s="30">
        <f t="shared" si="34"/>
        <v>262144</v>
      </c>
    </row>
    <row r="110" spans="1:19">
      <c r="A110" s="57">
        <v>6</v>
      </c>
      <c r="B110" s="57">
        <v>1</v>
      </c>
      <c r="C110" s="30">
        <v>3</v>
      </c>
      <c r="D110" s="34">
        <v>3</v>
      </c>
      <c r="J110" s="35"/>
      <c r="K110" s="30">
        <v>2</v>
      </c>
      <c r="Q110" s="35"/>
      <c r="R110" s="30">
        <f t="shared" si="33"/>
        <v>829161472</v>
      </c>
      <c r="S110" s="30">
        <f t="shared" si="34"/>
        <v>524288</v>
      </c>
    </row>
    <row r="111" spans="1:19">
      <c r="A111" s="57">
        <v>6</v>
      </c>
      <c r="B111" s="57">
        <v>1</v>
      </c>
      <c r="C111" s="30">
        <v>3</v>
      </c>
      <c r="D111" s="34">
        <v>4</v>
      </c>
      <c r="J111" s="35"/>
      <c r="K111" s="30">
        <v>2</v>
      </c>
      <c r="Q111" s="35"/>
      <c r="R111" s="30">
        <f t="shared" si="33"/>
        <v>829423616</v>
      </c>
      <c r="S111" s="30">
        <f t="shared" si="34"/>
        <v>524288</v>
      </c>
    </row>
    <row r="112" spans="1:19">
      <c r="A112" s="57">
        <v>6</v>
      </c>
      <c r="B112" s="57">
        <v>1</v>
      </c>
      <c r="C112" s="30">
        <v>3</v>
      </c>
      <c r="D112" s="34">
        <v>5</v>
      </c>
      <c r="J112" s="35"/>
      <c r="K112" s="30">
        <v>3</v>
      </c>
      <c r="Q112" s="35"/>
      <c r="R112" s="30">
        <f t="shared" si="33"/>
        <v>829685760</v>
      </c>
      <c r="S112" s="30">
        <f t="shared" si="34"/>
        <v>786432</v>
      </c>
    </row>
    <row r="113" spans="1:19">
      <c r="A113" s="58">
        <v>6</v>
      </c>
      <c r="B113" s="58">
        <v>1</v>
      </c>
      <c r="C113" s="37">
        <v>3</v>
      </c>
      <c r="D113" s="36">
        <v>6</v>
      </c>
      <c r="E113" s="37"/>
      <c r="F113" s="37"/>
      <c r="G113" s="37"/>
      <c r="H113" s="37"/>
      <c r="I113" s="37"/>
      <c r="J113" s="38"/>
      <c r="K113" s="37">
        <v>3</v>
      </c>
      <c r="L113" s="37"/>
      <c r="M113" s="37"/>
      <c r="N113" s="37"/>
      <c r="O113" s="37"/>
      <c r="P113" s="37"/>
      <c r="Q113" s="38"/>
      <c r="R113" s="30">
        <f t="shared" si="33"/>
        <v>829947904</v>
      </c>
      <c r="S113" s="30">
        <f t="shared" si="34"/>
        <v>786432</v>
      </c>
    </row>
    <row r="114" spans="1:19">
      <c r="A114" s="59">
        <v>6</v>
      </c>
      <c r="B114" s="59">
        <v>1</v>
      </c>
      <c r="C114" s="32">
        <v>4</v>
      </c>
      <c r="D114" s="31">
        <v>1</v>
      </c>
      <c r="E114" s="32"/>
      <c r="F114" s="32"/>
      <c r="G114" s="32"/>
      <c r="H114" s="32"/>
      <c r="I114" s="32"/>
      <c r="J114" s="33"/>
      <c r="K114" s="32">
        <v>1</v>
      </c>
      <c r="L114" s="32"/>
      <c r="M114" s="32"/>
      <c r="N114" s="32"/>
      <c r="O114" s="32"/>
      <c r="P114" s="32"/>
      <c r="Q114" s="33"/>
      <c r="R114" s="30">
        <f t="shared" si="33"/>
        <v>830734336</v>
      </c>
      <c r="S114" s="30">
        <f t="shared" si="34"/>
        <v>262144</v>
      </c>
    </row>
    <row r="115" spans="1:19">
      <c r="A115" s="57">
        <v>6</v>
      </c>
      <c r="B115" s="57">
        <v>1</v>
      </c>
      <c r="C115" s="30">
        <v>4</v>
      </c>
      <c r="D115" s="34">
        <v>2</v>
      </c>
      <c r="J115" s="35"/>
      <c r="K115" s="30">
        <v>1</v>
      </c>
      <c r="Q115" s="35"/>
      <c r="R115" s="30">
        <f t="shared" si="33"/>
        <v>830996480</v>
      </c>
      <c r="S115" s="30">
        <f t="shared" si="34"/>
        <v>262144</v>
      </c>
    </row>
    <row r="116" spans="1:19">
      <c r="A116" s="57">
        <v>6</v>
      </c>
      <c r="B116" s="57">
        <v>1</v>
      </c>
      <c r="C116" s="30">
        <v>4</v>
      </c>
      <c r="D116" s="34">
        <v>3</v>
      </c>
      <c r="J116" s="35"/>
      <c r="K116" s="30">
        <v>2</v>
      </c>
      <c r="Q116" s="35"/>
      <c r="R116" s="30">
        <f t="shared" si="33"/>
        <v>831258624</v>
      </c>
      <c r="S116" s="30">
        <f t="shared" si="34"/>
        <v>524288</v>
      </c>
    </row>
    <row r="117" spans="1:19">
      <c r="A117" s="57">
        <v>6</v>
      </c>
      <c r="B117" s="57">
        <v>1</v>
      </c>
      <c r="C117" s="30">
        <v>4</v>
      </c>
      <c r="D117" s="34">
        <v>4</v>
      </c>
      <c r="J117" s="35"/>
      <c r="K117" s="30">
        <v>3</v>
      </c>
      <c r="Q117" s="35"/>
      <c r="R117" s="30">
        <f t="shared" si="33"/>
        <v>831520768</v>
      </c>
      <c r="S117" s="30">
        <f t="shared" si="34"/>
        <v>786432</v>
      </c>
    </row>
    <row r="118" spans="1:19">
      <c r="A118" s="57">
        <v>6</v>
      </c>
      <c r="B118" s="57">
        <v>1</v>
      </c>
      <c r="C118" s="30">
        <v>4</v>
      </c>
      <c r="D118" s="34">
        <v>5</v>
      </c>
      <c r="J118" s="35"/>
      <c r="K118" s="30">
        <v>4</v>
      </c>
      <c r="Q118" s="35"/>
      <c r="R118" s="30">
        <f t="shared" si="33"/>
        <v>831782912</v>
      </c>
      <c r="S118" s="30">
        <f t="shared" si="34"/>
        <v>1048576</v>
      </c>
    </row>
    <row r="119" spans="1:19">
      <c r="A119" s="58">
        <v>6</v>
      </c>
      <c r="B119" s="58">
        <v>1</v>
      </c>
      <c r="C119" s="37">
        <v>4</v>
      </c>
      <c r="D119" s="36">
        <v>6</v>
      </c>
      <c r="E119" s="37"/>
      <c r="F119" s="37"/>
      <c r="G119" s="37"/>
      <c r="H119" s="37"/>
      <c r="I119" s="37"/>
      <c r="J119" s="38"/>
      <c r="K119" s="37">
        <v>4</v>
      </c>
      <c r="L119" s="37"/>
      <c r="M119" s="37"/>
      <c r="N119" s="37"/>
      <c r="O119" s="37"/>
      <c r="P119" s="37"/>
      <c r="Q119" s="38"/>
      <c r="R119" s="30">
        <f t="shared" si="33"/>
        <v>832045056</v>
      </c>
      <c r="S119" s="30">
        <f t="shared" si="34"/>
        <v>1048576</v>
      </c>
    </row>
    <row r="120" spans="1:19">
      <c r="A120" s="59">
        <v>6</v>
      </c>
      <c r="B120" s="59">
        <v>1</v>
      </c>
      <c r="C120" s="32">
        <v>5</v>
      </c>
      <c r="D120" s="31">
        <v>1</v>
      </c>
      <c r="E120" s="32"/>
      <c r="F120" s="32"/>
      <c r="G120" s="32"/>
      <c r="H120" s="32"/>
      <c r="I120" s="32"/>
      <c r="J120" s="33"/>
      <c r="K120" s="32">
        <v>1</v>
      </c>
      <c r="L120" s="32"/>
      <c r="M120" s="32"/>
      <c r="N120" s="32"/>
      <c r="O120" s="32"/>
      <c r="P120" s="32"/>
      <c r="Q120" s="33"/>
      <c r="R120" s="30">
        <f t="shared" si="33"/>
        <v>832831488</v>
      </c>
      <c r="S120" s="30">
        <f t="shared" si="34"/>
        <v>262144</v>
      </c>
    </row>
    <row r="121" spans="1:19">
      <c r="A121" s="57">
        <v>6</v>
      </c>
      <c r="B121" s="57">
        <v>1</v>
      </c>
      <c r="C121" s="30">
        <v>5</v>
      </c>
      <c r="D121" s="34">
        <v>2</v>
      </c>
      <c r="J121" s="35"/>
      <c r="K121" s="30">
        <v>2</v>
      </c>
      <c r="Q121" s="35"/>
      <c r="R121" s="30">
        <f t="shared" si="33"/>
        <v>833093632</v>
      </c>
      <c r="S121" s="30">
        <f t="shared" si="34"/>
        <v>524288</v>
      </c>
    </row>
    <row r="122" spans="1:19">
      <c r="A122" s="57">
        <v>6</v>
      </c>
      <c r="B122" s="57">
        <v>1</v>
      </c>
      <c r="C122" s="30">
        <v>5</v>
      </c>
      <c r="D122" s="34">
        <v>3</v>
      </c>
      <c r="J122" s="35"/>
      <c r="K122" s="30">
        <v>3</v>
      </c>
      <c r="Q122" s="35"/>
      <c r="R122" s="30">
        <f t="shared" si="33"/>
        <v>833355776</v>
      </c>
      <c r="S122" s="30">
        <f t="shared" si="34"/>
        <v>786432</v>
      </c>
    </row>
    <row r="123" spans="1:19">
      <c r="A123" s="57">
        <v>6</v>
      </c>
      <c r="B123" s="57">
        <v>1</v>
      </c>
      <c r="C123" s="30">
        <v>5</v>
      </c>
      <c r="D123" s="34">
        <v>4</v>
      </c>
      <c r="J123" s="35"/>
      <c r="K123" s="30">
        <v>4</v>
      </c>
      <c r="Q123" s="35"/>
      <c r="R123" s="30">
        <f t="shared" si="33"/>
        <v>833617920</v>
      </c>
      <c r="S123" s="30">
        <f t="shared" si="34"/>
        <v>1048576</v>
      </c>
    </row>
    <row r="124" spans="1:19">
      <c r="A124" s="57">
        <v>6</v>
      </c>
      <c r="B124" s="57">
        <v>1</v>
      </c>
      <c r="C124" s="30">
        <v>5</v>
      </c>
      <c r="D124" s="34">
        <v>5</v>
      </c>
      <c r="J124" s="35"/>
      <c r="K124" s="30">
        <v>5</v>
      </c>
      <c r="Q124" s="35"/>
      <c r="R124" s="30">
        <f t="shared" si="33"/>
        <v>833880064</v>
      </c>
      <c r="S124" s="30">
        <f t="shared" si="34"/>
        <v>1310720</v>
      </c>
    </row>
    <row r="125" spans="1:19">
      <c r="A125" s="58">
        <v>6</v>
      </c>
      <c r="B125" s="58">
        <v>1</v>
      </c>
      <c r="C125" s="37">
        <v>5</v>
      </c>
      <c r="D125" s="36">
        <v>6</v>
      </c>
      <c r="E125" s="37"/>
      <c r="F125" s="37"/>
      <c r="G125" s="37"/>
      <c r="H125" s="37"/>
      <c r="I125" s="37"/>
      <c r="J125" s="38"/>
      <c r="K125" s="37">
        <v>5</v>
      </c>
      <c r="L125" s="37"/>
      <c r="M125" s="37"/>
      <c r="N125" s="37"/>
      <c r="O125" s="37"/>
      <c r="P125" s="37"/>
      <c r="Q125" s="38"/>
      <c r="R125" s="30">
        <f t="shared" si="33"/>
        <v>834142208</v>
      </c>
      <c r="S125" s="30">
        <f t="shared" si="34"/>
        <v>1310720</v>
      </c>
    </row>
    <row r="126" spans="1:19">
      <c r="A126" s="59">
        <v>6</v>
      </c>
      <c r="B126" s="59">
        <v>2</v>
      </c>
      <c r="C126" s="32">
        <v>2</v>
      </c>
      <c r="D126" s="31">
        <v>1</v>
      </c>
      <c r="E126" s="32">
        <v>2</v>
      </c>
      <c r="F126" s="32"/>
      <c r="G126" s="32"/>
      <c r="H126" s="32"/>
      <c r="I126" s="32"/>
      <c r="J126" s="33"/>
      <c r="K126" s="32">
        <v>1</v>
      </c>
      <c r="L126" s="32">
        <v>2</v>
      </c>
      <c r="M126" s="32"/>
      <c r="N126" s="32"/>
      <c r="O126" s="32"/>
      <c r="P126" s="32"/>
      <c r="Q126" s="33"/>
      <c r="R126" s="30">
        <f t="shared" si="33"/>
        <v>843382784</v>
      </c>
      <c r="S126" s="30">
        <f t="shared" si="34"/>
        <v>327680</v>
      </c>
    </row>
    <row r="127" spans="1:19">
      <c r="A127" s="57">
        <v>6</v>
      </c>
      <c r="B127" s="57">
        <v>2</v>
      </c>
      <c r="C127" s="30">
        <v>2</v>
      </c>
      <c r="D127" s="34">
        <v>1</v>
      </c>
      <c r="E127" s="30">
        <v>3</v>
      </c>
      <c r="J127" s="35"/>
      <c r="K127" s="30">
        <v>1</v>
      </c>
      <c r="L127" s="30">
        <v>2</v>
      </c>
      <c r="Q127" s="35"/>
      <c r="R127" s="30">
        <f t="shared" si="33"/>
        <v>843415552</v>
      </c>
      <c r="S127" s="30">
        <f t="shared" si="34"/>
        <v>327680</v>
      </c>
    </row>
    <row r="128" spans="1:19">
      <c r="A128" s="57">
        <v>6</v>
      </c>
      <c r="B128" s="57">
        <v>2</v>
      </c>
      <c r="C128" s="30">
        <v>2</v>
      </c>
      <c r="D128" s="34">
        <v>1</v>
      </c>
      <c r="E128" s="30">
        <v>4</v>
      </c>
      <c r="J128" s="35"/>
      <c r="K128" s="30">
        <v>1</v>
      </c>
      <c r="L128" s="30">
        <v>2</v>
      </c>
      <c r="Q128" s="35"/>
      <c r="R128" s="30">
        <f t="shared" si="33"/>
        <v>843448320</v>
      </c>
      <c r="S128" s="30">
        <f t="shared" si="34"/>
        <v>327680</v>
      </c>
    </row>
    <row r="129" spans="1:19">
      <c r="A129" s="57">
        <v>6</v>
      </c>
      <c r="B129" s="57">
        <v>2</v>
      </c>
      <c r="C129" s="30">
        <v>2</v>
      </c>
      <c r="D129" s="34">
        <v>1</v>
      </c>
      <c r="E129" s="30">
        <v>5</v>
      </c>
      <c r="J129" s="35"/>
      <c r="K129" s="30">
        <v>1</v>
      </c>
      <c r="L129" s="30">
        <v>2</v>
      </c>
      <c r="Q129" s="35"/>
      <c r="R129" s="30">
        <f t="shared" si="33"/>
        <v>843481088</v>
      </c>
      <c r="S129" s="30">
        <f t="shared" si="34"/>
        <v>327680</v>
      </c>
    </row>
    <row r="130" spans="1:19">
      <c r="A130" s="57">
        <v>6</v>
      </c>
      <c r="B130" s="57">
        <v>2</v>
      </c>
      <c r="C130" s="30">
        <v>2</v>
      </c>
      <c r="D130" s="34">
        <v>1</v>
      </c>
      <c r="E130" s="30">
        <v>6</v>
      </c>
      <c r="J130" s="35"/>
      <c r="K130" s="30">
        <v>1</v>
      </c>
      <c r="L130" s="30">
        <v>2</v>
      </c>
      <c r="Q130" s="35"/>
      <c r="R130" s="30">
        <f t="shared" si="33"/>
        <v>843513856</v>
      </c>
      <c r="S130" s="30">
        <f t="shared" si="34"/>
        <v>327680</v>
      </c>
    </row>
    <row r="131" spans="1:19">
      <c r="A131" s="57">
        <v>6</v>
      </c>
      <c r="B131" s="57">
        <v>2</v>
      </c>
      <c r="C131" s="30">
        <v>2</v>
      </c>
      <c r="D131" s="34">
        <v>2</v>
      </c>
      <c r="E131" s="30">
        <v>3</v>
      </c>
      <c r="J131" s="35"/>
      <c r="K131" s="30">
        <v>1</v>
      </c>
      <c r="L131" s="30">
        <v>2</v>
      </c>
      <c r="Q131" s="35"/>
      <c r="R131" s="30">
        <f t="shared" ref="R131:R194" si="35">J131*8^0+I131*8^1+H131*8^2+G131*8^3+F131*8^4+E131*8^5+D131*8^6+C131*8^7+B131*8^8+A131*8^9</f>
        <v>843677696</v>
      </c>
      <c r="S131" s="30">
        <f t="shared" si="34"/>
        <v>327680</v>
      </c>
    </row>
    <row r="132" spans="1:19">
      <c r="A132" s="57">
        <v>6</v>
      </c>
      <c r="B132" s="57">
        <v>2</v>
      </c>
      <c r="C132" s="30">
        <v>2</v>
      </c>
      <c r="D132" s="34">
        <v>2</v>
      </c>
      <c r="E132" s="30">
        <v>4</v>
      </c>
      <c r="J132" s="35"/>
      <c r="K132" s="30">
        <v>1</v>
      </c>
      <c r="L132" s="30">
        <v>2</v>
      </c>
      <c r="Q132" s="35"/>
      <c r="R132" s="30">
        <f t="shared" si="35"/>
        <v>843710464</v>
      </c>
      <c r="S132" s="30">
        <f t="shared" si="34"/>
        <v>327680</v>
      </c>
    </row>
    <row r="133" spans="1:19">
      <c r="A133" s="57">
        <v>6</v>
      </c>
      <c r="B133" s="57">
        <v>2</v>
      </c>
      <c r="C133" s="30">
        <v>2</v>
      </c>
      <c r="D133" s="34">
        <v>2</v>
      </c>
      <c r="E133" s="30">
        <v>5</v>
      </c>
      <c r="J133" s="35"/>
      <c r="K133" s="30">
        <v>1</v>
      </c>
      <c r="L133" s="30">
        <v>2</v>
      </c>
      <c r="Q133" s="35"/>
      <c r="R133" s="30">
        <f t="shared" si="35"/>
        <v>843743232</v>
      </c>
      <c r="S133" s="30">
        <f t="shared" ref="S133:S196" si="36">Q133*8^0+P133*8^1+O133*8^2+N133*8^3+M133*8^4+L133*8^5+K133*8^6</f>
        <v>327680</v>
      </c>
    </row>
    <row r="134" spans="1:19">
      <c r="A134" s="57">
        <v>6</v>
      </c>
      <c r="B134" s="57">
        <v>2</v>
      </c>
      <c r="C134" s="30">
        <v>2</v>
      </c>
      <c r="D134" s="34">
        <v>2</v>
      </c>
      <c r="E134" s="30">
        <v>6</v>
      </c>
      <c r="J134" s="35"/>
      <c r="K134" s="30">
        <v>1</v>
      </c>
      <c r="L134" s="30">
        <v>2</v>
      </c>
      <c r="Q134" s="35"/>
      <c r="R134" s="30">
        <f t="shared" si="35"/>
        <v>843776000</v>
      </c>
      <c r="S134" s="30">
        <f t="shared" si="36"/>
        <v>327680</v>
      </c>
    </row>
    <row r="135" spans="1:19">
      <c r="A135" s="57">
        <v>6</v>
      </c>
      <c r="B135" s="57">
        <v>2</v>
      </c>
      <c r="C135" s="30">
        <v>2</v>
      </c>
      <c r="D135" s="34">
        <v>3</v>
      </c>
      <c r="E135" s="30">
        <v>4</v>
      </c>
      <c r="J135" s="35"/>
      <c r="K135" s="30">
        <v>1</v>
      </c>
      <c r="L135" s="30">
        <v>2</v>
      </c>
      <c r="Q135" s="35"/>
      <c r="R135" s="30">
        <f t="shared" si="35"/>
        <v>843972608</v>
      </c>
      <c r="S135" s="30">
        <f t="shared" si="36"/>
        <v>327680</v>
      </c>
    </row>
    <row r="136" spans="1:19">
      <c r="A136" s="57">
        <v>6</v>
      </c>
      <c r="B136" s="57">
        <v>2</v>
      </c>
      <c r="C136" s="30">
        <v>2</v>
      </c>
      <c r="D136" s="34">
        <v>3</v>
      </c>
      <c r="E136" s="30">
        <v>5</v>
      </c>
      <c r="J136" s="35"/>
      <c r="K136" s="30">
        <v>1</v>
      </c>
      <c r="L136" s="30">
        <v>2</v>
      </c>
      <c r="Q136" s="35"/>
      <c r="R136" s="30">
        <f t="shared" si="35"/>
        <v>844005376</v>
      </c>
      <c r="S136" s="30">
        <f t="shared" si="36"/>
        <v>327680</v>
      </c>
    </row>
    <row r="137" spans="1:19">
      <c r="A137" s="57">
        <v>6</v>
      </c>
      <c r="B137" s="57">
        <v>2</v>
      </c>
      <c r="C137" s="30">
        <v>2</v>
      </c>
      <c r="D137" s="34">
        <v>3</v>
      </c>
      <c r="E137" s="30">
        <v>6</v>
      </c>
      <c r="J137" s="35"/>
      <c r="K137" s="30">
        <v>1</v>
      </c>
      <c r="L137" s="30">
        <v>2</v>
      </c>
      <c r="Q137" s="35"/>
      <c r="R137" s="30">
        <f t="shared" si="35"/>
        <v>844038144</v>
      </c>
      <c r="S137" s="30">
        <f t="shared" si="36"/>
        <v>327680</v>
      </c>
    </row>
    <row r="138" spans="1:19">
      <c r="A138" s="57">
        <v>6</v>
      </c>
      <c r="B138" s="57">
        <v>2</v>
      </c>
      <c r="C138" s="30">
        <v>2</v>
      </c>
      <c r="D138" s="34">
        <v>4</v>
      </c>
      <c r="E138" s="30">
        <v>5</v>
      </c>
      <c r="J138" s="35"/>
      <c r="K138" s="30">
        <v>1</v>
      </c>
      <c r="L138" s="30">
        <v>2</v>
      </c>
      <c r="Q138" s="35"/>
      <c r="R138" s="30">
        <f t="shared" si="35"/>
        <v>844267520</v>
      </c>
      <c r="S138" s="30">
        <f t="shared" si="36"/>
        <v>327680</v>
      </c>
    </row>
    <row r="139" spans="1:19">
      <c r="A139" s="57">
        <v>6</v>
      </c>
      <c r="B139" s="57">
        <v>2</v>
      </c>
      <c r="C139" s="30">
        <v>2</v>
      </c>
      <c r="D139" s="34">
        <v>4</v>
      </c>
      <c r="E139" s="30">
        <v>6</v>
      </c>
      <c r="J139" s="35"/>
      <c r="K139" s="30">
        <v>1</v>
      </c>
      <c r="L139" s="30">
        <v>2</v>
      </c>
      <c r="Q139" s="35"/>
      <c r="R139" s="30">
        <f t="shared" si="35"/>
        <v>844300288</v>
      </c>
      <c r="S139" s="30">
        <f t="shared" si="36"/>
        <v>327680</v>
      </c>
    </row>
    <row r="140" spans="1:19">
      <c r="A140" s="58">
        <v>6</v>
      </c>
      <c r="B140" s="58">
        <v>2</v>
      </c>
      <c r="C140" s="37">
        <v>2</v>
      </c>
      <c r="D140" s="36">
        <v>5</v>
      </c>
      <c r="E140" s="37">
        <v>6</v>
      </c>
      <c r="F140" s="37"/>
      <c r="G140" s="37"/>
      <c r="H140" s="37"/>
      <c r="I140" s="37"/>
      <c r="J140" s="38"/>
      <c r="K140" s="37">
        <v>1</v>
      </c>
      <c r="L140" s="37">
        <v>2</v>
      </c>
      <c r="M140" s="37"/>
      <c r="N140" s="37"/>
      <c r="O140" s="37"/>
      <c r="P140" s="37"/>
      <c r="Q140" s="38"/>
      <c r="R140" s="30">
        <f t="shared" si="35"/>
        <v>844562432</v>
      </c>
      <c r="S140" s="30">
        <f t="shared" si="36"/>
        <v>327680</v>
      </c>
    </row>
    <row r="141" spans="1:19">
      <c r="A141" s="59">
        <v>6</v>
      </c>
      <c r="B141" s="59">
        <v>2</v>
      </c>
      <c r="C141" s="32">
        <v>3</v>
      </c>
      <c r="D141" s="31">
        <v>1</v>
      </c>
      <c r="E141" s="32">
        <v>2</v>
      </c>
      <c r="F141" s="32"/>
      <c r="G141" s="32"/>
      <c r="H141" s="32"/>
      <c r="I141" s="32"/>
      <c r="J141" s="33"/>
      <c r="K141" s="32">
        <v>1</v>
      </c>
      <c r="L141" s="32">
        <v>2</v>
      </c>
      <c r="M141" s="32"/>
      <c r="N141" s="32"/>
      <c r="O141" s="32"/>
      <c r="P141" s="32"/>
      <c r="Q141" s="33"/>
      <c r="R141" s="30">
        <f t="shared" si="35"/>
        <v>845479936</v>
      </c>
      <c r="S141" s="30">
        <f t="shared" si="36"/>
        <v>327680</v>
      </c>
    </row>
    <row r="142" spans="1:19">
      <c r="A142" s="57">
        <v>6</v>
      </c>
      <c r="B142" s="57">
        <v>2</v>
      </c>
      <c r="C142" s="30">
        <v>3</v>
      </c>
      <c r="D142" s="34">
        <v>1</v>
      </c>
      <c r="E142" s="30">
        <v>3</v>
      </c>
      <c r="J142" s="35"/>
      <c r="K142" s="30">
        <v>1</v>
      </c>
      <c r="L142" s="30">
        <v>3</v>
      </c>
      <c r="Q142" s="35"/>
      <c r="R142" s="30">
        <f t="shared" si="35"/>
        <v>845512704</v>
      </c>
      <c r="S142" s="30">
        <f t="shared" si="36"/>
        <v>360448</v>
      </c>
    </row>
    <row r="143" spans="1:19">
      <c r="A143" s="57">
        <v>6</v>
      </c>
      <c r="B143" s="57">
        <v>2</v>
      </c>
      <c r="C143" s="30">
        <v>3</v>
      </c>
      <c r="D143" s="34">
        <v>1</v>
      </c>
      <c r="E143" s="30">
        <v>4</v>
      </c>
      <c r="J143" s="35"/>
      <c r="K143" s="30">
        <v>1</v>
      </c>
      <c r="L143" s="30">
        <v>2</v>
      </c>
      <c r="Q143" s="35"/>
      <c r="R143" s="30">
        <f t="shared" si="35"/>
        <v>845545472</v>
      </c>
      <c r="S143" s="30">
        <f t="shared" si="36"/>
        <v>327680</v>
      </c>
    </row>
    <row r="144" spans="1:19">
      <c r="A144" s="57">
        <v>6</v>
      </c>
      <c r="B144" s="57">
        <v>2</v>
      </c>
      <c r="C144" s="30">
        <v>3</v>
      </c>
      <c r="D144" s="34">
        <v>1</v>
      </c>
      <c r="E144" s="30">
        <v>5</v>
      </c>
      <c r="J144" s="35"/>
      <c r="K144" s="30">
        <v>1</v>
      </c>
      <c r="L144" s="30">
        <v>2</v>
      </c>
      <c r="Q144" s="35"/>
      <c r="R144" s="30">
        <f t="shared" si="35"/>
        <v>845578240</v>
      </c>
      <c r="S144" s="30">
        <f t="shared" si="36"/>
        <v>327680</v>
      </c>
    </row>
    <row r="145" spans="1:19">
      <c r="A145" s="57">
        <v>6</v>
      </c>
      <c r="B145" s="57">
        <v>2</v>
      </c>
      <c r="C145" s="30">
        <v>3</v>
      </c>
      <c r="D145" s="34">
        <v>1</v>
      </c>
      <c r="E145" s="30">
        <v>6</v>
      </c>
      <c r="J145" s="35"/>
      <c r="K145" s="30">
        <v>1</v>
      </c>
      <c r="L145" s="30">
        <v>3</v>
      </c>
      <c r="Q145" s="35"/>
      <c r="R145" s="30">
        <f t="shared" si="35"/>
        <v>845611008</v>
      </c>
      <c r="S145" s="30">
        <f t="shared" si="36"/>
        <v>360448</v>
      </c>
    </row>
    <row r="146" spans="1:19">
      <c r="A146" s="57">
        <v>6</v>
      </c>
      <c r="B146" s="57">
        <v>2</v>
      </c>
      <c r="C146" s="30">
        <v>3</v>
      </c>
      <c r="D146" s="34">
        <v>2</v>
      </c>
      <c r="E146" s="30">
        <v>3</v>
      </c>
      <c r="J146" s="35"/>
      <c r="K146" s="30">
        <v>2</v>
      </c>
      <c r="L146" s="30">
        <v>3</v>
      </c>
      <c r="Q146" s="35"/>
      <c r="R146" s="30">
        <f t="shared" si="35"/>
        <v>845774848</v>
      </c>
      <c r="S146" s="30">
        <f t="shared" si="36"/>
        <v>622592</v>
      </c>
    </row>
    <row r="147" spans="1:19">
      <c r="A147" s="57">
        <v>6</v>
      </c>
      <c r="B147" s="57">
        <v>2</v>
      </c>
      <c r="C147" s="30">
        <v>3</v>
      </c>
      <c r="D147" s="34">
        <v>2</v>
      </c>
      <c r="E147" s="30">
        <v>4</v>
      </c>
      <c r="J147" s="35"/>
      <c r="K147" s="30">
        <v>2</v>
      </c>
      <c r="L147" s="30">
        <v>3</v>
      </c>
      <c r="Q147" s="35"/>
      <c r="R147" s="30">
        <f t="shared" si="35"/>
        <v>845807616</v>
      </c>
      <c r="S147" s="30">
        <f t="shared" si="36"/>
        <v>622592</v>
      </c>
    </row>
    <row r="148" spans="1:19">
      <c r="A148" s="57">
        <v>6</v>
      </c>
      <c r="B148" s="57">
        <v>2</v>
      </c>
      <c r="C148" s="30">
        <v>3</v>
      </c>
      <c r="D148" s="34">
        <v>2</v>
      </c>
      <c r="E148" s="30">
        <v>5</v>
      </c>
      <c r="J148" s="35"/>
      <c r="K148" s="30">
        <v>1</v>
      </c>
      <c r="L148" s="30">
        <v>3</v>
      </c>
      <c r="Q148" s="35"/>
      <c r="R148" s="30">
        <f t="shared" si="35"/>
        <v>845840384</v>
      </c>
      <c r="S148" s="30">
        <f t="shared" si="36"/>
        <v>360448</v>
      </c>
    </row>
    <row r="149" spans="1:19">
      <c r="A149" s="57">
        <v>6</v>
      </c>
      <c r="B149" s="57">
        <v>2</v>
      </c>
      <c r="C149" s="30">
        <v>3</v>
      </c>
      <c r="D149" s="34">
        <v>2</v>
      </c>
      <c r="E149" s="30">
        <v>6</v>
      </c>
      <c r="J149" s="35"/>
      <c r="K149" s="30">
        <v>2</v>
      </c>
      <c r="L149" s="30">
        <v>3</v>
      </c>
      <c r="Q149" s="35"/>
      <c r="R149" s="30">
        <f t="shared" si="35"/>
        <v>845873152</v>
      </c>
      <c r="S149" s="30">
        <f t="shared" si="36"/>
        <v>622592</v>
      </c>
    </row>
    <row r="150" spans="1:19">
      <c r="A150" s="57">
        <v>6</v>
      </c>
      <c r="B150" s="57">
        <v>2</v>
      </c>
      <c r="C150" s="30">
        <v>3</v>
      </c>
      <c r="D150" s="34">
        <v>3</v>
      </c>
      <c r="E150" s="30">
        <v>4</v>
      </c>
      <c r="J150" s="35"/>
      <c r="K150" s="30">
        <v>1</v>
      </c>
      <c r="L150" s="30">
        <v>2</v>
      </c>
      <c r="Q150" s="35"/>
      <c r="R150" s="30">
        <f t="shared" si="35"/>
        <v>846069760</v>
      </c>
      <c r="S150" s="30">
        <f t="shared" si="36"/>
        <v>327680</v>
      </c>
    </row>
    <row r="151" spans="1:19">
      <c r="A151" s="57">
        <v>6</v>
      </c>
      <c r="B151" s="57">
        <v>2</v>
      </c>
      <c r="C151" s="30">
        <v>3</v>
      </c>
      <c r="D151" s="34">
        <v>3</v>
      </c>
      <c r="E151" s="30">
        <v>5</v>
      </c>
      <c r="J151" s="35"/>
      <c r="K151" s="30">
        <v>1</v>
      </c>
      <c r="L151" s="30">
        <v>3</v>
      </c>
      <c r="Q151" s="35"/>
      <c r="R151" s="30">
        <f t="shared" si="35"/>
        <v>846102528</v>
      </c>
      <c r="S151" s="30">
        <f t="shared" si="36"/>
        <v>360448</v>
      </c>
    </row>
    <row r="152" spans="1:19">
      <c r="A152" s="57">
        <v>6</v>
      </c>
      <c r="B152" s="57">
        <v>2</v>
      </c>
      <c r="C152" s="30">
        <v>3</v>
      </c>
      <c r="D152" s="34">
        <v>3</v>
      </c>
      <c r="E152" s="30">
        <v>6</v>
      </c>
      <c r="J152" s="35"/>
      <c r="K152" s="30">
        <v>2</v>
      </c>
      <c r="L152" s="30">
        <v>3</v>
      </c>
      <c r="Q152" s="35"/>
      <c r="R152" s="30">
        <f t="shared" si="35"/>
        <v>846135296</v>
      </c>
      <c r="S152" s="30">
        <f t="shared" si="36"/>
        <v>622592</v>
      </c>
    </row>
    <row r="153" spans="1:19">
      <c r="A153" s="57">
        <v>6</v>
      </c>
      <c r="B153" s="57">
        <v>2</v>
      </c>
      <c r="C153" s="30">
        <v>3</v>
      </c>
      <c r="D153" s="34">
        <v>4</v>
      </c>
      <c r="E153" s="30">
        <v>5</v>
      </c>
      <c r="J153" s="35"/>
      <c r="K153" s="30">
        <v>2</v>
      </c>
      <c r="L153" s="30">
        <v>3</v>
      </c>
      <c r="Q153" s="35"/>
      <c r="R153" s="30">
        <f t="shared" si="35"/>
        <v>846364672</v>
      </c>
      <c r="S153" s="30">
        <f t="shared" si="36"/>
        <v>622592</v>
      </c>
    </row>
    <row r="154" spans="1:19">
      <c r="A154" s="57">
        <v>6</v>
      </c>
      <c r="B154" s="57">
        <v>2</v>
      </c>
      <c r="C154" s="30">
        <v>3</v>
      </c>
      <c r="D154" s="34">
        <v>4</v>
      </c>
      <c r="E154" s="30">
        <v>6</v>
      </c>
      <c r="J154" s="35"/>
      <c r="K154" s="30">
        <v>2</v>
      </c>
      <c r="L154" s="30">
        <v>3</v>
      </c>
      <c r="Q154" s="35"/>
      <c r="R154" s="30">
        <f t="shared" si="35"/>
        <v>846397440</v>
      </c>
      <c r="S154" s="30">
        <f t="shared" si="36"/>
        <v>622592</v>
      </c>
    </row>
    <row r="155" spans="1:19">
      <c r="A155" s="58">
        <v>6</v>
      </c>
      <c r="B155" s="58">
        <v>2</v>
      </c>
      <c r="C155" s="37">
        <v>3</v>
      </c>
      <c r="D155" s="36">
        <v>5</v>
      </c>
      <c r="E155" s="37">
        <v>6</v>
      </c>
      <c r="F155" s="37"/>
      <c r="G155" s="37"/>
      <c r="H155" s="37"/>
      <c r="I155" s="37"/>
      <c r="J155" s="38"/>
      <c r="K155" s="37">
        <v>2</v>
      </c>
      <c r="L155" s="37">
        <v>3</v>
      </c>
      <c r="M155" s="37"/>
      <c r="N155" s="37"/>
      <c r="O155" s="37"/>
      <c r="P155" s="37"/>
      <c r="Q155" s="38"/>
      <c r="R155" s="30">
        <f t="shared" si="35"/>
        <v>846659584</v>
      </c>
      <c r="S155" s="30">
        <f t="shared" si="36"/>
        <v>622592</v>
      </c>
    </row>
    <row r="156" spans="1:19">
      <c r="A156" s="59">
        <v>6</v>
      </c>
      <c r="B156" s="59">
        <v>2</v>
      </c>
      <c r="C156" s="32">
        <v>4</v>
      </c>
      <c r="D156" s="31">
        <v>1</v>
      </c>
      <c r="E156" s="32">
        <v>2</v>
      </c>
      <c r="F156" s="32"/>
      <c r="G156" s="32"/>
      <c r="H156" s="32"/>
      <c r="I156" s="32"/>
      <c r="J156" s="33"/>
      <c r="K156" s="32">
        <v>1</v>
      </c>
      <c r="L156" s="32">
        <v>2</v>
      </c>
      <c r="M156" s="32"/>
      <c r="N156" s="32"/>
      <c r="O156" s="32"/>
      <c r="P156" s="32"/>
      <c r="Q156" s="33"/>
      <c r="R156" s="30">
        <f t="shared" si="35"/>
        <v>847577088</v>
      </c>
      <c r="S156" s="30">
        <f t="shared" si="36"/>
        <v>327680</v>
      </c>
    </row>
    <row r="157" spans="1:19">
      <c r="A157" s="57">
        <v>6</v>
      </c>
      <c r="B157" s="57">
        <v>2</v>
      </c>
      <c r="C157" s="30">
        <v>4</v>
      </c>
      <c r="D157" s="34">
        <v>1</v>
      </c>
      <c r="E157" s="30">
        <v>3</v>
      </c>
      <c r="J157" s="35"/>
      <c r="K157" s="30">
        <v>1</v>
      </c>
      <c r="L157" s="30">
        <v>3</v>
      </c>
      <c r="Q157" s="35"/>
      <c r="R157" s="30">
        <f t="shared" si="35"/>
        <v>847609856</v>
      </c>
      <c r="S157" s="30">
        <f t="shared" si="36"/>
        <v>360448</v>
      </c>
    </row>
    <row r="158" spans="1:19">
      <c r="A158" s="57">
        <v>6</v>
      </c>
      <c r="B158" s="57">
        <v>2</v>
      </c>
      <c r="C158" s="30">
        <v>4</v>
      </c>
      <c r="D158" s="34">
        <v>1</v>
      </c>
      <c r="E158" s="30">
        <v>4</v>
      </c>
      <c r="J158" s="35"/>
      <c r="K158" s="30">
        <v>1</v>
      </c>
      <c r="L158" s="30">
        <v>4</v>
      </c>
      <c r="Q158" s="35"/>
      <c r="R158" s="30">
        <f t="shared" si="35"/>
        <v>847642624</v>
      </c>
      <c r="S158" s="30">
        <f t="shared" si="36"/>
        <v>393216</v>
      </c>
    </row>
    <row r="159" spans="1:19">
      <c r="A159" s="57">
        <v>6</v>
      </c>
      <c r="B159" s="57">
        <v>2</v>
      </c>
      <c r="C159" s="30">
        <v>4</v>
      </c>
      <c r="D159" s="34">
        <v>1</v>
      </c>
      <c r="E159" s="30">
        <v>5</v>
      </c>
      <c r="J159" s="35"/>
      <c r="K159" s="30">
        <v>1</v>
      </c>
      <c r="L159" s="30">
        <v>4</v>
      </c>
      <c r="Q159" s="35"/>
      <c r="R159" s="30">
        <f t="shared" si="35"/>
        <v>847675392</v>
      </c>
      <c r="S159" s="30">
        <f t="shared" si="36"/>
        <v>393216</v>
      </c>
    </row>
    <row r="160" spans="1:19">
      <c r="A160" s="57">
        <v>6</v>
      </c>
      <c r="B160" s="57">
        <v>2</v>
      </c>
      <c r="C160" s="30">
        <v>4</v>
      </c>
      <c r="D160" s="34">
        <v>1</v>
      </c>
      <c r="E160" s="30">
        <v>6</v>
      </c>
      <c r="J160" s="35"/>
      <c r="K160" s="30">
        <v>1</v>
      </c>
      <c r="L160" s="30">
        <v>4</v>
      </c>
      <c r="Q160" s="35"/>
      <c r="R160" s="30">
        <f t="shared" si="35"/>
        <v>847708160</v>
      </c>
      <c r="S160" s="30">
        <f t="shared" si="36"/>
        <v>393216</v>
      </c>
    </row>
    <row r="161" spans="1:19">
      <c r="A161" s="57">
        <v>6</v>
      </c>
      <c r="B161" s="57">
        <v>2</v>
      </c>
      <c r="C161" s="30">
        <v>4</v>
      </c>
      <c r="D161" s="34">
        <v>2</v>
      </c>
      <c r="E161" s="30">
        <v>3</v>
      </c>
      <c r="J161" s="35"/>
      <c r="K161" s="30">
        <v>2</v>
      </c>
      <c r="L161" s="30">
        <v>3</v>
      </c>
      <c r="Q161" s="35"/>
      <c r="R161" s="30">
        <f t="shared" si="35"/>
        <v>847872000</v>
      </c>
      <c r="S161" s="30">
        <f t="shared" si="36"/>
        <v>622592</v>
      </c>
    </row>
    <row r="162" spans="1:19">
      <c r="A162" s="57">
        <v>6</v>
      </c>
      <c r="B162" s="57">
        <v>2</v>
      </c>
      <c r="C162" s="30">
        <v>4</v>
      </c>
      <c r="D162" s="34">
        <v>2</v>
      </c>
      <c r="E162" s="30">
        <v>4</v>
      </c>
      <c r="J162" s="35"/>
      <c r="K162" s="30">
        <v>2</v>
      </c>
      <c r="L162" s="30">
        <v>4</v>
      </c>
      <c r="Q162" s="35"/>
      <c r="R162" s="30">
        <f t="shared" si="35"/>
        <v>847904768</v>
      </c>
      <c r="S162" s="30">
        <f t="shared" si="36"/>
        <v>655360</v>
      </c>
    </row>
    <row r="163" spans="1:19">
      <c r="A163" s="57">
        <v>6</v>
      </c>
      <c r="B163" s="57">
        <v>2</v>
      </c>
      <c r="C163" s="30">
        <v>4</v>
      </c>
      <c r="D163" s="34">
        <v>2</v>
      </c>
      <c r="E163" s="30">
        <v>5</v>
      </c>
      <c r="J163" s="35"/>
      <c r="K163" s="30">
        <v>2</v>
      </c>
      <c r="L163" s="30">
        <v>4</v>
      </c>
      <c r="Q163" s="35"/>
      <c r="R163" s="30">
        <f t="shared" si="35"/>
        <v>847937536</v>
      </c>
      <c r="S163" s="30">
        <f t="shared" si="36"/>
        <v>655360</v>
      </c>
    </row>
    <row r="164" spans="1:19">
      <c r="A164" s="57">
        <v>6</v>
      </c>
      <c r="B164" s="57">
        <v>2</v>
      </c>
      <c r="C164" s="30">
        <v>4</v>
      </c>
      <c r="D164" s="34">
        <v>2</v>
      </c>
      <c r="E164" s="30">
        <v>6</v>
      </c>
      <c r="J164" s="35"/>
      <c r="K164" s="30">
        <v>2</v>
      </c>
      <c r="L164" s="30">
        <v>4</v>
      </c>
      <c r="Q164" s="35"/>
      <c r="R164" s="30">
        <f t="shared" si="35"/>
        <v>847970304</v>
      </c>
      <c r="S164" s="30">
        <f t="shared" si="36"/>
        <v>655360</v>
      </c>
    </row>
    <row r="165" spans="1:19">
      <c r="A165" s="57">
        <v>6</v>
      </c>
      <c r="B165" s="57">
        <v>2</v>
      </c>
      <c r="C165" s="30">
        <v>4</v>
      </c>
      <c r="D165" s="34">
        <v>3</v>
      </c>
      <c r="E165" s="30">
        <v>4</v>
      </c>
      <c r="J165" s="35"/>
      <c r="K165" s="30">
        <v>3</v>
      </c>
      <c r="L165" s="30">
        <v>4</v>
      </c>
      <c r="Q165" s="35"/>
      <c r="R165" s="30">
        <f t="shared" si="35"/>
        <v>848166912</v>
      </c>
      <c r="S165" s="30">
        <f t="shared" si="36"/>
        <v>917504</v>
      </c>
    </row>
    <row r="166" spans="1:19">
      <c r="A166" s="57">
        <v>6</v>
      </c>
      <c r="B166" s="57">
        <v>2</v>
      </c>
      <c r="C166" s="30">
        <v>4</v>
      </c>
      <c r="D166" s="34">
        <v>3</v>
      </c>
      <c r="E166" s="30">
        <v>5</v>
      </c>
      <c r="J166" s="35"/>
      <c r="K166" s="30">
        <v>3</v>
      </c>
      <c r="L166" s="30">
        <v>4</v>
      </c>
      <c r="Q166" s="35"/>
      <c r="R166" s="30">
        <f t="shared" si="35"/>
        <v>848199680</v>
      </c>
      <c r="S166" s="30">
        <f t="shared" si="36"/>
        <v>917504</v>
      </c>
    </row>
    <row r="167" spans="1:19">
      <c r="A167" s="57">
        <v>6</v>
      </c>
      <c r="B167" s="57">
        <v>2</v>
      </c>
      <c r="C167" s="30">
        <v>4</v>
      </c>
      <c r="D167" s="34">
        <v>3</v>
      </c>
      <c r="E167" s="30">
        <v>6</v>
      </c>
      <c r="J167" s="35"/>
      <c r="K167" s="30">
        <v>3</v>
      </c>
      <c r="L167" s="30">
        <v>4</v>
      </c>
      <c r="Q167" s="35"/>
      <c r="R167" s="30">
        <f t="shared" si="35"/>
        <v>848232448</v>
      </c>
      <c r="S167" s="30">
        <f t="shared" si="36"/>
        <v>917504</v>
      </c>
    </row>
    <row r="168" spans="1:19">
      <c r="A168" s="57">
        <v>6</v>
      </c>
      <c r="B168" s="57">
        <v>2</v>
      </c>
      <c r="C168" s="30">
        <v>4</v>
      </c>
      <c r="D168" s="34">
        <v>4</v>
      </c>
      <c r="E168" s="30">
        <v>5</v>
      </c>
      <c r="J168" s="35"/>
      <c r="K168" s="30">
        <v>2</v>
      </c>
      <c r="L168" s="30">
        <v>3</v>
      </c>
      <c r="Q168" s="35"/>
      <c r="R168" s="30">
        <f t="shared" si="35"/>
        <v>848461824</v>
      </c>
      <c r="S168" s="30">
        <f t="shared" si="36"/>
        <v>622592</v>
      </c>
    </row>
    <row r="169" spans="1:19">
      <c r="A169" s="57">
        <v>6</v>
      </c>
      <c r="B169" s="57">
        <v>2</v>
      </c>
      <c r="C169" s="30">
        <v>4</v>
      </c>
      <c r="D169" s="34">
        <v>4</v>
      </c>
      <c r="E169" s="30">
        <v>6</v>
      </c>
      <c r="J169" s="35"/>
      <c r="K169" s="30">
        <v>2</v>
      </c>
      <c r="L169" s="30">
        <v>4</v>
      </c>
      <c r="Q169" s="35"/>
      <c r="R169" s="30">
        <f t="shared" si="35"/>
        <v>848494592</v>
      </c>
      <c r="S169" s="30">
        <f t="shared" si="36"/>
        <v>655360</v>
      </c>
    </row>
    <row r="170" spans="1:19">
      <c r="A170" s="58">
        <v>6</v>
      </c>
      <c r="B170" s="58">
        <v>2</v>
      </c>
      <c r="C170" s="37">
        <v>4</v>
      </c>
      <c r="D170" s="36">
        <v>5</v>
      </c>
      <c r="E170" s="37">
        <v>6</v>
      </c>
      <c r="F170" s="37"/>
      <c r="G170" s="37"/>
      <c r="H170" s="37"/>
      <c r="I170" s="37"/>
      <c r="J170" s="38"/>
      <c r="K170" s="37">
        <v>3</v>
      </c>
      <c r="L170" s="37">
        <v>4</v>
      </c>
      <c r="M170" s="37"/>
      <c r="N170" s="37"/>
      <c r="O170" s="37"/>
      <c r="P170" s="37"/>
      <c r="Q170" s="38"/>
      <c r="R170" s="30">
        <f t="shared" si="35"/>
        <v>848756736</v>
      </c>
      <c r="S170" s="30">
        <f t="shared" si="36"/>
        <v>917504</v>
      </c>
    </row>
    <row r="171" spans="1:19">
      <c r="A171" s="59">
        <v>6</v>
      </c>
      <c r="B171" s="59">
        <v>2</v>
      </c>
      <c r="C171" s="32">
        <v>5</v>
      </c>
      <c r="D171" s="31">
        <v>1</v>
      </c>
      <c r="E171" s="32">
        <v>2</v>
      </c>
      <c r="F171" s="32"/>
      <c r="G171" s="32"/>
      <c r="H171" s="32"/>
      <c r="I171" s="32"/>
      <c r="J171" s="33"/>
      <c r="K171" s="32">
        <v>1</v>
      </c>
      <c r="L171" s="32">
        <v>2</v>
      </c>
      <c r="M171" s="32"/>
      <c r="N171" s="32"/>
      <c r="O171" s="32"/>
      <c r="P171" s="32"/>
      <c r="Q171" s="33"/>
      <c r="R171" s="30">
        <f t="shared" si="35"/>
        <v>849674240</v>
      </c>
      <c r="S171" s="30">
        <f t="shared" si="36"/>
        <v>327680</v>
      </c>
    </row>
    <row r="172" spans="1:19">
      <c r="A172" s="57">
        <v>6</v>
      </c>
      <c r="B172" s="57">
        <v>2</v>
      </c>
      <c r="C172" s="30">
        <v>5</v>
      </c>
      <c r="D172" s="34">
        <v>1</v>
      </c>
      <c r="E172" s="30">
        <v>3</v>
      </c>
      <c r="J172" s="35"/>
      <c r="K172" s="30">
        <v>1</v>
      </c>
      <c r="L172" s="30">
        <v>3</v>
      </c>
      <c r="Q172" s="35"/>
      <c r="R172" s="30">
        <f t="shared" si="35"/>
        <v>849707008</v>
      </c>
      <c r="S172" s="30">
        <f t="shared" si="36"/>
        <v>360448</v>
      </c>
    </row>
    <row r="173" spans="1:19">
      <c r="A173" s="57">
        <v>6</v>
      </c>
      <c r="B173" s="57">
        <v>2</v>
      </c>
      <c r="C173" s="30">
        <v>5</v>
      </c>
      <c r="D173" s="34">
        <v>1</v>
      </c>
      <c r="E173" s="30">
        <v>4</v>
      </c>
      <c r="J173" s="35"/>
      <c r="K173" s="30">
        <v>1</v>
      </c>
      <c r="L173" s="30">
        <v>4</v>
      </c>
      <c r="Q173" s="35"/>
      <c r="R173" s="30">
        <f t="shared" si="35"/>
        <v>849739776</v>
      </c>
      <c r="S173" s="30">
        <f t="shared" si="36"/>
        <v>393216</v>
      </c>
    </row>
    <row r="174" spans="1:19">
      <c r="A174" s="57">
        <v>6</v>
      </c>
      <c r="B174" s="57">
        <v>2</v>
      </c>
      <c r="C174" s="30">
        <v>5</v>
      </c>
      <c r="D174" s="34">
        <v>1</v>
      </c>
      <c r="E174" s="30">
        <v>5</v>
      </c>
      <c r="J174" s="35"/>
      <c r="K174" s="30">
        <v>1</v>
      </c>
      <c r="L174" s="30">
        <v>5</v>
      </c>
      <c r="Q174" s="35"/>
      <c r="R174" s="30">
        <f t="shared" si="35"/>
        <v>849772544</v>
      </c>
      <c r="S174" s="30">
        <f t="shared" si="36"/>
        <v>425984</v>
      </c>
    </row>
    <row r="175" spans="1:19">
      <c r="A175" s="57">
        <v>6</v>
      </c>
      <c r="B175" s="57">
        <v>2</v>
      </c>
      <c r="C175" s="30">
        <v>5</v>
      </c>
      <c r="D175" s="34">
        <v>1</v>
      </c>
      <c r="E175" s="30">
        <v>6</v>
      </c>
      <c r="J175" s="35"/>
      <c r="K175" s="30">
        <v>1</v>
      </c>
      <c r="L175" s="30">
        <v>5</v>
      </c>
      <c r="Q175" s="35"/>
      <c r="R175" s="30">
        <f t="shared" si="35"/>
        <v>849805312</v>
      </c>
      <c r="S175" s="30">
        <f t="shared" si="36"/>
        <v>425984</v>
      </c>
    </row>
    <row r="176" spans="1:19">
      <c r="A176" s="57">
        <v>6</v>
      </c>
      <c r="B176" s="57">
        <v>2</v>
      </c>
      <c r="C176" s="30">
        <v>5</v>
      </c>
      <c r="D176" s="34">
        <v>2</v>
      </c>
      <c r="E176" s="30">
        <v>3</v>
      </c>
      <c r="J176" s="35"/>
      <c r="K176" s="30">
        <v>2</v>
      </c>
      <c r="L176" s="30">
        <v>3</v>
      </c>
      <c r="Q176" s="35"/>
      <c r="R176" s="30">
        <f t="shared" si="35"/>
        <v>849969152</v>
      </c>
      <c r="S176" s="30">
        <f t="shared" si="36"/>
        <v>622592</v>
      </c>
    </row>
    <row r="177" spans="1:19">
      <c r="A177" s="57">
        <v>6</v>
      </c>
      <c r="B177" s="57">
        <v>2</v>
      </c>
      <c r="C177" s="30">
        <v>5</v>
      </c>
      <c r="D177" s="34">
        <v>2</v>
      </c>
      <c r="E177" s="30">
        <v>4</v>
      </c>
      <c r="J177" s="35"/>
      <c r="K177" s="30">
        <v>2</v>
      </c>
      <c r="L177" s="30">
        <v>4</v>
      </c>
      <c r="Q177" s="35"/>
      <c r="R177" s="30">
        <f t="shared" si="35"/>
        <v>850001920</v>
      </c>
      <c r="S177" s="30">
        <f t="shared" si="36"/>
        <v>655360</v>
      </c>
    </row>
    <row r="178" spans="1:19">
      <c r="A178" s="57">
        <v>6</v>
      </c>
      <c r="B178" s="57">
        <v>2</v>
      </c>
      <c r="C178" s="30">
        <v>5</v>
      </c>
      <c r="D178" s="34">
        <v>2</v>
      </c>
      <c r="E178" s="30">
        <v>5</v>
      </c>
      <c r="J178" s="35"/>
      <c r="K178" s="30">
        <v>2</v>
      </c>
      <c r="L178" s="30">
        <v>5</v>
      </c>
      <c r="Q178" s="35"/>
      <c r="R178" s="30">
        <f t="shared" si="35"/>
        <v>850034688</v>
      </c>
      <c r="S178" s="30">
        <f t="shared" si="36"/>
        <v>688128</v>
      </c>
    </row>
    <row r="179" spans="1:19">
      <c r="A179" s="57">
        <v>6</v>
      </c>
      <c r="B179" s="57">
        <v>2</v>
      </c>
      <c r="C179" s="30">
        <v>5</v>
      </c>
      <c r="D179" s="34">
        <v>2</v>
      </c>
      <c r="E179" s="30">
        <v>6</v>
      </c>
      <c r="J179" s="35"/>
      <c r="K179" s="30">
        <v>2</v>
      </c>
      <c r="L179" s="30">
        <v>5</v>
      </c>
      <c r="Q179" s="35"/>
      <c r="R179" s="30">
        <f t="shared" si="35"/>
        <v>850067456</v>
      </c>
      <c r="S179" s="30">
        <f t="shared" si="36"/>
        <v>688128</v>
      </c>
    </row>
    <row r="180" spans="1:19">
      <c r="A180" s="57">
        <v>6</v>
      </c>
      <c r="B180" s="57">
        <v>2</v>
      </c>
      <c r="C180" s="30">
        <v>5</v>
      </c>
      <c r="D180" s="34">
        <v>3</v>
      </c>
      <c r="E180" s="30">
        <v>4</v>
      </c>
      <c r="J180" s="35"/>
      <c r="K180" s="34">
        <v>3</v>
      </c>
      <c r="L180" s="30">
        <v>4</v>
      </c>
      <c r="Q180" s="35"/>
      <c r="R180" s="30">
        <f t="shared" si="35"/>
        <v>850264064</v>
      </c>
      <c r="S180" s="30">
        <f t="shared" si="36"/>
        <v>917504</v>
      </c>
    </row>
    <row r="181" spans="1:19">
      <c r="A181" s="57">
        <v>6</v>
      </c>
      <c r="B181" s="57">
        <v>2</v>
      </c>
      <c r="C181" s="30">
        <v>5</v>
      </c>
      <c r="D181" s="34">
        <v>3</v>
      </c>
      <c r="E181" s="30">
        <v>5</v>
      </c>
      <c r="J181" s="35"/>
      <c r="K181" s="34">
        <v>3</v>
      </c>
      <c r="L181" s="30">
        <v>5</v>
      </c>
      <c r="Q181" s="35"/>
      <c r="R181" s="30">
        <f t="shared" si="35"/>
        <v>850296832</v>
      </c>
      <c r="S181" s="30">
        <f t="shared" si="36"/>
        <v>950272</v>
      </c>
    </row>
    <row r="182" spans="1:19">
      <c r="A182" s="57">
        <v>6</v>
      </c>
      <c r="B182" s="57">
        <v>2</v>
      </c>
      <c r="C182" s="30">
        <v>5</v>
      </c>
      <c r="D182" s="34">
        <v>3</v>
      </c>
      <c r="E182" s="30">
        <v>6</v>
      </c>
      <c r="J182" s="35"/>
      <c r="K182" s="30">
        <v>3</v>
      </c>
      <c r="L182" s="30">
        <v>5</v>
      </c>
      <c r="Q182" s="35"/>
      <c r="R182" s="30">
        <f t="shared" si="35"/>
        <v>850329600</v>
      </c>
      <c r="S182" s="30">
        <f t="shared" si="36"/>
        <v>950272</v>
      </c>
    </row>
    <row r="183" spans="1:19">
      <c r="A183" s="57">
        <v>6</v>
      </c>
      <c r="B183" s="57">
        <v>2</v>
      </c>
      <c r="C183" s="30">
        <v>5</v>
      </c>
      <c r="D183" s="34">
        <v>4</v>
      </c>
      <c r="E183" s="30">
        <v>5</v>
      </c>
      <c r="J183" s="35"/>
      <c r="K183" s="30">
        <v>4</v>
      </c>
      <c r="L183" s="30">
        <v>5</v>
      </c>
      <c r="Q183" s="35"/>
      <c r="R183" s="30">
        <f t="shared" si="35"/>
        <v>850558976</v>
      </c>
      <c r="S183" s="30">
        <f t="shared" si="36"/>
        <v>1212416</v>
      </c>
    </row>
    <row r="184" spans="1:19">
      <c r="A184" s="57">
        <v>6</v>
      </c>
      <c r="B184" s="57">
        <v>2</v>
      </c>
      <c r="C184" s="30">
        <v>5</v>
      </c>
      <c r="D184" s="34">
        <v>4</v>
      </c>
      <c r="E184" s="30">
        <v>6</v>
      </c>
      <c r="J184" s="35"/>
      <c r="K184" s="30">
        <v>4</v>
      </c>
      <c r="L184" s="30">
        <v>5</v>
      </c>
      <c r="Q184" s="35"/>
      <c r="R184" s="30">
        <f t="shared" si="35"/>
        <v>850591744</v>
      </c>
      <c r="S184" s="30">
        <f t="shared" si="36"/>
        <v>1212416</v>
      </c>
    </row>
    <row r="185" spans="1:19">
      <c r="A185" s="58">
        <v>6</v>
      </c>
      <c r="B185" s="58">
        <v>2</v>
      </c>
      <c r="C185" s="37">
        <v>5</v>
      </c>
      <c r="D185" s="36">
        <v>5</v>
      </c>
      <c r="E185" s="37">
        <v>6</v>
      </c>
      <c r="F185" s="37"/>
      <c r="G185" s="37"/>
      <c r="H185" s="37"/>
      <c r="I185" s="37"/>
      <c r="J185" s="38"/>
      <c r="K185" s="37">
        <v>4</v>
      </c>
      <c r="L185" s="37">
        <v>5</v>
      </c>
      <c r="M185" s="37"/>
      <c r="N185" s="37"/>
      <c r="O185" s="37"/>
      <c r="P185" s="37"/>
      <c r="Q185" s="38"/>
      <c r="R185" s="30">
        <f t="shared" si="35"/>
        <v>850853888</v>
      </c>
      <c r="S185" s="30">
        <f t="shared" si="36"/>
        <v>1212416</v>
      </c>
    </row>
    <row r="186" spans="1:19">
      <c r="A186" s="59">
        <v>6</v>
      </c>
      <c r="B186" s="59">
        <v>3</v>
      </c>
      <c r="C186" s="32">
        <v>3</v>
      </c>
      <c r="D186" s="31">
        <v>1</v>
      </c>
      <c r="E186" s="32">
        <v>2</v>
      </c>
      <c r="F186" s="32">
        <v>3</v>
      </c>
      <c r="G186" s="32"/>
      <c r="H186" s="32"/>
      <c r="I186" s="32"/>
      <c r="J186" s="33"/>
      <c r="K186" s="32">
        <v>1</v>
      </c>
      <c r="L186" s="32">
        <v>2</v>
      </c>
      <c r="M186" s="32">
        <v>3</v>
      </c>
      <c r="N186" s="32"/>
      <c r="O186" s="32"/>
      <c r="P186" s="32"/>
      <c r="Q186" s="33"/>
      <c r="R186" s="30">
        <f t="shared" si="35"/>
        <v>862269440</v>
      </c>
      <c r="S186" s="30">
        <f t="shared" si="36"/>
        <v>339968</v>
      </c>
    </row>
    <row r="187" spans="1:19">
      <c r="A187" s="57">
        <v>6</v>
      </c>
      <c r="B187" s="57">
        <v>3</v>
      </c>
      <c r="C187" s="30">
        <v>3</v>
      </c>
      <c r="D187" s="34">
        <v>1</v>
      </c>
      <c r="E187" s="30">
        <v>2</v>
      </c>
      <c r="F187" s="30">
        <v>4</v>
      </c>
      <c r="J187" s="35"/>
      <c r="K187" s="30">
        <v>1</v>
      </c>
      <c r="L187" s="30">
        <v>2</v>
      </c>
      <c r="M187" s="30">
        <v>3</v>
      </c>
      <c r="Q187" s="35"/>
      <c r="R187" s="30">
        <f t="shared" si="35"/>
        <v>862273536</v>
      </c>
      <c r="S187" s="30">
        <f t="shared" si="36"/>
        <v>339968</v>
      </c>
    </row>
    <row r="188" spans="1:19">
      <c r="A188" s="57">
        <v>6</v>
      </c>
      <c r="B188" s="57">
        <v>3</v>
      </c>
      <c r="C188" s="30">
        <v>3</v>
      </c>
      <c r="D188" s="34">
        <v>1</v>
      </c>
      <c r="E188" s="30">
        <v>2</v>
      </c>
      <c r="F188" s="30">
        <v>5</v>
      </c>
      <c r="J188" s="35"/>
      <c r="K188" s="30">
        <v>1</v>
      </c>
      <c r="L188" s="30">
        <v>2</v>
      </c>
      <c r="M188" s="30">
        <v>3</v>
      </c>
      <c r="Q188" s="35"/>
      <c r="R188" s="30">
        <f t="shared" si="35"/>
        <v>862277632</v>
      </c>
      <c r="S188" s="30">
        <f t="shared" si="36"/>
        <v>339968</v>
      </c>
    </row>
    <row r="189" spans="1:19">
      <c r="A189" s="57">
        <v>6</v>
      </c>
      <c r="B189" s="57">
        <v>3</v>
      </c>
      <c r="C189" s="30">
        <v>3</v>
      </c>
      <c r="D189" s="34">
        <v>1</v>
      </c>
      <c r="E189" s="30">
        <v>2</v>
      </c>
      <c r="F189" s="30">
        <v>6</v>
      </c>
      <c r="J189" s="35"/>
      <c r="K189" s="30">
        <v>1</v>
      </c>
      <c r="L189" s="30">
        <v>2</v>
      </c>
      <c r="M189" s="30">
        <v>3</v>
      </c>
      <c r="Q189" s="35"/>
      <c r="R189" s="30">
        <f t="shared" si="35"/>
        <v>862281728</v>
      </c>
      <c r="S189" s="30">
        <f t="shared" si="36"/>
        <v>339968</v>
      </c>
    </row>
    <row r="190" spans="1:19">
      <c r="A190" s="57">
        <v>6</v>
      </c>
      <c r="B190" s="57">
        <v>3</v>
      </c>
      <c r="C190" s="30">
        <v>3</v>
      </c>
      <c r="D190" s="34">
        <v>1</v>
      </c>
      <c r="E190" s="30">
        <v>3</v>
      </c>
      <c r="F190" s="30">
        <v>4</v>
      </c>
      <c r="J190" s="35"/>
      <c r="K190" s="30">
        <v>1</v>
      </c>
      <c r="L190" s="30">
        <v>2</v>
      </c>
      <c r="M190" s="30">
        <v>3</v>
      </c>
      <c r="Q190" s="35"/>
      <c r="R190" s="30">
        <f t="shared" si="35"/>
        <v>862306304</v>
      </c>
      <c r="S190" s="30">
        <f t="shared" si="36"/>
        <v>339968</v>
      </c>
    </row>
    <row r="191" spans="1:19">
      <c r="A191" s="57">
        <v>6</v>
      </c>
      <c r="B191" s="57">
        <v>3</v>
      </c>
      <c r="C191" s="30">
        <v>3</v>
      </c>
      <c r="D191" s="34">
        <v>1</v>
      </c>
      <c r="E191" s="30">
        <v>3</v>
      </c>
      <c r="F191" s="30">
        <v>5</v>
      </c>
      <c r="J191" s="35"/>
      <c r="K191" s="30">
        <v>1</v>
      </c>
      <c r="L191" s="30">
        <v>2</v>
      </c>
      <c r="M191" s="30">
        <v>3</v>
      </c>
      <c r="Q191" s="35"/>
      <c r="R191" s="30">
        <f t="shared" si="35"/>
        <v>862310400</v>
      </c>
      <c r="S191" s="30">
        <f t="shared" si="36"/>
        <v>339968</v>
      </c>
    </row>
    <row r="192" spans="1:19">
      <c r="A192" s="57">
        <v>6</v>
      </c>
      <c r="B192" s="57">
        <v>3</v>
      </c>
      <c r="C192" s="30">
        <v>3</v>
      </c>
      <c r="D192" s="34">
        <v>1</v>
      </c>
      <c r="E192" s="30">
        <v>3</v>
      </c>
      <c r="F192" s="30">
        <v>6</v>
      </c>
      <c r="J192" s="35"/>
      <c r="K192" s="30">
        <v>1</v>
      </c>
      <c r="L192" s="30">
        <v>2</v>
      </c>
      <c r="M192" s="30">
        <v>3</v>
      </c>
      <c r="Q192" s="35"/>
      <c r="R192" s="30">
        <f t="shared" si="35"/>
        <v>862314496</v>
      </c>
      <c r="S192" s="30">
        <f t="shared" si="36"/>
        <v>339968</v>
      </c>
    </row>
    <row r="193" spans="1:19">
      <c r="A193" s="57">
        <v>6</v>
      </c>
      <c r="B193" s="57">
        <v>3</v>
      </c>
      <c r="C193" s="30">
        <v>3</v>
      </c>
      <c r="D193" s="34">
        <v>1</v>
      </c>
      <c r="E193" s="30">
        <v>4</v>
      </c>
      <c r="F193" s="30">
        <v>5</v>
      </c>
      <c r="J193" s="35"/>
      <c r="K193" s="30">
        <v>1</v>
      </c>
      <c r="L193" s="30">
        <v>2</v>
      </c>
      <c r="M193" s="30">
        <v>3</v>
      </c>
      <c r="Q193" s="35"/>
      <c r="R193" s="30">
        <f t="shared" si="35"/>
        <v>862343168</v>
      </c>
      <c r="S193" s="30">
        <f t="shared" si="36"/>
        <v>339968</v>
      </c>
    </row>
    <row r="194" spans="1:19">
      <c r="A194" s="57">
        <v>6</v>
      </c>
      <c r="B194" s="57">
        <v>3</v>
      </c>
      <c r="C194" s="30">
        <v>3</v>
      </c>
      <c r="D194" s="34">
        <v>1</v>
      </c>
      <c r="E194" s="30">
        <v>4</v>
      </c>
      <c r="F194" s="30">
        <v>6</v>
      </c>
      <c r="J194" s="35"/>
      <c r="K194" s="30">
        <v>1</v>
      </c>
      <c r="L194" s="30">
        <v>2</v>
      </c>
      <c r="M194" s="30">
        <v>3</v>
      </c>
      <c r="Q194" s="35"/>
      <c r="R194" s="30">
        <f t="shared" si="35"/>
        <v>862347264</v>
      </c>
      <c r="S194" s="30">
        <f t="shared" si="36"/>
        <v>339968</v>
      </c>
    </row>
    <row r="195" spans="1:19">
      <c r="A195" s="57">
        <v>6</v>
      </c>
      <c r="B195" s="57">
        <v>3</v>
      </c>
      <c r="C195" s="30">
        <v>3</v>
      </c>
      <c r="D195" s="34">
        <v>1</v>
      </c>
      <c r="E195" s="30">
        <v>5</v>
      </c>
      <c r="F195" s="30">
        <v>6</v>
      </c>
      <c r="J195" s="35"/>
      <c r="K195" s="30">
        <v>1</v>
      </c>
      <c r="L195" s="30">
        <v>2</v>
      </c>
      <c r="M195" s="30">
        <v>3</v>
      </c>
      <c r="Q195" s="35"/>
      <c r="R195" s="30">
        <f t="shared" ref="R195:R258" si="37">J195*8^0+I195*8^1+H195*8^2+G195*8^3+F195*8^4+E195*8^5+D195*8^6+C195*8^7+B195*8^8+A195*8^9</f>
        <v>862380032</v>
      </c>
      <c r="S195" s="30">
        <f t="shared" si="36"/>
        <v>339968</v>
      </c>
    </row>
    <row r="196" spans="1:19">
      <c r="A196" s="57">
        <v>6</v>
      </c>
      <c r="B196" s="57">
        <v>3</v>
      </c>
      <c r="C196" s="30">
        <v>3</v>
      </c>
      <c r="D196" s="34">
        <v>2</v>
      </c>
      <c r="E196" s="30">
        <v>3</v>
      </c>
      <c r="F196" s="30">
        <v>4</v>
      </c>
      <c r="J196" s="35"/>
      <c r="K196" s="30">
        <v>1</v>
      </c>
      <c r="L196" s="30">
        <v>2</v>
      </c>
      <c r="M196" s="30">
        <v>3</v>
      </c>
      <c r="Q196" s="35"/>
      <c r="R196" s="30">
        <f t="shared" si="37"/>
        <v>862568448</v>
      </c>
      <c r="S196" s="30">
        <f t="shared" si="36"/>
        <v>339968</v>
      </c>
    </row>
    <row r="197" spans="1:19">
      <c r="A197" s="57">
        <v>6</v>
      </c>
      <c r="B197" s="57">
        <v>3</v>
      </c>
      <c r="C197" s="30">
        <v>3</v>
      </c>
      <c r="D197" s="34">
        <v>2</v>
      </c>
      <c r="E197" s="30">
        <v>3</v>
      </c>
      <c r="F197" s="30">
        <v>5</v>
      </c>
      <c r="J197" s="35"/>
      <c r="K197" s="30">
        <v>1</v>
      </c>
      <c r="L197" s="30">
        <v>2</v>
      </c>
      <c r="M197" s="30">
        <v>3</v>
      </c>
      <c r="Q197" s="35"/>
      <c r="R197" s="30">
        <f t="shared" si="37"/>
        <v>862572544</v>
      </c>
      <c r="S197" s="30">
        <f t="shared" ref="S197:S260" si="38">Q197*8^0+P197*8^1+O197*8^2+N197*8^3+M197*8^4+L197*8^5+K197*8^6</f>
        <v>339968</v>
      </c>
    </row>
    <row r="198" spans="1:19">
      <c r="A198" s="57">
        <v>6</v>
      </c>
      <c r="B198" s="57">
        <v>3</v>
      </c>
      <c r="C198" s="30">
        <v>3</v>
      </c>
      <c r="D198" s="34">
        <v>2</v>
      </c>
      <c r="E198" s="30">
        <v>3</v>
      </c>
      <c r="F198" s="30">
        <v>6</v>
      </c>
      <c r="J198" s="35"/>
      <c r="K198" s="30">
        <v>1</v>
      </c>
      <c r="L198" s="30">
        <v>2</v>
      </c>
      <c r="M198" s="30">
        <v>3</v>
      </c>
      <c r="Q198" s="35"/>
      <c r="R198" s="30">
        <f t="shared" si="37"/>
        <v>862576640</v>
      </c>
      <c r="S198" s="30">
        <f t="shared" si="38"/>
        <v>339968</v>
      </c>
    </row>
    <row r="199" spans="1:19">
      <c r="A199" s="57">
        <v>6</v>
      </c>
      <c r="B199" s="57">
        <v>3</v>
      </c>
      <c r="C199" s="30">
        <v>3</v>
      </c>
      <c r="D199" s="34">
        <v>2</v>
      </c>
      <c r="E199" s="30">
        <v>4</v>
      </c>
      <c r="F199" s="30">
        <v>5</v>
      </c>
      <c r="J199" s="35"/>
      <c r="K199" s="30">
        <v>1</v>
      </c>
      <c r="L199" s="30">
        <v>2</v>
      </c>
      <c r="M199" s="30">
        <v>3</v>
      </c>
      <c r="Q199" s="35"/>
      <c r="R199" s="30">
        <f t="shared" si="37"/>
        <v>862605312</v>
      </c>
      <c r="S199" s="30">
        <f t="shared" si="38"/>
        <v>339968</v>
      </c>
    </row>
    <row r="200" spans="1:19">
      <c r="A200" s="57">
        <v>6</v>
      </c>
      <c r="B200" s="57">
        <v>3</v>
      </c>
      <c r="C200" s="30">
        <v>3</v>
      </c>
      <c r="D200" s="34">
        <v>2</v>
      </c>
      <c r="E200" s="30">
        <v>4</v>
      </c>
      <c r="F200" s="30">
        <v>6</v>
      </c>
      <c r="J200" s="35"/>
      <c r="K200" s="30">
        <v>1</v>
      </c>
      <c r="L200" s="30">
        <v>2</v>
      </c>
      <c r="M200" s="30">
        <v>3</v>
      </c>
      <c r="Q200" s="35"/>
      <c r="R200" s="30">
        <f t="shared" si="37"/>
        <v>862609408</v>
      </c>
      <c r="S200" s="30">
        <f t="shared" si="38"/>
        <v>339968</v>
      </c>
    </row>
    <row r="201" spans="1:19">
      <c r="A201" s="57">
        <v>6</v>
      </c>
      <c r="B201" s="57">
        <v>3</v>
      </c>
      <c r="C201" s="30">
        <v>3</v>
      </c>
      <c r="D201" s="34">
        <v>2</v>
      </c>
      <c r="E201" s="30">
        <v>5</v>
      </c>
      <c r="F201" s="30">
        <v>6</v>
      </c>
      <c r="J201" s="35"/>
      <c r="K201" s="30">
        <v>1</v>
      </c>
      <c r="L201" s="30">
        <v>2</v>
      </c>
      <c r="M201" s="30">
        <v>3</v>
      </c>
      <c r="Q201" s="35"/>
      <c r="R201" s="30">
        <f t="shared" si="37"/>
        <v>862642176</v>
      </c>
      <c r="S201" s="30">
        <f t="shared" si="38"/>
        <v>339968</v>
      </c>
    </row>
    <row r="202" spans="1:19">
      <c r="A202" s="57">
        <v>6</v>
      </c>
      <c r="B202" s="57">
        <v>3</v>
      </c>
      <c r="C202" s="30">
        <v>3</v>
      </c>
      <c r="D202" s="34">
        <v>3</v>
      </c>
      <c r="E202" s="30">
        <v>4</v>
      </c>
      <c r="F202" s="30">
        <v>5</v>
      </c>
      <c r="J202" s="35"/>
      <c r="K202" s="30">
        <v>1</v>
      </c>
      <c r="L202" s="30">
        <v>2</v>
      </c>
      <c r="M202" s="30">
        <v>3</v>
      </c>
      <c r="Q202" s="35"/>
      <c r="R202" s="30">
        <f t="shared" si="37"/>
        <v>862867456</v>
      </c>
      <c r="S202" s="30">
        <f t="shared" si="38"/>
        <v>339968</v>
      </c>
    </row>
    <row r="203" spans="1:19">
      <c r="A203" s="57">
        <v>6</v>
      </c>
      <c r="B203" s="57">
        <v>3</v>
      </c>
      <c r="C203" s="30">
        <v>3</v>
      </c>
      <c r="D203" s="34">
        <v>3</v>
      </c>
      <c r="E203" s="30">
        <v>4</v>
      </c>
      <c r="F203" s="30">
        <v>6</v>
      </c>
      <c r="J203" s="35"/>
      <c r="K203" s="30">
        <v>1</v>
      </c>
      <c r="L203" s="30">
        <v>2</v>
      </c>
      <c r="M203" s="30">
        <v>3</v>
      </c>
      <c r="Q203" s="35"/>
      <c r="R203" s="30">
        <f t="shared" si="37"/>
        <v>862871552</v>
      </c>
      <c r="S203" s="30">
        <f t="shared" si="38"/>
        <v>339968</v>
      </c>
    </row>
    <row r="204" spans="1:19">
      <c r="A204" s="57">
        <v>6</v>
      </c>
      <c r="B204" s="57">
        <v>3</v>
      </c>
      <c r="C204" s="30">
        <v>3</v>
      </c>
      <c r="D204" s="34">
        <v>3</v>
      </c>
      <c r="E204" s="30">
        <v>5</v>
      </c>
      <c r="F204" s="30">
        <v>6</v>
      </c>
      <c r="J204" s="35"/>
      <c r="K204" s="30">
        <v>1</v>
      </c>
      <c r="L204" s="30">
        <v>2</v>
      </c>
      <c r="M204" s="30">
        <v>3</v>
      </c>
      <c r="Q204" s="35"/>
      <c r="R204" s="30">
        <f t="shared" si="37"/>
        <v>862904320</v>
      </c>
      <c r="S204" s="30">
        <f t="shared" si="38"/>
        <v>339968</v>
      </c>
    </row>
    <row r="205" spans="1:19">
      <c r="A205" s="58">
        <v>6</v>
      </c>
      <c r="B205" s="58">
        <v>3</v>
      </c>
      <c r="C205" s="37">
        <v>3</v>
      </c>
      <c r="D205" s="36">
        <v>4</v>
      </c>
      <c r="E205" s="37">
        <v>5</v>
      </c>
      <c r="F205" s="37">
        <v>6</v>
      </c>
      <c r="G205" s="37"/>
      <c r="H205" s="37"/>
      <c r="I205" s="37"/>
      <c r="J205" s="38"/>
      <c r="K205" s="37">
        <v>1</v>
      </c>
      <c r="L205" s="37">
        <v>2</v>
      </c>
      <c r="M205" s="37">
        <v>3</v>
      </c>
      <c r="N205" s="37"/>
      <c r="O205" s="37"/>
      <c r="P205" s="37"/>
      <c r="Q205" s="38"/>
      <c r="R205" s="30">
        <f t="shared" si="37"/>
        <v>863166464</v>
      </c>
      <c r="S205" s="30">
        <f t="shared" si="38"/>
        <v>339968</v>
      </c>
    </row>
    <row r="206" spans="1:19">
      <c r="A206" s="59">
        <v>6</v>
      </c>
      <c r="B206" s="59">
        <v>3</v>
      </c>
      <c r="C206" s="32">
        <v>4</v>
      </c>
      <c r="D206" s="31">
        <v>1</v>
      </c>
      <c r="E206" s="32">
        <v>2</v>
      </c>
      <c r="F206" s="32">
        <v>3</v>
      </c>
      <c r="G206" s="32"/>
      <c r="H206" s="32"/>
      <c r="I206" s="32"/>
      <c r="J206" s="33"/>
      <c r="K206" s="32">
        <v>1</v>
      </c>
      <c r="L206" s="32">
        <v>2</v>
      </c>
      <c r="M206" s="32">
        <v>3</v>
      </c>
      <c r="N206" s="32"/>
      <c r="O206" s="32"/>
      <c r="P206" s="32"/>
      <c r="Q206" s="33"/>
      <c r="R206" s="30">
        <f t="shared" si="37"/>
        <v>864366592</v>
      </c>
      <c r="S206" s="30">
        <f t="shared" si="38"/>
        <v>339968</v>
      </c>
    </row>
    <row r="207" spans="1:19">
      <c r="A207" s="57">
        <v>6</v>
      </c>
      <c r="B207" s="57">
        <v>3</v>
      </c>
      <c r="C207" s="30">
        <v>4</v>
      </c>
      <c r="D207" s="34">
        <v>1</v>
      </c>
      <c r="E207" s="30">
        <v>2</v>
      </c>
      <c r="F207" s="30">
        <v>4</v>
      </c>
      <c r="J207" s="35"/>
      <c r="K207" s="30">
        <v>1</v>
      </c>
      <c r="L207" s="30">
        <v>2</v>
      </c>
      <c r="M207" s="30">
        <v>4</v>
      </c>
      <c r="Q207" s="35"/>
      <c r="R207" s="30">
        <f t="shared" si="37"/>
        <v>864370688</v>
      </c>
      <c r="S207" s="30">
        <f t="shared" si="38"/>
        <v>344064</v>
      </c>
    </row>
    <row r="208" spans="1:19">
      <c r="A208" s="57">
        <v>6</v>
      </c>
      <c r="B208" s="57">
        <v>3</v>
      </c>
      <c r="C208" s="30">
        <v>4</v>
      </c>
      <c r="D208" s="34">
        <v>1</v>
      </c>
      <c r="E208" s="30">
        <v>2</v>
      </c>
      <c r="F208" s="30">
        <v>5</v>
      </c>
      <c r="J208" s="35"/>
      <c r="K208" s="30">
        <v>1</v>
      </c>
      <c r="L208" s="30">
        <v>2</v>
      </c>
      <c r="M208" s="30">
        <v>4</v>
      </c>
      <c r="Q208" s="35"/>
      <c r="R208" s="30">
        <f t="shared" si="37"/>
        <v>864374784</v>
      </c>
      <c r="S208" s="30">
        <f t="shared" si="38"/>
        <v>344064</v>
      </c>
    </row>
    <row r="209" spans="1:19">
      <c r="A209" s="57">
        <v>6</v>
      </c>
      <c r="B209" s="57">
        <v>3</v>
      </c>
      <c r="C209" s="30">
        <v>4</v>
      </c>
      <c r="D209" s="34">
        <v>1</v>
      </c>
      <c r="E209" s="30">
        <v>2</v>
      </c>
      <c r="F209" s="30">
        <v>6</v>
      </c>
      <c r="J209" s="35"/>
      <c r="K209" s="30">
        <v>1</v>
      </c>
      <c r="L209" s="30">
        <v>2</v>
      </c>
      <c r="M209" s="30">
        <v>4</v>
      </c>
      <c r="Q209" s="35"/>
      <c r="R209" s="30">
        <f t="shared" si="37"/>
        <v>864378880</v>
      </c>
      <c r="S209" s="30">
        <f t="shared" si="38"/>
        <v>344064</v>
      </c>
    </row>
    <row r="210" spans="1:19">
      <c r="A210" s="57">
        <v>6</v>
      </c>
      <c r="B210" s="57">
        <v>3</v>
      </c>
      <c r="C210" s="30">
        <v>4</v>
      </c>
      <c r="D210" s="34">
        <v>1</v>
      </c>
      <c r="E210" s="30">
        <v>3</v>
      </c>
      <c r="F210" s="30">
        <v>4</v>
      </c>
      <c r="J210" s="35"/>
      <c r="K210" s="30">
        <v>1</v>
      </c>
      <c r="L210" s="30">
        <v>3</v>
      </c>
      <c r="M210" s="30">
        <v>4</v>
      </c>
      <c r="Q210" s="35"/>
      <c r="R210" s="30">
        <f t="shared" si="37"/>
        <v>864403456</v>
      </c>
      <c r="S210" s="30">
        <f t="shared" si="38"/>
        <v>376832</v>
      </c>
    </row>
    <row r="211" spans="1:19">
      <c r="A211" s="57">
        <v>6</v>
      </c>
      <c r="B211" s="57">
        <v>3</v>
      </c>
      <c r="C211" s="30">
        <v>4</v>
      </c>
      <c r="D211" s="34">
        <v>1</v>
      </c>
      <c r="E211" s="30">
        <v>3</v>
      </c>
      <c r="F211" s="30">
        <v>5</v>
      </c>
      <c r="J211" s="35"/>
      <c r="K211" s="30">
        <v>1</v>
      </c>
      <c r="L211" s="30">
        <v>3</v>
      </c>
      <c r="M211" s="30">
        <v>4</v>
      </c>
      <c r="Q211" s="35"/>
      <c r="R211" s="30">
        <f t="shared" si="37"/>
        <v>864407552</v>
      </c>
      <c r="S211" s="30">
        <f t="shared" si="38"/>
        <v>376832</v>
      </c>
    </row>
    <row r="212" spans="1:19">
      <c r="A212" s="57">
        <v>6</v>
      </c>
      <c r="B212" s="57">
        <v>3</v>
      </c>
      <c r="C212" s="30">
        <v>4</v>
      </c>
      <c r="D212" s="34">
        <v>1</v>
      </c>
      <c r="E212" s="30">
        <v>3</v>
      </c>
      <c r="F212" s="30">
        <v>6</v>
      </c>
      <c r="J212" s="35"/>
      <c r="K212" s="30">
        <v>1</v>
      </c>
      <c r="L212" s="30">
        <v>3</v>
      </c>
      <c r="M212" s="30">
        <v>4</v>
      </c>
      <c r="Q212" s="35"/>
      <c r="R212" s="30">
        <f t="shared" si="37"/>
        <v>864411648</v>
      </c>
      <c r="S212" s="30">
        <f t="shared" si="38"/>
        <v>376832</v>
      </c>
    </row>
    <row r="213" spans="1:19">
      <c r="A213" s="57">
        <v>6</v>
      </c>
      <c r="B213" s="57">
        <v>3</v>
      </c>
      <c r="C213" s="30">
        <v>4</v>
      </c>
      <c r="D213" s="34">
        <v>1</v>
      </c>
      <c r="E213" s="30">
        <v>4</v>
      </c>
      <c r="F213" s="30">
        <v>5</v>
      </c>
      <c r="J213" s="35"/>
      <c r="K213" s="30">
        <v>1</v>
      </c>
      <c r="L213" s="30">
        <v>2</v>
      </c>
      <c r="M213" s="30">
        <v>3</v>
      </c>
      <c r="Q213" s="35"/>
      <c r="R213" s="30">
        <f t="shared" si="37"/>
        <v>864440320</v>
      </c>
      <c r="S213" s="30">
        <f t="shared" si="38"/>
        <v>339968</v>
      </c>
    </row>
    <row r="214" spans="1:19">
      <c r="A214" s="57">
        <v>6</v>
      </c>
      <c r="B214" s="57">
        <v>3</v>
      </c>
      <c r="C214" s="30">
        <v>4</v>
      </c>
      <c r="D214" s="34">
        <v>1</v>
      </c>
      <c r="E214" s="30">
        <v>4</v>
      </c>
      <c r="F214" s="30">
        <v>6</v>
      </c>
      <c r="J214" s="35"/>
      <c r="K214" s="30">
        <v>1</v>
      </c>
      <c r="L214" s="30">
        <v>2</v>
      </c>
      <c r="M214" s="30">
        <v>4</v>
      </c>
      <c r="Q214" s="35"/>
      <c r="R214" s="30">
        <f t="shared" si="37"/>
        <v>864444416</v>
      </c>
      <c r="S214" s="30">
        <f t="shared" si="38"/>
        <v>344064</v>
      </c>
    </row>
    <row r="215" spans="1:19">
      <c r="A215" s="57">
        <v>6</v>
      </c>
      <c r="B215" s="57">
        <v>3</v>
      </c>
      <c r="C215" s="30">
        <v>4</v>
      </c>
      <c r="D215" s="34">
        <v>1</v>
      </c>
      <c r="E215" s="30">
        <v>5</v>
      </c>
      <c r="F215" s="30">
        <v>6</v>
      </c>
      <c r="J215" s="35"/>
      <c r="K215" s="30">
        <v>1</v>
      </c>
      <c r="L215" s="30">
        <v>3</v>
      </c>
      <c r="M215" s="30">
        <v>4</v>
      </c>
      <c r="Q215" s="35"/>
      <c r="R215" s="30">
        <f t="shared" si="37"/>
        <v>864477184</v>
      </c>
      <c r="S215" s="30">
        <f t="shared" si="38"/>
        <v>376832</v>
      </c>
    </row>
    <row r="216" spans="1:19">
      <c r="A216" s="57">
        <v>6</v>
      </c>
      <c r="B216" s="57">
        <v>3</v>
      </c>
      <c r="C216" s="30">
        <v>4</v>
      </c>
      <c r="D216" s="34">
        <v>2</v>
      </c>
      <c r="E216" s="30">
        <v>3</v>
      </c>
      <c r="F216" s="30">
        <v>4</v>
      </c>
      <c r="J216" s="35"/>
      <c r="K216" s="30">
        <v>2</v>
      </c>
      <c r="L216" s="30">
        <v>3</v>
      </c>
      <c r="M216" s="30">
        <v>4</v>
      </c>
      <c r="Q216" s="35"/>
      <c r="R216" s="30">
        <f t="shared" si="37"/>
        <v>864665600</v>
      </c>
      <c r="S216" s="30">
        <f t="shared" si="38"/>
        <v>638976</v>
      </c>
    </row>
    <row r="217" spans="1:19">
      <c r="A217" s="57">
        <v>6</v>
      </c>
      <c r="B217" s="57">
        <v>3</v>
      </c>
      <c r="C217" s="30">
        <v>4</v>
      </c>
      <c r="D217" s="34">
        <v>2</v>
      </c>
      <c r="E217" s="30">
        <v>3</v>
      </c>
      <c r="F217" s="30">
        <v>5</v>
      </c>
      <c r="J217" s="35"/>
      <c r="K217" s="30">
        <v>2</v>
      </c>
      <c r="L217" s="30">
        <v>3</v>
      </c>
      <c r="M217" s="30">
        <v>4</v>
      </c>
      <c r="Q217" s="35"/>
      <c r="R217" s="30">
        <f t="shared" si="37"/>
        <v>864669696</v>
      </c>
      <c r="S217" s="30">
        <f t="shared" si="38"/>
        <v>638976</v>
      </c>
    </row>
    <row r="218" spans="1:19">
      <c r="A218" s="57">
        <v>6</v>
      </c>
      <c r="B218" s="57">
        <v>3</v>
      </c>
      <c r="C218" s="30">
        <v>4</v>
      </c>
      <c r="D218" s="34">
        <v>2</v>
      </c>
      <c r="E218" s="30">
        <v>3</v>
      </c>
      <c r="F218" s="30">
        <v>6</v>
      </c>
      <c r="J218" s="35"/>
      <c r="K218" s="30">
        <v>2</v>
      </c>
      <c r="L218" s="30">
        <v>3</v>
      </c>
      <c r="M218" s="30">
        <v>4</v>
      </c>
      <c r="Q218" s="35"/>
      <c r="R218" s="30">
        <f t="shared" si="37"/>
        <v>864673792</v>
      </c>
      <c r="S218" s="30">
        <f t="shared" si="38"/>
        <v>638976</v>
      </c>
    </row>
    <row r="219" spans="1:19">
      <c r="A219" s="57">
        <v>6</v>
      </c>
      <c r="B219" s="57">
        <v>3</v>
      </c>
      <c r="C219" s="30">
        <v>4</v>
      </c>
      <c r="D219" s="34">
        <v>2</v>
      </c>
      <c r="E219" s="30">
        <v>4</v>
      </c>
      <c r="F219" s="30">
        <v>5</v>
      </c>
      <c r="J219" s="35"/>
      <c r="K219" s="30">
        <v>2</v>
      </c>
      <c r="L219" s="30">
        <v>3</v>
      </c>
      <c r="M219" s="30">
        <v>4</v>
      </c>
      <c r="Q219" s="35"/>
      <c r="R219" s="30">
        <f t="shared" si="37"/>
        <v>864702464</v>
      </c>
      <c r="S219" s="30">
        <f t="shared" si="38"/>
        <v>638976</v>
      </c>
    </row>
    <row r="220" spans="1:19">
      <c r="A220" s="57">
        <v>6</v>
      </c>
      <c r="B220" s="57">
        <v>3</v>
      </c>
      <c r="C220" s="30">
        <v>4</v>
      </c>
      <c r="D220" s="34">
        <v>2</v>
      </c>
      <c r="E220" s="30">
        <v>4</v>
      </c>
      <c r="F220" s="30">
        <v>6</v>
      </c>
      <c r="J220" s="35"/>
      <c r="K220" s="30">
        <v>2</v>
      </c>
      <c r="L220" s="30">
        <v>3</v>
      </c>
      <c r="M220" s="30">
        <v>4</v>
      </c>
      <c r="Q220" s="35"/>
      <c r="R220" s="30">
        <f t="shared" si="37"/>
        <v>864706560</v>
      </c>
      <c r="S220" s="30">
        <f t="shared" si="38"/>
        <v>638976</v>
      </c>
    </row>
    <row r="221" spans="1:19">
      <c r="A221" s="57">
        <v>6</v>
      </c>
      <c r="B221" s="57">
        <v>3</v>
      </c>
      <c r="C221" s="30">
        <v>4</v>
      </c>
      <c r="D221" s="34">
        <v>2</v>
      </c>
      <c r="E221" s="30">
        <v>5</v>
      </c>
      <c r="F221" s="30">
        <v>6</v>
      </c>
      <c r="J221" s="35"/>
      <c r="K221" s="30">
        <v>2</v>
      </c>
      <c r="L221" s="30">
        <v>3</v>
      </c>
      <c r="M221" s="30">
        <v>4</v>
      </c>
      <c r="Q221" s="35"/>
      <c r="R221" s="30">
        <f t="shared" si="37"/>
        <v>864739328</v>
      </c>
      <c r="S221" s="30">
        <f t="shared" si="38"/>
        <v>638976</v>
      </c>
    </row>
    <row r="222" spans="1:19">
      <c r="A222" s="57">
        <v>6</v>
      </c>
      <c r="B222" s="57">
        <v>3</v>
      </c>
      <c r="C222" s="30">
        <v>4</v>
      </c>
      <c r="D222" s="34">
        <v>3</v>
      </c>
      <c r="E222" s="30">
        <v>4</v>
      </c>
      <c r="F222" s="30">
        <v>5</v>
      </c>
      <c r="J222" s="35"/>
      <c r="K222" s="30">
        <v>2</v>
      </c>
      <c r="L222" s="30">
        <v>3</v>
      </c>
      <c r="M222" s="30">
        <v>4</v>
      </c>
      <c r="Q222" s="35"/>
      <c r="R222" s="30">
        <f t="shared" si="37"/>
        <v>864964608</v>
      </c>
      <c r="S222" s="30">
        <f t="shared" si="38"/>
        <v>638976</v>
      </c>
    </row>
    <row r="223" spans="1:19">
      <c r="A223" s="57">
        <v>6</v>
      </c>
      <c r="B223" s="57">
        <v>3</v>
      </c>
      <c r="C223" s="30">
        <v>4</v>
      </c>
      <c r="D223" s="34">
        <v>3</v>
      </c>
      <c r="E223" s="30">
        <v>4</v>
      </c>
      <c r="F223" s="30">
        <v>6</v>
      </c>
      <c r="J223" s="35"/>
      <c r="K223" s="30">
        <v>2</v>
      </c>
      <c r="L223" s="30">
        <v>3</v>
      </c>
      <c r="M223" s="30">
        <v>4</v>
      </c>
      <c r="Q223" s="35"/>
      <c r="R223" s="30">
        <f t="shared" si="37"/>
        <v>864968704</v>
      </c>
      <c r="S223" s="30">
        <f t="shared" si="38"/>
        <v>638976</v>
      </c>
    </row>
    <row r="224" spans="1:19">
      <c r="A224" s="57">
        <v>6</v>
      </c>
      <c r="B224" s="57">
        <v>3</v>
      </c>
      <c r="C224" s="30">
        <v>4</v>
      </c>
      <c r="D224" s="34">
        <v>3</v>
      </c>
      <c r="E224" s="30">
        <v>5</v>
      </c>
      <c r="F224" s="30">
        <v>6</v>
      </c>
      <c r="J224" s="35"/>
      <c r="K224" s="30">
        <v>2</v>
      </c>
      <c r="L224" s="30">
        <v>3</v>
      </c>
      <c r="M224" s="30">
        <v>4</v>
      </c>
      <c r="Q224" s="35"/>
      <c r="R224" s="30">
        <f t="shared" si="37"/>
        <v>865001472</v>
      </c>
      <c r="S224" s="30">
        <f t="shared" si="38"/>
        <v>638976</v>
      </c>
    </row>
    <row r="225" spans="1:19">
      <c r="A225" s="58">
        <v>6</v>
      </c>
      <c r="B225" s="58">
        <v>3</v>
      </c>
      <c r="C225" s="37">
        <v>4</v>
      </c>
      <c r="D225" s="36">
        <v>4</v>
      </c>
      <c r="E225" s="37">
        <v>5</v>
      </c>
      <c r="F225" s="37">
        <v>6</v>
      </c>
      <c r="G225" s="37"/>
      <c r="H225" s="37"/>
      <c r="I225" s="37"/>
      <c r="J225" s="38"/>
      <c r="K225" s="37">
        <v>2</v>
      </c>
      <c r="L225" s="37">
        <v>3</v>
      </c>
      <c r="M225" s="37">
        <v>4</v>
      </c>
      <c r="N225" s="37"/>
      <c r="O225" s="37"/>
      <c r="P225" s="37"/>
      <c r="Q225" s="38"/>
      <c r="R225" s="30">
        <f t="shared" si="37"/>
        <v>865263616</v>
      </c>
      <c r="S225" s="30">
        <f t="shared" si="38"/>
        <v>638976</v>
      </c>
    </row>
    <row r="226" spans="1:19">
      <c r="A226" s="57">
        <v>6</v>
      </c>
      <c r="B226" s="57">
        <v>3</v>
      </c>
      <c r="C226" s="30">
        <v>5</v>
      </c>
      <c r="D226" s="34">
        <v>1</v>
      </c>
      <c r="E226" s="30">
        <v>2</v>
      </c>
      <c r="F226" s="30">
        <v>3</v>
      </c>
      <c r="J226" s="35"/>
      <c r="K226" s="30">
        <v>1</v>
      </c>
      <c r="L226" s="30">
        <v>2</v>
      </c>
      <c r="M226" s="30">
        <v>3</v>
      </c>
      <c r="Q226" s="35"/>
      <c r="R226" s="30">
        <f t="shared" si="37"/>
        <v>866463744</v>
      </c>
      <c r="S226" s="30">
        <f t="shared" si="38"/>
        <v>339968</v>
      </c>
    </row>
    <row r="227" spans="1:19">
      <c r="A227" s="57">
        <v>6</v>
      </c>
      <c r="B227" s="57">
        <v>3</v>
      </c>
      <c r="C227" s="30">
        <v>5</v>
      </c>
      <c r="D227" s="34">
        <v>1</v>
      </c>
      <c r="E227" s="30">
        <v>2</v>
      </c>
      <c r="F227" s="30">
        <v>4</v>
      </c>
      <c r="J227" s="35"/>
      <c r="K227" s="34">
        <v>1</v>
      </c>
      <c r="L227" s="30">
        <v>2</v>
      </c>
      <c r="M227" s="30">
        <v>4</v>
      </c>
      <c r="Q227" s="35"/>
      <c r="R227" s="30">
        <f t="shared" si="37"/>
        <v>866467840</v>
      </c>
      <c r="S227" s="30">
        <f t="shared" si="38"/>
        <v>344064</v>
      </c>
    </row>
    <row r="228" spans="1:19">
      <c r="A228" s="57">
        <v>6</v>
      </c>
      <c r="B228" s="57">
        <v>3</v>
      </c>
      <c r="C228" s="30">
        <v>5</v>
      </c>
      <c r="D228" s="34">
        <v>1</v>
      </c>
      <c r="E228" s="30">
        <v>2</v>
      </c>
      <c r="F228" s="30">
        <v>5</v>
      </c>
      <c r="J228" s="35"/>
      <c r="K228" s="34">
        <v>1</v>
      </c>
      <c r="L228" s="30">
        <v>2</v>
      </c>
      <c r="M228" s="30">
        <v>5</v>
      </c>
      <c r="Q228" s="35"/>
      <c r="R228" s="30">
        <f t="shared" si="37"/>
        <v>866471936</v>
      </c>
      <c r="S228" s="30">
        <f t="shared" si="38"/>
        <v>348160</v>
      </c>
    </row>
    <row r="229" spans="1:19">
      <c r="A229" s="57">
        <v>6</v>
      </c>
      <c r="B229" s="57">
        <v>3</v>
      </c>
      <c r="C229" s="30">
        <v>5</v>
      </c>
      <c r="D229" s="34">
        <v>1</v>
      </c>
      <c r="E229" s="30">
        <v>2</v>
      </c>
      <c r="F229" s="30">
        <v>6</v>
      </c>
      <c r="J229" s="35"/>
      <c r="K229" s="34">
        <v>1</v>
      </c>
      <c r="L229" s="30">
        <v>2</v>
      </c>
      <c r="M229" s="30">
        <v>5</v>
      </c>
      <c r="Q229" s="35"/>
      <c r="R229" s="30">
        <f t="shared" si="37"/>
        <v>866476032</v>
      </c>
      <c r="S229" s="30">
        <f t="shared" si="38"/>
        <v>348160</v>
      </c>
    </row>
    <row r="230" spans="1:19">
      <c r="A230" s="57">
        <v>6</v>
      </c>
      <c r="B230" s="57">
        <v>3</v>
      </c>
      <c r="C230" s="30">
        <v>5</v>
      </c>
      <c r="D230" s="34">
        <v>1</v>
      </c>
      <c r="E230" s="30">
        <v>3</v>
      </c>
      <c r="F230" s="30">
        <v>4</v>
      </c>
      <c r="J230" s="35"/>
      <c r="K230" s="30">
        <v>1</v>
      </c>
      <c r="L230" s="30">
        <v>3</v>
      </c>
      <c r="M230" s="30">
        <v>4</v>
      </c>
      <c r="Q230" s="35"/>
      <c r="R230" s="30">
        <f t="shared" si="37"/>
        <v>866500608</v>
      </c>
      <c r="S230" s="30">
        <f t="shared" si="38"/>
        <v>376832</v>
      </c>
    </row>
    <row r="231" spans="1:19">
      <c r="A231" s="57">
        <v>6</v>
      </c>
      <c r="B231" s="57">
        <v>3</v>
      </c>
      <c r="C231" s="30">
        <v>5</v>
      </c>
      <c r="D231" s="34">
        <v>1</v>
      </c>
      <c r="E231" s="30">
        <v>3</v>
      </c>
      <c r="F231" s="30">
        <v>5</v>
      </c>
      <c r="J231" s="35"/>
      <c r="K231" s="30">
        <v>1</v>
      </c>
      <c r="L231" s="30">
        <v>3</v>
      </c>
      <c r="M231" s="30">
        <v>5</v>
      </c>
      <c r="Q231" s="35"/>
      <c r="R231" s="30">
        <f t="shared" si="37"/>
        <v>866504704</v>
      </c>
      <c r="S231" s="30">
        <f t="shared" si="38"/>
        <v>380928</v>
      </c>
    </row>
    <row r="232" spans="1:19">
      <c r="A232" s="57">
        <v>6</v>
      </c>
      <c r="B232" s="57">
        <v>3</v>
      </c>
      <c r="C232" s="30">
        <v>5</v>
      </c>
      <c r="D232" s="34">
        <v>1</v>
      </c>
      <c r="E232" s="30">
        <v>3</v>
      </c>
      <c r="F232" s="30">
        <v>6</v>
      </c>
      <c r="J232" s="35"/>
      <c r="K232" s="30">
        <v>1</v>
      </c>
      <c r="L232" s="30">
        <v>3</v>
      </c>
      <c r="M232" s="30">
        <v>5</v>
      </c>
      <c r="Q232" s="35"/>
      <c r="R232" s="30">
        <f t="shared" si="37"/>
        <v>866508800</v>
      </c>
      <c r="S232" s="30">
        <f t="shared" si="38"/>
        <v>380928</v>
      </c>
    </row>
    <row r="233" spans="1:19">
      <c r="A233" s="57">
        <v>6</v>
      </c>
      <c r="B233" s="57">
        <v>3</v>
      </c>
      <c r="C233" s="30">
        <v>5</v>
      </c>
      <c r="D233" s="34">
        <v>1</v>
      </c>
      <c r="E233" s="30">
        <v>4</v>
      </c>
      <c r="F233" s="30">
        <v>5</v>
      </c>
      <c r="J233" s="35"/>
      <c r="K233" s="30">
        <v>1</v>
      </c>
      <c r="L233" s="30">
        <v>4</v>
      </c>
      <c r="M233" s="30">
        <v>5</v>
      </c>
      <c r="Q233" s="35"/>
      <c r="R233" s="30">
        <f t="shared" si="37"/>
        <v>866537472</v>
      </c>
      <c r="S233" s="30">
        <f t="shared" si="38"/>
        <v>413696</v>
      </c>
    </row>
    <row r="234" spans="1:19">
      <c r="A234" s="57">
        <v>6</v>
      </c>
      <c r="B234" s="57">
        <v>3</v>
      </c>
      <c r="C234" s="30">
        <v>5</v>
      </c>
      <c r="D234" s="34">
        <v>1</v>
      </c>
      <c r="E234" s="30">
        <v>4</v>
      </c>
      <c r="F234" s="30">
        <v>6</v>
      </c>
      <c r="J234" s="35"/>
      <c r="K234" s="30">
        <v>1</v>
      </c>
      <c r="L234" s="30">
        <v>4</v>
      </c>
      <c r="M234" s="30">
        <v>5</v>
      </c>
      <c r="Q234" s="35"/>
      <c r="R234" s="30">
        <f t="shared" si="37"/>
        <v>866541568</v>
      </c>
      <c r="S234" s="30">
        <f t="shared" si="38"/>
        <v>413696</v>
      </c>
    </row>
    <row r="235" spans="1:19">
      <c r="A235" s="57">
        <v>6</v>
      </c>
      <c r="B235" s="57">
        <v>3</v>
      </c>
      <c r="C235" s="30">
        <v>5</v>
      </c>
      <c r="D235" s="34">
        <v>1</v>
      </c>
      <c r="E235" s="30">
        <v>5</v>
      </c>
      <c r="F235" s="30">
        <v>6</v>
      </c>
      <c r="J235" s="35"/>
      <c r="K235" s="30">
        <v>1</v>
      </c>
      <c r="L235" s="30">
        <v>4</v>
      </c>
      <c r="M235" s="30">
        <v>5</v>
      </c>
      <c r="Q235" s="35"/>
      <c r="R235" s="30">
        <f t="shared" si="37"/>
        <v>866574336</v>
      </c>
      <c r="S235" s="30">
        <f t="shared" si="38"/>
        <v>413696</v>
      </c>
    </row>
    <row r="236" spans="1:19">
      <c r="A236" s="57">
        <v>6</v>
      </c>
      <c r="B236" s="57">
        <v>3</v>
      </c>
      <c r="C236" s="30">
        <v>5</v>
      </c>
      <c r="D236" s="34">
        <v>2</v>
      </c>
      <c r="E236" s="30">
        <v>3</v>
      </c>
      <c r="F236" s="30">
        <v>4</v>
      </c>
      <c r="J236" s="35"/>
      <c r="K236" s="30">
        <v>2</v>
      </c>
      <c r="L236" s="30">
        <v>3</v>
      </c>
      <c r="M236" s="30">
        <v>4</v>
      </c>
      <c r="Q236" s="35"/>
      <c r="R236" s="30">
        <f t="shared" si="37"/>
        <v>866762752</v>
      </c>
      <c r="S236" s="30">
        <f t="shared" si="38"/>
        <v>638976</v>
      </c>
    </row>
    <row r="237" spans="1:19">
      <c r="A237" s="57">
        <v>6</v>
      </c>
      <c r="B237" s="57">
        <v>3</v>
      </c>
      <c r="C237" s="30">
        <v>5</v>
      </c>
      <c r="D237" s="34">
        <v>2</v>
      </c>
      <c r="E237" s="30">
        <v>3</v>
      </c>
      <c r="F237" s="30">
        <v>5</v>
      </c>
      <c r="J237" s="35"/>
      <c r="K237" s="30">
        <v>2</v>
      </c>
      <c r="L237" s="30">
        <v>3</v>
      </c>
      <c r="M237" s="30">
        <v>5</v>
      </c>
      <c r="Q237" s="35"/>
      <c r="R237" s="30">
        <f t="shared" si="37"/>
        <v>866766848</v>
      </c>
      <c r="S237" s="30">
        <f t="shared" si="38"/>
        <v>643072</v>
      </c>
    </row>
    <row r="238" spans="1:19">
      <c r="A238" s="57">
        <v>6</v>
      </c>
      <c r="B238" s="57">
        <v>3</v>
      </c>
      <c r="C238" s="30">
        <v>5</v>
      </c>
      <c r="D238" s="34">
        <v>2</v>
      </c>
      <c r="E238" s="30">
        <v>3</v>
      </c>
      <c r="F238" s="30">
        <v>6</v>
      </c>
      <c r="J238" s="35"/>
      <c r="K238" s="30">
        <v>2</v>
      </c>
      <c r="L238" s="30">
        <v>3</v>
      </c>
      <c r="M238" s="30">
        <v>5</v>
      </c>
      <c r="Q238" s="35"/>
      <c r="R238" s="30">
        <f t="shared" si="37"/>
        <v>866770944</v>
      </c>
      <c r="S238" s="30">
        <f t="shared" si="38"/>
        <v>643072</v>
      </c>
    </row>
    <row r="239" spans="1:19">
      <c r="A239" s="57">
        <v>6</v>
      </c>
      <c r="B239" s="57">
        <v>3</v>
      </c>
      <c r="C239" s="30">
        <v>5</v>
      </c>
      <c r="D239" s="34">
        <v>2</v>
      </c>
      <c r="E239" s="30">
        <v>4</v>
      </c>
      <c r="F239" s="30">
        <v>5</v>
      </c>
      <c r="J239" s="35"/>
      <c r="K239" s="30">
        <v>2</v>
      </c>
      <c r="L239" s="30">
        <v>4</v>
      </c>
      <c r="M239" s="30">
        <v>5</v>
      </c>
      <c r="Q239" s="35"/>
      <c r="R239" s="30">
        <f t="shared" si="37"/>
        <v>866799616</v>
      </c>
      <c r="S239" s="30">
        <f t="shared" si="38"/>
        <v>675840</v>
      </c>
    </row>
    <row r="240" spans="1:19">
      <c r="A240" s="57">
        <v>6</v>
      </c>
      <c r="B240" s="57">
        <v>3</v>
      </c>
      <c r="C240" s="30">
        <v>5</v>
      </c>
      <c r="D240" s="34">
        <v>2</v>
      </c>
      <c r="E240" s="30">
        <v>4</v>
      </c>
      <c r="F240" s="30">
        <v>6</v>
      </c>
      <c r="J240" s="35"/>
      <c r="K240" s="30">
        <v>2</v>
      </c>
      <c r="L240" s="30">
        <v>4</v>
      </c>
      <c r="M240" s="30">
        <v>5</v>
      </c>
      <c r="Q240" s="35"/>
      <c r="R240" s="30">
        <f t="shared" si="37"/>
        <v>866803712</v>
      </c>
      <c r="S240" s="30">
        <f t="shared" si="38"/>
        <v>675840</v>
      </c>
    </row>
    <row r="241" spans="1:19">
      <c r="A241" s="57">
        <v>6</v>
      </c>
      <c r="B241" s="57">
        <v>3</v>
      </c>
      <c r="C241" s="30">
        <v>5</v>
      </c>
      <c r="D241" s="34">
        <v>2</v>
      </c>
      <c r="E241" s="30">
        <v>5</v>
      </c>
      <c r="F241" s="30">
        <v>6</v>
      </c>
      <c r="J241" s="35"/>
      <c r="K241" s="30">
        <v>2</v>
      </c>
      <c r="L241" s="30">
        <v>4</v>
      </c>
      <c r="M241" s="30">
        <v>5</v>
      </c>
      <c r="Q241" s="35"/>
      <c r="R241" s="30">
        <f t="shared" si="37"/>
        <v>866836480</v>
      </c>
      <c r="S241" s="30">
        <f t="shared" si="38"/>
        <v>675840</v>
      </c>
    </row>
    <row r="242" spans="1:19">
      <c r="A242" s="57">
        <v>6</v>
      </c>
      <c r="B242" s="57">
        <v>3</v>
      </c>
      <c r="C242" s="30">
        <v>5</v>
      </c>
      <c r="D242" s="34">
        <v>3</v>
      </c>
      <c r="E242" s="30">
        <v>4</v>
      </c>
      <c r="F242" s="30">
        <v>5</v>
      </c>
      <c r="J242" s="35"/>
      <c r="K242" s="30">
        <v>3</v>
      </c>
      <c r="L242" s="30">
        <v>4</v>
      </c>
      <c r="M242" s="30">
        <v>5</v>
      </c>
      <c r="Q242" s="35"/>
      <c r="R242" s="30">
        <f t="shared" si="37"/>
        <v>867061760</v>
      </c>
      <c r="S242" s="30">
        <f t="shared" si="38"/>
        <v>937984</v>
      </c>
    </row>
    <row r="243" spans="1:19">
      <c r="A243" s="57">
        <v>6</v>
      </c>
      <c r="B243" s="57">
        <v>3</v>
      </c>
      <c r="C243" s="30">
        <v>5</v>
      </c>
      <c r="D243" s="34">
        <v>3</v>
      </c>
      <c r="E243" s="30">
        <v>4</v>
      </c>
      <c r="F243" s="30">
        <v>6</v>
      </c>
      <c r="J243" s="35"/>
      <c r="K243" s="30">
        <v>3</v>
      </c>
      <c r="L243" s="30">
        <v>4</v>
      </c>
      <c r="M243" s="30">
        <v>5</v>
      </c>
      <c r="Q243" s="35"/>
      <c r="R243" s="30">
        <f t="shared" si="37"/>
        <v>867065856</v>
      </c>
      <c r="S243" s="30">
        <f t="shared" si="38"/>
        <v>937984</v>
      </c>
    </row>
    <row r="244" spans="1:19">
      <c r="A244" s="57">
        <v>6</v>
      </c>
      <c r="B244" s="57">
        <v>3</v>
      </c>
      <c r="C244" s="30">
        <v>5</v>
      </c>
      <c r="D244" s="34">
        <v>3</v>
      </c>
      <c r="E244" s="30">
        <v>5</v>
      </c>
      <c r="F244" s="30">
        <v>6</v>
      </c>
      <c r="J244" s="35"/>
      <c r="K244" s="30">
        <v>3</v>
      </c>
      <c r="L244" s="30">
        <v>4</v>
      </c>
      <c r="M244" s="30">
        <v>5</v>
      </c>
      <c r="Q244" s="35"/>
      <c r="R244" s="30">
        <f t="shared" si="37"/>
        <v>867098624</v>
      </c>
      <c r="S244" s="30">
        <f t="shared" si="38"/>
        <v>937984</v>
      </c>
    </row>
    <row r="245" spans="1:19">
      <c r="A245" s="58">
        <v>6</v>
      </c>
      <c r="B245" s="58">
        <v>3</v>
      </c>
      <c r="C245" s="37">
        <v>5</v>
      </c>
      <c r="D245" s="36">
        <v>4</v>
      </c>
      <c r="E245" s="37">
        <v>5</v>
      </c>
      <c r="F245" s="37">
        <v>6</v>
      </c>
      <c r="G245" s="37"/>
      <c r="H245" s="37"/>
      <c r="I245" s="37"/>
      <c r="J245" s="38"/>
      <c r="K245" s="37">
        <v>3</v>
      </c>
      <c r="L245" s="37">
        <v>4</v>
      </c>
      <c r="M245" s="37">
        <v>5</v>
      </c>
      <c r="N245" s="37"/>
      <c r="O245" s="37"/>
      <c r="P245" s="37"/>
      <c r="Q245" s="38"/>
      <c r="R245" s="30">
        <f t="shared" si="37"/>
        <v>867360768</v>
      </c>
      <c r="S245" s="30">
        <f t="shared" si="38"/>
        <v>937984</v>
      </c>
    </row>
    <row r="246" spans="1:19">
      <c r="A246" s="59">
        <v>6</v>
      </c>
      <c r="B246" s="59">
        <v>4</v>
      </c>
      <c r="C246" s="32">
        <v>4</v>
      </c>
      <c r="D246" s="31">
        <v>1</v>
      </c>
      <c r="E246" s="32">
        <v>2</v>
      </c>
      <c r="F246" s="32">
        <v>3</v>
      </c>
      <c r="G246" s="32">
        <v>4</v>
      </c>
      <c r="H246" s="32"/>
      <c r="I246" s="32"/>
      <c r="J246" s="33"/>
      <c r="K246" s="32">
        <v>1</v>
      </c>
      <c r="L246" s="32">
        <v>2</v>
      </c>
      <c r="M246" s="32">
        <v>3</v>
      </c>
      <c r="N246" s="32">
        <v>4</v>
      </c>
      <c r="O246" s="32"/>
      <c r="P246" s="32"/>
      <c r="Q246" s="33"/>
      <c r="R246" s="30">
        <f t="shared" si="37"/>
        <v>881145856</v>
      </c>
      <c r="S246" s="30">
        <f t="shared" si="38"/>
        <v>342016</v>
      </c>
    </row>
    <row r="247" spans="1:19">
      <c r="A247" s="57">
        <v>6</v>
      </c>
      <c r="B247" s="57">
        <v>4</v>
      </c>
      <c r="C247" s="30">
        <v>4</v>
      </c>
      <c r="D247" s="34">
        <v>1</v>
      </c>
      <c r="E247" s="30">
        <v>2</v>
      </c>
      <c r="F247" s="30">
        <v>3</v>
      </c>
      <c r="G247" s="30">
        <v>5</v>
      </c>
      <c r="J247" s="35"/>
      <c r="K247" s="30">
        <v>1</v>
      </c>
      <c r="L247" s="30">
        <v>2</v>
      </c>
      <c r="M247" s="30">
        <v>3</v>
      </c>
      <c r="N247" s="30">
        <v>4</v>
      </c>
      <c r="Q247" s="35"/>
      <c r="R247" s="30">
        <f t="shared" si="37"/>
        <v>881146368</v>
      </c>
      <c r="S247" s="30">
        <f t="shared" si="38"/>
        <v>342016</v>
      </c>
    </row>
    <row r="248" spans="1:19">
      <c r="A248" s="57">
        <v>6</v>
      </c>
      <c r="B248" s="57">
        <v>4</v>
      </c>
      <c r="C248" s="30">
        <v>4</v>
      </c>
      <c r="D248" s="34">
        <v>1</v>
      </c>
      <c r="E248" s="30">
        <v>2</v>
      </c>
      <c r="F248" s="30">
        <v>3</v>
      </c>
      <c r="G248" s="30">
        <v>6</v>
      </c>
      <c r="J248" s="35"/>
      <c r="K248" s="30">
        <v>1</v>
      </c>
      <c r="L248" s="30">
        <v>2</v>
      </c>
      <c r="M248" s="30">
        <v>3</v>
      </c>
      <c r="N248" s="30">
        <v>4</v>
      </c>
      <c r="Q248" s="35"/>
      <c r="R248" s="30">
        <f t="shared" si="37"/>
        <v>881146880</v>
      </c>
      <c r="S248" s="30">
        <f t="shared" si="38"/>
        <v>342016</v>
      </c>
    </row>
    <row r="249" spans="1:19">
      <c r="A249" s="57">
        <v>6</v>
      </c>
      <c r="B249" s="57">
        <v>4</v>
      </c>
      <c r="C249" s="30">
        <v>4</v>
      </c>
      <c r="D249" s="34">
        <v>1</v>
      </c>
      <c r="E249" s="30">
        <v>2</v>
      </c>
      <c r="F249" s="30">
        <v>4</v>
      </c>
      <c r="G249" s="30">
        <v>5</v>
      </c>
      <c r="J249" s="35"/>
      <c r="K249" s="30">
        <v>1</v>
      </c>
      <c r="L249" s="30">
        <v>2</v>
      </c>
      <c r="M249" s="30">
        <v>3</v>
      </c>
      <c r="N249" s="30">
        <v>4</v>
      </c>
      <c r="Q249" s="35"/>
      <c r="R249" s="30">
        <f t="shared" si="37"/>
        <v>881150464</v>
      </c>
      <c r="S249" s="30">
        <f t="shared" si="38"/>
        <v>342016</v>
      </c>
    </row>
    <row r="250" spans="1:19">
      <c r="A250" s="57">
        <v>6</v>
      </c>
      <c r="B250" s="57">
        <v>4</v>
      </c>
      <c r="C250" s="30">
        <v>4</v>
      </c>
      <c r="D250" s="34">
        <v>1</v>
      </c>
      <c r="E250" s="30">
        <v>2</v>
      </c>
      <c r="F250" s="30">
        <v>4</v>
      </c>
      <c r="G250" s="30">
        <v>6</v>
      </c>
      <c r="J250" s="35"/>
      <c r="K250" s="30">
        <v>1</v>
      </c>
      <c r="L250" s="30">
        <v>2</v>
      </c>
      <c r="M250" s="30">
        <v>3</v>
      </c>
      <c r="N250" s="30">
        <v>4</v>
      </c>
      <c r="Q250" s="35"/>
      <c r="R250" s="30">
        <f t="shared" si="37"/>
        <v>881150976</v>
      </c>
      <c r="S250" s="30">
        <f t="shared" si="38"/>
        <v>342016</v>
      </c>
    </row>
    <row r="251" spans="1:19">
      <c r="A251" s="57">
        <v>6</v>
      </c>
      <c r="B251" s="57">
        <v>4</v>
      </c>
      <c r="C251" s="30">
        <v>4</v>
      </c>
      <c r="D251" s="34">
        <v>1</v>
      </c>
      <c r="E251" s="30">
        <v>2</v>
      </c>
      <c r="F251" s="30">
        <v>5</v>
      </c>
      <c r="G251" s="30">
        <v>6</v>
      </c>
      <c r="J251" s="35"/>
      <c r="K251" s="30">
        <v>1</v>
      </c>
      <c r="L251" s="30">
        <v>2</v>
      </c>
      <c r="M251" s="30">
        <v>3</v>
      </c>
      <c r="N251" s="30">
        <v>4</v>
      </c>
      <c r="Q251" s="35"/>
      <c r="R251" s="30">
        <f t="shared" si="37"/>
        <v>881155072</v>
      </c>
      <c r="S251" s="30">
        <f t="shared" si="38"/>
        <v>342016</v>
      </c>
    </row>
    <row r="252" spans="1:19">
      <c r="A252" s="57">
        <v>6</v>
      </c>
      <c r="B252" s="57">
        <v>4</v>
      </c>
      <c r="C252" s="30">
        <v>4</v>
      </c>
      <c r="D252" s="34">
        <v>1</v>
      </c>
      <c r="E252" s="30">
        <v>3</v>
      </c>
      <c r="F252" s="30">
        <v>4</v>
      </c>
      <c r="G252" s="30">
        <v>5</v>
      </c>
      <c r="J252" s="35"/>
      <c r="K252" s="30">
        <v>1</v>
      </c>
      <c r="L252" s="30">
        <v>2</v>
      </c>
      <c r="M252" s="30">
        <v>3</v>
      </c>
      <c r="N252" s="30">
        <v>4</v>
      </c>
      <c r="Q252" s="35"/>
      <c r="R252" s="30">
        <f t="shared" si="37"/>
        <v>881183232</v>
      </c>
      <c r="S252" s="30">
        <f t="shared" si="38"/>
        <v>342016</v>
      </c>
    </row>
    <row r="253" spans="1:19">
      <c r="A253" s="57">
        <v>6</v>
      </c>
      <c r="B253" s="57">
        <v>4</v>
      </c>
      <c r="C253" s="30">
        <v>4</v>
      </c>
      <c r="D253" s="34">
        <v>1</v>
      </c>
      <c r="E253" s="30">
        <v>3</v>
      </c>
      <c r="F253" s="30">
        <v>4</v>
      </c>
      <c r="G253" s="30">
        <v>6</v>
      </c>
      <c r="J253" s="35"/>
      <c r="K253" s="30">
        <v>1</v>
      </c>
      <c r="L253" s="30">
        <v>2</v>
      </c>
      <c r="M253" s="30">
        <v>3</v>
      </c>
      <c r="N253" s="30">
        <v>4</v>
      </c>
      <c r="Q253" s="35"/>
      <c r="R253" s="30">
        <f t="shared" si="37"/>
        <v>881183744</v>
      </c>
      <c r="S253" s="30">
        <f t="shared" si="38"/>
        <v>342016</v>
      </c>
    </row>
    <row r="254" spans="1:19">
      <c r="A254" s="57">
        <v>6</v>
      </c>
      <c r="B254" s="57">
        <v>4</v>
      </c>
      <c r="C254" s="30">
        <v>4</v>
      </c>
      <c r="D254" s="34">
        <v>1</v>
      </c>
      <c r="E254" s="30">
        <v>3</v>
      </c>
      <c r="F254" s="30">
        <v>5</v>
      </c>
      <c r="G254" s="30">
        <v>6</v>
      </c>
      <c r="J254" s="35"/>
      <c r="K254" s="30">
        <v>1</v>
      </c>
      <c r="L254" s="30">
        <v>2</v>
      </c>
      <c r="M254" s="30">
        <v>3</v>
      </c>
      <c r="N254" s="30">
        <v>4</v>
      </c>
      <c r="Q254" s="35"/>
      <c r="R254" s="30">
        <f t="shared" si="37"/>
        <v>881187840</v>
      </c>
      <c r="S254" s="30">
        <f t="shared" si="38"/>
        <v>342016</v>
      </c>
    </row>
    <row r="255" spans="1:19">
      <c r="A255" s="57">
        <v>6</v>
      </c>
      <c r="B255" s="57">
        <v>4</v>
      </c>
      <c r="C255" s="30">
        <v>4</v>
      </c>
      <c r="D255" s="34">
        <v>1</v>
      </c>
      <c r="E255" s="30">
        <v>4</v>
      </c>
      <c r="F255" s="30">
        <v>5</v>
      </c>
      <c r="G255" s="30">
        <v>6</v>
      </c>
      <c r="J255" s="35"/>
      <c r="K255" s="30">
        <v>1</v>
      </c>
      <c r="L255" s="30">
        <v>2</v>
      </c>
      <c r="M255" s="30">
        <v>3</v>
      </c>
      <c r="N255" s="30">
        <v>4</v>
      </c>
      <c r="Q255" s="35"/>
      <c r="R255" s="30">
        <f t="shared" si="37"/>
        <v>881220608</v>
      </c>
      <c r="S255" s="30">
        <f t="shared" si="38"/>
        <v>342016</v>
      </c>
    </row>
    <row r="256" spans="1:19">
      <c r="A256" s="57">
        <v>6</v>
      </c>
      <c r="B256" s="57">
        <v>4</v>
      </c>
      <c r="C256" s="30">
        <v>4</v>
      </c>
      <c r="D256" s="34">
        <v>2</v>
      </c>
      <c r="E256" s="30">
        <v>3</v>
      </c>
      <c r="F256" s="30">
        <v>4</v>
      </c>
      <c r="G256" s="30">
        <v>5</v>
      </c>
      <c r="J256" s="35"/>
      <c r="K256" s="30">
        <v>1</v>
      </c>
      <c r="L256" s="30">
        <v>2</v>
      </c>
      <c r="M256" s="30">
        <v>3</v>
      </c>
      <c r="N256" s="30">
        <v>4</v>
      </c>
      <c r="Q256" s="35"/>
      <c r="R256" s="30">
        <f t="shared" si="37"/>
        <v>881445376</v>
      </c>
      <c r="S256" s="30">
        <f t="shared" si="38"/>
        <v>342016</v>
      </c>
    </row>
    <row r="257" spans="1:19">
      <c r="A257" s="57">
        <v>6</v>
      </c>
      <c r="B257" s="57">
        <v>4</v>
      </c>
      <c r="C257" s="30">
        <v>4</v>
      </c>
      <c r="D257" s="34">
        <v>2</v>
      </c>
      <c r="E257" s="30">
        <v>3</v>
      </c>
      <c r="F257" s="30">
        <v>4</v>
      </c>
      <c r="G257" s="30">
        <v>6</v>
      </c>
      <c r="J257" s="35"/>
      <c r="K257" s="30">
        <v>1</v>
      </c>
      <c r="L257" s="30">
        <v>2</v>
      </c>
      <c r="M257" s="30">
        <v>3</v>
      </c>
      <c r="N257" s="30">
        <v>4</v>
      </c>
      <c r="Q257" s="35"/>
      <c r="R257" s="30">
        <f t="shared" si="37"/>
        <v>881445888</v>
      </c>
      <c r="S257" s="30">
        <f t="shared" si="38"/>
        <v>342016</v>
      </c>
    </row>
    <row r="258" spans="1:19">
      <c r="A258" s="57">
        <v>6</v>
      </c>
      <c r="B258" s="57">
        <v>4</v>
      </c>
      <c r="C258" s="30">
        <v>4</v>
      </c>
      <c r="D258" s="34">
        <v>2</v>
      </c>
      <c r="E258" s="30">
        <v>3</v>
      </c>
      <c r="F258" s="30">
        <v>5</v>
      </c>
      <c r="G258" s="30">
        <v>6</v>
      </c>
      <c r="J258" s="35"/>
      <c r="K258" s="30">
        <v>1</v>
      </c>
      <c r="L258" s="30">
        <v>2</v>
      </c>
      <c r="M258" s="30">
        <v>3</v>
      </c>
      <c r="N258" s="30">
        <v>4</v>
      </c>
      <c r="Q258" s="35"/>
      <c r="R258" s="30">
        <f t="shared" si="37"/>
        <v>881449984</v>
      </c>
      <c r="S258" s="30">
        <f t="shared" si="38"/>
        <v>342016</v>
      </c>
    </row>
    <row r="259" spans="1:19">
      <c r="A259" s="57">
        <v>6</v>
      </c>
      <c r="B259" s="57">
        <v>4</v>
      </c>
      <c r="C259" s="30">
        <v>4</v>
      </c>
      <c r="D259" s="34">
        <v>2</v>
      </c>
      <c r="E259" s="30">
        <v>4</v>
      </c>
      <c r="F259" s="30">
        <v>5</v>
      </c>
      <c r="G259" s="30">
        <v>6</v>
      </c>
      <c r="J259" s="35"/>
      <c r="K259" s="30">
        <v>1</v>
      </c>
      <c r="L259" s="30">
        <v>2</v>
      </c>
      <c r="M259" s="30">
        <v>3</v>
      </c>
      <c r="N259" s="30">
        <v>4</v>
      </c>
      <c r="Q259" s="35"/>
      <c r="R259" s="30">
        <f t="shared" ref="R259:R322" si="39">J259*8^0+I259*8^1+H259*8^2+G259*8^3+F259*8^4+E259*8^5+D259*8^6+C259*8^7+B259*8^8+A259*8^9</f>
        <v>881482752</v>
      </c>
      <c r="S259" s="30">
        <f t="shared" si="38"/>
        <v>342016</v>
      </c>
    </row>
    <row r="260" spans="1:19">
      <c r="A260" s="58">
        <v>6</v>
      </c>
      <c r="B260" s="58">
        <v>4</v>
      </c>
      <c r="C260" s="37">
        <v>4</v>
      </c>
      <c r="D260" s="36">
        <v>3</v>
      </c>
      <c r="E260" s="37">
        <v>4</v>
      </c>
      <c r="F260" s="37">
        <v>5</v>
      </c>
      <c r="G260" s="37">
        <v>6</v>
      </c>
      <c r="H260" s="37"/>
      <c r="I260" s="37"/>
      <c r="J260" s="38"/>
      <c r="K260" s="37">
        <v>1</v>
      </c>
      <c r="L260" s="37">
        <v>2</v>
      </c>
      <c r="M260" s="37">
        <v>3</v>
      </c>
      <c r="N260" s="37">
        <v>4</v>
      </c>
      <c r="O260" s="37"/>
      <c r="P260" s="37"/>
      <c r="Q260" s="38"/>
      <c r="R260" s="30">
        <f t="shared" si="39"/>
        <v>881744896</v>
      </c>
      <c r="S260" s="30">
        <f t="shared" si="38"/>
        <v>342016</v>
      </c>
    </row>
    <row r="261" spans="1:19">
      <c r="A261" s="59">
        <v>6</v>
      </c>
      <c r="B261" s="59">
        <v>4</v>
      </c>
      <c r="C261" s="32">
        <v>5</v>
      </c>
      <c r="D261" s="31">
        <v>1</v>
      </c>
      <c r="E261" s="32">
        <v>2</v>
      </c>
      <c r="F261" s="32">
        <v>3</v>
      </c>
      <c r="G261" s="32">
        <v>4</v>
      </c>
      <c r="H261" s="32"/>
      <c r="I261" s="32"/>
      <c r="J261" s="33"/>
      <c r="K261" s="32">
        <v>1</v>
      </c>
      <c r="L261" s="32">
        <v>2</v>
      </c>
      <c r="M261" s="32">
        <v>3</v>
      </c>
      <c r="N261" s="32">
        <v>4</v>
      </c>
      <c r="O261" s="32"/>
      <c r="P261" s="32"/>
      <c r="Q261" s="33"/>
      <c r="R261" s="30">
        <f t="shared" si="39"/>
        <v>883243008</v>
      </c>
      <c r="S261" s="30">
        <f t="shared" ref="S261:S324" si="40">Q261*8^0+P261*8^1+O261*8^2+N261*8^3+M261*8^4+L261*8^5+K261*8^6</f>
        <v>342016</v>
      </c>
    </row>
    <row r="262" spans="1:19">
      <c r="A262" s="57">
        <v>6</v>
      </c>
      <c r="B262" s="57">
        <v>4</v>
      </c>
      <c r="C262" s="30">
        <v>5</v>
      </c>
      <c r="D262" s="34">
        <v>1</v>
      </c>
      <c r="E262" s="30">
        <v>2</v>
      </c>
      <c r="F262" s="30">
        <v>3</v>
      </c>
      <c r="G262" s="30">
        <v>5</v>
      </c>
      <c r="J262" s="35"/>
      <c r="K262" s="30">
        <v>1</v>
      </c>
      <c r="L262" s="30">
        <v>2</v>
      </c>
      <c r="M262" s="30">
        <v>3</v>
      </c>
      <c r="N262" s="30">
        <v>5</v>
      </c>
      <c r="Q262" s="35"/>
      <c r="R262" s="30">
        <f t="shared" si="39"/>
        <v>883243520</v>
      </c>
      <c r="S262" s="30">
        <f t="shared" si="40"/>
        <v>342528</v>
      </c>
    </row>
    <row r="263" spans="1:19">
      <c r="A263" s="57">
        <v>6</v>
      </c>
      <c r="B263" s="57">
        <v>4</v>
      </c>
      <c r="C263" s="30">
        <v>5</v>
      </c>
      <c r="D263" s="34">
        <v>1</v>
      </c>
      <c r="E263" s="30">
        <v>2</v>
      </c>
      <c r="F263" s="30">
        <v>3</v>
      </c>
      <c r="G263" s="30">
        <v>6</v>
      </c>
      <c r="J263" s="35"/>
      <c r="K263" s="30">
        <v>1</v>
      </c>
      <c r="L263" s="30">
        <v>2</v>
      </c>
      <c r="M263" s="30">
        <v>3</v>
      </c>
      <c r="N263" s="30">
        <v>5</v>
      </c>
      <c r="Q263" s="35"/>
      <c r="R263" s="30">
        <f t="shared" si="39"/>
        <v>883244032</v>
      </c>
      <c r="S263" s="30">
        <f t="shared" si="40"/>
        <v>342528</v>
      </c>
    </row>
    <row r="264" spans="1:19">
      <c r="A264" s="57">
        <v>6</v>
      </c>
      <c r="B264" s="57">
        <v>4</v>
      </c>
      <c r="C264" s="30">
        <v>5</v>
      </c>
      <c r="D264" s="34">
        <v>1</v>
      </c>
      <c r="E264" s="30">
        <v>2</v>
      </c>
      <c r="F264" s="30">
        <v>4</v>
      </c>
      <c r="G264" s="30">
        <v>5</v>
      </c>
      <c r="J264" s="35"/>
      <c r="K264" s="34">
        <v>1</v>
      </c>
      <c r="L264" s="30">
        <v>2</v>
      </c>
      <c r="M264" s="30">
        <v>4</v>
      </c>
      <c r="N264" s="30">
        <v>5</v>
      </c>
      <c r="Q264" s="35"/>
      <c r="R264" s="30">
        <f t="shared" si="39"/>
        <v>883247616</v>
      </c>
      <c r="S264" s="30">
        <f t="shared" si="40"/>
        <v>346624</v>
      </c>
    </row>
    <row r="265" spans="1:19">
      <c r="A265" s="57">
        <v>6</v>
      </c>
      <c r="B265" s="57">
        <v>4</v>
      </c>
      <c r="C265" s="30">
        <v>5</v>
      </c>
      <c r="D265" s="34">
        <v>1</v>
      </c>
      <c r="E265" s="30">
        <v>2</v>
      </c>
      <c r="F265" s="30">
        <v>4</v>
      </c>
      <c r="G265" s="30">
        <v>6</v>
      </c>
      <c r="J265" s="35"/>
      <c r="K265" s="34">
        <v>1</v>
      </c>
      <c r="L265" s="30">
        <v>2</v>
      </c>
      <c r="M265" s="30">
        <v>4</v>
      </c>
      <c r="N265" s="30">
        <v>5</v>
      </c>
      <c r="Q265" s="35"/>
      <c r="R265" s="30">
        <f t="shared" si="39"/>
        <v>883248128</v>
      </c>
      <c r="S265" s="30">
        <f t="shared" si="40"/>
        <v>346624</v>
      </c>
    </row>
    <row r="266" spans="1:19">
      <c r="A266" s="57">
        <v>6</v>
      </c>
      <c r="B266" s="57">
        <v>4</v>
      </c>
      <c r="C266" s="30">
        <v>5</v>
      </c>
      <c r="D266" s="34">
        <v>1</v>
      </c>
      <c r="E266" s="30">
        <v>2</v>
      </c>
      <c r="F266" s="30">
        <v>5</v>
      </c>
      <c r="G266" s="30">
        <v>6</v>
      </c>
      <c r="J266" s="35"/>
      <c r="K266" s="34">
        <v>1</v>
      </c>
      <c r="L266" s="30">
        <v>2</v>
      </c>
      <c r="M266" s="30">
        <v>4</v>
      </c>
      <c r="N266" s="30">
        <v>5</v>
      </c>
      <c r="Q266" s="35"/>
      <c r="R266" s="30">
        <f t="shared" si="39"/>
        <v>883252224</v>
      </c>
      <c r="S266" s="30">
        <f t="shared" si="40"/>
        <v>346624</v>
      </c>
    </row>
    <row r="267" spans="1:19">
      <c r="A267" s="57">
        <v>6</v>
      </c>
      <c r="B267" s="57">
        <v>4</v>
      </c>
      <c r="C267" s="30">
        <v>5</v>
      </c>
      <c r="D267" s="34">
        <v>1</v>
      </c>
      <c r="E267" s="30">
        <v>3</v>
      </c>
      <c r="F267" s="30">
        <v>4</v>
      </c>
      <c r="G267" s="30">
        <v>5</v>
      </c>
      <c r="J267" s="35"/>
      <c r="K267" s="34">
        <v>1</v>
      </c>
      <c r="L267" s="30">
        <v>3</v>
      </c>
      <c r="M267" s="30">
        <v>4</v>
      </c>
      <c r="N267" s="30">
        <v>5</v>
      </c>
      <c r="Q267" s="35"/>
      <c r="R267" s="30">
        <f t="shared" si="39"/>
        <v>883280384</v>
      </c>
      <c r="S267" s="30">
        <f t="shared" si="40"/>
        <v>379392</v>
      </c>
    </row>
    <row r="268" spans="1:19">
      <c r="A268" s="57">
        <v>6</v>
      </c>
      <c r="B268" s="57">
        <v>4</v>
      </c>
      <c r="C268" s="30">
        <v>5</v>
      </c>
      <c r="D268" s="34">
        <v>1</v>
      </c>
      <c r="E268" s="30">
        <v>3</v>
      </c>
      <c r="F268" s="30">
        <v>4</v>
      </c>
      <c r="G268" s="30">
        <v>6</v>
      </c>
      <c r="J268" s="35"/>
      <c r="K268" s="34">
        <v>1</v>
      </c>
      <c r="L268" s="30">
        <v>3</v>
      </c>
      <c r="M268" s="30">
        <v>4</v>
      </c>
      <c r="N268" s="30">
        <v>5</v>
      </c>
      <c r="Q268" s="35"/>
      <c r="R268" s="30">
        <f t="shared" si="39"/>
        <v>883280896</v>
      </c>
      <c r="S268" s="30">
        <f t="shared" si="40"/>
        <v>379392</v>
      </c>
    </row>
    <row r="269" spans="1:19">
      <c r="A269" s="57">
        <v>6</v>
      </c>
      <c r="B269" s="57">
        <v>4</v>
      </c>
      <c r="C269" s="30">
        <v>5</v>
      </c>
      <c r="D269" s="34">
        <v>1</v>
      </c>
      <c r="E269" s="30">
        <v>3</v>
      </c>
      <c r="F269" s="30">
        <v>5</v>
      </c>
      <c r="G269" s="30">
        <v>6</v>
      </c>
      <c r="J269" s="35"/>
      <c r="K269" s="34">
        <v>1</v>
      </c>
      <c r="L269" s="30">
        <v>3</v>
      </c>
      <c r="M269" s="30">
        <v>4</v>
      </c>
      <c r="N269" s="30">
        <v>5</v>
      </c>
      <c r="Q269" s="35"/>
      <c r="R269" s="30">
        <f t="shared" si="39"/>
        <v>883284992</v>
      </c>
      <c r="S269" s="30">
        <f t="shared" si="40"/>
        <v>379392</v>
      </c>
    </row>
    <row r="270" spans="1:19">
      <c r="A270" s="57">
        <v>6</v>
      </c>
      <c r="B270" s="57">
        <v>4</v>
      </c>
      <c r="C270" s="30">
        <v>5</v>
      </c>
      <c r="D270" s="34">
        <v>1</v>
      </c>
      <c r="E270" s="30">
        <v>4</v>
      </c>
      <c r="F270" s="30">
        <v>5</v>
      </c>
      <c r="G270" s="30">
        <v>6</v>
      </c>
      <c r="J270" s="35"/>
      <c r="K270" s="34">
        <v>1</v>
      </c>
      <c r="L270" s="30">
        <v>3</v>
      </c>
      <c r="M270" s="30">
        <v>4</v>
      </c>
      <c r="N270" s="30">
        <v>5</v>
      </c>
      <c r="Q270" s="35"/>
      <c r="R270" s="30">
        <f t="shared" si="39"/>
        <v>883317760</v>
      </c>
      <c r="S270" s="30">
        <f t="shared" si="40"/>
        <v>379392</v>
      </c>
    </row>
    <row r="271" spans="1:19">
      <c r="A271" s="57">
        <v>6</v>
      </c>
      <c r="B271" s="57">
        <v>4</v>
      </c>
      <c r="C271" s="30">
        <v>5</v>
      </c>
      <c r="D271" s="34">
        <v>2</v>
      </c>
      <c r="E271" s="30">
        <v>3</v>
      </c>
      <c r="F271" s="30">
        <v>4</v>
      </c>
      <c r="G271" s="30">
        <v>5</v>
      </c>
      <c r="J271" s="35"/>
      <c r="K271" s="34">
        <v>2</v>
      </c>
      <c r="L271" s="30">
        <v>3</v>
      </c>
      <c r="M271" s="30">
        <v>4</v>
      </c>
      <c r="N271" s="30">
        <v>5</v>
      </c>
      <c r="Q271" s="35"/>
      <c r="R271" s="30">
        <f t="shared" si="39"/>
        <v>883542528</v>
      </c>
      <c r="S271" s="30">
        <f t="shared" si="40"/>
        <v>641536</v>
      </c>
    </row>
    <row r="272" spans="1:19">
      <c r="A272" s="57">
        <v>6</v>
      </c>
      <c r="B272" s="57">
        <v>4</v>
      </c>
      <c r="C272" s="30">
        <v>5</v>
      </c>
      <c r="D272" s="34">
        <v>2</v>
      </c>
      <c r="E272" s="30">
        <v>3</v>
      </c>
      <c r="F272" s="30">
        <v>4</v>
      </c>
      <c r="G272" s="30">
        <v>6</v>
      </c>
      <c r="J272" s="35"/>
      <c r="K272" s="34">
        <v>2</v>
      </c>
      <c r="L272" s="30">
        <v>3</v>
      </c>
      <c r="M272" s="30">
        <v>4</v>
      </c>
      <c r="N272" s="30">
        <v>5</v>
      </c>
      <c r="Q272" s="35"/>
      <c r="R272" s="30">
        <f t="shared" si="39"/>
        <v>883543040</v>
      </c>
      <c r="S272" s="30">
        <f t="shared" si="40"/>
        <v>641536</v>
      </c>
    </row>
    <row r="273" spans="1:19">
      <c r="A273" s="57">
        <v>6</v>
      </c>
      <c r="B273" s="57">
        <v>4</v>
      </c>
      <c r="C273" s="30">
        <v>5</v>
      </c>
      <c r="D273" s="34">
        <v>2</v>
      </c>
      <c r="E273" s="30">
        <v>3</v>
      </c>
      <c r="F273" s="30">
        <v>5</v>
      </c>
      <c r="G273" s="30">
        <v>6</v>
      </c>
      <c r="J273" s="35"/>
      <c r="K273" s="34">
        <v>2</v>
      </c>
      <c r="L273" s="30">
        <v>3</v>
      </c>
      <c r="M273" s="30">
        <v>4</v>
      </c>
      <c r="N273" s="30">
        <v>5</v>
      </c>
      <c r="Q273" s="35"/>
      <c r="R273" s="30">
        <f t="shared" si="39"/>
        <v>883547136</v>
      </c>
      <c r="S273" s="30">
        <f t="shared" si="40"/>
        <v>641536</v>
      </c>
    </row>
    <row r="274" spans="1:19">
      <c r="A274" s="57">
        <v>6</v>
      </c>
      <c r="B274" s="57">
        <v>4</v>
      </c>
      <c r="C274" s="30">
        <v>5</v>
      </c>
      <c r="D274" s="34">
        <v>2</v>
      </c>
      <c r="E274" s="30">
        <v>4</v>
      </c>
      <c r="F274" s="30">
        <v>5</v>
      </c>
      <c r="G274" s="30">
        <v>6</v>
      </c>
      <c r="J274" s="35"/>
      <c r="K274" s="34">
        <v>2</v>
      </c>
      <c r="L274" s="30">
        <v>3</v>
      </c>
      <c r="M274" s="30">
        <v>4</v>
      </c>
      <c r="N274" s="30">
        <v>5</v>
      </c>
      <c r="Q274" s="35"/>
      <c r="R274" s="30">
        <f t="shared" si="39"/>
        <v>883579904</v>
      </c>
      <c r="S274" s="30">
        <f t="shared" si="40"/>
        <v>641536</v>
      </c>
    </row>
    <row r="275" spans="1:19">
      <c r="A275" s="58">
        <v>6</v>
      </c>
      <c r="B275" s="58">
        <v>4</v>
      </c>
      <c r="C275" s="37">
        <v>5</v>
      </c>
      <c r="D275" s="36">
        <v>3</v>
      </c>
      <c r="E275" s="37">
        <v>4</v>
      </c>
      <c r="F275" s="37">
        <v>5</v>
      </c>
      <c r="G275" s="37">
        <v>6</v>
      </c>
      <c r="H275" s="37"/>
      <c r="I275" s="37"/>
      <c r="J275" s="38"/>
      <c r="K275" s="37">
        <v>2</v>
      </c>
      <c r="L275" s="37">
        <v>3</v>
      </c>
      <c r="M275" s="37">
        <v>4</v>
      </c>
      <c r="N275" s="37">
        <v>5</v>
      </c>
      <c r="O275" s="37"/>
      <c r="P275" s="37"/>
      <c r="Q275" s="38"/>
      <c r="R275" s="30">
        <f t="shared" si="39"/>
        <v>883842048</v>
      </c>
      <c r="S275" s="30">
        <f t="shared" si="40"/>
        <v>641536</v>
      </c>
    </row>
    <row r="276" spans="1:19">
      <c r="A276" s="59">
        <v>6</v>
      </c>
      <c r="B276" s="59">
        <v>5</v>
      </c>
      <c r="C276" s="32">
        <v>5</v>
      </c>
      <c r="D276" s="31">
        <v>1</v>
      </c>
      <c r="E276" s="32">
        <v>2</v>
      </c>
      <c r="F276" s="32">
        <v>3</v>
      </c>
      <c r="G276" s="32">
        <v>4</v>
      </c>
      <c r="H276" s="32">
        <v>5</v>
      </c>
      <c r="I276" s="32"/>
      <c r="J276" s="33"/>
      <c r="K276" s="32">
        <v>1</v>
      </c>
      <c r="L276" s="32">
        <v>2</v>
      </c>
      <c r="M276" s="32">
        <v>3</v>
      </c>
      <c r="N276" s="32">
        <v>4</v>
      </c>
      <c r="O276" s="32">
        <v>5</v>
      </c>
      <c r="P276" s="32"/>
      <c r="Q276" s="33"/>
      <c r="R276" s="30">
        <f t="shared" si="39"/>
        <v>900020544</v>
      </c>
      <c r="S276" s="30">
        <f t="shared" si="40"/>
        <v>342336</v>
      </c>
    </row>
    <row r="277" spans="1:19">
      <c r="A277" s="57">
        <v>6</v>
      </c>
      <c r="B277" s="57">
        <v>5</v>
      </c>
      <c r="C277" s="30">
        <v>5</v>
      </c>
      <c r="D277" s="34">
        <v>1</v>
      </c>
      <c r="E277" s="30">
        <v>2</v>
      </c>
      <c r="F277" s="30">
        <v>3</v>
      </c>
      <c r="G277" s="30">
        <v>4</v>
      </c>
      <c r="H277" s="30">
        <v>6</v>
      </c>
      <c r="J277" s="35"/>
      <c r="K277" s="30">
        <v>1</v>
      </c>
      <c r="L277" s="30">
        <v>2</v>
      </c>
      <c r="M277" s="30">
        <v>3</v>
      </c>
      <c r="N277" s="30">
        <v>4</v>
      </c>
      <c r="O277" s="30">
        <v>5</v>
      </c>
      <c r="Q277" s="35"/>
      <c r="R277" s="30">
        <f t="shared" si="39"/>
        <v>900020608</v>
      </c>
      <c r="S277" s="30">
        <f t="shared" si="40"/>
        <v>342336</v>
      </c>
    </row>
    <row r="278" spans="1:19">
      <c r="A278" s="57">
        <v>6</v>
      </c>
      <c r="B278" s="57">
        <v>5</v>
      </c>
      <c r="C278" s="30">
        <v>5</v>
      </c>
      <c r="D278" s="34">
        <v>1</v>
      </c>
      <c r="E278" s="30">
        <v>2</v>
      </c>
      <c r="F278" s="30">
        <v>3</v>
      </c>
      <c r="G278" s="30">
        <v>5</v>
      </c>
      <c r="H278" s="30">
        <v>6</v>
      </c>
      <c r="J278" s="35"/>
      <c r="K278" s="30">
        <v>1</v>
      </c>
      <c r="L278" s="30">
        <v>2</v>
      </c>
      <c r="M278" s="30">
        <v>3</v>
      </c>
      <c r="N278" s="30">
        <v>4</v>
      </c>
      <c r="O278" s="30">
        <v>5</v>
      </c>
      <c r="Q278" s="35"/>
      <c r="R278" s="30">
        <f t="shared" si="39"/>
        <v>900021120</v>
      </c>
      <c r="S278" s="30">
        <f t="shared" si="40"/>
        <v>342336</v>
      </c>
    </row>
    <row r="279" spans="1:19">
      <c r="A279" s="57">
        <v>6</v>
      </c>
      <c r="B279" s="57">
        <v>5</v>
      </c>
      <c r="C279" s="30">
        <v>5</v>
      </c>
      <c r="D279" s="34">
        <v>1</v>
      </c>
      <c r="E279" s="30">
        <v>2</v>
      </c>
      <c r="F279" s="30">
        <v>4</v>
      </c>
      <c r="G279" s="30">
        <v>5</v>
      </c>
      <c r="H279" s="30">
        <v>6</v>
      </c>
      <c r="J279" s="35"/>
      <c r="K279" s="30">
        <v>1</v>
      </c>
      <c r="L279" s="30">
        <v>2</v>
      </c>
      <c r="M279" s="30">
        <v>3</v>
      </c>
      <c r="N279" s="30">
        <v>4</v>
      </c>
      <c r="O279" s="30">
        <v>5</v>
      </c>
      <c r="Q279" s="35"/>
      <c r="R279" s="30">
        <f t="shared" si="39"/>
        <v>900025216</v>
      </c>
      <c r="S279" s="30">
        <f t="shared" si="40"/>
        <v>342336</v>
      </c>
    </row>
    <row r="280" spans="1:19">
      <c r="A280" s="57">
        <v>6</v>
      </c>
      <c r="B280" s="57">
        <v>5</v>
      </c>
      <c r="C280" s="30">
        <v>5</v>
      </c>
      <c r="D280" s="34">
        <v>1</v>
      </c>
      <c r="E280" s="30">
        <v>3</v>
      </c>
      <c r="F280" s="30">
        <v>4</v>
      </c>
      <c r="G280" s="30">
        <v>5</v>
      </c>
      <c r="H280" s="30">
        <v>6</v>
      </c>
      <c r="J280" s="35"/>
      <c r="K280" s="30">
        <v>1</v>
      </c>
      <c r="L280" s="30">
        <v>2</v>
      </c>
      <c r="M280" s="30">
        <v>3</v>
      </c>
      <c r="N280" s="30">
        <v>4</v>
      </c>
      <c r="O280" s="30">
        <v>5</v>
      </c>
      <c r="Q280" s="35"/>
      <c r="R280" s="30">
        <f t="shared" si="39"/>
        <v>900057984</v>
      </c>
      <c r="S280" s="30">
        <f t="shared" si="40"/>
        <v>342336</v>
      </c>
    </row>
    <row r="281" spans="1:19">
      <c r="A281" s="58">
        <v>6</v>
      </c>
      <c r="B281" s="58">
        <v>5</v>
      </c>
      <c r="C281" s="37">
        <v>5</v>
      </c>
      <c r="D281" s="36">
        <v>2</v>
      </c>
      <c r="E281" s="37">
        <v>3</v>
      </c>
      <c r="F281" s="37">
        <v>4</v>
      </c>
      <c r="G281" s="37">
        <v>5</v>
      </c>
      <c r="H281" s="37">
        <v>6</v>
      </c>
      <c r="I281" s="37"/>
      <c r="J281" s="38"/>
      <c r="K281" s="37">
        <v>1</v>
      </c>
      <c r="L281" s="37">
        <v>2</v>
      </c>
      <c r="M281" s="37">
        <v>3</v>
      </c>
      <c r="N281" s="37">
        <v>4</v>
      </c>
      <c r="O281" s="37">
        <v>5</v>
      </c>
      <c r="P281" s="37"/>
      <c r="Q281" s="38"/>
      <c r="R281" s="30">
        <f t="shared" si="39"/>
        <v>900320128</v>
      </c>
      <c r="S281" s="30">
        <f t="shared" si="40"/>
        <v>342336</v>
      </c>
    </row>
    <row r="282" spans="1:19">
      <c r="A282" s="59">
        <v>7</v>
      </c>
      <c r="B282" s="59">
        <v>1</v>
      </c>
      <c r="C282" s="32">
        <v>2</v>
      </c>
      <c r="D282" s="31">
        <v>1</v>
      </c>
      <c r="E282" s="32"/>
      <c r="F282" s="32"/>
      <c r="G282" s="32"/>
      <c r="H282" s="32"/>
      <c r="I282" s="32"/>
      <c r="J282" s="33"/>
      <c r="K282" s="32">
        <v>1</v>
      </c>
      <c r="L282" s="32"/>
      <c r="M282" s="32"/>
      <c r="N282" s="32"/>
      <c r="O282" s="32"/>
      <c r="P282" s="32"/>
      <c r="Q282" s="33"/>
      <c r="R282" s="30">
        <f t="shared" si="39"/>
        <v>960757760</v>
      </c>
      <c r="S282" s="30">
        <f t="shared" si="40"/>
        <v>262144</v>
      </c>
    </row>
    <row r="283" spans="1:19">
      <c r="A283" s="57">
        <v>7</v>
      </c>
      <c r="B283" s="57">
        <v>1</v>
      </c>
      <c r="C283" s="30">
        <v>2</v>
      </c>
      <c r="D283" s="34">
        <v>2</v>
      </c>
      <c r="J283" s="35"/>
      <c r="K283" s="30">
        <v>2</v>
      </c>
      <c r="Q283" s="35"/>
      <c r="R283" s="30">
        <f t="shared" si="39"/>
        <v>961019904</v>
      </c>
      <c r="S283" s="30">
        <f t="shared" si="40"/>
        <v>524288</v>
      </c>
    </row>
    <row r="284" spans="1:19">
      <c r="A284" s="57">
        <v>7</v>
      </c>
      <c r="B284" s="57">
        <v>1</v>
      </c>
      <c r="C284" s="30">
        <v>2</v>
      </c>
      <c r="D284" s="34">
        <v>3</v>
      </c>
      <c r="J284" s="35"/>
      <c r="K284" s="30">
        <v>1</v>
      </c>
      <c r="Q284" s="35"/>
      <c r="R284" s="30">
        <f t="shared" si="39"/>
        <v>961282048</v>
      </c>
      <c r="S284" s="30">
        <f t="shared" si="40"/>
        <v>262144</v>
      </c>
    </row>
    <row r="285" spans="1:19">
      <c r="A285" s="57">
        <v>7</v>
      </c>
      <c r="B285" s="57">
        <v>1</v>
      </c>
      <c r="C285" s="30">
        <v>2</v>
      </c>
      <c r="D285" s="34">
        <v>4</v>
      </c>
      <c r="J285" s="35"/>
      <c r="K285" s="30">
        <v>2</v>
      </c>
      <c r="Q285" s="35"/>
      <c r="R285" s="30">
        <f t="shared" si="39"/>
        <v>961544192</v>
      </c>
      <c r="S285" s="30">
        <f t="shared" si="40"/>
        <v>524288</v>
      </c>
    </row>
    <row r="286" spans="1:19">
      <c r="A286" s="57">
        <v>7</v>
      </c>
      <c r="B286" s="57">
        <v>1</v>
      </c>
      <c r="C286" s="30">
        <v>2</v>
      </c>
      <c r="D286" s="34">
        <v>5</v>
      </c>
      <c r="J286" s="35"/>
      <c r="K286" s="30">
        <v>1</v>
      </c>
      <c r="Q286" s="35"/>
      <c r="R286" s="30">
        <f t="shared" si="39"/>
        <v>961806336</v>
      </c>
      <c r="S286" s="30">
        <f t="shared" si="40"/>
        <v>262144</v>
      </c>
    </row>
    <row r="287" spans="1:19">
      <c r="A287" s="57">
        <v>7</v>
      </c>
      <c r="B287" s="57">
        <v>1</v>
      </c>
      <c r="C287" s="30">
        <v>2</v>
      </c>
      <c r="D287" s="34">
        <v>6</v>
      </c>
      <c r="J287" s="35"/>
      <c r="K287" s="30">
        <v>2</v>
      </c>
      <c r="Q287" s="35"/>
      <c r="R287" s="30">
        <f t="shared" si="39"/>
        <v>962068480</v>
      </c>
      <c r="S287" s="30">
        <f t="shared" si="40"/>
        <v>524288</v>
      </c>
    </row>
    <row r="288" spans="1:19">
      <c r="A288" s="58">
        <v>7</v>
      </c>
      <c r="B288" s="58">
        <v>1</v>
      </c>
      <c r="C288" s="37">
        <v>2</v>
      </c>
      <c r="D288" s="36">
        <v>7</v>
      </c>
      <c r="E288" s="37"/>
      <c r="F288" s="37"/>
      <c r="G288" s="37"/>
      <c r="H288" s="37"/>
      <c r="I288" s="37"/>
      <c r="J288" s="38"/>
      <c r="K288" s="37">
        <v>1</v>
      </c>
      <c r="L288" s="37"/>
      <c r="M288" s="37"/>
      <c r="N288" s="37"/>
      <c r="O288" s="37"/>
      <c r="P288" s="37"/>
      <c r="Q288" s="38"/>
      <c r="R288" s="30">
        <f t="shared" si="39"/>
        <v>962330624</v>
      </c>
      <c r="S288" s="30">
        <f t="shared" si="40"/>
        <v>262144</v>
      </c>
    </row>
    <row r="289" spans="1:19">
      <c r="A289" s="59">
        <v>7</v>
      </c>
      <c r="B289" s="59">
        <v>1</v>
      </c>
      <c r="C289" s="32">
        <v>3</v>
      </c>
      <c r="D289" s="31">
        <v>1</v>
      </c>
      <c r="E289" s="32"/>
      <c r="F289" s="32"/>
      <c r="G289" s="32"/>
      <c r="H289" s="32"/>
      <c r="I289" s="32"/>
      <c r="J289" s="33"/>
      <c r="K289" s="30">
        <v>1</v>
      </c>
      <c r="L289" s="32"/>
      <c r="M289" s="32"/>
      <c r="N289" s="32"/>
      <c r="O289" s="32"/>
      <c r="P289" s="32"/>
      <c r="Q289" s="33"/>
      <c r="R289" s="30">
        <f t="shared" si="39"/>
        <v>962854912</v>
      </c>
      <c r="S289" s="30">
        <f t="shared" si="40"/>
        <v>262144</v>
      </c>
    </row>
    <row r="290" spans="1:19">
      <c r="A290" s="57">
        <v>7</v>
      </c>
      <c r="B290" s="57">
        <v>1</v>
      </c>
      <c r="C290" s="30">
        <v>3</v>
      </c>
      <c r="D290" s="34">
        <v>2</v>
      </c>
      <c r="J290" s="35"/>
      <c r="K290" s="30">
        <v>1</v>
      </c>
      <c r="Q290" s="35"/>
      <c r="R290" s="30">
        <f t="shared" si="39"/>
        <v>963117056</v>
      </c>
      <c r="S290" s="30">
        <f t="shared" si="40"/>
        <v>262144</v>
      </c>
    </row>
    <row r="291" spans="1:19">
      <c r="A291" s="57">
        <v>7</v>
      </c>
      <c r="B291" s="57">
        <v>1</v>
      </c>
      <c r="C291" s="30">
        <v>3</v>
      </c>
      <c r="D291" s="34">
        <v>3</v>
      </c>
      <c r="J291" s="35"/>
      <c r="K291" s="30">
        <v>2</v>
      </c>
      <c r="Q291" s="35"/>
      <c r="R291" s="30">
        <f t="shared" si="39"/>
        <v>963379200</v>
      </c>
      <c r="S291" s="30">
        <f t="shared" si="40"/>
        <v>524288</v>
      </c>
    </row>
    <row r="292" spans="1:19">
      <c r="A292" s="57">
        <v>7</v>
      </c>
      <c r="B292" s="57">
        <v>1</v>
      </c>
      <c r="C292" s="30">
        <v>3</v>
      </c>
      <c r="D292" s="34">
        <v>4</v>
      </c>
      <c r="J292" s="35"/>
      <c r="K292" s="30">
        <v>2</v>
      </c>
      <c r="Q292" s="35"/>
      <c r="R292" s="30">
        <f t="shared" si="39"/>
        <v>963641344</v>
      </c>
      <c r="S292" s="30">
        <f t="shared" si="40"/>
        <v>524288</v>
      </c>
    </row>
    <row r="293" spans="1:19">
      <c r="A293" s="57">
        <v>7</v>
      </c>
      <c r="B293" s="57">
        <v>1</v>
      </c>
      <c r="C293" s="30">
        <v>3</v>
      </c>
      <c r="D293" s="34">
        <v>5</v>
      </c>
      <c r="J293" s="35"/>
      <c r="K293" s="30">
        <v>2</v>
      </c>
      <c r="Q293" s="35"/>
      <c r="R293" s="30">
        <f t="shared" si="39"/>
        <v>963903488</v>
      </c>
      <c r="S293" s="30">
        <f t="shared" si="40"/>
        <v>524288</v>
      </c>
    </row>
    <row r="294" spans="1:19">
      <c r="A294" s="57">
        <v>7</v>
      </c>
      <c r="B294" s="57">
        <v>1</v>
      </c>
      <c r="C294" s="30">
        <v>3</v>
      </c>
      <c r="D294" s="34">
        <v>6</v>
      </c>
      <c r="J294" s="35"/>
      <c r="K294" s="30">
        <v>3</v>
      </c>
      <c r="Q294" s="35"/>
      <c r="R294" s="30">
        <f t="shared" si="39"/>
        <v>964165632</v>
      </c>
      <c r="S294" s="30">
        <f t="shared" si="40"/>
        <v>786432</v>
      </c>
    </row>
    <row r="295" spans="1:19">
      <c r="A295" s="58">
        <v>7</v>
      </c>
      <c r="B295" s="58">
        <v>1</v>
      </c>
      <c r="C295" s="37">
        <v>3</v>
      </c>
      <c r="D295" s="36">
        <v>7</v>
      </c>
      <c r="E295" s="37"/>
      <c r="F295" s="37"/>
      <c r="G295" s="37"/>
      <c r="H295" s="37"/>
      <c r="I295" s="37"/>
      <c r="J295" s="38"/>
      <c r="K295" s="30">
        <v>3</v>
      </c>
      <c r="L295" s="37"/>
      <c r="M295" s="37"/>
      <c r="N295" s="37"/>
      <c r="O295" s="37"/>
      <c r="P295" s="37"/>
      <c r="Q295" s="38"/>
      <c r="R295" s="30">
        <f t="shared" si="39"/>
        <v>964427776</v>
      </c>
      <c r="S295" s="30">
        <f t="shared" si="40"/>
        <v>786432</v>
      </c>
    </row>
    <row r="296" spans="1:19">
      <c r="A296" s="59">
        <v>7</v>
      </c>
      <c r="B296" s="59">
        <v>1</v>
      </c>
      <c r="C296" s="32">
        <v>4</v>
      </c>
      <c r="D296" s="31">
        <v>1</v>
      </c>
      <c r="E296" s="32"/>
      <c r="F296" s="32"/>
      <c r="G296" s="32"/>
      <c r="H296" s="32"/>
      <c r="I296" s="32"/>
      <c r="J296" s="33"/>
      <c r="K296" s="32">
        <v>1</v>
      </c>
      <c r="L296" s="32"/>
      <c r="M296" s="32"/>
      <c r="N296" s="32"/>
      <c r="O296" s="32"/>
      <c r="P296" s="32"/>
      <c r="Q296" s="33"/>
      <c r="R296" s="30">
        <f t="shared" si="39"/>
        <v>964952064</v>
      </c>
      <c r="S296" s="30">
        <f t="shared" si="40"/>
        <v>262144</v>
      </c>
    </row>
    <row r="297" spans="1:19">
      <c r="A297" s="57">
        <v>7</v>
      </c>
      <c r="B297" s="57">
        <v>1</v>
      </c>
      <c r="C297" s="30">
        <v>4</v>
      </c>
      <c r="D297" s="34">
        <v>2</v>
      </c>
      <c r="J297" s="35"/>
      <c r="K297" s="30">
        <v>1</v>
      </c>
      <c r="Q297" s="35"/>
      <c r="R297" s="30">
        <f t="shared" si="39"/>
        <v>965214208</v>
      </c>
      <c r="S297" s="30">
        <f t="shared" si="40"/>
        <v>262144</v>
      </c>
    </row>
    <row r="298" spans="1:19">
      <c r="A298" s="57">
        <v>7</v>
      </c>
      <c r="B298" s="57">
        <v>1</v>
      </c>
      <c r="C298" s="30">
        <v>4</v>
      </c>
      <c r="D298" s="34">
        <v>3</v>
      </c>
      <c r="J298" s="35"/>
      <c r="K298" s="30">
        <v>2</v>
      </c>
      <c r="Q298" s="35"/>
      <c r="R298" s="30">
        <f t="shared" si="39"/>
        <v>965476352</v>
      </c>
      <c r="S298" s="30">
        <f t="shared" si="40"/>
        <v>524288</v>
      </c>
    </row>
    <row r="299" spans="1:19">
      <c r="A299" s="57">
        <v>7</v>
      </c>
      <c r="B299" s="57">
        <v>1</v>
      </c>
      <c r="C299" s="30">
        <v>4</v>
      </c>
      <c r="D299" s="34">
        <v>4</v>
      </c>
      <c r="J299" s="35"/>
      <c r="K299" s="30">
        <v>2</v>
      </c>
      <c r="Q299" s="35"/>
      <c r="R299" s="30">
        <f t="shared" si="39"/>
        <v>965738496</v>
      </c>
      <c r="S299" s="30">
        <f t="shared" si="40"/>
        <v>524288</v>
      </c>
    </row>
    <row r="300" spans="1:19">
      <c r="A300" s="57">
        <v>7</v>
      </c>
      <c r="B300" s="57">
        <v>1</v>
      </c>
      <c r="C300" s="30">
        <v>4</v>
      </c>
      <c r="D300" s="34">
        <v>5</v>
      </c>
      <c r="J300" s="35"/>
      <c r="K300" s="30">
        <v>3</v>
      </c>
      <c r="Q300" s="35"/>
      <c r="R300" s="30">
        <f t="shared" si="39"/>
        <v>966000640</v>
      </c>
      <c r="S300" s="30">
        <f t="shared" si="40"/>
        <v>786432</v>
      </c>
    </row>
    <row r="301" spans="1:19">
      <c r="A301" s="57">
        <v>7</v>
      </c>
      <c r="B301" s="57">
        <v>1</v>
      </c>
      <c r="C301" s="30">
        <v>4</v>
      </c>
      <c r="D301" s="34">
        <v>6</v>
      </c>
      <c r="J301" s="35"/>
      <c r="K301" s="30">
        <v>3</v>
      </c>
      <c r="Q301" s="35"/>
      <c r="R301" s="30">
        <f t="shared" si="39"/>
        <v>966262784</v>
      </c>
      <c r="S301" s="30">
        <f t="shared" si="40"/>
        <v>786432</v>
      </c>
    </row>
    <row r="302" spans="1:19">
      <c r="A302" s="58">
        <v>7</v>
      </c>
      <c r="B302" s="58">
        <v>1</v>
      </c>
      <c r="C302" s="37">
        <v>4</v>
      </c>
      <c r="D302" s="36">
        <v>7</v>
      </c>
      <c r="E302" s="37"/>
      <c r="F302" s="37"/>
      <c r="G302" s="37"/>
      <c r="H302" s="37"/>
      <c r="I302" s="37"/>
      <c r="J302" s="38"/>
      <c r="K302" s="37">
        <v>4</v>
      </c>
      <c r="L302" s="37"/>
      <c r="M302" s="37"/>
      <c r="N302" s="37"/>
      <c r="O302" s="37"/>
      <c r="P302" s="37"/>
      <c r="Q302" s="38"/>
      <c r="R302" s="30">
        <f t="shared" si="39"/>
        <v>966524928</v>
      </c>
      <c r="S302" s="30">
        <f t="shared" si="40"/>
        <v>1048576</v>
      </c>
    </row>
    <row r="303" spans="1:19">
      <c r="A303" s="59">
        <v>7</v>
      </c>
      <c r="B303" s="59">
        <v>1</v>
      </c>
      <c r="C303" s="32">
        <v>5</v>
      </c>
      <c r="D303" s="31">
        <v>1</v>
      </c>
      <c r="E303" s="32"/>
      <c r="F303" s="32"/>
      <c r="G303" s="32"/>
      <c r="H303" s="32"/>
      <c r="I303" s="32"/>
      <c r="J303" s="33"/>
      <c r="K303" s="32">
        <v>1</v>
      </c>
      <c r="L303" s="32"/>
      <c r="M303" s="32"/>
      <c r="N303" s="32"/>
      <c r="O303" s="32"/>
      <c r="P303" s="32"/>
      <c r="Q303" s="33"/>
      <c r="R303" s="30">
        <f t="shared" si="39"/>
        <v>967049216</v>
      </c>
      <c r="S303" s="30">
        <f t="shared" si="40"/>
        <v>262144</v>
      </c>
    </row>
    <row r="304" spans="1:19">
      <c r="A304" s="57">
        <v>7</v>
      </c>
      <c r="B304" s="57">
        <v>1</v>
      </c>
      <c r="C304" s="30">
        <v>5</v>
      </c>
      <c r="D304" s="34">
        <v>2</v>
      </c>
      <c r="J304" s="35"/>
      <c r="K304" s="30">
        <v>2</v>
      </c>
      <c r="Q304" s="35"/>
      <c r="R304" s="30">
        <f t="shared" si="39"/>
        <v>967311360</v>
      </c>
      <c r="S304" s="30">
        <f t="shared" si="40"/>
        <v>524288</v>
      </c>
    </row>
    <row r="305" spans="1:19">
      <c r="A305" s="57">
        <v>7</v>
      </c>
      <c r="B305" s="57">
        <v>1</v>
      </c>
      <c r="C305" s="30">
        <v>5</v>
      </c>
      <c r="D305" s="34">
        <v>3</v>
      </c>
      <c r="J305" s="35"/>
      <c r="K305" s="30">
        <v>2</v>
      </c>
      <c r="Q305" s="35"/>
      <c r="R305" s="30">
        <f t="shared" si="39"/>
        <v>967573504</v>
      </c>
      <c r="S305" s="30">
        <f t="shared" si="40"/>
        <v>524288</v>
      </c>
    </row>
    <row r="306" spans="1:19">
      <c r="A306" s="57">
        <v>7</v>
      </c>
      <c r="B306" s="57">
        <v>1</v>
      </c>
      <c r="C306" s="30">
        <v>5</v>
      </c>
      <c r="D306" s="34">
        <v>4</v>
      </c>
      <c r="J306" s="35"/>
      <c r="K306" s="30">
        <v>3</v>
      </c>
      <c r="Q306" s="35"/>
      <c r="R306" s="30">
        <f t="shared" si="39"/>
        <v>967835648</v>
      </c>
      <c r="S306" s="30">
        <f t="shared" si="40"/>
        <v>786432</v>
      </c>
    </row>
    <row r="307" spans="1:19">
      <c r="A307" s="57">
        <v>7</v>
      </c>
      <c r="B307" s="57">
        <v>1</v>
      </c>
      <c r="C307" s="30">
        <v>5</v>
      </c>
      <c r="D307" s="34">
        <v>5</v>
      </c>
      <c r="J307" s="35"/>
      <c r="K307" s="30">
        <v>3</v>
      </c>
      <c r="Q307" s="35"/>
      <c r="R307" s="30">
        <f t="shared" si="39"/>
        <v>968097792</v>
      </c>
      <c r="S307" s="30">
        <f t="shared" si="40"/>
        <v>786432</v>
      </c>
    </row>
    <row r="308" spans="1:19">
      <c r="A308" s="57">
        <v>7</v>
      </c>
      <c r="B308" s="57">
        <v>1</v>
      </c>
      <c r="C308" s="30">
        <v>5</v>
      </c>
      <c r="D308" s="34">
        <v>6</v>
      </c>
      <c r="J308" s="35"/>
      <c r="K308" s="30">
        <v>4</v>
      </c>
      <c r="Q308" s="35"/>
      <c r="R308" s="30">
        <f t="shared" si="39"/>
        <v>968359936</v>
      </c>
      <c r="S308" s="30">
        <f t="shared" si="40"/>
        <v>1048576</v>
      </c>
    </row>
    <row r="309" spans="1:19">
      <c r="A309" s="58">
        <v>7</v>
      </c>
      <c r="B309" s="58">
        <v>1</v>
      </c>
      <c r="C309" s="37">
        <v>5</v>
      </c>
      <c r="D309" s="36">
        <v>7</v>
      </c>
      <c r="E309" s="37"/>
      <c r="F309" s="37"/>
      <c r="G309" s="37"/>
      <c r="H309" s="37"/>
      <c r="I309" s="37"/>
      <c r="J309" s="38"/>
      <c r="K309" s="37">
        <v>5</v>
      </c>
      <c r="L309" s="37"/>
      <c r="M309" s="37"/>
      <c r="N309" s="37"/>
      <c r="O309" s="37"/>
      <c r="P309" s="37"/>
      <c r="Q309" s="38"/>
      <c r="R309" s="30">
        <f t="shared" si="39"/>
        <v>968622080</v>
      </c>
      <c r="S309" s="30">
        <f t="shared" si="40"/>
        <v>1310720</v>
      </c>
    </row>
    <row r="310" spans="1:19">
      <c r="A310" s="59">
        <v>7</v>
      </c>
      <c r="B310" s="59">
        <v>1</v>
      </c>
      <c r="C310" s="32">
        <v>6</v>
      </c>
      <c r="D310" s="31">
        <v>1</v>
      </c>
      <c r="E310" s="32"/>
      <c r="F310" s="32"/>
      <c r="G310" s="32"/>
      <c r="H310" s="32"/>
      <c r="I310" s="32"/>
      <c r="J310" s="33"/>
      <c r="K310" s="32">
        <v>1</v>
      </c>
      <c r="L310" s="32"/>
      <c r="M310" s="32"/>
      <c r="N310" s="32"/>
      <c r="O310" s="32"/>
      <c r="P310" s="32"/>
      <c r="Q310" s="33"/>
      <c r="R310" s="30">
        <f t="shared" si="39"/>
        <v>969146368</v>
      </c>
      <c r="S310" s="30">
        <f t="shared" si="40"/>
        <v>262144</v>
      </c>
    </row>
    <row r="311" spans="1:19">
      <c r="A311" s="57">
        <v>7</v>
      </c>
      <c r="B311" s="57">
        <v>1</v>
      </c>
      <c r="C311" s="30">
        <v>6</v>
      </c>
      <c r="D311" s="34">
        <v>2</v>
      </c>
      <c r="J311" s="35"/>
      <c r="K311" s="30">
        <v>2</v>
      </c>
      <c r="Q311" s="35"/>
      <c r="R311" s="30">
        <f t="shared" si="39"/>
        <v>969408512</v>
      </c>
      <c r="S311" s="30">
        <f t="shared" si="40"/>
        <v>524288</v>
      </c>
    </row>
    <row r="312" spans="1:19">
      <c r="A312" s="57">
        <v>7</v>
      </c>
      <c r="B312" s="57">
        <v>1</v>
      </c>
      <c r="C312" s="30">
        <v>6</v>
      </c>
      <c r="D312" s="34">
        <v>3</v>
      </c>
      <c r="J312" s="35"/>
      <c r="K312" s="30">
        <v>3</v>
      </c>
      <c r="Q312" s="35"/>
      <c r="R312" s="30">
        <f t="shared" si="39"/>
        <v>969670656</v>
      </c>
      <c r="S312" s="30">
        <f t="shared" si="40"/>
        <v>786432</v>
      </c>
    </row>
    <row r="313" spans="1:19">
      <c r="A313" s="57">
        <v>7</v>
      </c>
      <c r="B313" s="57">
        <v>1</v>
      </c>
      <c r="C313" s="30">
        <v>6</v>
      </c>
      <c r="D313" s="34">
        <v>4</v>
      </c>
      <c r="J313" s="35"/>
      <c r="K313" s="30">
        <v>4</v>
      </c>
      <c r="Q313" s="35"/>
      <c r="R313" s="30">
        <f t="shared" si="39"/>
        <v>969932800</v>
      </c>
      <c r="S313" s="30">
        <f t="shared" si="40"/>
        <v>1048576</v>
      </c>
    </row>
    <row r="314" spans="1:19">
      <c r="A314" s="57">
        <v>7</v>
      </c>
      <c r="B314" s="57">
        <v>1</v>
      </c>
      <c r="C314" s="30">
        <v>6</v>
      </c>
      <c r="D314" s="34">
        <v>5</v>
      </c>
      <c r="J314" s="35"/>
      <c r="K314" s="30">
        <v>5</v>
      </c>
      <c r="Q314" s="35"/>
      <c r="R314" s="30">
        <f t="shared" si="39"/>
        <v>970194944</v>
      </c>
      <c r="S314" s="30">
        <f t="shared" si="40"/>
        <v>1310720</v>
      </c>
    </row>
    <row r="315" spans="1:19">
      <c r="A315" s="57">
        <v>7</v>
      </c>
      <c r="B315" s="57">
        <v>1</v>
      </c>
      <c r="C315" s="30">
        <v>6</v>
      </c>
      <c r="D315" s="34">
        <v>6</v>
      </c>
      <c r="J315" s="35"/>
      <c r="K315" s="30">
        <v>6</v>
      </c>
      <c r="Q315" s="35"/>
      <c r="R315" s="30">
        <f t="shared" si="39"/>
        <v>970457088</v>
      </c>
      <c r="S315" s="30">
        <f t="shared" si="40"/>
        <v>1572864</v>
      </c>
    </row>
    <row r="316" spans="1:19">
      <c r="A316" s="58">
        <v>7</v>
      </c>
      <c r="B316" s="58">
        <v>1</v>
      </c>
      <c r="C316" s="37">
        <v>6</v>
      </c>
      <c r="D316" s="36">
        <v>7</v>
      </c>
      <c r="E316" s="37"/>
      <c r="F316" s="37"/>
      <c r="G316" s="37"/>
      <c r="H316" s="37"/>
      <c r="I316" s="37"/>
      <c r="J316" s="38"/>
      <c r="K316" s="37">
        <v>6</v>
      </c>
      <c r="L316" s="37"/>
      <c r="M316" s="37"/>
      <c r="N316" s="37"/>
      <c r="O316" s="37"/>
      <c r="P316" s="37"/>
      <c r="Q316" s="38"/>
      <c r="R316" s="30">
        <f t="shared" si="39"/>
        <v>970719232</v>
      </c>
      <c r="S316" s="30">
        <f t="shared" si="40"/>
        <v>1572864</v>
      </c>
    </row>
    <row r="317" spans="1:19">
      <c r="A317" s="59">
        <v>7</v>
      </c>
      <c r="B317" s="59">
        <v>2</v>
      </c>
      <c r="C317" s="32">
        <v>2</v>
      </c>
      <c r="D317" s="31">
        <v>1</v>
      </c>
      <c r="E317" s="32">
        <v>2</v>
      </c>
      <c r="F317" s="32"/>
      <c r="G317" s="32"/>
      <c r="H317" s="32"/>
      <c r="I317" s="32"/>
      <c r="J317" s="33"/>
      <c r="K317" s="32">
        <v>1</v>
      </c>
      <c r="L317" s="32">
        <v>2</v>
      </c>
      <c r="M317" s="32"/>
      <c r="N317" s="32"/>
      <c r="O317" s="32"/>
      <c r="P317" s="32"/>
      <c r="Q317" s="33"/>
      <c r="R317" s="30">
        <f t="shared" si="39"/>
        <v>977600512</v>
      </c>
      <c r="S317" s="30">
        <f t="shared" si="40"/>
        <v>327680</v>
      </c>
    </row>
    <row r="318" spans="1:19">
      <c r="A318" s="57">
        <v>7</v>
      </c>
      <c r="B318" s="57">
        <v>2</v>
      </c>
      <c r="C318" s="30">
        <v>2</v>
      </c>
      <c r="D318" s="34">
        <v>1</v>
      </c>
      <c r="E318" s="30">
        <v>3</v>
      </c>
      <c r="J318" s="35"/>
      <c r="K318" s="30">
        <v>1</v>
      </c>
      <c r="L318" s="30">
        <v>2</v>
      </c>
      <c r="Q318" s="35"/>
      <c r="R318" s="30">
        <f t="shared" si="39"/>
        <v>977633280</v>
      </c>
      <c r="S318" s="30">
        <f t="shared" si="40"/>
        <v>327680</v>
      </c>
    </row>
    <row r="319" spans="1:19">
      <c r="A319" s="57">
        <v>7</v>
      </c>
      <c r="B319" s="57">
        <v>2</v>
      </c>
      <c r="C319" s="30">
        <v>2</v>
      </c>
      <c r="D319" s="34">
        <v>1</v>
      </c>
      <c r="E319" s="30">
        <v>4</v>
      </c>
      <c r="J319" s="35"/>
      <c r="K319" s="30">
        <v>1</v>
      </c>
      <c r="L319" s="30">
        <v>2</v>
      </c>
      <c r="Q319" s="35"/>
      <c r="R319" s="30">
        <f t="shared" si="39"/>
        <v>977666048</v>
      </c>
      <c r="S319" s="30">
        <f t="shared" si="40"/>
        <v>327680</v>
      </c>
    </row>
    <row r="320" spans="1:19">
      <c r="A320" s="57">
        <v>7</v>
      </c>
      <c r="B320" s="57">
        <v>2</v>
      </c>
      <c r="C320" s="30">
        <v>2</v>
      </c>
      <c r="D320" s="34">
        <v>1</v>
      </c>
      <c r="E320" s="30">
        <v>5</v>
      </c>
      <c r="J320" s="35"/>
      <c r="K320" s="30">
        <v>1</v>
      </c>
      <c r="L320" s="30">
        <v>2</v>
      </c>
      <c r="Q320" s="35"/>
      <c r="R320" s="30">
        <f t="shared" si="39"/>
        <v>977698816</v>
      </c>
      <c r="S320" s="30">
        <f t="shared" si="40"/>
        <v>327680</v>
      </c>
    </row>
    <row r="321" spans="1:19">
      <c r="A321" s="57">
        <v>7</v>
      </c>
      <c r="B321" s="57">
        <v>2</v>
      </c>
      <c r="C321" s="30">
        <v>2</v>
      </c>
      <c r="D321" s="34">
        <v>1</v>
      </c>
      <c r="E321" s="30">
        <v>6</v>
      </c>
      <c r="J321" s="35"/>
      <c r="K321" s="30">
        <v>1</v>
      </c>
      <c r="L321" s="30">
        <v>2</v>
      </c>
      <c r="Q321" s="35"/>
      <c r="R321" s="30">
        <f t="shared" si="39"/>
        <v>977731584</v>
      </c>
      <c r="S321" s="30">
        <f t="shared" si="40"/>
        <v>327680</v>
      </c>
    </row>
    <row r="322" spans="1:19">
      <c r="A322" s="57">
        <v>7</v>
      </c>
      <c r="B322" s="57">
        <v>2</v>
      </c>
      <c r="C322" s="30">
        <v>2</v>
      </c>
      <c r="D322" s="34">
        <v>1</v>
      </c>
      <c r="E322" s="30">
        <v>7</v>
      </c>
      <c r="J322" s="35"/>
      <c r="K322" s="30">
        <v>1</v>
      </c>
      <c r="L322" s="30">
        <v>2</v>
      </c>
      <c r="Q322" s="35"/>
      <c r="R322" s="30">
        <f t="shared" si="39"/>
        <v>977764352</v>
      </c>
      <c r="S322" s="30">
        <f t="shared" si="40"/>
        <v>327680</v>
      </c>
    </row>
    <row r="323" spans="1:19">
      <c r="A323" s="57">
        <v>7</v>
      </c>
      <c r="B323" s="57">
        <v>2</v>
      </c>
      <c r="C323" s="30">
        <v>2</v>
      </c>
      <c r="D323" s="34">
        <v>2</v>
      </c>
      <c r="E323" s="30">
        <v>3</v>
      </c>
      <c r="J323" s="35"/>
      <c r="K323" s="30">
        <v>1</v>
      </c>
      <c r="L323" s="30">
        <v>2</v>
      </c>
      <c r="Q323" s="35"/>
      <c r="R323" s="30">
        <f t="shared" ref="R323:R386" si="41">J323*8^0+I323*8^1+H323*8^2+G323*8^3+F323*8^4+E323*8^5+D323*8^6+C323*8^7+B323*8^8+A323*8^9</f>
        <v>977895424</v>
      </c>
      <c r="S323" s="30">
        <f t="shared" si="40"/>
        <v>327680</v>
      </c>
    </row>
    <row r="324" spans="1:19">
      <c r="A324" s="57">
        <v>7</v>
      </c>
      <c r="B324" s="57">
        <v>2</v>
      </c>
      <c r="C324" s="30">
        <v>2</v>
      </c>
      <c r="D324" s="34">
        <v>2</v>
      </c>
      <c r="E324" s="30">
        <v>4</v>
      </c>
      <c r="J324" s="35"/>
      <c r="K324" s="30">
        <v>1</v>
      </c>
      <c r="L324" s="30">
        <v>2</v>
      </c>
      <c r="Q324" s="35"/>
      <c r="R324" s="30">
        <f t="shared" si="41"/>
        <v>977928192</v>
      </c>
      <c r="S324" s="30">
        <f t="shared" si="40"/>
        <v>327680</v>
      </c>
    </row>
    <row r="325" spans="1:19">
      <c r="A325" s="57">
        <v>7</v>
      </c>
      <c r="B325" s="57">
        <v>2</v>
      </c>
      <c r="C325" s="30">
        <v>2</v>
      </c>
      <c r="D325" s="34">
        <v>2</v>
      </c>
      <c r="E325" s="30">
        <v>5</v>
      </c>
      <c r="J325" s="35"/>
      <c r="K325" s="30">
        <v>1</v>
      </c>
      <c r="L325" s="30">
        <v>2</v>
      </c>
      <c r="Q325" s="35"/>
      <c r="R325" s="30">
        <f t="shared" si="41"/>
        <v>977960960</v>
      </c>
      <c r="S325" s="30">
        <f t="shared" ref="S325:S388" si="42">Q325*8^0+P325*8^1+O325*8^2+N325*8^3+M325*8^4+L325*8^5+K325*8^6</f>
        <v>327680</v>
      </c>
    </row>
    <row r="326" spans="1:19">
      <c r="A326" s="57">
        <v>7</v>
      </c>
      <c r="B326" s="57">
        <v>2</v>
      </c>
      <c r="C326" s="30">
        <v>2</v>
      </c>
      <c r="D326" s="34">
        <v>2</v>
      </c>
      <c r="E326" s="30">
        <v>6</v>
      </c>
      <c r="J326" s="35"/>
      <c r="K326" s="30">
        <v>1</v>
      </c>
      <c r="L326" s="30">
        <v>2</v>
      </c>
      <c r="Q326" s="35"/>
      <c r="R326" s="30">
        <f t="shared" si="41"/>
        <v>977993728</v>
      </c>
      <c r="S326" s="30">
        <f t="shared" si="42"/>
        <v>327680</v>
      </c>
    </row>
    <row r="327" spans="1:19">
      <c r="A327" s="57">
        <v>7</v>
      </c>
      <c r="B327" s="57">
        <v>2</v>
      </c>
      <c r="C327" s="30">
        <v>2</v>
      </c>
      <c r="D327" s="34">
        <v>2</v>
      </c>
      <c r="E327" s="30">
        <v>7</v>
      </c>
      <c r="J327" s="35"/>
      <c r="K327" s="30">
        <v>1</v>
      </c>
      <c r="L327" s="30">
        <v>2</v>
      </c>
      <c r="Q327" s="35"/>
      <c r="R327" s="30">
        <f t="shared" si="41"/>
        <v>978026496</v>
      </c>
      <c r="S327" s="30">
        <f t="shared" si="42"/>
        <v>327680</v>
      </c>
    </row>
    <row r="328" spans="1:19">
      <c r="A328" s="57">
        <v>7</v>
      </c>
      <c r="B328" s="57">
        <v>2</v>
      </c>
      <c r="C328" s="30">
        <v>2</v>
      </c>
      <c r="D328" s="34">
        <v>3</v>
      </c>
      <c r="E328" s="30">
        <v>4</v>
      </c>
      <c r="J328" s="35"/>
      <c r="K328" s="30">
        <v>1</v>
      </c>
      <c r="L328" s="30">
        <v>2</v>
      </c>
      <c r="Q328" s="35"/>
      <c r="R328" s="30">
        <f t="shared" si="41"/>
        <v>978190336</v>
      </c>
      <c r="S328" s="30">
        <f t="shared" si="42"/>
        <v>327680</v>
      </c>
    </row>
    <row r="329" spans="1:19">
      <c r="A329" s="57">
        <v>7</v>
      </c>
      <c r="B329" s="57">
        <v>2</v>
      </c>
      <c r="C329" s="30">
        <v>2</v>
      </c>
      <c r="D329" s="34">
        <v>3</v>
      </c>
      <c r="E329" s="30">
        <v>5</v>
      </c>
      <c r="J329" s="35"/>
      <c r="K329" s="30">
        <v>1</v>
      </c>
      <c r="L329" s="30">
        <v>2</v>
      </c>
      <c r="Q329" s="35"/>
      <c r="R329" s="30">
        <f t="shared" si="41"/>
        <v>978223104</v>
      </c>
      <c r="S329" s="30">
        <f t="shared" si="42"/>
        <v>327680</v>
      </c>
    </row>
    <row r="330" spans="1:19">
      <c r="A330" s="57">
        <v>7</v>
      </c>
      <c r="B330" s="57">
        <v>2</v>
      </c>
      <c r="C330" s="30">
        <v>2</v>
      </c>
      <c r="D330" s="34">
        <v>3</v>
      </c>
      <c r="E330" s="30">
        <v>6</v>
      </c>
      <c r="J330" s="35"/>
      <c r="K330" s="30">
        <v>1</v>
      </c>
      <c r="L330" s="30">
        <v>2</v>
      </c>
      <c r="Q330" s="35"/>
      <c r="R330" s="30">
        <f t="shared" si="41"/>
        <v>978255872</v>
      </c>
      <c r="S330" s="30">
        <f t="shared" si="42"/>
        <v>327680</v>
      </c>
    </row>
    <row r="331" spans="1:19">
      <c r="A331" s="57">
        <v>7</v>
      </c>
      <c r="B331" s="57">
        <v>2</v>
      </c>
      <c r="C331" s="30">
        <v>2</v>
      </c>
      <c r="D331" s="34">
        <v>3</v>
      </c>
      <c r="E331" s="30">
        <v>7</v>
      </c>
      <c r="J331" s="35"/>
      <c r="K331" s="30">
        <v>1</v>
      </c>
      <c r="L331" s="30">
        <v>2</v>
      </c>
      <c r="Q331" s="35"/>
      <c r="R331" s="30">
        <f t="shared" si="41"/>
        <v>978288640</v>
      </c>
      <c r="S331" s="30">
        <f t="shared" si="42"/>
        <v>327680</v>
      </c>
    </row>
    <row r="332" spans="1:19">
      <c r="A332" s="57">
        <v>7</v>
      </c>
      <c r="B332" s="57">
        <v>2</v>
      </c>
      <c r="C332" s="30">
        <v>2</v>
      </c>
      <c r="D332" s="34">
        <v>4</v>
      </c>
      <c r="E332" s="30">
        <v>5</v>
      </c>
      <c r="J332" s="35"/>
      <c r="K332" s="30">
        <v>1</v>
      </c>
      <c r="L332" s="30">
        <v>2</v>
      </c>
      <c r="Q332" s="35"/>
      <c r="R332" s="30">
        <f t="shared" si="41"/>
        <v>978485248</v>
      </c>
      <c r="S332" s="30">
        <f t="shared" si="42"/>
        <v>327680</v>
      </c>
    </row>
    <row r="333" spans="1:19">
      <c r="A333" s="57">
        <v>7</v>
      </c>
      <c r="B333" s="57">
        <v>2</v>
      </c>
      <c r="C333" s="30">
        <v>2</v>
      </c>
      <c r="D333" s="34">
        <v>4</v>
      </c>
      <c r="E333" s="30">
        <v>6</v>
      </c>
      <c r="J333" s="35"/>
      <c r="K333" s="30">
        <v>1</v>
      </c>
      <c r="L333" s="30">
        <v>2</v>
      </c>
      <c r="Q333" s="35"/>
      <c r="R333" s="30">
        <f t="shared" si="41"/>
        <v>978518016</v>
      </c>
      <c r="S333" s="30">
        <f t="shared" si="42"/>
        <v>327680</v>
      </c>
    </row>
    <row r="334" spans="1:19">
      <c r="A334" s="57">
        <v>7</v>
      </c>
      <c r="B334" s="57">
        <v>2</v>
      </c>
      <c r="C334" s="30">
        <v>2</v>
      </c>
      <c r="D334" s="34">
        <v>4</v>
      </c>
      <c r="E334" s="30">
        <v>7</v>
      </c>
      <c r="J334" s="35"/>
      <c r="K334" s="30">
        <v>1</v>
      </c>
      <c r="L334" s="30">
        <v>2</v>
      </c>
      <c r="Q334" s="35"/>
      <c r="R334" s="30">
        <f t="shared" si="41"/>
        <v>978550784</v>
      </c>
      <c r="S334" s="30">
        <f t="shared" si="42"/>
        <v>327680</v>
      </c>
    </row>
    <row r="335" spans="1:19">
      <c r="A335" s="57">
        <v>7</v>
      </c>
      <c r="B335" s="57">
        <v>2</v>
      </c>
      <c r="C335" s="30">
        <v>2</v>
      </c>
      <c r="D335" s="34">
        <v>5</v>
      </c>
      <c r="E335" s="30">
        <v>6</v>
      </c>
      <c r="J335" s="35"/>
      <c r="K335" s="30">
        <v>1</v>
      </c>
      <c r="L335" s="30">
        <v>2</v>
      </c>
      <c r="Q335" s="35"/>
      <c r="R335" s="30">
        <f t="shared" si="41"/>
        <v>978780160</v>
      </c>
      <c r="S335" s="30">
        <f t="shared" si="42"/>
        <v>327680</v>
      </c>
    </row>
    <row r="336" spans="1:19">
      <c r="A336" s="57">
        <v>7</v>
      </c>
      <c r="B336" s="57">
        <v>2</v>
      </c>
      <c r="C336" s="30">
        <v>2</v>
      </c>
      <c r="D336" s="34">
        <v>5</v>
      </c>
      <c r="E336" s="30">
        <v>7</v>
      </c>
      <c r="J336" s="35"/>
      <c r="K336" s="30">
        <v>1</v>
      </c>
      <c r="L336" s="30">
        <v>2</v>
      </c>
      <c r="Q336" s="35"/>
      <c r="R336" s="30">
        <f t="shared" si="41"/>
        <v>978812928</v>
      </c>
      <c r="S336" s="30">
        <f t="shared" si="42"/>
        <v>327680</v>
      </c>
    </row>
    <row r="337" spans="1:19">
      <c r="A337" s="58">
        <v>7</v>
      </c>
      <c r="B337" s="58">
        <v>2</v>
      </c>
      <c r="C337" s="37">
        <v>2</v>
      </c>
      <c r="D337" s="36">
        <v>6</v>
      </c>
      <c r="E337" s="37">
        <v>7</v>
      </c>
      <c r="F337" s="37"/>
      <c r="G337" s="37"/>
      <c r="H337" s="37"/>
      <c r="I337" s="37"/>
      <c r="J337" s="38"/>
      <c r="K337" s="37">
        <v>1</v>
      </c>
      <c r="L337" s="37">
        <v>2</v>
      </c>
      <c r="M337" s="37"/>
      <c r="N337" s="37"/>
      <c r="O337" s="37"/>
      <c r="P337" s="37"/>
      <c r="Q337" s="38"/>
      <c r="R337" s="30">
        <f t="shared" si="41"/>
        <v>979075072</v>
      </c>
      <c r="S337" s="30">
        <f t="shared" si="42"/>
        <v>327680</v>
      </c>
    </row>
    <row r="338" spans="1:19">
      <c r="A338" s="59">
        <v>7</v>
      </c>
      <c r="B338" s="59">
        <v>2</v>
      </c>
      <c r="C338" s="32">
        <v>3</v>
      </c>
      <c r="D338" s="31">
        <v>1</v>
      </c>
      <c r="E338" s="32">
        <v>2</v>
      </c>
      <c r="F338" s="32"/>
      <c r="G338" s="32"/>
      <c r="H338" s="32"/>
      <c r="I338" s="32"/>
      <c r="J338" s="33"/>
      <c r="K338" s="32">
        <v>1</v>
      </c>
      <c r="L338" s="32">
        <v>2</v>
      </c>
      <c r="M338" s="32"/>
      <c r="N338" s="32"/>
      <c r="O338" s="32"/>
      <c r="P338" s="32"/>
      <c r="Q338" s="33"/>
      <c r="R338" s="30">
        <f t="shared" si="41"/>
        <v>979697664</v>
      </c>
      <c r="S338" s="30">
        <f t="shared" si="42"/>
        <v>327680</v>
      </c>
    </row>
    <row r="339" spans="1:19">
      <c r="A339" s="57">
        <v>7</v>
      </c>
      <c r="B339" s="57">
        <v>2</v>
      </c>
      <c r="C339" s="30">
        <v>3</v>
      </c>
      <c r="D339" s="34">
        <v>1</v>
      </c>
      <c r="E339" s="30">
        <v>3</v>
      </c>
      <c r="J339" s="35"/>
      <c r="K339" s="30">
        <v>1</v>
      </c>
      <c r="L339" s="30">
        <v>2</v>
      </c>
      <c r="Q339" s="35"/>
      <c r="R339" s="30">
        <f t="shared" si="41"/>
        <v>979730432</v>
      </c>
      <c r="S339" s="30">
        <f t="shared" si="42"/>
        <v>327680</v>
      </c>
    </row>
    <row r="340" spans="1:19">
      <c r="A340" s="57">
        <v>7</v>
      </c>
      <c r="B340" s="57">
        <v>2</v>
      </c>
      <c r="C340" s="30">
        <v>3</v>
      </c>
      <c r="D340" s="34">
        <v>1</v>
      </c>
      <c r="E340" s="30">
        <v>4</v>
      </c>
      <c r="J340" s="35"/>
      <c r="K340" s="30">
        <v>1</v>
      </c>
      <c r="L340" s="30">
        <v>2</v>
      </c>
      <c r="Q340" s="35"/>
      <c r="R340" s="30">
        <f t="shared" si="41"/>
        <v>979763200</v>
      </c>
      <c r="S340" s="30">
        <f t="shared" si="42"/>
        <v>327680</v>
      </c>
    </row>
    <row r="341" spans="1:19">
      <c r="A341" s="57">
        <v>7</v>
      </c>
      <c r="B341" s="57">
        <v>2</v>
      </c>
      <c r="C341" s="30">
        <v>3</v>
      </c>
      <c r="D341" s="34">
        <v>1</v>
      </c>
      <c r="E341" s="30">
        <v>5</v>
      </c>
      <c r="J341" s="35"/>
      <c r="K341" s="30">
        <v>1</v>
      </c>
      <c r="L341" s="30">
        <v>3</v>
      </c>
      <c r="Q341" s="35"/>
      <c r="R341" s="30">
        <f t="shared" si="41"/>
        <v>979795968</v>
      </c>
      <c r="S341" s="30">
        <f t="shared" si="42"/>
        <v>360448</v>
      </c>
    </row>
    <row r="342" spans="1:19">
      <c r="A342" s="57">
        <v>7</v>
      </c>
      <c r="B342" s="57">
        <v>2</v>
      </c>
      <c r="C342" s="30">
        <v>3</v>
      </c>
      <c r="D342" s="34">
        <v>1</v>
      </c>
      <c r="E342" s="30">
        <v>6</v>
      </c>
      <c r="J342" s="35"/>
      <c r="K342" s="30">
        <v>1</v>
      </c>
      <c r="L342" s="30">
        <v>3</v>
      </c>
      <c r="Q342" s="35"/>
      <c r="R342" s="30">
        <f t="shared" si="41"/>
        <v>979828736</v>
      </c>
      <c r="S342" s="30">
        <f t="shared" si="42"/>
        <v>360448</v>
      </c>
    </row>
    <row r="343" spans="1:19">
      <c r="A343" s="57">
        <v>7</v>
      </c>
      <c r="B343" s="57">
        <v>2</v>
      </c>
      <c r="C343" s="30">
        <v>3</v>
      </c>
      <c r="D343" s="34">
        <v>1</v>
      </c>
      <c r="E343" s="30">
        <v>7</v>
      </c>
      <c r="J343" s="35"/>
      <c r="K343" s="30">
        <v>1</v>
      </c>
      <c r="L343" s="30">
        <v>3</v>
      </c>
      <c r="Q343" s="35"/>
      <c r="R343" s="30">
        <f t="shared" si="41"/>
        <v>979861504</v>
      </c>
      <c r="S343" s="30">
        <f t="shared" si="42"/>
        <v>360448</v>
      </c>
    </row>
    <row r="344" spans="1:19">
      <c r="A344" s="57">
        <v>7</v>
      </c>
      <c r="B344" s="57">
        <v>2</v>
      </c>
      <c r="C344" s="30">
        <v>3</v>
      </c>
      <c r="D344" s="34">
        <v>2</v>
      </c>
      <c r="E344" s="30">
        <v>3</v>
      </c>
      <c r="J344" s="35"/>
      <c r="K344" s="30">
        <v>1</v>
      </c>
      <c r="L344" s="30">
        <v>2</v>
      </c>
      <c r="Q344" s="35"/>
      <c r="R344" s="30">
        <f t="shared" si="41"/>
        <v>979992576</v>
      </c>
      <c r="S344" s="30">
        <f t="shared" si="42"/>
        <v>327680</v>
      </c>
    </row>
    <row r="345" spans="1:19">
      <c r="A345" s="57">
        <v>7</v>
      </c>
      <c r="B345" s="57">
        <v>2</v>
      </c>
      <c r="C345" s="30">
        <v>3</v>
      </c>
      <c r="D345" s="34">
        <v>2</v>
      </c>
      <c r="E345" s="30">
        <v>4</v>
      </c>
      <c r="J345" s="35"/>
      <c r="K345" s="30">
        <v>1</v>
      </c>
      <c r="L345" s="30">
        <v>2</v>
      </c>
      <c r="Q345" s="35"/>
      <c r="R345" s="30">
        <f t="shared" si="41"/>
        <v>980025344</v>
      </c>
      <c r="S345" s="30">
        <f t="shared" si="42"/>
        <v>327680</v>
      </c>
    </row>
    <row r="346" spans="1:19">
      <c r="A346" s="57">
        <v>7</v>
      </c>
      <c r="B346" s="57">
        <v>2</v>
      </c>
      <c r="C346" s="30">
        <v>3</v>
      </c>
      <c r="D346" s="34">
        <v>2</v>
      </c>
      <c r="E346" s="30">
        <v>5</v>
      </c>
      <c r="J346" s="35"/>
      <c r="K346" s="30">
        <v>1</v>
      </c>
      <c r="L346" s="30">
        <v>2</v>
      </c>
      <c r="Q346" s="35"/>
      <c r="R346" s="30">
        <f t="shared" si="41"/>
        <v>980058112</v>
      </c>
      <c r="S346" s="30">
        <f t="shared" si="42"/>
        <v>327680</v>
      </c>
    </row>
    <row r="347" spans="1:19">
      <c r="A347" s="57">
        <v>7</v>
      </c>
      <c r="B347" s="57">
        <v>2</v>
      </c>
      <c r="C347" s="30">
        <v>3</v>
      </c>
      <c r="D347" s="34">
        <v>2</v>
      </c>
      <c r="E347" s="30">
        <v>6</v>
      </c>
      <c r="J347" s="35"/>
      <c r="K347" s="30">
        <v>1</v>
      </c>
      <c r="L347" s="30">
        <v>3</v>
      </c>
      <c r="Q347" s="35"/>
      <c r="R347" s="30">
        <f t="shared" si="41"/>
        <v>980090880</v>
      </c>
      <c r="S347" s="30">
        <f t="shared" si="42"/>
        <v>360448</v>
      </c>
    </row>
    <row r="348" spans="1:19">
      <c r="A348" s="57">
        <v>7</v>
      </c>
      <c r="B348" s="57">
        <v>2</v>
      </c>
      <c r="C348" s="30">
        <v>3</v>
      </c>
      <c r="D348" s="34">
        <v>2</v>
      </c>
      <c r="E348" s="30">
        <v>7</v>
      </c>
      <c r="J348" s="35"/>
      <c r="K348" s="30">
        <v>1</v>
      </c>
      <c r="L348" s="30">
        <v>3</v>
      </c>
      <c r="Q348" s="35"/>
      <c r="R348" s="30">
        <f t="shared" si="41"/>
        <v>980123648</v>
      </c>
      <c r="S348" s="30">
        <f t="shared" si="42"/>
        <v>360448</v>
      </c>
    </row>
    <row r="349" spans="1:19">
      <c r="A349" s="57">
        <v>7</v>
      </c>
      <c r="B349" s="57">
        <v>2</v>
      </c>
      <c r="C349" s="30">
        <v>3</v>
      </c>
      <c r="D349" s="34">
        <v>3</v>
      </c>
      <c r="E349" s="30">
        <v>4</v>
      </c>
      <c r="J349" s="35"/>
      <c r="K349" s="30">
        <v>1</v>
      </c>
      <c r="L349" s="30">
        <v>2</v>
      </c>
      <c r="Q349" s="35"/>
      <c r="R349" s="30">
        <f t="shared" si="41"/>
        <v>980287488</v>
      </c>
      <c r="S349" s="30">
        <f t="shared" si="42"/>
        <v>327680</v>
      </c>
    </row>
    <row r="350" spans="1:19">
      <c r="A350" s="57">
        <v>7</v>
      </c>
      <c r="B350" s="57">
        <v>2</v>
      </c>
      <c r="C350" s="30">
        <v>3</v>
      </c>
      <c r="D350" s="34">
        <v>3</v>
      </c>
      <c r="E350" s="30">
        <v>5</v>
      </c>
      <c r="J350" s="35"/>
      <c r="K350" s="30">
        <v>1</v>
      </c>
      <c r="L350" s="30">
        <v>3</v>
      </c>
      <c r="Q350" s="35"/>
      <c r="R350" s="30">
        <f t="shared" si="41"/>
        <v>980320256</v>
      </c>
      <c r="S350" s="30">
        <f t="shared" si="42"/>
        <v>360448</v>
      </c>
    </row>
    <row r="351" spans="1:19">
      <c r="A351" s="57">
        <v>7</v>
      </c>
      <c r="B351" s="57">
        <v>2</v>
      </c>
      <c r="C351" s="30">
        <v>3</v>
      </c>
      <c r="D351" s="34">
        <v>3</v>
      </c>
      <c r="E351" s="30">
        <v>6</v>
      </c>
      <c r="J351" s="35"/>
      <c r="K351" s="30">
        <v>1</v>
      </c>
      <c r="L351" s="30">
        <v>3</v>
      </c>
      <c r="Q351" s="35"/>
      <c r="R351" s="30">
        <f t="shared" si="41"/>
        <v>980353024</v>
      </c>
      <c r="S351" s="30">
        <f t="shared" si="42"/>
        <v>360448</v>
      </c>
    </row>
    <row r="352" spans="1:19">
      <c r="A352" s="57">
        <v>7</v>
      </c>
      <c r="B352" s="57">
        <v>2</v>
      </c>
      <c r="C352" s="30">
        <v>3</v>
      </c>
      <c r="D352" s="34">
        <v>3</v>
      </c>
      <c r="E352" s="30">
        <v>7</v>
      </c>
      <c r="J352" s="35"/>
      <c r="K352" s="30">
        <v>1</v>
      </c>
      <c r="L352" s="30">
        <v>3</v>
      </c>
      <c r="Q352" s="35"/>
      <c r="R352" s="30">
        <f t="shared" si="41"/>
        <v>980385792</v>
      </c>
      <c r="S352" s="30">
        <f t="shared" si="42"/>
        <v>360448</v>
      </c>
    </row>
    <row r="353" spans="1:19">
      <c r="A353" s="57">
        <v>7</v>
      </c>
      <c r="B353" s="57">
        <v>2</v>
      </c>
      <c r="C353" s="30">
        <v>3</v>
      </c>
      <c r="D353" s="34">
        <v>4</v>
      </c>
      <c r="E353" s="30">
        <v>5</v>
      </c>
      <c r="J353" s="35"/>
      <c r="K353" s="30">
        <v>2</v>
      </c>
      <c r="L353" s="30">
        <v>3</v>
      </c>
      <c r="Q353" s="35"/>
      <c r="R353" s="30">
        <f t="shared" si="41"/>
        <v>980582400</v>
      </c>
      <c r="S353" s="30">
        <f t="shared" si="42"/>
        <v>622592</v>
      </c>
    </row>
    <row r="354" spans="1:19">
      <c r="A354" s="57">
        <v>7</v>
      </c>
      <c r="B354" s="57">
        <v>2</v>
      </c>
      <c r="C354" s="30">
        <v>3</v>
      </c>
      <c r="D354" s="34">
        <v>4</v>
      </c>
      <c r="E354" s="30">
        <v>6</v>
      </c>
      <c r="J354" s="35"/>
      <c r="K354" s="30">
        <v>2</v>
      </c>
      <c r="L354" s="30">
        <v>3</v>
      </c>
      <c r="Q354" s="35"/>
      <c r="R354" s="30">
        <f t="shared" si="41"/>
        <v>980615168</v>
      </c>
      <c r="S354" s="30">
        <f t="shared" si="42"/>
        <v>622592</v>
      </c>
    </row>
    <row r="355" spans="1:19">
      <c r="A355" s="57">
        <v>7</v>
      </c>
      <c r="B355" s="57">
        <v>2</v>
      </c>
      <c r="C355" s="30">
        <v>3</v>
      </c>
      <c r="D355" s="34">
        <v>4</v>
      </c>
      <c r="E355" s="30">
        <v>7</v>
      </c>
      <c r="J355" s="35"/>
      <c r="K355" s="30">
        <v>2</v>
      </c>
      <c r="L355" s="30">
        <v>3</v>
      </c>
      <c r="Q355" s="35"/>
      <c r="R355" s="30">
        <f t="shared" si="41"/>
        <v>980647936</v>
      </c>
      <c r="S355" s="30">
        <f t="shared" si="42"/>
        <v>622592</v>
      </c>
    </row>
    <row r="356" spans="1:19">
      <c r="A356" s="57">
        <v>7</v>
      </c>
      <c r="B356" s="57">
        <v>2</v>
      </c>
      <c r="C356" s="30">
        <v>3</v>
      </c>
      <c r="D356" s="34">
        <v>5</v>
      </c>
      <c r="E356" s="30">
        <v>6</v>
      </c>
      <c r="J356" s="35"/>
      <c r="K356" s="30">
        <v>2</v>
      </c>
      <c r="L356" s="30">
        <v>3</v>
      </c>
      <c r="Q356" s="35"/>
      <c r="R356" s="30">
        <f t="shared" si="41"/>
        <v>980877312</v>
      </c>
      <c r="S356" s="30">
        <f t="shared" si="42"/>
        <v>622592</v>
      </c>
    </row>
    <row r="357" spans="1:19">
      <c r="A357" s="57">
        <v>7</v>
      </c>
      <c r="B357" s="57">
        <v>2</v>
      </c>
      <c r="C357" s="30">
        <v>3</v>
      </c>
      <c r="D357" s="34">
        <v>5</v>
      </c>
      <c r="E357" s="30">
        <v>7</v>
      </c>
      <c r="J357" s="35"/>
      <c r="K357" s="30">
        <v>2</v>
      </c>
      <c r="L357" s="30">
        <v>3</v>
      </c>
      <c r="Q357" s="35"/>
      <c r="R357" s="30">
        <f t="shared" si="41"/>
        <v>980910080</v>
      </c>
      <c r="S357" s="30">
        <f t="shared" si="42"/>
        <v>622592</v>
      </c>
    </row>
    <row r="358" spans="1:19">
      <c r="A358" s="58">
        <v>7</v>
      </c>
      <c r="B358" s="58">
        <v>2</v>
      </c>
      <c r="C358" s="37">
        <v>3</v>
      </c>
      <c r="D358" s="36">
        <v>6</v>
      </c>
      <c r="E358" s="37">
        <v>7</v>
      </c>
      <c r="F358" s="37"/>
      <c r="G358" s="37"/>
      <c r="H358" s="37"/>
      <c r="I358" s="37"/>
      <c r="J358" s="38"/>
      <c r="K358" s="37">
        <v>2</v>
      </c>
      <c r="L358" s="37">
        <v>3</v>
      </c>
      <c r="M358" s="37"/>
      <c r="N358" s="37"/>
      <c r="O358" s="37"/>
      <c r="P358" s="37"/>
      <c r="Q358" s="38"/>
      <c r="R358" s="30">
        <f t="shared" si="41"/>
        <v>981172224</v>
      </c>
      <c r="S358" s="30">
        <f t="shared" si="42"/>
        <v>622592</v>
      </c>
    </row>
    <row r="359" spans="1:19">
      <c r="A359" s="59">
        <v>7</v>
      </c>
      <c r="B359" s="59">
        <v>2</v>
      </c>
      <c r="C359" s="32">
        <v>4</v>
      </c>
      <c r="D359" s="31">
        <v>1</v>
      </c>
      <c r="E359" s="32">
        <v>2</v>
      </c>
      <c r="F359" s="32"/>
      <c r="G359" s="32"/>
      <c r="H359" s="32"/>
      <c r="I359" s="32"/>
      <c r="J359" s="33"/>
      <c r="K359" s="32">
        <v>1</v>
      </c>
      <c r="L359" s="32">
        <v>2</v>
      </c>
      <c r="M359" s="32"/>
      <c r="N359" s="32"/>
      <c r="O359" s="32"/>
      <c r="P359" s="32"/>
      <c r="Q359" s="33"/>
      <c r="R359" s="30">
        <f t="shared" si="41"/>
        <v>981794816</v>
      </c>
      <c r="S359" s="30">
        <f t="shared" si="42"/>
        <v>327680</v>
      </c>
    </row>
    <row r="360" spans="1:19">
      <c r="A360" s="57">
        <v>7</v>
      </c>
      <c r="B360" s="57">
        <v>2</v>
      </c>
      <c r="C360" s="30">
        <v>4</v>
      </c>
      <c r="D360" s="34">
        <v>1</v>
      </c>
      <c r="E360" s="30">
        <v>3</v>
      </c>
      <c r="J360" s="35"/>
      <c r="K360" s="30">
        <v>1</v>
      </c>
      <c r="L360" s="30">
        <v>3</v>
      </c>
      <c r="Q360" s="35"/>
      <c r="R360" s="30">
        <f t="shared" si="41"/>
        <v>981827584</v>
      </c>
      <c r="S360" s="30">
        <f t="shared" si="42"/>
        <v>360448</v>
      </c>
    </row>
    <row r="361" spans="1:19">
      <c r="A361" s="57">
        <v>7</v>
      </c>
      <c r="B361" s="57">
        <v>2</v>
      </c>
      <c r="C361" s="30">
        <v>4</v>
      </c>
      <c r="D361" s="34">
        <v>1</v>
      </c>
      <c r="E361" s="30">
        <v>4</v>
      </c>
      <c r="J361" s="35"/>
      <c r="K361" s="30">
        <v>1</v>
      </c>
      <c r="L361" s="30">
        <v>3</v>
      </c>
      <c r="Q361" s="35"/>
      <c r="R361" s="30">
        <f t="shared" si="41"/>
        <v>981860352</v>
      </c>
      <c r="S361" s="30">
        <f t="shared" si="42"/>
        <v>360448</v>
      </c>
    </row>
    <row r="362" spans="1:19">
      <c r="A362" s="57">
        <v>7</v>
      </c>
      <c r="B362" s="57">
        <v>2</v>
      </c>
      <c r="C362" s="30">
        <v>4</v>
      </c>
      <c r="D362" s="34">
        <v>1</v>
      </c>
      <c r="E362" s="30">
        <v>5</v>
      </c>
      <c r="J362" s="35"/>
      <c r="K362" s="30">
        <v>1</v>
      </c>
      <c r="L362" s="30">
        <v>4</v>
      </c>
      <c r="Q362" s="35"/>
      <c r="R362" s="30">
        <f t="shared" si="41"/>
        <v>981893120</v>
      </c>
      <c r="S362" s="30">
        <f t="shared" si="42"/>
        <v>393216</v>
      </c>
    </row>
    <row r="363" spans="1:19">
      <c r="A363" s="57">
        <v>7</v>
      </c>
      <c r="B363" s="57">
        <v>2</v>
      </c>
      <c r="C363" s="30">
        <v>4</v>
      </c>
      <c r="D363" s="34">
        <v>1</v>
      </c>
      <c r="E363" s="30">
        <v>6</v>
      </c>
      <c r="J363" s="35"/>
      <c r="K363" s="30">
        <v>1</v>
      </c>
      <c r="L363" s="30">
        <v>4</v>
      </c>
      <c r="Q363" s="35"/>
      <c r="R363" s="30">
        <f t="shared" si="41"/>
        <v>981925888</v>
      </c>
      <c r="S363" s="30">
        <f t="shared" si="42"/>
        <v>393216</v>
      </c>
    </row>
    <row r="364" spans="1:19">
      <c r="A364" s="57">
        <v>7</v>
      </c>
      <c r="B364" s="57">
        <v>2</v>
      </c>
      <c r="C364" s="30">
        <v>4</v>
      </c>
      <c r="D364" s="34">
        <v>1</v>
      </c>
      <c r="E364" s="30">
        <v>7</v>
      </c>
      <c r="J364" s="35"/>
      <c r="K364" s="30">
        <v>1</v>
      </c>
      <c r="L364" s="30">
        <v>4</v>
      </c>
      <c r="Q364" s="35"/>
      <c r="R364" s="30">
        <f t="shared" si="41"/>
        <v>981958656</v>
      </c>
      <c r="S364" s="30">
        <f t="shared" si="42"/>
        <v>393216</v>
      </c>
    </row>
    <row r="365" spans="1:19">
      <c r="A365" s="57">
        <v>7</v>
      </c>
      <c r="B365" s="57">
        <v>2</v>
      </c>
      <c r="C365" s="30">
        <v>4</v>
      </c>
      <c r="D365" s="34">
        <v>2</v>
      </c>
      <c r="E365" s="30">
        <v>3</v>
      </c>
      <c r="J365" s="35"/>
      <c r="K365" s="30">
        <v>2</v>
      </c>
      <c r="L365" s="30">
        <v>3</v>
      </c>
      <c r="Q365" s="35"/>
      <c r="R365" s="30">
        <f t="shared" si="41"/>
        <v>982089728</v>
      </c>
      <c r="S365" s="30">
        <f t="shared" si="42"/>
        <v>622592</v>
      </c>
    </row>
    <row r="366" spans="1:19">
      <c r="A366" s="57">
        <v>7</v>
      </c>
      <c r="B366" s="57">
        <v>2</v>
      </c>
      <c r="C366" s="30">
        <v>4</v>
      </c>
      <c r="D366" s="34">
        <v>2</v>
      </c>
      <c r="E366" s="30">
        <v>4</v>
      </c>
      <c r="J366" s="35"/>
      <c r="K366" s="30">
        <v>2</v>
      </c>
      <c r="L366" s="30">
        <v>3</v>
      </c>
      <c r="Q366" s="35"/>
      <c r="R366" s="30">
        <f t="shared" si="41"/>
        <v>982122496</v>
      </c>
      <c r="S366" s="30">
        <f t="shared" si="42"/>
        <v>622592</v>
      </c>
    </row>
    <row r="367" spans="1:19">
      <c r="A367" s="57">
        <v>7</v>
      </c>
      <c r="B367" s="57">
        <v>2</v>
      </c>
      <c r="C367" s="30">
        <v>4</v>
      </c>
      <c r="D367" s="34">
        <v>2</v>
      </c>
      <c r="E367" s="30">
        <v>5</v>
      </c>
      <c r="J367" s="35"/>
      <c r="K367" s="30">
        <v>2</v>
      </c>
      <c r="L367" s="30">
        <v>4</v>
      </c>
      <c r="Q367" s="35"/>
      <c r="R367" s="30">
        <f t="shared" si="41"/>
        <v>982155264</v>
      </c>
      <c r="S367" s="30">
        <f t="shared" si="42"/>
        <v>655360</v>
      </c>
    </row>
    <row r="368" spans="1:19">
      <c r="A368" s="57">
        <v>7</v>
      </c>
      <c r="B368" s="57">
        <v>2</v>
      </c>
      <c r="C368" s="30">
        <v>4</v>
      </c>
      <c r="D368" s="34">
        <v>2</v>
      </c>
      <c r="E368" s="30">
        <v>6</v>
      </c>
      <c r="J368" s="35"/>
      <c r="K368" s="30">
        <v>2</v>
      </c>
      <c r="L368" s="30">
        <v>4</v>
      </c>
      <c r="Q368" s="35"/>
      <c r="R368" s="30">
        <f t="shared" si="41"/>
        <v>982188032</v>
      </c>
      <c r="S368" s="30">
        <f t="shared" si="42"/>
        <v>655360</v>
      </c>
    </row>
    <row r="369" spans="1:19">
      <c r="A369" s="57">
        <v>7</v>
      </c>
      <c r="B369" s="57">
        <v>2</v>
      </c>
      <c r="C369" s="30">
        <v>4</v>
      </c>
      <c r="D369" s="34">
        <v>2</v>
      </c>
      <c r="E369" s="30">
        <v>7</v>
      </c>
      <c r="J369" s="35"/>
      <c r="K369" s="30">
        <v>2</v>
      </c>
      <c r="L369" s="30">
        <v>4</v>
      </c>
      <c r="Q369" s="35"/>
      <c r="R369" s="30">
        <f t="shared" si="41"/>
        <v>982220800</v>
      </c>
      <c r="S369" s="30">
        <f t="shared" si="42"/>
        <v>655360</v>
      </c>
    </row>
    <row r="370" spans="1:19">
      <c r="A370" s="57">
        <v>7</v>
      </c>
      <c r="B370" s="57">
        <v>2</v>
      </c>
      <c r="C370" s="30">
        <v>4</v>
      </c>
      <c r="D370" s="34">
        <v>3</v>
      </c>
      <c r="E370" s="30">
        <v>4</v>
      </c>
      <c r="J370" s="35"/>
      <c r="K370" s="30">
        <v>3</v>
      </c>
      <c r="L370" s="30">
        <v>4</v>
      </c>
      <c r="Q370" s="35"/>
      <c r="R370" s="30">
        <f t="shared" si="41"/>
        <v>982384640</v>
      </c>
      <c r="S370" s="30">
        <f t="shared" si="42"/>
        <v>917504</v>
      </c>
    </row>
    <row r="371" spans="1:19">
      <c r="A371" s="57">
        <v>7</v>
      </c>
      <c r="B371" s="57">
        <v>2</v>
      </c>
      <c r="C371" s="30">
        <v>4</v>
      </c>
      <c r="D371" s="34">
        <v>3</v>
      </c>
      <c r="E371" s="30">
        <v>5</v>
      </c>
      <c r="J371" s="35"/>
      <c r="K371" s="30">
        <v>3</v>
      </c>
      <c r="L371" s="30">
        <v>4</v>
      </c>
      <c r="Q371" s="35"/>
      <c r="R371" s="30">
        <f t="shared" si="41"/>
        <v>982417408</v>
      </c>
      <c r="S371" s="30">
        <f t="shared" si="42"/>
        <v>917504</v>
      </c>
    </row>
    <row r="372" spans="1:19">
      <c r="A372" s="57">
        <v>7</v>
      </c>
      <c r="B372" s="57">
        <v>2</v>
      </c>
      <c r="C372" s="30">
        <v>4</v>
      </c>
      <c r="D372" s="34">
        <v>3</v>
      </c>
      <c r="E372" s="30">
        <v>6</v>
      </c>
      <c r="J372" s="35"/>
      <c r="K372" s="30">
        <v>3</v>
      </c>
      <c r="L372" s="30">
        <v>4</v>
      </c>
      <c r="Q372" s="35"/>
      <c r="R372" s="30">
        <f t="shared" si="41"/>
        <v>982450176</v>
      </c>
      <c r="S372" s="30">
        <f t="shared" si="42"/>
        <v>917504</v>
      </c>
    </row>
    <row r="373" spans="1:19">
      <c r="A373" s="57">
        <v>7</v>
      </c>
      <c r="B373" s="57">
        <v>2</v>
      </c>
      <c r="C373" s="30">
        <v>4</v>
      </c>
      <c r="D373" s="34">
        <v>3</v>
      </c>
      <c r="E373" s="30">
        <v>7</v>
      </c>
      <c r="J373" s="35"/>
      <c r="K373" s="30">
        <v>3</v>
      </c>
      <c r="L373" s="30">
        <v>4</v>
      </c>
      <c r="Q373" s="35"/>
      <c r="R373" s="30">
        <f t="shared" si="41"/>
        <v>982482944</v>
      </c>
      <c r="S373" s="30">
        <f t="shared" si="42"/>
        <v>917504</v>
      </c>
    </row>
    <row r="374" spans="1:19">
      <c r="A374" s="57">
        <v>7</v>
      </c>
      <c r="B374" s="57">
        <v>2</v>
      </c>
      <c r="C374" s="30">
        <v>4</v>
      </c>
      <c r="D374" s="34">
        <v>4</v>
      </c>
      <c r="E374" s="30">
        <v>5</v>
      </c>
      <c r="J374" s="35"/>
      <c r="K374" s="30">
        <v>3</v>
      </c>
      <c r="L374" s="30">
        <v>4</v>
      </c>
      <c r="Q374" s="35"/>
      <c r="R374" s="30">
        <f t="shared" si="41"/>
        <v>982679552</v>
      </c>
      <c r="S374" s="30">
        <f t="shared" si="42"/>
        <v>917504</v>
      </c>
    </row>
    <row r="375" spans="1:19">
      <c r="A375" s="57">
        <v>7</v>
      </c>
      <c r="B375" s="57">
        <v>2</v>
      </c>
      <c r="C375" s="30">
        <v>4</v>
      </c>
      <c r="D375" s="34">
        <v>4</v>
      </c>
      <c r="E375" s="30">
        <v>6</v>
      </c>
      <c r="J375" s="35"/>
      <c r="K375" s="30">
        <v>3</v>
      </c>
      <c r="L375" s="30">
        <v>4</v>
      </c>
      <c r="Q375" s="35"/>
      <c r="R375" s="30">
        <f t="shared" si="41"/>
        <v>982712320</v>
      </c>
      <c r="S375" s="30">
        <f t="shared" si="42"/>
        <v>917504</v>
      </c>
    </row>
    <row r="376" spans="1:19">
      <c r="A376" s="57">
        <v>7</v>
      </c>
      <c r="B376" s="57">
        <v>2</v>
      </c>
      <c r="C376" s="30">
        <v>4</v>
      </c>
      <c r="D376" s="34">
        <v>4</v>
      </c>
      <c r="E376" s="30">
        <v>7</v>
      </c>
      <c r="J376" s="35"/>
      <c r="K376" s="30">
        <v>3</v>
      </c>
      <c r="L376" s="30">
        <v>4</v>
      </c>
      <c r="Q376" s="35"/>
      <c r="R376" s="30">
        <f t="shared" si="41"/>
        <v>982745088</v>
      </c>
      <c r="S376" s="30">
        <f t="shared" si="42"/>
        <v>917504</v>
      </c>
    </row>
    <row r="377" spans="1:19">
      <c r="A377" s="57">
        <v>7</v>
      </c>
      <c r="B377" s="57">
        <v>2</v>
      </c>
      <c r="C377" s="30">
        <v>4</v>
      </c>
      <c r="D377" s="34">
        <v>5</v>
      </c>
      <c r="E377" s="30">
        <v>6</v>
      </c>
      <c r="J377" s="35"/>
      <c r="K377" s="30">
        <v>3</v>
      </c>
      <c r="L377" s="30">
        <v>4</v>
      </c>
      <c r="Q377" s="35"/>
      <c r="R377" s="30">
        <f t="shared" si="41"/>
        <v>982974464</v>
      </c>
      <c r="S377" s="30">
        <f t="shared" si="42"/>
        <v>917504</v>
      </c>
    </row>
    <row r="378" spans="1:19">
      <c r="A378" s="57">
        <v>7</v>
      </c>
      <c r="B378" s="57">
        <v>2</v>
      </c>
      <c r="C378" s="30">
        <v>4</v>
      </c>
      <c r="D378" s="34">
        <v>5</v>
      </c>
      <c r="E378" s="30">
        <v>7</v>
      </c>
      <c r="J378" s="35"/>
      <c r="K378" s="30">
        <v>3</v>
      </c>
      <c r="L378" s="30">
        <v>4</v>
      </c>
      <c r="Q378" s="35"/>
      <c r="R378" s="30">
        <f t="shared" si="41"/>
        <v>983007232</v>
      </c>
      <c r="S378" s="30">
        <f t="shared" si="42"/>
        <v>917504</v>
      </c>
    </row>
    <row r="379" spans="1:19">
      <c r="A379" s="58">
        <v>7</v>
      </c>
      <c r="B379" s="58">
        <v>2</v>
      </c>
      <c r="C379" s="37">
        <v>4</v>
      </c>
      <c r="D379" s="36">
        <v>6</v>
      </c>
      <c r="E379" s="37">
        <v>7</v>
      </c>
      <c r="F379" s="37"/>
      <c r="G379" s="37"/>
      <c r="H379" s="37"/>
      <c r="I379" s="37"/>
      <c r="J379" s="38"/>
      <c r="K379" s="37">
        <v>3</v>
      </c>
      <c r="L379" s="37">
        <v>4</v>
      </c>
      <c r="M379" s="37"/>
      <c r="N379" s="37"/>
      <c r="O379" s="37"/>
      <c r="P379" s="37"/>
      <c r="Q379" s="38"/>
      <c r="R379" s="30">
        <f t="shared" si="41"/>
        <v>983269376</v>
      </c>
      <c r="S379" s="30">
        <f t="shared" si="42"/>
        <v>917504</v>
      </c>
    </row>
    <row r="380" spans="1:19">
      <c r="A380" s="59">
        <v>7</v>
      </c>
      <c r="B380" s="59">
        <v>2</v>
      </c>
      <c r="C380" s="32">
        <v>5</v>
      </c>
      <c r="D380" s="31">
        <v>1</v>
      </c>
      <c r="E380" s="32">
        <v>2</v>
      </c>
      <c r="F380" s="32"/>
      <c r="G380" s="32"/>
      <c r="H380" s="32"/>
      <c r="I380" s="32"/>
      <c r="J380" s="33"/>
      <c r="K380" s="32">
        <v>1</v>
      </c>
      <c r="L380" s="32">
        <v>2</v>
      </c>
      <c r="M380" s="32"/>
      <c r="N380" s="32"/>
      <c r="O380" s="32"/>
      <c r="P380" s="32"/>
      <c r="Q380" s="33"/>
      <c r="R380" s="30">
        <f t="shared" si="41"/>
        <v>983891968</v>
      </c>
      <c r="S380" s="30">
        <f t="shared" si="42"/>
        <v>327680</v>
      </c>
    </row>
    <row r="381" spans="1:19">
      <c r="A381" s="57">
        <v>7</v>
      </c>
      <c r="B381" s="57">
        <v>2</v>
      </c>
      <c r="C381" s="30">
        <v>5</v>
      </c>
      <c r="D381" s="34">
        <v>1</v>
      </c>
      <c r="E381" s="30">
        <v>3</v>
      </c>
      <c r="J381" s="35"/>
      <c r="K381" s="30">
        <v>1</v>
      </c>
      <c r="L381" s="30">
        <v>3</v>
      </c>
      <c r="Q381" s="35"/>
      <c r="R381" s="30">
        <f t="shared" si="41"/>
        <v>983924736</v>
      </c>
      <c r="S381" s="30">
        <f t="shared" si="42"/>
        <v>360448</v>
      </c>
    </row>
    <row r="382" spans="1:19">
      <c r="A382" s="57">
        <v>7</v>
      </c>
      <c r="B382" s="57">
        <v>2</v>
      </c>
      <c r="C382" s="30">
        <v>5</v>
      </c>
      <c r="D382" s="34">
        <v>1</v>
      </c>
      <c r="E382" s="30">
        <v>4</v>
      </c>
      <c r="J382" s="35"/>
      <c r="K382" s="30">
        <v>1</v>
      </c>
      <c r="L382" s="30">
        <v>4</v>
      </c>
      <c r="Q382" s="35"/>
      <c r="R382" s="30">
        <f t="shared" si="41"/>
        <v>983957504</v>
      </c>
      <c r="S382" s="30">
        <f t="shared" si="42"/>
        <v>393216</v>
      </c>
    </row>
    <row r="383" spans="1:19">
      <c r="A383" s="57">
        <v>7</v>
      </c>
      <c r="B383" s="57">
        <v>2</v>
      </c>
      <c r="C383" s="30">
        <v>5</v>
      </c>
      <c r="D383" s="34">
        <v>1</v>
      </c>
      <c r="E383" s="30">
        <v>5</v>
      </c>
      <c r="J383" s="35"/>
      <c r="K383" s="30">
        <v>1</v>
      </c>
      <c r="L383" s="30">
        <v>5</v>
      </c>
      <c r="Q383" s="35"/>
      <c r="R383" s="30">
        <f t="shared" si="41"/>
        <v>983990272</v>
      </c>
      <c r="S383" s="30">
        <f t="shared" si="42"/>
        <v>425984</v>
      </c>
    </row>
    <row r="384" spans="1:19">
      <c r="A384" s="57">
        <v>7</v>
      </c>
      <c r="B384" s="57">
        <v>2</v>
      </c>
      <c r="C384" s="30">
        <v>5</v>
      </c>
      <c r="D384" s="34">
        <v>1</v>
      </c>
      <c r="E384" s="30">
        <v>6</v>
      </c>
      <c r="J384" s="35"/>
      <c r="K384" s="30">
        <v>1</v>
      </c>
      <c r="L384" s="30">
        <v>5</v>
      </c>
      <c r="Q384" s="35"/>
      <c r="R384" s="30">
        <f t="shared" si="41"/>
        <v>984023040</v>
      </c>
      <c r="S384" s="30">
        <f t="shared" si="42"/>
        <v>425984</v>
      </c>
    </row>
    <row r="385" spans="1:19">
      <c r="A385" s="57">
        <v>7</v>
      </c>
      <c r="B385" s="57">
        <v>2</v>
      </c>
      <c r="C385" s="30">
        <v>5</v>
      </c>
      <c r="D385" s="34">
        <v>1</v>
      </c>
      <c r="E385" s="30">
        <v>7</v>
      </c>
      <c r="J385" s="35"/>
      <c r="K385" s="30">
        <v>1</v>
      </c>
      <c r="L385" s="30">
        <v>5</v>
      </c>
      <c r="Q385" s="35"/>
      <c r="R385" s="30">
        <f t="shared" si="41"/>
        <v>984055808</v>
      </c>
      <c r="S385" s="30">
        <f t="shared" si="42"/>
        <v>425984</v>
      </c>
    </row>
    <row r="386" spans="1:19">
      <c r="A386" s="57">
        <v>7</v>
      </c>
      <c r="B386" s="57">
        <v>2</v>
      </c>
      <c r="C386" s="30">
        <v>5</v>
      </c>
      <c r="D386" s="34">
        <v>2</v>
      </c>
      <c r="E386" s="30">
        <v>3</v>
      </c>
      <c r="J386" s="35"/>
      <c r="K386" s="30">
        <v>2</v>
      </c>
      <c r="L386" s="30">
        <v>3</v>
      </c>
      <c r="Q386" s="35"/>
      <c r="R386" s="30">
        <f t="shared" si="41"/>
        <v>984186880</v>
      </c>
      <c r="S386" s="30">
        <f t="shared" si="42"/>
        <v>622592</v>
      </c>
    </row>
    <row r="387" spans="1:19">
      <c r="A387" s="57">
        <v>7</v>
      </c>
      <c r="B387" s="57">
        <v>2</v>
      </c>
      <c r="C387" s="30">
        <v>5</v>
      </c>
      <c r="D387" s="34">
        <v>2</v>
      </c>
      <c r="E387" s="30">
        <v>4</v>
      </c>
      <c r="J387" s="35"/>
      <c r="K387" s="30">
        <v>2</v>
      </c>
      <c r="L387" s="30">
        <v>4</v>
      </c>
      <c r="Q387" s="35"/>
      <c r="R387" s="30">
        <f t="shared" ref="R387:R450" si="43">J387*8^0+I387*8^1+H387*8^2+G387*8^3+F387*8^4+E387*8^5+D387*8^6+C387*8^7+B387*8^8+A387*8^9</f>
        <v>984219648</v>
      </c>
      <c r="S387" s="30">
        <f t="shared" si="42"/>
        <v>655360</v>
      </c>
    </row>
    <row r="388" spans="1:19">
      <c r="A388" s="57">
        <v>7</v>
      </c>
      <c r="B388" s="57">
        <v>2</v>
      </c>
      <c r="C388" s="30">
        <v>5</v>
      </c>
      <c r="D388" s="34">
        <v>2</v>
      </c>
      <c r="E388" s="30">
        <v>5</v>
      </c>
      <c r="J388" s="35"/>
      <c r="K388" s="30">
        <v>2</v>
      </c>
      <c r="L388" s="30">
        <v>5</v>
      </c>
      <c r="Q388" s="35"/>
      <c r="R388" s="30">
        <f t="shared" si="43"/>
        <v>984252416</v>
      </c>
      <c r="S388" s="30">
        <f t="shared" si="42"/>
        <v>688128</v>
      </c>
    </row>
    <row r="389" spans="1:19">
      <c r="A389" s="57">
        <v>7</v>
      </c>
      <c r="B389" s="57">
        <v>2</v>
      </c>
      <c r="C389" s="30">
        <v>5</v>
      </c>
      <c r="D389" s="34">
        <v>2</v>
      </c>
      <c r="E389" s="30">
        <v>6</v>
      </c>
      <c r="J389" s="35"/>
      <c r="K389" s="30">
        <v>2</v>
      </c>
      <c r="L389" s="30">
        <v>5</v>
      </c>
      <c r="Q389" s="35"/>
      <c r="R389" s="30">
        <f t="shared" si="43"/>
        <v>984285184</v>
      </c>
      <c r="S389" s="30">
        <f t="shared" ref="S389:S452" si="44">Q389*8^0+P389*8^1+O389*8^2+N389*8^3+M389*8^4+L389*8^5+K389*8^6</f>
        <v>688128</v>
      </c>
    </row>
    <row r="390" spans="1:19">
      <c r="A390" s="57">
        <v>7</v>
      </c>
      <c r="B390" s="57">
        <v>2</v>
      </c>
      <c r="C390" s="30">
        <v>5</v>
      </c>
      <c r="D390" s="34">
        <v>2</v>
      </c>
      <c r="E390" s="30">
        <v>7</v>
      </c>
      <c r="J390" s="35"/>
      <c r="K390" s="30">
        <v>2</v>
      </c>
      <c r="L390" s="30">
        <v>5</v>
      </c>
      <c r="Q390" s="35"/>
      <c r="R390" s="30">
        <f t="shared" si="43"/>
        <v>984317952</v>
      </c>
      <c r="S390" s="30">
        <f t="shared" si="44"/>
        <v>688128</v>
      </c>
    </row>
    <row r="391" spans="1:19">
      <c r="A391" s="57">
        <v>7</v>
      </c>
      <c r="B391" s="57">
        <v>2</v>
      </c>
      <c r="C391" s="30">
        <v>5</v>
      </c>
      <c r="D391" s="34">
        <v>3</v>
      </c>
      <c r="E391" s="30">
        <v>4</v>
      </c>
      <c r="J391" s="35"/>
      <c r="K391" s="34">
        <v>3</v>
      </c>
      <c r="L391" s="30">
        <v>4</v>
      </c>
      <c r="Q391" s="35"/>
      <c r="R391" s="30">
        <f t="shared" si="43"/>
        <v>984481792</v>
      </c>
      <c r="S391" s="30">
        <f t="shared" si="44"/>
        <v>917504</v>
      </c>
    </row>
    <row r="392" spans="1:19">
      <c r="A392" s="57">
        <v>7</v>
      </c>
      <c r="B392" s="57">
        <v>2</v>
      </c>
      <c r="C392" s="30">
        <v>5</v>
      </c>
      <c r="D392" s="34">
        <v>3</v>
      </c>
      <c r="E392" s="30">
        <v>5</v>
      </c>
      <c r="J392" s="35"/>
      <c r="K392" s="34">
        <v>3</v>
      </c>
      <c r="L392" s="30">
        <v>5</v>
      </c>
      <c r="Q392" s="35"/>
      <c r="R392" s="30">
        <f t="shared" si="43"/>
        <v>984514560</v>
      </c>
      <c r="S392" s="30">
        <f t="shared" si="44"/>
        <v>950272</v>
      </c>
    </row>
    <row r="393" spans="1:19">
      <c r="A393" s="57">
        <v>7</v>
      </c>
      <c r="B393" s="57">
        <v>2</v>
      </c>
      <c r="C393" s="30">
        <v>5</v>
      </c>
      <c r="D393" s="34">
        <v>3</v>
      </c>
      <c r="E393" s="30">
        <v>6</v>
      </c>
      <c r="J393" s="35"/>
      <c r="K393" s="30">
        <v>3</v>
      </c>
      <c r="L393" s="30">
        <v>5</v>
      </c>
      <c r="Q393" s="35"/>
      <c r="R393" s="30">
        <f t="shared" si="43"/>
        <v>984547328</v>
      </c>
      <c r="S393" s="30">
        <f t="shared" si="44"/>
        <v>950272</v>
      </c>
    </row>
    <row r="394" spans="1:19">
      <c r="A394" s="57">
        <v>7</v>
      </c>
      <c r="B394" s="57">
        <v>2</v>
      </c>
      <c r="C394" s="30">
        <v>5</v>
      </c>
      <c r="D394" s="34">
        <v>3</v>
      </c>
      <c r="E394" s="30">
        <v>7</v>
      </c>
      <c r="J394" s="35"/>
      <c r="K394" s="30">
        <v>3</v>
      </c>
      <c r="L394" s="30">
        <v>5</v>
      </c>
      <c r="Q394" s="35"/>
      <c r="R394" s="30">
        <f t="shared" si="43"/>
        <v>984580096</v>
      </c>
      <c r="S394" s="30">
        <f t="shared" si="44"/>
        <v>950272</v>
      </c>
    </row>
    <row r="395" spans="1:19">
      <c r="A395" s="57">
        <v>7</v>
      </c>
      <c r="B395" s="57">
        <v>2</v>
      </c>
      <c r="C395" s="30">
        <v>5</v>
      </c>
      <c r="D395" s="34">
        <v>4</v>
      </c>
      <c r="E395" s="30">
        <v>5</v>
      </c>
      <c r="J395" s="35"/>
      <c r="K395" s="30">
        <v>4</v>
      </c>
      <c r="L395" s="30">
        <v>5</v>
      </c>
      <c r="Q395" s="35"/>
      <c r="R395" s="30">
        <f t="shared" si="43"/>
        <v>984776704</v>
      </c>
      <c r="S395" s="30">
        <f t="shared" si="44"/>
        <v>1212416</v>
      </c>
    </row>
    <row r="396" spans="1:19">
      <c r="A396" s="57">
        <v>7</v>
      </c>
      <c r="B396" s="57">
        <v>2</v>
      </c>
      <c r="C396" s="30">
        <v>5</v>
      </c>
      <c r="D396" s="34">
        <v>4</v>
      </c>
      <c r="E396" s="30">
        <v>6</v>
      </c>
      <c r="J396" s="35"/>
      <c r="K396" s="30">
        <v>4</v>
      </c>
      <c r="L396" s="30">
        <v>5</v>
      </c>
      <c r="Q396" s="35"/>
      <c r="R396" s="30">
        <f t="shared" si="43"/>
        <v>984809472</v>
      </c>
      <c r="S396" s="30">
        <f t="shared" si="44"/>
        <v>1212416</v>
      </c>
    </row>
    <row r="397" spans="1:19">
      <c r="A397" s="57">
        <v>7</v>
      </c>
      <c r="B397" s="57">
        <v>2</v>
      </c>
      <c r="C397" s="30">
        <v>5</v>
      </c>
      <c r="D397" s="34">
        <v>4</v>
      </c>
      <c r="E397" s="30">
        <v>7</v>
      </c>
      <c r="J397" s="35"/>
      <c r="K397" s="30">
        <v>4</v>
      </c>
      <c r="L397" s="30">
        <v>5</v>
      </c>
      <c r="Q397" s="35"/>
      <c r="R397" s="30">
        <f t="shared" si="43"/>
        <v>984842240</v>
      </c>
      <c r="S397" s="30">
        <f t="shared" si="44"/>
        <v>1212416</v>
      </c>
    </row>
    <row r="398" spans="1:19">
      <c r="A398" s="57">
        <v>7</v>
      </c>
      <c r="B398" s="57">
        <v>2</v>
      </c>
      <c r="C398" s="30">
        <v>5</v>
      </c>
      <c r="D398" s="34">
        <v>5</v>
      </c>
      <c r="E398" s="30">
        <v>6</v>
      </c>
      <c r="J398" s="35"/>
      <c r="K398" s="30">
        <v>4</v>
      </c>
      <c r="L398" s="30">
        <v>5</v>
      </c>
      <c r="Q398" s="35"/>
      <c r="R398" s="30">
        <f t="shared" si="43"/>
        <v>985071616</v>
      </c>
      <c r="S398" s="30">
        <f t="shared" si="44"/>
        <v>1212416</v>
      </c>
    </row>
    <row r="399" spans="1:19">
      <c r="A399" s="57">
        <v>7</v>
      </c>
      <c r="B399" s="57">
        <v>2</v>
      </c>
      <c r="C399" s="30">
        <v>5</v>
      </c>
      <c r="D399" s="34">
        <v>5</v>
      </c>
      <c r="E399" s="30">
        <v>7</v>
      </c>
      <c r="J399" s="35"/>
      <c r="K399" s="30">
        <v>4</v>
      </c>
      <c r="L399" s="30">
        <v>5</v>
      </c>
      <c r="Q399" s="35"/>
      <c r="R399" s="30">
        <f t="shared" si="43"/>
        <v>985104384</v>
      </c>
      <c r="S399" s="30">
        <f t="shared" si="44"/>
        <v>1212416</v>
      </c>
    </row>
    <row r="400" spans="1:19">
      <c r="A400" s="58">
        <v>7</v>
      </c>
      <c r="B400" s="58">
        <v>2</v>
      </c>
      <c r="C400" s="37">
        <v>5</v>
      </c>
      <c r="D400" s="36">
        <v>6</v>
      </c>
      <c r="E400" s="37">
        <v>7</v>
      </c>
      <c r="F400" s="37"/>
      <c r="G400" s="37"/>
      <c r="H400" s="37"/>
      <c r="I400" s="37"/>
      <c r="J400" s="38"/>
      <c r="K400" s="37">
        <v>4</v>
      </c>
      <c r="L400" s="37">
        <v>5</v>
      </c>
      <c r="M400" s="37"/>
      <c r="N400" s="37"/>
      <c r="O400" s="37"/>
      <c r="P400" s="37"/>
      <c r="Q400" s="38"/>
      <c r="R400" s="30">
        <f t="shared" si="43"/>
        <v>985366528</v>
      </c>
      <c r="S400" s="30">
        <f t="shared" si="44"/>
        <v>1212416</v>
      </c>
    </row>
    <row r="401" spans="1:19">
      <c r="A401" s="59">
        <v>7</v>
      </c>
      <c r="B401" s="59">
        <v>2</v>
      </c>
      <c r="C401" s="32">
        <v>6</v>
      </c>
      <c r="D401" s="31">
        <v>1</v>
      </c>
      <c r="E401" s="32">
        <v>2</v>
      </c>
      <c r="F401" s="32"/>
      <c r="G401" s="32"/>
      <c r="H401" s="32"/>
      <c r="I401" s="32"/>
      <c r="J401" s="33"/>
      <c r="K401" s="31">
        <v>1</v>
      </c>
      <c r="L401" s="32">
        <v>2</v>
      </c>
      <c r="M401" s="32"/>
      <c r="N401" s="32"/>
      <c r="O401" s="32"/>
      <c r="P401" s="32"/>
      <c r="Q401" s="33"/>
      <c r="R401" s="30">
        <f t="shared" si="43"/>
        <v>985989120</v>
      </c>
      <c r="S401" s="30">
        <f t="shared" si="44"/>
        <v>327680</v>
      </c>
    </row>
    <row r="402" spans="1:19">
      <c r="A402" s="57">
        <v>7</v>
      </c>
      <c r="B402" s="57">
        <v>2</v>
      </c>
      <c r="C402" s="30">
        <v>6</v>
      </c>
      <c r="D402" s="34">
        <v>1</v>
      </c>
      <c r="E402" s="30">
        <v>3</v>
      </c>
      <c r="J402" s="35"/>
      <c r="K402" s="34">
        <v>1</v>
      </c>
      <c r="L402" s="30">
        <v>3</v>
      </c>
      <c r="Q402" s="35"/>
      <c r="R402" s="30">
        <f t="shared" si="43"/>
        <v>986021888</v>
      </c>
      <c r="S402" s="30">
        <f t="shared" si="44"/>
        <v>360448</v>
      </c>
    </row>
    <row r="403" spans="1:19">
      <c r="A403" s="57">
        <v>7</v>
      </c>
      <c r="B403" s="57">
        <v>2</v>
      </c>
      <c r="C403" s="30">
        <v>6</v>
      </c>
      <c r="D403" s="34">
        <v>1</v>
      </c>
      <c r="E403" s="30">
        <v>4</v>
      </c>
      <c r="J403" s="35"/>
      <c r="K403" s="34">
        <v>1</v>
      </c>
      <c r="L403" s="30">
        <v>4</v>
      </c>
      <c r="Q403" s="35"/>
      <c r="R403" s="30">
        <f t="shared" si="43"/>
        <v>986054656</v>
      </c>
      <c r="S403" s="30">
        <f t="shared" si="44"/>
        <v>393216</v>
      </c>
    </row>
    <row r="404" spans="1:19">
      <c r="A404" s="57">
        <v>7</v>
      </c>
      <c r="B404" s="57">
        <v>2</v>
      </c>
      <c r="C404" s="30">
        <v>6</v>
      </c>
      <c r="D404" s="34">
        <v>1</v>
      </c>
      <c r="E404" s="30">
        <v>5</v>
      </c>
      <c r="J404" s="35"/>
      <c r="K404" s="34">
        <v>1</v>
      </c>
      <c r="L404" s="30">
        <v>5</v>
      </c>
      <c r="Q404" s="35"/>
      <c r="R404" s="30">
        <f t="shared" si="43"/>
        <v>986087424</v>
      </c>
      <c r="S404" s="30">
        <f t="shared" si="44"/>
        <v>425984</v>
      </c>
    </row>
    <row r="405" spans="1:19">
      <c r="A405" s="57">
        <v>7</v>
      </c>
      <c r="B405" s="57">
        <v>2</v>
      </c>
      <c r="C405" s="30">
        <v>6</v>
      </c>
      <c r="D405" s="34">
        <v>1</v>
      </c>
      <c r="E405" s="30">
        <v>6</v>
      </c>
      <c r="J405" s="35"/>
      <c r="K405" s="34">
        <v>1</v>
      </c>
      <c r="L405" s="30">
        <v>6</v>
      </c>
      <c r="Q405" s="35"/>
      <c r="R405" s="30">
        <f t="shared" si="43"/>
        <v>986120192</v>
      </c>
      <c r="S405" s="30">
        <f t="shared" si="44"/>
        <v>458752</v>
      </c>
    </row>
    <row r="406" spans="1:19">
      <c r="A406" s="57">
        <v>7</v>
      </c>
      <c r="B406" s="57">
        <v>2</v>
      </c>
      <c r="C406" s="30">
        <v>6</v>
      </c>
      <c r="D406" s="34">
        <v>1</v>
      </c>
      <c r="E406" s="30">
        <v>7</v>
      </c>
      <c r="J406" s="35"/>
      <c r="K406" s="34">
        <v>1</v>
      </c>
      <c r="L406" s="30">
        <v>6</v>
      </c>
      <c r="Q406" s="35"/>
      <c r="R406" s="30">
        <f t="shared" si="43"/>
        <v>986152960</v>
      </c>
      <c r="S406" s="30">
        <f t="shared" si="44"/>
        <v>458752</v>
      </c>
    </row>
    <row r="407" spans="1:19">
      <c r="A407" s="57">
        <v>7</v>
      </c>
      <c r="B407" s="57">
        <v>2</v>
      </c>
      <c r="C407" s="30">
        <v>6</v>
      </c>
      <c r="D407" s="34">
        <v>2</v>
      </c>
      <c r="E407" s="30">
        <v>3</v>
      </c>
      <c r="J407" s="35"/>
      <c r="K407" s="34">
        <v>2</v>
      </c>
      <c r="L407" s="30">
        <v>3</v>
      </c>
      <c r="Q407" s="35"/>
      <c r="R407" s="30">
        <f t="shared" si="43"/>
        <v>986284032</v>
      </c>
      <c r="S407" s="30">
        <f t="shared" si="44"/>
        <v>622592</v>
      </c>
    </row>
    <row r="408" spans="1:19">
      <c r="A408" s="57">
        <v>7</v>
      </c>
      <c r="B408" s="57">
        <v>2</v>
      </c>
      <c r="C408" s="30">
        <v>6</v>
      </c>
      <c r="D408" s="34">
        <v>2</v>
      </c>
      <c r="E408" s="30">
        <v>4</v>
      </c>
      <c r="J408" s="35"/>
      <c r="K408" s="34">
        <v>2</v>
      </c>
      <c r="L408" s="30">
        <v>4</v>
      </c>
      <c r="Q408" s="35"/>
      <c r="R408" s="30">
        <f t="shared" si="43"/>
        <v>986316800</v>
      </c>
      <c r="S408" s="30">
        <f t="shared" si="44"/>
        <v>655360</v>
      </c>
    </row>
    <row r="409" spans="1:19">
      <c r="A409" s="57">
        <v>7</v>
      </c>
      <c r="B409" s="57">
        <v>2</v>
      </c>
      <c r="C409" s="30">
        <v>6</v>
      </c>
      <c r="D409" s="34">
        <v>2</v>
      </c>
      <c r="E409" s="30">
        <v>5</v>
      </c>
      <c r="J409" s="35"/>
      <c r="K409" s="34">
        <v>2</v>
      </c>
      <c r="L409" s="30">
        <v>5</v>
      </c>
      <c r="Q409" s="35"/>
      <c r="R409" s="30">
        <f t="shared" si="43"/>
        <v>986349568</v>
      </c>
      <c r="S409" s="30">
        <f t="shared" si="44"/>
        <v>688128</v>
      </c>
    </row>
    <row r="410" spans="1:19">
      <c r="A410" s="57">
        <v>7</v>
      </c>
      <c r="B410" s="57">
        <v>2</v>
      </c>
      <c r="C410" s="30">
        <v>6</v>
      </c>
      <c r="D410" s="34">
        <v>2</v>
      </c>
      <c r="E410" s="30">
        <v>6</v>
      </c>
      <c r="J410" s="35"/>
      <c r="K410" s="34">
        <v>2</v>
      </c>
      <c r="L410" s="30">
        <v>6</v>
      </c>
      <c r="Q410" s="35"/>
      <c r="R410" s="30">
        <f t="shared" si="43"/>
        <v>986382336</v>
      </c>
      <c r="S410" s="30">
        <f t="shared" si="44"/>
        <v>720896</v>
      </c>
    </row>
    <row r="411" spans="1:19">
      <c r="A411" s="57">
        <v>7</v>
      </c>
      <c r="B411" s="57">
        <v>2</v>
      </c>
      <c r="C411" s="30">
        <v>6</v>
      </c>
      <c r="D411" s="34">
        <v>2</v>
      </c>
      <c r="E411" s="30">
        <v>7</v>
      </c>
      <c r="J411" s="35"/>
      <c r="K411" s="34">
        <v>2</v>
      </c>
      <c r="L411" s="30">
        <v>6</v>
      </c>
      <c r="Q411" s="35"/>
      <c r="R411" s="30">
        <f t="shared" si="43"/>
        <v>986415104</v>
      </c>
      <c r="S411" s="30">
        <f t="shared" si="44"/>
        <v>720896</v>
      </c>
    </row>
    <row r="412" spans="1:19">
      <c r="A412" s="57">
        <v>7</v>
      </c>
      <c r="B412" s="57">
        <v>2</v>
      </c>
      <c r="C412" s="30">
        <v>6</v>
      </c>
      <c r="D412" s="34">
        <v>3</v>
      </c>
      <c r="E412" s="30">
        <v>4</v>
      </c>
      <c r="J412" s="35"/>
      <c r="K412" s="34">
        <v>3</v>
      </c>
      <c r="L412" s="30">
        <v>4</v>
      </c>
      <c r="Q412" s="35"/>
      <c r="R412" s="30">
        <f t="shared" si="43"/>
        <v>986578944</v>
      </c>
      <c r="S412" s="30">
        <f t="shared" si="44"/>
        <v>917504</v>
      </c>
    </row>
    <row r="413" spans="1:19">
      <c r="A413" s="57">
        <v>7</v>
      </c>
      <c r="B413" s="57">
        <v>2</v>
      </c>
      <c r="C413" s="30">
        <v>6</v>
      </c>
      <c r="D413" s="34">
        <v>3</v>
      </c>
      <c r="E413" s="30">
        <v>5</v>
      </c>
      <c r="J413" s="35"/>
      <c r="K413" s="34">
        <v>3</v>
      </c>
      <c r="L413" s="30">
        <v>5</v>
      </c>
      <c r="Q413" s="35"/>
      <c r="R413" s="30">
        <f t="shared" si="43"/>
        <v>986611712</v>
      </c>
      <c r="S413" s="30">
        <f t="shared" si="44"/>
        <v>950272</v>
      </c>
    </row>
    <row r="414" spans="1:19">
      <c r="A414" s="57">
        <v>7</v>
      </c>
      <c r="B414" s="57">
        <v>2</v>
      </c>
      <c r="C414" s="30">
        <v>6</v>
      </c>
      <c r="D414" s="34">
        <v>3</v>
      </c>
      <c r="E414" s="30">
        <v>6</v>
      </c>
      <c r="J414" s="35"/>
      <c r="K414" s="34">
        <v>3</v>
      </c>
      <c r="L414" s="30">
        <v>6</v>
      </c>
      <c r="Q414" s="35"/>
      <c r="R414" s="30">
        <f t="shared" si="43"/>
        <v>986644480</v>
      </c>
      <c r="S414" s="30">
        <f t="shared" si="44"/>
        <v>983040</v>
      </c>
    </row>
    <row r="415" spans="1:19">
      <c r="A415" s="57">
        <v>7</v>
      </c>
      <c r="B415" s="57">
        <v>2</v>
      </c>
      <c r="C415" s="30">
        <v>6</v>
      </c>
      <c r="D415" s="34">
        <v>3</v>
      </c>
      <c r="E415" s="30">
        <v>7</v>
      </c>
      <c r="J415" s="35"/>
      <c r="K415" s="34">
        <v>3</v>
      </c>
      <c r="L415" s="30">
        <v>6</v>
      </c>
      <c r="Q415" s="35"/>
      <c r="R415" s="30">
        <f t="shared" si="43"/>
        <v>986677248</v>
      </c>
      <c r="S415" s="30">
        <f t="shared" si="44"/>
        <v>983040</v>
      </c>
    </row>
    <row r="416" spans="1:19">
      <c r="A416" s="57">
        <v>7</v>
      </c>
      <c r="B416" s="57">
        <v>2</v>
      </c>
      <c r="C416" s="30">
        <v>6</v>
      </c>
      <c r="D416" s="34">
        <v>4</v>
      </c>
      <c r="E416" s="30">
        <v>5</v>
      </c>
      <c r="J416" s="35"/>
      <c r="K416" s="34">
        <v>4</v>
      </c>
      <c r="L416" s="30">
        <v>5</v>
      </c>
      <c r="Q416" s="35"/>
      <c r="R416" s="30">
        <f t="shared" si="43"/>
        <v>986873856</v>
      </c>
      <c r="S416" s="30">
        <f t="shared" si="44"/>
        <v>1212416</v>
      </c>
    </row>
    <row r="417" spans="1:19">
      <c r="A417" s="57">
        <v>7</v>
      </c>
      <c r="B417" s="57">
        <v>2</v>
      </c>
      <c r="C417" s="30">
        <v>6</v>
      </c>
      <c r="D417" s="34">
        <v>4</v>
      </c>
      <c r="E417" s="30">
        <v>6</v>
      </c>
      <c r="J417" s="35"/>
      <c r="K417" s="34">
        <v>4</v>
      </c>
      <c r="L417" s="30">
        <v>6</v>
      </c>
      <c r="Q417" s="35"/>
      <c r="R417" s="30">
        <f t="shared" si="43"/>
        <v>986906624</v>
      </c>
      <c r="S417" s="30">
        <f t="shared" si="44"/>
        <v>1245184</v>
      </c>
    </row>
    <row r="418" spans="1:19">
      <c r="A418" s="57">
        <v>7</v>
      </c>
      <c r="B418" s="57">
        <v>2</v>
      </c>
      <c r="C418" s="30">
        <v>6</v>
      </c>
      <c r="D418" s="34">
        <v>4</v>
      </c>
      <c r="E418" s="30">
        <v>7</v>
      </c>
      <c r="J418" s="35"/>
      <c r="K418" s="34">
        <v>4</v>
      </c>
      <c r="L418" s="30">
        <v>6</v>
      </c>
      <c r="Q418" s="35"/>
      <c r="R418" s="30">
        <f t="shared" si="43"/>
        <v>986939392</v>
      </c>
      <c r="S418" s="30">
        <f t="shared" si="44"/>
        <v>1245184</v>
      </c>
    </row>
    <row r="419" spans="1:19">
      <c r="A419" s="57">
        <v>7</v>
      </c>
      <c r="B419" s="57">
        <v>2</v>
      </c>
      <c r="C419" s="30">
        <v>6</v>
      </c>
      <c r="D419" s="34">
        <v>5</v>
      </c>
      <c r="E419" s="30">
        <v>6</v>
      </c>
      <c r="J419" s="35"/>
      <c r="K419" s="30">
        <v>5</v>
      </c>
      <c r="L419" s="30">
        <v>6</v>
      </c>
      <c r="Q419" s="35"/>
      <c r="R419" s="30">
        <f t="shared" si="43"/>
        <v>987168768</v>
      </c>
      <c r="S419" s="30">
        <f t="shared" si="44"/>
        <v>1507328</v>
      </c>
    </row>
    <row r="420" spans="1:19">
      <c r="A420" s="57">
        <v>7</v>
      </c>
      <c r="B420" s="57">
        <v>2</v>
      </c>
      <c r="C420" s="30">
        <v>6</v>
      </c>
      <c r="D420" s="34">
        <v>5</v>
      </c>
      <c r="E420" s="30">
        <v>7</v>
      </c>
      <c r="J420" s="35"/>
      <c r="K420" s="30">
        <v>5</v>
      </c>
      <c r="L420" s="30">
        <v>6</v>
      </c>
      <c r="Q420" s="35"/>
      <c r="R420" s="30">
        <f t="shared" si="43"/>
        <v>987201536</v>
      </c>
      <c r="S420" s="30">
        <f t="shared" si="44"/>
        <v>1507328</v>
      </c>
    </row>
    <row r="421" spans="1:19">
      <c r="A421" s="58">
        <v>7</v>
      </c>
      <c r="B421" s="58">
        <v>2</v>
      </c>
      <c r="C421" s="37">
        <v>6</v>
      </c>
      <c r="D421" s="36">
        <v>6</v>
      </c>
      <c r="E421" s="37">
        <v>7</v>
      </c>
      <c r="F421" s="37"/>
      <c r="G421" s="37"/>
      <c r="H421" s="37"/>
      <c r="I421" s="37"/>
      <c r="J421" s="38"/>
      <c r="K421" s="37">
        <v>5</v>
      </c>
      <c r="L421" s="37">
        <v>6</v>
      </c>
      <c r="M421" s="37"/>
      <c r="N421" s="37"/>
      <c r="O421" s="37"/>
      <c r="P421" s="37"/>
      <c r="Q421" s="38"/>
      <c r="R421" s="30">
        <f t="shared" si="43"/>
        <v>987463680</v>
      </c>
      <c r="S421" s="30">
        <f t="shared" si="44"/>
        <v>1507328</v>
      </c>
    </row>
    <row r="422" spans="1:19">
      <c r="A422" s="59">
        <v>7</v>
      </c>
      <c r="B422" s="59">
        <v>3</v>
      </c>
      <c r="C422" s="32">
        <v>3</v>
      </c>
      <c r="D422" s="31">
        <v>1</v>
      </c>
      <c r="E422" s="32">
        <v>2</v>
      </c>
      <c r="F422" s="32">
        <v>3</v>
      </c>
      <c r="G422" s="32"/>
      <c r="H422" s="32"/>
      <c r="I422" s="32"/>
      <c r="J422" s="33"/>
      <c r="K422" s="32">
        <v>1</v>
      </c>
      <c r="L422" s="32">
        <v>2</v>
      </c>
      <c r="M422" s="32">
        <v>3</v>
      </c>
      <c r="N422" s="32"/>
      <c r="O422" s="32"/>
      <c r="P422" s="32"/>
      <c r="Q422" s="33"/>
      <c r="R422" s="30">
        <f t="shared" si="43"/>
        <v>996487168</v>
      </c>
      <c r="S422" s="30">
        <f t="shared" si="44"/>
        <v>339968</v>
      </c>
    </row>
    <row r="423" spans="1:19">
      <c r="A423" s="57">
        <v>7</v>
      </c>
      <c r="B423" s="57">
        <v>3</v>
      </c>
      <c r="C423" s="30">
        <v>3</v>
      </c>
      <c r="D423" s="34">
        <v>1</v>
      </c>
      <c r="E423" s="30">
        <v>2</v>
      </c>
      <c r="F423" s="30">
        <v>4</v>
      </c>
      <c r="J423" s="35"/>
      <c r="K423" s="30">
        <v>1</v>
      </c>
      <c r="L423" s="30">
        <v>2</v>
      </c>
      <c r="M423" s="30">
        <v>3</v>
      </c>
      <c r="Q423" s="35"/>
      <c r="R423" s="30">
        <f t="shared" si="43"/>
        <v>996491264</v>
      </c>
      <c r="S423" s="30">
        <f t="shared" si="44"/>
        <v>339968</v>
      </c>
    </row>
    <row r="424" spans="1:19">
      <c r="A424" s="57">
        <v>7</v>
      </c>
      <c r="B424" s="57">
        <v>3</v>
      </c>
      <c r="C424" s="30">
        <v>3</v>
      </c>
      <c r="D424" s="34">
        <v>1</v>
      </c>
      <c r="E424" s="30">
        <v>2</v>
      </c>
      <c r="F424" s="30">
        <v>5</v>
      </c>
      <c r="J424" s="35"/>
      <c r="K424" s="30">
        <v>1</v>
      </c>
      <c r="L424" s="30">
        <v>2</v>
      </c>
      <c r="M424" s="30">
        <v>3</v>
      </c>
      <c r="Q424" s="35"/>
      <c r="R424" s="30">
        <f t="shared" si="43"/>
        <v>996495360</v>
      </c>
      <c r="S424" s="30">
        <f t="shared" si="44"/>
        <v>339968</v>
      </c>
    </row>
    <row r="425" spans="1:19">
      <c r="A425" s="57">
        <v>7</v>
      </c>
      <c r="B425" s="57">
        <v>3</v>
      </c>
      <c r="C425" s="30">
        <v>3</v>
      </c>
      <c r="D425" s="34">
        <v>1</v>
      </c>
      <c r="E425" s="30">
        <v>2</v>
      </c>
      <c r="F425" s="30">
        <v>6</v>
      </c>
      <c r="J425" s="35"/>
      <c r="K425" s="30">
        <v>1</v>
      </c>
      <c r="L425" s="30">
        <v>2</v>
      </c>
      <c r="M425" s="30">
        <v>3</v>
      </c>
      <c r="Q425" s="35"/>
      <c r="R425" s="30">
        <f t="shared" si="43"/>
        <v>996499456</v>
      </c>
      <c r="S425" s="30">
        <f t="shared" si="44"/>
        <v>339968</v>
      </c>
    </row>
    <row r="426" spans="1:19">
      <c r="A426" s="57">
        <v>7</v>
      </c>
      <c r="B426" s="57">
        <v>3</v>
      </c>
      <c r="C426" s="30">
        <v>3</v>
      </c>
      <c r="D426" s="34">
        <v>1</v>
      </c>
      <c r="E426" s="30">
        <v>2</v>
      </c>
      <c r="F426" s="30">
        <v>7</v>
      </c>
      <c r="J426" s="35"/>
      <c r="K426" s="30">
        <v>1</v>
      </c>
      <c r="L426" s="30">
        <v>2</v>
      </c>
      <c r="M426" s="30">
        <v>3</v>
      </c>
      <c r="Q426" s="35"/>
      <c r="R426" s="30">
        <f t="shared" si="43"/>
        <v>996503552</v>
      </c>
      <c r="S426" s="30">
        <f t="shared" si="44"/>
        <v>339968</v>
      </c>
    </row>
    <row r="427" spans="1:19">
      <c r="A427" s="57">
        <v>7</v>
      </c>
      <c r="B427" s="57">
        <v>3</v>
      </c>
      <c r="C427" s="30">
        <v>3</v>
      </c>
      <c r="D427" s="34">
        <v>1</v>
      </c>
      <c r="E427" s="30">
        <v>3</v>
      </c>
      <c r="F427" s="30">
        <v>4</v>
      </c>
      <c r="J427" s="35"/>
      <c r="K427" s="30">
        <v>1</v>
      </c>
      <c r="L427" s="30">
        <v>2</v>
      </c>
      <c r="M427" s="30">
        <v>3</v>
      </c>
      <c r="Q427" s="35"/>
      <c r="R427" s="30">
        <f t="shared" si="43"/>
        <v>996524032</v>
      </c>
      <c r="S427" s="30">
        <f t="shared" si="44"/>
        <v>339968</v>
      </c>
    </row>
    <row r="428" spans="1:19">
      <c r="A428" s="57">
        <v>7</v>
      </c>
      <c r="B428" s="57">
        <v>3</v>
      </c>
      <c r="C428" s="30">
        <v>3</v>
      </c>
      <c r="D428" s="34">
        <v>1</v>
      </c>
      <c r="E428" s="30">
        <v>3</v>
      </c>
      <c r="F428" s="30">
        <v>5</v>
      </c>
      <c r="J428" s="35"/>
      <c r="K428" s="30">
        <v>1</v>
      </c>
      <c r="L428" s="30">
        <v>2</v>
      </c>
      <c r="M428" s="30">
        <v>3</v>
      </c>
      <c r="Q428" s="35"/>
      <c r="R428" s="30">
        <f t="shared" si="43"/>
        <v>996528128</v>
      </c>
      <c r="S428" s="30">
        <f t="shared" si="44"/>
        <v>339968</v>
      </c>
    </row>
    <row r="429" spans="1:19">
      <c r="A429" s="57">
        <v>7</v>
      </c>
      <c r="B429" s="57">
        <v>3</v>
      </c>
      <c r="C429" s="30">
        <v>3</v>
      </c>
      <c r="D429" s="34">
        <v>1</v>
      </c>
      <c r="E429" s="30">
        <v>3</v>
      </c>
      <c r="F429" s="30">
        <v>6</v>
      </c>
      <c r="J429" s="35"/>
      <c r="K429" s="30">
        <v>1</v>
      </c>
      <c r="L429" s="30">
        <v>2</v>
      </c>
      <c r="M429" s="30">
        <v>3</v>
      </c>
      <c r="Q429" s="35"/>
      <c r="R429" s="30">
        <f t="shared" si="43"/>
        <v>996532224</v>
      </c>
      <c r="S429" s="30">
        <f t="shared" si="44"/>
        <v>339968</v>
      </c>
    </row>
    <row r="430" spans="1:19">
      <c r="A430" s="57">
        <v>7</v>
      </c>
      <c r="B430" s="57">
        <v>3</v>
      </c>
      <c r="C430" s="30">
        <v>3</v>
      </c>
      <c r="D430" s="34">
        <v>1</v>
      </c>
      <c r="E430" s="30">
        <v>3</v>
      </c>
      <c r="F430" s="30">
        <v>7</v>
      </c>
      <c r="J430" s="35"/>
      <c r="K430" s="30">
        <v>1</v>
      </c>
      <c r="L430" s="30">
        <v>2</v>
      </c>
      <c r="M430" s="30">
        <v>3</v>
      </c>
      <c r="Q430" s="35"/>
      <c r="R430" s="30">
        <f t="shared" si="43"/>
        <v>996536320</v>
      </c>
      <c r="S430" s="30">
        <f t="shared" si="44"/>
        <v>339968</v>
      </c>
    </row>
    <row r="431" spans="1:19">
      <c r="A431" s="57">
        <v>7</v>
      </c>
      <c r="B431" s="57">
        <v>3</v>
      </c>
      <c r="C431" s="30">
        <v>3</v>
      </c>
      <c r="D431" s="34">
        <v>1</v>
      </c>
      <c r="E431" s="30">
        <v>4</v>
      </c>
      <c r="F431" s="30">
        <v>5</v>
      </c>
      <c r="J431" s="35"/>
      <c r="K431" s="30">
        <v>1</v>
      </c>
      <c r="L431" s="30">
        <v>2</v>
      </c>
      <c r="M431" s="30">
        <v>3</v>
      </c>
      <c r="Q431" s="35"/>
      <c r="R431" s="30">
        <f t="shared" si="43"/>
        <v>996560896</v>
      </c>
      <c r="S431" s="30">
        <f t="shared" si="44"/>
        <v>339968</v>
      </c>
    </row>
    <row r="432" spans="1:19">
      <c r="A432" s="57">
        <v>7</v>
      </c>
      <c r="B432" s="57">
        <v>3</v>
      </c>
      <c r="C432" s="30">
        <v>3</v>
      </c>
      <c r="D432" s="34">
        <v>1</v>
      </c>
      <c r="E432" s="30">
        <v>4</v>
      </c>
      <c r="F432" s="30">
        <v>6</v>
      </c>
      <c r="J432" s="35"/>
      <c r="K432" s="30">
        <v>1</v>
      </c>
      <c r="L432" s="30">
        <v>2</v>
      </c>
      <c r="M432" s="30">
        <v>3</v>
      </c>
      <c r="Q432" s="35"/>
      <c r="R432" s="30">
        <f t="shared" si="43"/>
        <v>996564992</v>
      </c>
      <c r="S432" s="30">
        <f t="shared" si="44"/>
        <v>339968</v>
      </c>
    </row>
    <row r="433" spans="1:19">
      <c r="A433" s="57">
        <v>7</v>
      </c>
      <c r="B433" s="57">
        <v>3</v>
      </c>
      <c r="C433" s="30">
        <v>3</v>
      </c>
      <c r="D433" s="34">
        <v>1</v>
      </c>
      <c r="E433" s="30">
        <v>4</v>
      </c>
      <c r="F433" s="30">
        <v>7</v>
      </c>
      <c r="J433" s="35"/>
      <c r="K433" s="30">
        <v>1</v>
      </c>
      <c r="L433" s="30">
        <v>2</v>
      </c>
      <c r="M433" s="30">
        <v>3</v>
      </c>
      <c r="Q433" s="35"/>
      <c r="R433" s="30">
        <f t="shared" si="43"/>
        <v>996569088</v>
      </c>
      <c r="S433" s="30">
        <f t="shared" si="44"/>
        <v>339968</v>
      </c>
    </row>
    <row r="434" spans="1:19">
      <c r="A434" s="57">
        <v>7</v>
      </c>
      <c r="B434" s="57">
        <v>3</v>
      </c>
      <c r="C434" s="30">
        <v>3</v>
      </c>
      <c r="D434" s="34">
        <v>1</v>
      </c>
      <c r="E434" s="30">
        <v>5</v>
      </c>
      <c r="F434" s="30">
        <v>6</v>
      </c>
      <c r="J434" s="35"/>
      <c r="K434" s="30">
        <v>1</v>
      </c>
      <c r="L434" s="30">
        <v>2</v>
      </c>
      <c r="M434" s="30">
        <v>3</v>
      </c>
      <c r="Q434" s="35"/>
      <c r="R434" s="30">
        <f t="shared" si="43"/>
        <v>996597760</v>
      </c>
      <c r="S434" s="30">
        <f t="shared" si="44"/>
        <v>339968</v>
      </c>
    </row>
    <row r="435" spans="1:19">
      <c r="A435" s="57">
        <v>7</v>
      </c>
      <c r="B435" s="57">
        <v>3</v>
      </c>
      <c r="C435" s="30">
        <v>3</v>
      </c>
      <c r="D435" s="34">
        <v>1</v>
      </c>
      <c r="E435" s="30">
        <v>5</v>
      </c>
      <c r="F435" s="30">
        <v>7</v>
      </c>
      <c r="J435" s="35"/>
      <c r="K435" s="30">
        <v>1</v>
      </c>
      <c r="L435" s="30">
        <v>2</v>
      </c>
      <c r="M435" s="30">
        <v>3</v>
      </c>
      <c r="Q435" s="35"/>
      <c r="R435" s="30">
        <f t="shared" si="43"/>
        <v>996601856</v>
      </c>
      <c r="S435" s="30">
        <f t="shared" si="44"/>
        <v>339968</v>
      </c>
    </row>
    <row r="436" spans="1:19">
      <c r="A436" s="57">
        <v>7</v>
      </c>
      <c r="B436" s="57">
        <v>3</v>
      </c>
      <c r="C436" s="30">
        <v>3</v>
      </c>
      <c r="D436" s="34">
        <v>1</v>
      </c>
      <c r="E436" s="30">
        <v>6</v>
      </c>
      <c r="F436" s="30">
        <v>7</v>
      </c>
      <c r="J436" s="35"/>
      <c r="K436" s="30">
        <v>1</v>
      </c>
      <c r="L436" s="30">
        <v>2</v>
      </c>
      <c r="M436" s="30">
        <v>3</v>
      </c>
      <c r="Q436" s="35"/>
      <c r="R436" s="30">
        <f t="shared" si="43"/>
        <v>996634624</v>
      </c>
      <c r="S436" s="30">
        <f t="shared" si="44"/>
        <v>339968</v>
      </c>
    </row>
    <row r="437" spans="1:19">
      <c r="A437" s="57">
        <v>7</v>
      </c>
      <c r="B437" s="57">
        <v>3</v>
      </c>
      <c r="C437" s="30">
        <v>3</v>
      </c>
      <c r="D437" s="34">
        <v>2</v>
      </c>
      <c r="E437" s="30">
        <v>3</v>
      </c>
      <c r="F437" s="30">
        <v>4</v>
      </c>
      <c r="J437" s="35"/>
      <c r="K437" s="30">
        <v>1</v>
      </c>
      <c r="L437" s="30">
        <v>2</v>
      </c>
      <c r="M437" s="30">
        <v>3</v>
      </c>
      <c r="Q437" s="35"/>
      <c r="R437" s="30">
        <f t="shared" si="43"/>
        <v>996786176</v>
      </c>
      <c r="S437" s="30">
        <f t="shared" si="44"/>
        <v>339968</v>
      </c>
    </row>
    <row r="438" spans="1:19">
      <c r="A438" s="57">
        <v>7</v>
      </c>
      <c r="B438" s="57">
        <v>3</v>
      </c>
      <c r="C438" s="30">
        <v>3</v>
      </c>
      <c r="D438" s="34">
        <v>2</v>
      </c>
      <c r="E438" s="30">
        <v>3</v>
      </c>
      <c r="F438" s="30">
        <v>5</v>
      </c>
      <c r="J438" s="35"/>
      <c r="K438" s="30">
        <v>1</v>
      </c>
      <c r="L438" s="30">
        <v>2</v>
      </c>
      <c r="M438" s="30">
        <v>3</v>
      </c>
      <c r="Q438" s="35"/>
      <c r="R438" s="30">
        <f t="shared" si="43"/>
        <v>996790272</v>
      </c>
      <c r="S438" s="30">
        <f t="shared" si="44"/>
        <v>339968</v>
      </c>
    </row>
    <row r="439" spans="1:19">
      <c r="A439" s="57">
        <v>7</v>
      </c>
      <c r="B439" s="57">
        <v>3</v>
      </c>
      <c r="C439" s="30">
        <v>3</v>
      </c>
      <c r="D439" s="34">
        <v>2</v>
      </c>
      <c r="E439" s="30">
        <v>3</v>
      </c>
      <c r="F439" s="30">
        <v>6</v>
      </c>
      <c r="J439" s="35"/>
      <c r="K439" s="30">
        <v>1</v>
      </c>
      <c r="L439" s="30">
        <v>2</v>
      </c>
      <c r="M439" s="30">
        <v>3</v>
      </c>
      <c r="Q439" s="35"/>
      <c r="R439" s="30">
        <f t="shared" si="43"/>
        <v>996794368</v>
      </c>
      <c r="S439" s="30">
        <f t="shared" si="44"/>
        <v>339968</v>
      </c>
    </row>
    <row r="440" spans="1:19">
      <c r="A440" s="57">
        <v>7</v>
      </c>
      <c r="B440" s="57">
        <v>3</v>
      </c>
      <c r="C440" s="30">
        <v>3</v>
      </c>
      <c r="D440" s="34">
        <v>2</v>
      </c>
      <c r="E440" s="30">
        <v>3</v>
      </c>
      <c r="F440" s="30">
        <v>7</v>
      </c>
      <c r="J440" s="35"/>
      <c r="K440" s="30">
        <v>1</v>
      </c>
      <c r="L440" s="30">
        <v>2</v>
      </c>
      <c r="M440" s="30">
        <v>3</v>
      </c>
      <c r="Q440" s="35"/>
      <c r="R440" s="30">
        <f t="shared" si="43"/>
        <v>996798464</v>
      </c>
      <c r="S440" s="30">
        <f t="shared" si="44"/>
        <v>339968</v>
      </c>
    </row>
    <row r="441" spans="1:19">
      <c r="A441" s="57">
        <v>7</v>
      </c>
      <c r="B441" s="57">
        <v>3</v>
      </c>
      <c r="C441" s="30">
        <v>3</v>
      </c>
      <c r="D441" s="34">
        <v>2</v>
      </c>
      <c r="E441" s="30">
        <v>4</v>
      </c>
      <c r="F441" s="30">
        <v>5</v>
      </c>
      <c r="J441" s="35"/>
      <c r="K441" s="30">
        <v>1</v>
      </c>
      <c r="L441" s="30">
        <v>2</v>
      </c>
      <c r="M441" s="30">
        <v>3</v>
      </c>
      <c r="Q441" s="35"/>
      <c r="R441" s="30">
        <f t="shared" si="43"/>
        <v>996823040</v>
      </c>
      <c r="S441" s="30">
        <f t="shared" si="44"/>
        <v>339968</v>
      </c>
    </row>
    <row r="442" spans="1:19">
      <c r="A442" s="57">
        <v>7</v>
      </c>
      <c r="B442" s="57">
        <v>3</v>
      </c>
      <c r="C442" s="30">
        <v>3</v>
      </c>
      <c r="D442" s="34">
        <v>2</v>
      </c>
      <c r="E442" s="30">
        <v>4</v>
      </c>
      <c r="F442" s="30">
        <v>6</v>
      </c>
      <c r="J442" s="35"/>
      <c r="K442" s="30">
        <v>1</v>
      </c>
      <c r="L442" s="30">
        <v>2</v>
      </c>
      <c r="M442" s="30">
        <v>3</v>
      </c>
      <c r="Q442" s="35"/>
      <c r="R442" s="30">
        <f t="shared" si="43"/>
        <v>996827136</v>
      </c>
      <c r="S442" s="30">
        <f t="shared" si="44"/>
        <v>339968</v>
      </c>
    </row>
    <row r="443" spans="1:19">
      <c r="A443" s="57">
        <v>7</v>
      </c>
      <c r="B443" s="57">
        <v>3</v>
      </c>
      <c r="C443" s="30">
        <v>3</v>
      </c>
      <c r="D443" s="34">
        <v>2</v>
      </c>
      <c r="E443" s="30">
        <v>4</v>
      </c>
      <c r="F443" s="30">
        <v>7</v>
      </c>
      <c r="J443" s="35"/>
      <c r="K443" s="30">
        <v>1</v>
      </c>
      <c r="L443" s="30">
        <v>2</v>
      </c>
      <c r="M443" s="30">
        <v>3</v>
      </c>
      <c r="Q443" s="35"/>
      <c r="R443" s="30">
        <f t="shared" si="43"/>
        <v>996831232</v>
      </c>
      <c r="S443" s="30">
        <f t="shared" si="44"/>
        <v>339968</v>
      </c>
    </row>
    <row r="444" spans="1:19">
      <c r="A444" s="57">
        <v>7</v>
      </c>
      <c r="B444" s="57">
        <v>3</v>
      </c>
      <c r="C444" s="30">
        <v>3</v>
      </c>
      <c r="D444" s="34">
        <v>2</v>
      </c>
      <c r="E444" s="30">
        <v>5</v>
      </c>
      <c r="F444" s="30">
        <v>6</v>
      </c>
      <c r="J444" s="35"/>
      <c r="K444" s="30">
        <v>1</v>
      </c>
      <c r="L444" s="30">
        <v>2</v>
      </c>
      <c r="M444" s="30">
        <v>3</v>
      </c>
      <c r="Q444" s="35"/>
      <c r="R444" s="30">
        <f t="shared" si="43"/>
        <v>996859904</v>
      </c>
      <c r="S444" s="30">
        <f t="shared" si="44"/>
        <v>339968</v>
      </c>
    </row>
    <row r="445" spans="1:19">
      <c r="A445" s="57">
        <v>7</v>
      </c>
      <c r="B445" s="57">
        <v>3</v>
      </c>
      <c r="C445" s="30">
        <v>3</v>
      </c>
      <c r="D445" s="34">
        <v>2</v>
      </c>
      <c r="E445" s="30">
        <v>5</v>
      </c>
      <c r="F445" s="30">
        <v>7</v>
      </c>
      <c r="J445" s="35"/>
      <c r="K445" s="30">
        <v>1</v>
      </c>
      <c r="L445" s="30">
        <v>2</v>
      </c>
      <c r="M445" s="30">
        <v>3</v>
      </c>
      <c r="Q445" s="35"/>
      <c r="R445" s="30">
        <f t="shared" si="43"/>
        <v>996864000</v>
      </c>
      <c r="S445" s="30">
        <f t="shared" si="44"/>
        <v>339968</v>
      </c>
    </row>
    <row r="446" spans="1:19">
      <c r="A446" s="57">
        <v>7</v>
      </c>
      <c r="B446" s="57">
        <v>3</v>
      </c>
      <c r="C446" s="30">
        <v>3</v>
      </c>
      <c r="D446" s="34">
        <v>2</v>
      </c>
      <c r="E446" s="30">
        <v>6</v>
      </c>
      <c r="F446" s="30">
        <v>7</v>
      </c>
      <c r="J446" s="35"/>
      <c r="K446" s="30">
        <v>1</v>
      </c>
      <c r="L446" s="30">
        <v>2</v>
      </c>
      <c r="M446" s="30">
        <v>3</v>
      </c>
      <c r="Q446" s="35"/>
      <c r="R446" s="30">
        <f t="shared" si="43"/>
        <v>996896768</v>
      </c>
      <c r="S446" s="30">
        <f t="shared" si="44"/>
        <v>339968</v>
      </c>
    </row>
    <row r="447" spans="1:19">
      <c r="A447" s="57">
        <v>7</v>
      </c>
      <c r="B447" s="57">
        <v>3</v>
      </c>
      <c r="C447" s="30">
        <v>3</v>
      </c>
      <c r="D447" s="34">
        <v>3</v>
      </c>
      <c r="E447" s="30">
        <v>4</v>
      </c>
      <c r="F447" s="30">
        <v>5</v>
      </c>
      <c r="J447" s="35"/>
      <c r="K447" s="30">
        <v>1</v>
      </c>
      <c r="L447" s="30">
        <v>2</v>
      </c>
      <c r="M447" s="30">
        <v>3</v>
      </c>
      <c r="Q447" s="35"/>
      <c r="R447" s="30">
        <f t="shared" si="43"/>
        <v>997085184</v>
      </c>
      <c r="S447" s="30">
        <f t="shared" si="44"/>
        <v>339968</v>
      </c>
    </row>
    <row r="448" spans="1:19">
      <c r="A448" s="57">
        <v>7</v>
      </c>
      <c r="B448" s="57">
        <v>3</v>
      </c>
      <c r="C448" s="30">
        <v>3</v>
      </c>
      <c r="D448" s="34">
        <v>3</v>
      </c>
      <c r="E448" s="30">
        <v>4</v>
      </c>
      <c r="F448" s="30">
        <v>6</v>
      </c>
      <c r="J448" s="35"/>
      <c r="K448" s="30">
        <v>1</v>
      </c>
      <c r="L448" s="30">
        <v>2</v>
      </c>
      <c r="M448" s="30">
        <v>3</v>
      </c>
      <c r="Q448" s="35"/>
      <c r="R448" s="30">
        <f t="shared" si="43"/>
        <v>997089280</v>
      </c>
      <c r="S448" s="30">
        <f t="shared" si="44"/>
        <v>339968</v>
      </c>
    </row>
    <row r="449" spans="1:19">
      <c r="A449" s="57">
        <v>7</v>
      </c>
      <c r="B449" s="57">
        <v>3</v>
      </c>
      <c r="C449" s="30">
        <v>3</v>
      </c>
      <c r="D449" s="34">
        <v>3</v>
      </c>
      <c r="E449" s="30">
        <v>4</v>
      </c>
      <c r="F449" s="30">
        <v>7</v>
      </c>
      <c r="J449" s="35"/>
      <c r="K449" s="30">
        <v>1</v>
      </c>
      <c r="L449" s="30">
        <v>2</v>
      </c>
      <c r="M449" s="30">
        <v>3</v>
      </c>
      <c r="Q449" s="35"/>
      <c r="R449" s="30">
        <f t="shared" si="43"/>
        <v>997093376</v>
      </c>
      <c r="S449" s="30">
        <f t="shared" si="44"/>
        <v>339968</v>
      </c>
    </row>
    <row r="450" spans="1:19">
      <c r="A450" s="57">
        <v>7</v>
      </c>
      <c r="B450" s="57">
        <v>3</v>
      </c>
      <c r="C450" s="30">
        <v>3</v>
      </c>
      <c r="D450" s="34">
        <v>3</v>
      </c>
      <c r="E450" s="30">
        <v>5</v>
      </c>
      <c r="F450" s="30">
        <v>6</v>
      </c>
      <c r="J450" s="35"/>
      <c r="K450" s="30">
        <v>1</v>
      </c>
      <c r="L450" s="30">
        <v>2</v>
      </c>
      <c r="M450" s="30">
        <v>3</v>
      </c>
      <c r="Q450" s="35"/>
      <c r="R450" s="30">
        <f t="shared" si="43"/>
        <v>997122048</v>
      </c>
      <c r="S450" s="30">
        <f t="shared" si="44"/>
        <v>339968</v>
      </c>
    </row>
    <row r="451" spans="1:19">
      <c r="A451" s="57">
        <v>7</v>
      </c>
      <c r="B451" s="57">
        <v>3</v>
      </c>
      <c r="C451" s="30">
        <v>3</v>
      </c>
      <c r="D451" s="34">
        <v>3</v>
      </c>
      <c r="E451" s="30">
        <v>5</v>
      </c>
      <c r="F451" s="30">
        <v>7</v>
      </c>
      <c r="J451" s="35"/>
      <c r="K451" s="30">
        <v>1</v>
      </c>
      <c r="L451" s="30">
        <v>2</v>
      </c>
      <c r="M451" s="30">
        <v>3</v>
      </c>
      <c r="Q451" s="35"/>
      <c r="R451" s="30">
        <f t="shared" ref="R451:R514" si="45">J451*8^0+I451*8^1+H451*8^2+G451*8^3+F451*8^4+E451*8^5+D451*8^6+C451*8^7+B451*8^8+A451*8^9</f>
        <v>997126144</v>
      </c>
      <c r="S451" s="30">
        <f t="shared" si="44"/>
        <v>339968</v>
      </c>
    </row>
    <row r="452" spans="1:19">
      <c r="A452" s="57">
        <v>7</v>
      </c>
      <c r="B452" s="57">
        <v>3</v>
      </c>
      <c r="C452" s="30">
        <v>3</v>
      </c>
      <c r="D452" s="34">
        <v>3</v>
      </c>
      <c r="E452" s="30">
        <v>6</v>
      </c>
      <c r="F452" s="30">
        <v>7</v>
      </c>
      <c r="J452" s="35"/>
      <c r="K452" s="30">
        <v>1</v>
      </c>
      <c r="L452" s="30">
        <v>2</v>
      </c>
      <c r="M452" s="30">
        <v>3</v>
      </c>
      <c r="Q452" s="35"/>
      <c r="R452" s="30">
        <f t="shared" si="45"/>
        <v>997158912</v>
      </c>
      <c r="S452" s="30">
        <f t="shared" si="44"/>
        <v>339968</v>
      </c>
    </row>
    <row r="453" spans="1:19">
      <c r="A453" s="57">
        <v>7</v>
      </c>
      <c r="B453" s="57">
        <v>3</v>
      </c>
      <c r="C453" s="30">
        <v>3</v>
      </c>
      <c r="D453" s="34">
        <v>4</v>
      </c>
      <c r="E453" s="30">
        <v>5</v>
      </c>
      <c r="F453" s="30">
        <v>6</v>
      </c>
      <c r="J453" s="35"/>
      <c r="K453" s="30">
        <v>1</v>
      </c>
      <c r="L453" s="30">
        <v>2</v>
      </c>
      <c r="M453" s="30">
        <v>3</v>
      </c>
      <c r="Q453" s="35"/>
      <c r="R453" s="30">
        <f t="shared" si="45"/>
        <v>997384192</v>
      </c>
      <c r="S453" s="30">
        <f t="shared" ref="S453:S516" si="46">Q453*8^0+P453*8^1+O453*8^2+N453*8^3+M453*8^4+L453*8^5+K453*8^6</f>
        <v>339968</v>
      </c>
    </row>
    <row r="454" spans="1:19">
      <c r="A454" s="57">
        <v>7</v>
      </c>
      <c r="B454" s="57">
        <v>3</v>
      </c>
      <c r="C454" s="30">
        <v>3</v>
      </c>
      <c r="D454" s="34">
        <v>4</v>
      </c>
      <c r="E454" s="30">
        <v>5</v>
      </c>
      <c r="F454" s="30">
        <v>7</v>
      </c>
      <c r="J454" s="35"/>
      <c r="K454" s="30">
        <v>1</v>
      </c>
      <c r="L454" s="30">
        <v>2</v>
      </c>
      <c r="M454" s="30">
        <v>3</v>
      </c>
      <c r="Q454" s="35"/>
      <c r="R454" s="30">
        <f t="shared" si="45"/>
        <v>997388288</v>
      </c>
      <c r="S454" s="30">
        <f t="shared" si="46"/>
        <v>339968</v>
      </c>
    </row>
    <row r="455" spans="1:19">
      <c r="A455" s="57">
        <v>7</v>
      </c>
      <c r="B455" s="57">
        <v>3</v>
      </c>
      <c r="C455" s="30">
        <v>3</v>
      </c>
      <c r="D455" s="34">
        <v>4</v>
      </c>
      <c r="E455" s="30">
        <v>6</v>
      </c>
      <c r="F455" s="30">
        <v>7</v>
      </c>
      <c r="J455" s="35"/>
      <c r="K455" s="30">
        <v>1</v>
      </c>
      <c r="L455" s="30">
        <v>2</v>
      </c>
      <c r="M455" s="30">
        <v>3</v>
      </c>
      <c r="Q455" s="35"/>
      <c r="R455" s="30">
        <f t="shared" si="45"/>
        <v>997421056</v>
      </c>
      <c r="S455" s="30">
        <f t="shared" si="46"/>
        <v>339968</v>
      </c>
    </row>
    <row r="456" spans="1:19">
      <c r="A456" s="58">
        <v>7</v>
      </c>
      <c r="B456" s="58">
        <v>3</v>
      </c>
      <c r="C456" s="37">
        <v>3</v>
      </c>
      <c r="D456" s="36">
        <v>5</v>
      </c>
      <c r="E456" s="37">
        <v>6</v>
      </c>
      <c r="F456" s="37">
        <v>7</v>
      </c>
      <c r="G456" s="37"/>
      <c r="H456" s="37"/>
      <c r="I456" s="37"/>
      <c r="J456" s="38"/>
      <c r="K456" s="37">
        <v>1</v>
      </c>
      <c r="L456" s="37">
        <v>2</v>
      </c>
      <c r="M456" s="37">
        <v>3</v>
      </c>
      <c r="N456" s="37"/>
      <c r="O456" s="37"/>
      <c r="P456" s="37"/>
      <c r="Q456" s="38"/>
      <c r="R456" s="30">
        <f t="shared" si="45"/>
        <v>997683200</v>
      </c>
      <c r="S456" s="30">
        <f t="shared" si="46"/>
        <v>339968</v>
      </c>
    </row>
    <row r="457" spans="1:19">
      <c r="A457" s="59">
        <v>7</v>
      </c>
      <c r="B457" s="59">
        <v>3</v>
      </c>
      <c r="C457" s="32">
        <v>4</v>
      </c>
      <c r="D457" s="31">
        <v>1</v>
      </c>
      <c r="E457" s="32">
        <v>2</v>
      </c>
      <c r="F457" s="32">
        <v>3</v>
      </c>
      <c r="G457" s="32"/>
      <c r="H457" s="32"/>
      <c r="I457" s="32"/>
      <c r="J457" s="33"/>
      <c r="K457" s="32">
        <v>1</v>
      </c>
      <c r="L457" s="32">
        <v>2</v>
      </c>
      <c r="M457" s="32">
        <v>3</v>
      </c>
      <c r="N457" s="32"/>
      <c r="O457" s="32"/>
      <c r="P457" s="32"/>
      <c r="Q457" s="33"/>
      <c r="R457" s="30">
        <f t="shared" si="45"/>
        <v>998584320</v>
      </c>
      <c r="S457" s="30">
        <f t="shared" si="46"/>
        <v>339968</v>
      </c>
    </row>
    <row r="458" spans="1:19">
      <c r="A458" s="57">
        <v>7</v>
      </c>
      <c r="B458" s="57">
        <v>3</v>
      </c>
      <c r="C458" s="30">
        <v>4</v>
      </c>
      <c r="D458" s="34">
        <v>1</v>
      </c>
      <c r="E458" s="30">
        <v>2</v>
      </c>
      <c r="F458" s="30">
        <v>4</v>
      </c>
      <c r="J458" s="35"/>
      <c r="K458" s="30">
        <v>1</v>
      </c>
      <c r="L458" s="30">
        <v>2</v>
      </c>
      <c r="M458" s="30">
        <v>4</v>
      </c>
      <c r="Q458" s="35"/>
      <c r="R458" s="30">
        <f t="shared" si="45"/>
        <v>998588416</v>
      </c>
      <c r="S458" s="30">
        <f t="shared" si="46"/>
        <v>344064</v>
      </c>
    </row>
    <row r="459" spans="1:19">
      <c r="A459" s="57">
        <v>7</v>
      </c>
      <c r="B459" s="57">
        <v>3</v>
      </c>
      <c r="C459" s="30">
        <v>4</v>
      </c>
      <c r="D459" s="34">
        <v>1</v>
      </c>
      <c r="E459" s="30">
        <v>2</v>
      </c>
      <c r="F459" s="30">
        <v>5</v>
      </c>
      <c r="J459" s="35"/>
      <c r="K459" s="30">
        <v>1</v>
      </c>
      <c r="L459" s="30">
        <v>2</v>
      </c>
      <c r="M459" s="30">
        <v>4</v>
      </c>
      <c r="Q459" s="35"/>
      <c r="R459" s="30">
        <f t="shared" si="45"/>
        <v>998592512</v>
      </c>
      <c r="S459" s="30">
        <f t="shared" si="46"/>
        <v>344064</v>
      </c>
    </row>
    <row r="460" spans="1:19">
      <c r="A460" s="57">
        <v>7</v>
      </c>
      <c r="B460" s="57">
        <v>3</v>
      </c>
      <c r="C460" s="30">
        <v>4</v>
      </c>
      <c r="D460" s="34">
        <v>1</v>
      </c>
      <c r="E460" s="30">
        <v>2</v>
      </c>
      <c r="F460" s="30">
        <v>6</v>
      </c>
      <c r="J460" s="35"/>
      <c r="K460" s="30">
        <v>1</v>
      </c>
      <c r="L460" s="30">
        <v>2</v>
      </c>
      <c r="M460" s="30">
        <v>4</v>
      </c>
      <c r="Q460" s="35"/>
      <c r="R460" s="30">
        <f t="shared" si="45"/>
        <v>998596608</v>
      </c>
      <c r="S460" s="30">
        <f t="shared" si="46"/>
        <v>344064</v>
      </c>
    </row>
    <row r="461" spans="1:19">
      <c r="A461" s="57">
        <v>7</v>
      </c>
      <c r="B461" s="57">
        <v>3</v>
      </c>
      <c r="C461" s="30">
        <v>4</v>
      </c>
      <c r="D461" s="34">
        <v>1</v>
      </c>
      <c r="E461" s="30">
        <v>2</v>
      </c>
      <c r="F461" s="30">
        <v>7</v>
      </c>
      <c r="J461" s="35"/>
      <c r="K461" s="30">
        <v>1</v>
      </c>
      <c r="L461" s="30">
        <v>2</v>
      </c>
      <c r="M461" s="30">
        <v>4</v>
      </c>
      <c r="Q461" s="35"/>
      <c r="R461" s="30">
        <f t="shared" si="45"/>
        <v>998600704</v>
      </c>
      <c r="S461" s="30">
        <f t="shared" si="46"/>
        <v>344064</v>
      </c>
    </row>
    <row r="462" spans="1:19">
      <c r="A462" s="57">
        <v>7</v>
      </c>
      <c r="B462" s="57">
        <v>3</v>
      </c>
      <c r="C462" s="30">
        <v>4</v>
      </c>
      <c r="D462" s="34">
        <v>1</v>
      </c>
      <c r="E462" s="30">
        <v>3</v>
      </c>
      <c r="F462" s="30">
        <v>4</v>
      </c>
      <c r="J462" s="35"/>
      <c r="K462" s="30">
        <v>1</v>
      </c>
      <c r="L462" s="30">
        <v>3</v>
      </c>
      <c r="M462" s="30">
        <v>4</v>
      </c>
      <c r="Q462" s="35"/>
      <c r="R462" s="30">
        <f t="shared" si="45"/>
        <v>998621184</v>
      </c>
      <c r="S462" s="30">
        <f t="shared" si="46"/>
        <v>376832</v>
      </c>
    </row>
    <row r="463" spans="1:19">
      <c r="A463" s="57">
        <v>7</v>
      </c>
      <c r="B463" s="57">
        <v>3</v>
      </c>
      <c r="C463" s="30">
        <v>4</v>
      </c>
      <c r="D463" s="34">
        <v>1</v>
      </c>
      <c r="E463" s="30">
        <v>3</v>
      </c>
      <c r="F463" s="30">
        <v>5</v>
      </c>
      <c r="J463" s="35"/>
      <c r="K463" s="30">
        <v>1</v>
      </c>
      <c r="L463" s="30">
        <v>3</v>
      </c>
      <c r="M463" s="30">
        <v>4</v>
      </c>
      <c r="Q463" s="35"/>
      <c r="R463" s="30">
        <f t="shared" si="45"/>
        <v>998625280</v>
      </c>
      <c r="S463" s="30">
        <f t="shared" si="46"/>
        <v>376832</v>
      </c>
    </row>
    <row r="464" spans="1:19">
      <c r="A464" s="57">
        <v>7</v>
      </c>
      <c r="B464" s="57">
        <v>3</v>
      </c>
      <c r="C464" s="30">
        <v>4</v>
      </c>
      <c r="D464" s="34">
        <v>1</v>
      </c>
      <c r="E464" s="30">
        <v>3</v>
      </c>
      <c r="F464" s="30">
        <v>6</v>
      </c>
      <c r="J464" s="35"/>
      <c r="K464" s="30">
        <v>1</v>
      </c>
      <c r="L464" s="30">
        <v>3</v>
      </c>
      <c r="M464" s="30">
        <v>4</v>
      </c>
      <c r="Q464" s="35"/>
      <c r="R464" s="30">
        <f t="shared" si="45"/>
        <v>998629376</v>
      </c>
      <c r="S464" s="30">
        <f t="shared" si="46"/>
        <v>376832</v>
      </c>
    </row>
    <row r="465" spans="1:19">
      <c r="A465" s="57">
        <v>7</v>
      </c>
      <c r="B465" s="57">
        <v>3</v>
      </c>
      <c r="C465" s="30">
        <v>4</v>
      </c>
      <c r="D465" s="34">
        <v>1</v>
      </c>
      <c r="E465" s="30">
        <v>3</v>
      </c>
      <c r="F465" s="30">
        <v>7</v>
      </c>
      <c r="J465" s="35"/>
      <c r="K465" s="30">
        <v>1</v>
      </c>
      <c r="L465" s="30">
        <v>3</v>
      </c>
      <c r="M465" s="30">
        <v>4</v>
      </c>
      <c r="Q465" s="35"/>
      <c r="R465" s="30">
        <f t="shared" si="45"/>
        <v>998633472</v>
      </c>
      <c r="S465" s="30">
        <f t="shared" si="46"/>
        <v>376832</v>
      </c>
    </row>
    <row r="466" spans="1:19">
      <c r="A466" s="57">
        <v>7</v>
      </c>
      <c r="B466" s="57">
        <v>3</v>
      </c>
      <c r="C466" s="30">
        <v>4</v>
      </c>
      <c r="D466" s="34">
        <v>1</v>
      </c>
      <c r="E466" s="30">
        <v>4</v>
      </c>
      <c r="F466" s="30">
        <v>5</v>
      </c>
      <c r="J466" s="35"/>
      <c r="K466" s="30">
        <v>1</v>
      </c>
      <c r="L466" s="30">
        <v>3</v>
      </c>
      <c r="M466" s="30">
        <v>4</v>
      </c>
      <c r="Q466" s="35"/>
      <c r="R466" s="30">
        <f t="shared" si="45"/>
        <v>998658048</v>
      </c>
      <c r="S466" s="30">
        <f t="shared" si="46"/>
        <v>376832</v>
      </c>
    </row>
    <row r="467" spans="1:19">
      <c r="A467" s="57">
        <v>7</v>
      </c>
      <c r="B467" s="57">
        <v>3</v>
      </c>
      <c r="C467" s="30">
        <v>4</v>
      </c>
      <c r="D467" s="34">
        <v>1</v>
      </c>
      <c r="E467" s="30">
        <v>4</v>
      </c>
      <c r="F467" s="30">
        <v>6</v>
      </c>
      <c r="J467" s="35"/>
      <c r="K467" s="30">
        <v>1</v>
      </c>
      <c r="L467" s="30">
        <v>3</v>
      </c>
      <c r="M467" s="30">
        <v>4</v>
      </c>
      <c r="Q467" s="35"/>
      <c r="R467" s="30">
        <f t="shared" si="45"/>
        <v>998662144</v>
      </c>
      <c r="S467" s="30">
        <f t="shared" si="46"/>
        <v>376832</v>
      </c>
    </row>
    <row r="468" spans="1:19">
      <c r="A468" s="57">
        <v>7</v>
      </c>
      <c r="B468" s="57">
        <v>3</v>
      </c>
      <c r="C468" s="30">
        <v>4</v>
      </c>
      <c r="D468" s="34">
        <v>1</v>
      </c>
      <c r="E468" s="30">
        <v>4</v>
      </c>
      <c r="F468" s="30">
        <v>7</v>
      </c>
      <c r="J468" s="35"/>
      <c r="K468" s="30">
        <v>1</v>
      </c>
      <c r="L468" s="30">
        <v>3</v>
      </c>
      <c r="M468" s="30">
        <v>4</v>
      </c>
      <c r="Q468" s="35"/>
      <c r="R468" s="30">
        <f t="shared" si="45"/>
        <v>998666240</v>
      </c>
      <c r="S468" s="30">
        <f t="shared" si="46"/>
        <v>376832</v>
      </c>
    </row>
    <row r="469" spans="1:19">
      <c r="A469" s="57">
        <v>7</v>
      </c>
      <c r="B469" s="57">
        <v>3</v>
      </c>
      <c r="C469" s="30">
        <v>4</v>
      </c>
      <c r="D469" s="34">
        <v>1</v>
      </c>
      <c r="E469" s="30">
        <v>5</v>
      </c>
      <c r="F469" s="30">
        <v>6</v>
      </c>
      <c r="J469" s="35"/>
      <c r="K469" s="30">
        <v>1</v>
      </c>
      <c r="L469" s="30">
        <v>3</v>
      </c>
      <c r="M469" s="30">
        <v>4</v>
      </c>
      <c r="Q469" s="35"/>
      <c r="R469" s="30">
        <f t="shared" si="45"/>
        <v>998694912</v>
      </c>
      <c r="S469" s="30">
        <f t="shared" si="46"/>
        <v>376832</v>
      </c>
    </row>
    <row r="470" spans="1:19">
      <c r="A470" s="57">
        <v>7</v>
      </c>
      <c r="B470" s="57">
        <v>3</v>
      </c>
      <c r="C470" s="30">
        <v>4</v>
      </c>
      <c r="D470" s="34">
        <v>1</v>
      </c>
      <c r="E470" s="30">
        <v>5</v>
      </c>
      <c r="F470" s="30">
        <v>7</v>
      </c>
      <c r="J470" s="35"/>
      <c r="K470" s="30">
        <v>1</v>
      </c>
      <c r="L470" s="30">
        <v>3</v>
      </c>
      <c r="M470" s="30">
        <v>4</v>
      </c>
      <c r="Q470" s="35"/>
      <c r="R470" s="30">
        <f t="shared" si="45"/>
        <v>998699008</v>
      </c>
      <c r="S470" s="30">
        <f t="shared" si="46"/>
        <v>376832</v>
      </c>
    </row>
    <row r="471" spans="1:19">
      <c r="A471" s="57">
        <v>7</v>
      </c>
      <c r="B471" s="57">
        <v>3</v>
      </c>
      <c r="C471" s="30">
        <v>4</v>
      </c>
      <c r="D471" s="34">
        <v>1</v>
      </c>
      <c r="E471" s="30">
        <v>6</v>
      </c>
      <c r="F471" s="30">
        <v>7</v>
      </c>
      <c r="J471" s="35"/>
      <c r="K471" s="30">
        <v>1</v>
      </c>
      <c r="L471" s="30">
        <v>3</v>
      </c>
      <c r="M471" s="30">
        <v>4</v>
      </c>
      <c r="Q471" s="35"/>
      <c r="R471" s="30">
        <f t="shared" si="45"/>
        <v>998731776</v>
      </c>
      <c r="S471" s="30">
        <f t="shared" si="46"/>
        <v>376832</v>
      </c>
    </row>
    <row r="472" spans="1:19">
      <c r="A472" s="57">
        <v>7</v>
      </c>
      <c r="B472" s="57">
        <v>3</v>
      </c>
      <c r="C472" s="30">
        <v>4</v>
      </c>
      <c r="D472" s="34">
        <v>2</v>
      </c>
      <c r="E472" s="30">
        <v>3</v>
      </c>
      <c r="F472" s="30">
        <v>4</v>
      </c>
      <c r="J472" s="35"/>
      <c r="K472" s="30">
        <v>2</v>
      </c>
      <c r="L472" s="30">
        <v>3</v>
      </c>
      <c r="M472" s="30">
        <v>4</v>
      </c>
      <c r="Q472" s="35"/>
      <c r="R472" s="30">
        <f t="shared" si="45"/>
        <v>998883328</v>
      </c>
      <c r="S472" s="30">
        <f t="shared" si="46"/>
        <v>638976</v>
      </c>
    </row>
    <row r="473" spans="1:19">
      <c r="A473" s="57">
        <v>7</v>
      </c>
      <c r="B473" s="57">
        <v>3</v>
      </c>
      <c r="C473" s="30">
        <v>4</v>
      </c>
      <c r="D473" s="34">
        <v>2</v>
      </c>
      <c r="E473" s="30">
        <v>3</v>
      </c>
      <c r="F473" s="30">
        <v>5</v>
      </c>
      <c r="J473" s="35"/>
      <c r="K473" s="30">
        <v>2</v>
      </c>
      <c r="L473" s="30">
        <v>3</v>
      </c>
      <c r="M473" s="30">
        <v>4</v>
      </c>
      <c r="Q473" s="35"/>
      <c r="R473" s="30">
        <f t="shared" si="45"/>
        <v>998887424</v>
      </c>
      <c r="S473" s="30">
        <f t="shared" si="46"/>
        <v>638976</v>
      </c>
    </row>
    <row r="474" spans="1:19">
      <c r="A474" s="57">
        <v>7</v>
      </c>
      <c r="B474" s="57">
        <v>3</v>
      </c>
      <c r="C474" s="30">
        <v>4</v>
      </c>
      <c r="D474" s="34">
        <v>2</v>
      </c>
      <c r="E474" s="30">
        <v>3</v>
      </c>
      <c r="F474" s="30">
        <v>6</v>
      </c>
      <c r="J474" s="35"/>
      <c r="K474" s="30">
        <v>2</v>
      </c>
      <c r="L474" s="30">
        <v>3</v>
      </c>
      <c r="M474" s="30">
        <v>4</v>
      </c>
      <c r="Q474" s="35"/>
      <c r="R474" s="30">
        <f t="shared" si="45"/>
        <v>998891520</v>
      </c>
      <c r="S474" s="30">
        <f t="shared" si="46"/>
        <v>638976</v>
      </c>
    </row>
    <row r="475" spans="1:19">
      <c r="A475" s="57">
        <v>7</v>
      </c>
      <c r="B475" s="57">
        <v>3</v>
      </c>
      <c r="C475" s="30">
        <v>4</v>
      </c>
      <c r="D475" s="34">
        <v>2</v>
      </c>
      <c r="E475" s="30">
        <v>3</v>
      </c>
      <c r="F475" s="30">
        <v>7</v>
      </c>
      <c r="J475" s="35"/>
      <c r="K475" s="30">
        <v>2</v>
      </c>
      <c r="L475" s="30">
        <v>3</v>
      </c>
      <c r="M475" s="30">
        <v>4</v>
      </c>
      <c r="Q475" s="35"/>
      <c r="R475" s="30">
        <f t="shared" si="45"/>
        <v>998895616</v>
      </c>
      <c r="S475" s="30">
        <f t="shared" si="46"/>
        <v>638976</v>
      </c>
    </row>
    <row r="476" spans="1:19">
      <c r="A476" s="57">
        <v>7</v>
      </c>
      <c r="B476" s="57">
        <v>3</v>
      </c>
      <c r="C476" s="30">
        <v>4</v>
      </c>
      <c r="D476" s="34">
        <v>2</v>
      </c>
      <c r="E476" s="30">
        <v>4</v>
      </c>
      <c r="F476" s="30">
        <v>5</v>
      </c>
      <c r="J476" s="35"/>
      <c r="K476" s="30">
        <v>2</v>
      </c>
      <c r="L476" s="30">
        <v>3</v>
      </c>
      <c r="M476" s="30">
        <v>4</v>
      </c>
      <c r="Q476" s="35"/>
      <c r="R476" s="30">
        <f t="shared" si="45"/>
        <v>998920192</v>
      </c>
      <c r="S476" s="30">
        <f t="shared" si="46"/>
        <v>638976</v>
      </c>
    </row>
    <row r="477" spans="1:19">
      <c r="A477" s="57">
        <v>7</v>
      </c>
      <c r="B477" s="57">
        <v>3</v>
      </c>
      <c r="C477" s="30">
        <v>4</v>
      </c>
      <c r="D477" s="34">
        <v>2</v>
      </c>
      <c r="E477" s="30">
        <v>4</v>
      </c>
      <c r="F477" s="30">
        <v>6</v>
      </c>
      <c r="J477" s="35"/>
      <c r="K477" s="30">
        <v>2</v>
      </c>
      <c r="L477" s="30">
        <v>3</v>
      </c>
      <c r="M477" s="30">
        <v>4</v>
      </c>
      <c r="Q477" s="35"/>
      <c r="R477" s="30">
        <f t="shared" si="45"/>
        <v>998924288</v>
      </c>
      <c r="S477" s="30">
        <f t="shared" si="46"/>
        <v>638976</v>
      </c>
    </row>
    <row r="478" spans="1:19">
      <c r="A478" s="57">
        <v>7</v>
      </c>
      <c r="B478" s="57">
        <v>3</v>
      </c>
      <c r="C478" s="30">
        <v>4</v>
      </c>
      <c r="D478" s="34">
        <v>2</v>
      </c>
      <c r="E478" s="30">
        <v>4</v>
      </c>
      <c r="F478" s="30">
        <v>7</v>
      </c>
      <c r="J478" s="35"/>
      <c r="K478" s="30">
        <v>2</v>
      </c>
      <c r="L478" s="30">
        <v>3</v>
      </c>
      <c r="M478" s="30">
        <v>4</v>
      </c>
      <c r="Q478" s="35"/>
      <c r="R478" s="30">
        <f t="shared" si="45"/>
        <v>998928384</v>
      </c>
      <c r="S478" s="30">
        <f t="shared" si="46"/>
        <v>638976</v>
      </c>
    </row>
    <row r="479" spans="1:19">
      <c r="A479" s="57">
        <v>7</v>
      </c>
      <c r="B479" s="57">
        <v>3</v>
      </c>
      <c r="C479" s="30">
        <v>4</v>
      </c>
      <c r="D479" s="34">
        <v>2</v>
      </c>
      <c r="E479" s="30">
        <v>5</v>
      </c>
      <c r="F479" s="30">
        <v>6</v>
      </c>
      <c r="J479" s="35"/>
      <c r="K479" s="30">
        <v>2</v>
      </c>
      <c r="L479" s="30">
        <v>3</v>
      </c>
      <c r="M479" s="30">
        <v>4</v>
      </c>
      <c r="Q479" s="35"/>
      <c r="R479" s="30">
        <f t="shared" si="45"/>
        <v>998957056</v>
      </c>
      <c r="S479" s="30">
        <f t="shared" si="46"/>
        <v>638976</v>
      </c>
    </row>
    <row r="480" spans="1:19">
      <c r="A480" s="57">
        <v>7</v>
      </c>
      <c r="B480" s="57">
        <v>3</v>
      </c>
      <c r="C480" s="30">
        <v>4</v>
      </c>
      <c r="D480" s="34">
        <v>2</v>
      </c>
      <c r="E480" s="30">
        <v>5</v>
      </c>
      <c r="F480" s="30">
        <v>7</v>
      </c>
      <c r="J480" s="35"/>
      <c r="K480" s="30">
        <v>2</v>
      </c>
      <c r="L480" s="30">
        <v>3</v>
      </c>
      <c r="M480" s="30">
        <v>4</v>
      </c>
      <c r="Q480" s="35"/>
      <c r="R480" s="30">
        <f t="shared" si="45"/>
        <v>998961152</v>
      </c>
      <c r="S480" s="30">
        <f t="shared" si="46"/>
        <v>638976</v>
      </c>
    </row>
    <row r="481" spans="1:19">
      <c r="A481" s="57">
        <v>7</v>
      </c>
      <c r="B481" s="57">
        <v>3</v>
      </c>
      <c r="C481" s="30">
        <v>4</v>
      </c>
      <c r="D481" s="34">
        <v>2</v>
      </c>
      <c r="E481" s="30">
        <v>6</v>
      </c>
      <c r="F481" s="30">
        <v>7</v>
      </c>
      <c r="J481" s="35"/>
      <c r="K481" s="30">
        <v>2</v>
      </c>
      <c r="L481" s="30">
        <v>3</v>
      </c>
      <c r="M481" s="30">
        <v>4</v>
      </c>
      <c r="Q481" s="35"/>
      <c r="R481" s="30">
        <f t="shared" si="45"/>
        <v>998993920</v>
      </c>
      <c r="S481" s="30">
        <f t="shared" si="46"/>
        <v>638976</v>
      </c>
    </row>
    <row r="482" spans="1:19">
      <c r="A482" s="57">
        <v>7</v>
      </c>
      <c r="B482" s="57">
        <v>3</v>
      </c>
      <c r="C482" s="30">
        <v>4</v>
      </c>
      <c r="D482" s="34">
        <v>3</v>
      </c>
      <c r="E482" s="30">
        <v>4</v>
      </c>
      <c r="F482" s="30">
        <v>5</v>
      </c>
      <c r="J482" s="35"/>
      <c r="K482" s="30">
        <v>2</v>
      </c>
      <c r="L482" s="30">
        <v>3</v>
      </c>
      <c r="M482" s="30">
        <v>4</v>
      </c>
      <c r="Q482" s="35"/>
      <c r="R482" s="30">
        <f t="shared" si="45"/>
        <v>999182336</v>
      </c>
      <c r="S482" s="30">
        <f t="shared" si="46"/>
        <v>638976</v>
      </c>
    </row>
    <row r="483" spans="1:19">
      <c r="A483" s="57">
        <v>7</v>
      </c>
      <c r="B483" s="57">
        <v>3</v>
      </c>
      <c r="C483" s="30">
        <v>4</v>
      </c>
      <c r="D483" s="34">
        <v>3</v>
      </c>
      <c r="E483" s="30">
        <v>4</v>
      </c>
      <c r="F483" s="30">
        <v>6</v>
      </c>
      <c r="J483" s="35"/>
      <c r="K483" s="30">
        <v>2</v>
      </c>
      <c r="L483" s="30">
        <v>3</v>
      </c>
      <c r="M483" s="30">
        <v>4</v>
      </c>
      <c r="Q483" s="35"/>
      <c r="R483" s="30">
        <f t="shared" si="45"/>
        <v>999186432</v>
      </c>
      <c r="S483" s="30">
        <f t="shared" si="46"/>
        <v>638976</v>
      </c>
    </row>
    <row r="484" spans="1:19">
      <c r="A484" s="57">
        <v>7</v>
      </c>
      <c r="B484" s="57">
        <v>3</v>
      </c>
      <c r="C484" s="30">
        <v>4</v>
      </c>
      <c r="D484" s="34">
        <v>3</v>
      </c>
      <c r="E484" s="30">
        <v>4</v>
      </c>
      <c r="F484" s="30">
        <v>7</v>
      </c>
      <c r="J484" s="35"/>
      <c r="K484" s="30">
        <v>2</v>
      </c>
      <c r="L484" s="30">
        <v>3</v>
      </c>
      <c r="M484" s="30">
        <v>4</v>
      </c>
      <c r="Q484" s="35"/>
      <c r="R484" s="30">
        <f t="shared" si="45"/>
        <v>999190528</v>
      </c>
      <c r="S484" s="30">
        <f t="shared" si="46"/>
        <v>638976</v>
      </c>
    </row>
    <row r="485" spans="1:19">
      <c r="A485" s="57">
        <v>7</v>
      </c>
      <c r="B485" s="57">
        <v>3</v>
      </c>
      <c r="C485" s="30">
        <v>4</v>
      </c>
      <c r="D485" s="34">
        <v>3</v>
      </c>
      <c r="E485" s="30">
        <v>5</v>
      </c>
      <c r="F485" s="30">
        <v>6</v>
      </c>
      <c r="J485" s="35"/>
      <c r="K485" s="30">
        <v>2</v>
      </c>
      <c r="L485" s="30">
        <v>3</v>
      </c>
      <c r="M485" s="30">
        <v>4</v>
      </c>
      <c r="Q485" s="35"/>
      <c r="R485" s="30">
        <f t="shared" si="45"/>
        <v>999219200</v>
      </c>
      <c r="S485" s="30">
        <f t="shared" si="46"/>
        <v>638976</v>
      </c>
    </row>
    <row r="486" spans="1:19">
      <c r="A486" s="57">
        <v>7</v>
      </c>
      <c r="B486" s="57">
        <v>3</v>
      </c>
      <c r="C486" s="30">
        <v>4</v>
      </c>
      <c r="D486" s="34">
        <v>3</v>
      </c>
      <c r="E486" s="30">
        <v>5</v>
      </c>
      <c r="F486" s="30">
        <v>7</v>
      </c>
      <c r="J486" s="35"/>
      <c r="K486" s="30">
        <v>2</v>
      </c>
      <c r="L486" s="30">
        <v>3</v>
      </c>
      <c r="M486" s="30">
        <v>4</v>
      </c>
      <c r="Q486" s="35"/>
      <c r="R486" s="30">
        <f t="shared" si="45"/>
        <v>999223296</v>
      </c>
      <c r="S486" s="30">
        <f t="shared" si="46"/>
        <v>638976</v>
      </c>
    </row>
    <row r="487" spans="1:19">
      <c r="A487" s="57">
        <v>7</v>
      </c>
      <c r="B487" s="57">
        <v>3</v>
      </c>
      <c r="C487" s="30">
        <v>4</v>
      </c>
      <c r="D487" s="34">
        <v>3</v>
      </c>
      <c r="E487" s="30">
        <v>6</v>
      </c>
      <c r="F487" s="30">
        <v>7</v>
      </c>
      <c r="J487" s="35"/>
      <c r="K487" s="30">
        <v>2</v>
      </c>
      <c r="L487" s="30">
        <v>3</v>
      </c>
      <c r="M487" s="30">
        <v>4</v>
      </c>
      <c r="Q487" s="35"/>
      <c r="R487" s="30">
        <f t="shared" si="45"/>
        <v>999256064</v>
      </c>
      <c r="S487" s="30">
        <f t="shared" si="46"/>
        <v>638976</v>
      </c>
    </row>
    <row r="488" spans="1:19">
      <c r="A488" s="57">
        <v>7</v>
      </c>
      <c r="B488" s="57">
        <v>3</v>
      </c>
      <c r="C488" s="30">
        <v>4</v>
      </c>
      <c r="D488" s="34">
        <v>4</v>
      </c>
      <c r="E488" s="30">
        <v>5</v>
      </c>
      <c r="F488" s="30">
        <v>6</v>
      </c>
      <c r="J488" s="35"/>
      <c r="K488" s="30">
        <v>2</v>
      </c>
      <c r="L488" s="30">
        <v>3</v>
      </c>
      <c r="M488" s="30">
        <v>4</v>
      </c>
      <c r="Q488" s="35"/>
      <c r="R488" s="30">
        <f t="shared" si="45"/>
        <v>999481344</v>
      </c>
      <c r="S488" s="30">
        <f t="shared" si="46"/>
        <v>638976</v>
      </c>
    </row>
    <row r="489" spans="1:19">
      <c r="A489" s="57">
        <v>7</v>
      </c>
      <c r="B489" s="57">
        <v>3</v>
      </c>
      <c r="C489" s="30">
        <v>4</v>
      </c>
      <c r="D489" s="34">
        <v>4</v>
      </c>
      <c r="E489" s="30">
        <v>5</v>
      </c>
      <c r="F489" s="30">
        <v>7</v>
      </c>
      <c r="J489" s="35"/>
      <c r="K489" s="30">
        <v>2</v>
      </c>
      <c r="L489" s="30">
        <v>3</v>
      </c>
      <c r="M489" s="30">
        <v>4</v>
      </c>
      <c r="Q489" s="35"/>
      <c r="R489" s="30">
        <f t="shared" si="45"/>
        <v>999485440</v>
      </c>
      <c r="S489" s="30">
        <f t="shared" si="46"/>
        <v>638976</v>
      </c>
    </row>
    <row r="490" spans="1:19">
      <c r="A490" s="57">
        <v>7</v>
      </c>
      <c r="B490" s="57">
        <v>3</v>
      </c>
      <c r="C490" s="30">
        <v>4</v>
      </c>
      <c r="D490" s="34">
        <v>4</v>
      </c>
      <c r="E490" s="30">
        <v>6</v>
      </c>
      <c r="F490" s="30">
        <v>7</v>
      </c>
      <c r="J490" s="35"/>
      <c r="K490" s="30">
        <v>2</v>
      </c>
      <c r="L490" s="30">
        <v>3</v>
      </c>
      <c r="M490" s="30">
        <v>4</v>
      </c>
      <c r="Q490" s="35"/>
      <c r="R490" s="30">
        <f t="shared" si="45"/>
        <v>999518208</v>
      </c>
      <c r="S490" s="30">
        <f t="shared" si="46"/>
        <v>638976</v>
      </c>
    </row>
    <row r="491" spans="1:19">
      <c r="A491" s="58">
        <v>7</v>
      </c>
      <c r="B491" s="58">
        <v>3</v>
      </c>
      <c r="C491" s="37">
        <v>4</v>
      </c>
      <c r="D491" s="36">
        <v>5</v>
      </c>
      <c r="E491" s="37">
        <v>6</v>
      </c>
      <c r="F491" s="37">
        <v>7</v>
      </c>
      <c r="G491" s="37"/>
      <c r="H491" s="37"/>
      <c r="I491" s="37"/>
      <c r="J491" s="38"/>
      <c r="K491" s="37">
        <v>2</v>
      </c>
      <c r="L491" s="37">
        <v>3</v>
      </c>
      <c r="M491" s="37">
        <v>4</v>
      </c>
      <c r="N491" s="37"/>
      <c r="O491" s="37"/>
      <c r="P491" s="37"/>
      <c r="Q491" s="38"/>
      <c r="R491" s="30">
        <f t="shared" si="45"/>
        <v>999780352</v>
      </c>
      <c r="S491" s="30">
        <f t="shared" si="46"/>
        <v>638976</v>
      </c>
    </row>
    <row r="492" spans="1:19">
      <c r="A492" s="59">
        <v>7</v>
      </c>
      <c r="B492" s="59">
        <v>3</v>
      </c>
      <c r="C492" s="32">
        <v>5</v>
      </c>
      <c r="D492" s="31">
        <v>1</v>
      </c>
      <c r="E492" s="32">
        <v>2</v>
      </c>
      <c r="F492" s="32">
        <v>3</v>
      </c>
      <c r="G492" s="32"/>
      <c r="H492" s="32"/>
      <c r="I492" s="32"/>
      <c r="J492" s="33"/>
      <c r="K492" s="32">
        <v>1</v>
      </c>
      <c r="L492" s="32">
        <v>2</v>
      </c>
      <c r="M492" s="32">
        <v>3</v>
      </c>
      <c r="N492" s="32"/>
      <c r="O492" s="32"/>
      <c r="P492" s="32"/>
      <c r="Q492" s="33"/>
      <c r="R492" s="30">
        <f t="shared" si="45"/>
        <v>1000681472</v>
      </c>
      <c r="S492" s="30">
        <f t="shared" si="46"/>
        <v>339968</v>
      </c>
    </row>
    <row r="493" spans="1:19">
      <c r="A493" s="57">
        <v>7</v>
      </c>
      <c r="B493" s="57">
        <v>3</v>
      </c>
      <c r="C493" s="30">
        <v>5</v>
      </c>
      <c r="D493" s="34">
        <v>1</v>
      </c>
      <c r="E493" s="30">
        <v>2</v>
      </c>
      <c r="F493" s="30">
        <v>4</v>
      </c>
      <c r="J493" s="35"/>
      <c r="K493" s="34">
        <v>1</v>
      </c>
      <c r="L493" s="30">
        <v>2</v>
      </c>
      <c r="M493" s="30">
        <v>4</v>
      </c>
      <c r="Q493" s="35"/>
      <c r="R493" s="30">
        <f t="shared" si="45"/>
        <v>1000685568</v>
      </c>
      <c r="S493" s="30">
        <f t="shared" si="46"/>
        <v>344064</v>
      </c>
    </row>
    <row r="494" spans="1:19">
      <c r="A494" s="57">
        <v>7</v>
      </c>
      <c r="B494" s="57">
        <v>3</v>
      </c>
      <c r="C494" s="30">
        <v>5</v>
      </c>
      <c r="D494" s="34">
        <v>1</v>
      </c>
      <c r="E494" s="30">
        <v>2</v>
      </c>
      <c r="F494" s="30">
        <v>5</v>
      </c>
      <c r="J494" s="35"/>
      <c r="K494" s="34">
        <v>1</v>
      </c>
      <c r="L494" s="30">
        <v>2</v>
      </c>
      <c r="M494" s="30">
        <v>5</v>
      </c>
      <c r="Q494" s="35"/>
      <c r="R494" s="30">
        <f t="shared" si="45"/>
        <v>1000689664</v>
      </c>
      <c r="S494" s="30">
        <f t="shared" si="46"/>
        <v>348160</v>
      </c>
    </row>
    <row r="495" spans="1:19">
      <c r="A495" s="57">
        <v>7</v>
      </c>
      <c r="B495" s="57">
        <v>3</v>
      </c>
      <c r="C495" s="30">
        <v>5</v>
      </c>
      <c r="D495" s="34">
        <v>1</v>
      </c>
      <c r="E495" s="30">
        <v>2</v>
      </c>
      <c r="F495" s="30">
        <v>6</v>
      </c>
      <c r="J495" s="35"/>
      <c r="K495" s="34">
        <v>1</v>
      </c>
      <c r="L495" s="30">
        <v>2</v>
      </c>
      <c r="M495" s="30">
        <v>5</v>
      </c>
      <c r="Q495" s="35"/>
      <c r="R495" s="30">
        <f t="shared" si="45"/>
        <v>1000693760</v>
      </c>
      <c r="S495" s="30">
        <f t="shared" si="46"/>
        <v>348160</v>
      </c>
    </row>
    <row r="496" spans="1:19">
      <c r="A496" s="57">
        <v>7</v>
      </c>
      <c r="B496" s="57">
        <v>3</v>
      </c>
      <c r="C496" s="30">
        <v>5</v>
      </c>
      <c r="D496" s="34">
        <v>1</v>
      </c>
      <c r="E496" s="30">
        <v>2</v>
      </c>
      <c r="F496" s="30">
        <v>7</v>
      </c>
      <c r="J496" s="35"/>
      <c r="K496" s="34">
        <v>1</v>
      </c>
      <c r="L496" s="30">
        <v>2</v>
      </c>
      <c r="M496" s="30">
        <v>5</v>
      </c>
      <c r="Q496" s="35"/>
      <c r="R496" s="30">
        <f t="shared" si="45"/>
        <v>1000697856</v>
      </c>
      <c r="S496" s="30">
        <f t="shared" si="46"/>
        <v>348160</v>
      </c>
    </row>
    <row r="497" spans="1:19">
      <c r="A497" s="57">
        <v>7</v>
      </c>
      <c r="B497" s="57">
        <v>3</v>
      </c>
      <c r="C497" s="30">
        <v>5</v>
      </c>
      <c r="D497" s="34">
        <v>1</v>
      </c>
      <c r="E497" s="30">
        <v>3</v>
      </c>
      <c r="F497" s="30">
        <v>4</v>
      </c>
      <c r="J497" s="35"/>
      <c r="K497" s="30">
        <v>1</v>
      </c>
      <c r="L497" s="30">
        <v>3</v>
      </c>
      <c r="M497" s="30">
        <v>4</v>
      </c>
      <c r="Q497" s="35"/>
      <c r="R497" s="30">
        <f t="shared" si="45"/>
        <v>1000718336</v>
      </c>
      <c r="S497" s="30">
        <f t="shared" si="46"/>
        <v>376832</v>
      </c>
    </row>
    <row r="498" spans="1:19">
      <c r="A498" s="57">
        <v>7</v>
      </c>
      <c r="B498" s="57">
        <v>3</v>
      </c>
      <c r="C498" s="30">
        <v>5</v>
      </c>
      <c r="D498" s="34">
        <v>1</v>
      </c>
      <c r="E498" s="30">
        <v>3</v>
      </c>
      <c r="F498" s="30">
        <v>5</v>
      </c>
      <c r="J498" s="35"/>
      <c r="K498" s="30">
        <v>1</v>
      </c>
      <c r="L498" s="30">
        <v>3</v>
      </c>
      <c r="M498" s="30">
        <v>5</v>
      </c>
      <c r="Q498" s="35"/>
      <c r="R498" s="30">
        <f t="shared" si="45"/>
        <v>1000722432</v>
      </c>
      <c r="S498" s="30">
        <f t="shared" si="46"/>
        <v>380928</v>
      </c>
    </row>
    <row r="499" spans="1:19">
      <c r="A499" s="57">
        <v>7</v>
      </c>
      <c r="B499" s="57">
        <v>3</v>
      </c>
      <c r="C499" s="30">
        <v>5</v>
      </c>
      <c r="D499" s="34">
        <v>1</v>
      </c>
      <c r="E499" s="30">
        <v>3</v>
      </c>
      <c r="F499" s="30">
        <v>6</v>
      </c>
      <c r="J499" s="35"/>
      <c r="K499" s="30">
        <v>1</v>
      </c>
      <c r="L499" s="30">
        <v>3</v>
      </c>
      <c r="M499" s="30">
        <v>5</v>
      </c>
      <c r="Q499" s="35"/>
      <c r="R499" s="30">
        <f t="shared" si="45"/>
        <v>1000726528</v>
      </c>
      <c r="S499" s="30">
        <f t="shared" si="46"/>
        <v>380928</v>
      </c>
    </row>
    <row r="500" spans="1:19">
      <c r="A500" s="57">
        <v>7</v>
      </c>
      <c r="B500" s="57">
        <v>3</v>
      </c>
      <c r="C500" s="30">
        <v>5</v>
      </c>
      <c r="D500" s="34">
        <v>1</v>
      </c>
      <c r="E500" s="30">
        <v>3</v>
      </c>
      <c r="F500" s="30">
        <v>7</v>
      </c>
      <c r="J500" s="35"/>
      <c r="K500" s="30">
        <v>1</v>
      </c>
      <c r="L500" s="30">
        <v>3</v>
      </c>
      <c r="M500" s="30">
        <v>5</v>
      </c>
      <c r="Q500" s="35"/>
      <c r="R500" s="30">
        <f t="shared" si="45"/>
        <v>1000730624</v>
      </c>
      <c r="S500" s="30">
        <f t="shared" si="46"/>
        <v>380928</v>
      </c>
    </row>
    <row r="501" spans="1:19">
      <c r="A501" s="57">
        <v>7</v>
      </c>
      <c r="B501" s="57">
        <v>3</v>
      </c>
      <c r="C501" s="30">
        <v>5</v>
      </c>
      <c r="D501" s="34">
        <v>1</v>
      </c>
      <c r="E501" s="30">
        <v>4</v>
      </c>
      <c r="F501" s="30">
        <v>5</v>
      </c>
      <c r="J501" s="35"/>
      <c r="K501" s="30">
        <v>1</v>
      </c>
      <c r="L501" s="30">
        <v>4</v>
      </c>
      <c r="M501" s="30">
        <v>5</v>
      </c>
      <c r="Q501" s="35"/>
      <c r="R501" s="30">
        <f t="shared" si="45"/>
        <v>1000755200</v>
      </c>
      <c r="S501" s="30">
        <f t="shared" si="46"/>
        <v>413696</v>
      </c>
    </row>
    <row r="502" spans="1:19">
      <c r="A502" s="57">
        <v>7</v>
      </c>
      <c r="B502" s="57">
        <v>3</v>
      </c>
      <c r="C502" s="30">
        <v>5</v>
      </c>
      <c r="D502" s="34">
        <v>1</v>
      </c>
      <c r="E502" s="30">
        <v>4</v>
      </c>
      <c r="F502" s="30">
        <v>6</v>
      </c>
      <c r="J502" s="35"/>
      <c r="K502" s="30">
        <v>1</v>
      </c>
      <c r="L502" s="30">
        <v>4</v>
      </c>
      <c r="M502" s="30">
        <v>5</v>
      </c>
      <c r="Q502" s="35"/>
      <c r="R502" s="30">
        <f t="shared" si="45"/>
        <v>1000759296</v>
      </c>
      <c r="S502" s="30">
        <f t="shared" si="46"/>
        <v>413696</v>
      </c>
    </row>
    <row r="503" spans="1:19">
      <c r="A503" s="57">
        <v>7</v>
      </c>
      <c r="B503" s="57">
        <v>3</v>
      </c>
      <c r="C503" s="30">
        <v>5</v>
      </c>
      <c r="D503" s="34">
        <v>1</v>
      </c>
      <c r="E503" s="30">
        <v>4</v>
      </c>
      <c r="F503" s="30">
        <v>7</v>
      </c>
      <c r="J503" s="35"/>
      <c r="K503" s="30">
        <v>1</v>
      </c>
      <c r="L503" s="30">
        <v>4</v>
      </c>
      <c r="M503" s="30">
        <v>5</v>
      </c>
      <c r="Q503" s="35"/>
      <c r="R503" s="30">
        <f t="shared" si="45"/>
        <v>1000763392</v>
      </c>
      <c r="S503" s="30">
        <f t="shared" si="46"/>
        <v>413696</v>
      </c>
    </row>
    <row r="504" spans="1:19">
      <c r="A504" s="57">
        <v>7</v>
      </c>
      <c r="B504" s="57">
        <v>3</v>
      </c>
      <c r="C504" s="30">
        <v>5</v>
      </c>
      <c r="D504" s="34">
        <v>1</v>
      </c>
      <c r="E504" s="30">
        <v>5</v>
      </c>
      <c r="F504" s="30">
        <v>6</v>
      </c>
      <c r="J504" s="35"/>
      <c r="K504" s="30">
        <v>1</v>
      </c>
      <c r="L504" s="30">
        <v>4</v>
      </c>
      <c r="M504" s="30">
        <v>5</v>
      </c>
      <c r="Q504" s="35"/>
      <c r="R504" s="30">
        <f t="shared" si="45"/>
        <v>1000792064</v>
      </c>
      <c r="S504" s="30">
        <f t="shared" si="46"/>
        <v>413696</v>
      </c>
    </row>
    <row r="505" spans="1:19">
      <c r="A505" s="57">
        <v>7</v>
      </c>
      <c r="B505" s="57">
        <v>3</v>
      </c>
      <c r="C505" s="30">
        <v>5</v>
      </c>
      <c r="D505" s="34">
        <v>1</v>
      </c>
      <c r="E505" s="30">
        <v>5</v>
      </c>
      <c r="F505" s="30">
        <v>7</v>
      </c>
      <c r="J505" s="35"/>
      <c r="K505" s="30">
        <v>1</v>
      </c>
      <c r="L505" s="30">
        <v>4</v>
      </c>
      <c r="M505" s="30">
        <v>5</v>
      </c>
      <c r="Q505" s="35"/>
      <c r="R505" s="30">
        <f t="shared" si="45"/>
        <v>1000796160</v>
      </c>
      <c r="S505" s="30">
        <f t="shared" si="46"/>
        <v>413696</v>
      </c>
    </row>
    <row r="506" spans="1:19">
      <c r="A506" s="57">
        <v>7</v>
      </c>
      <c r="B506" s="57">
        <v>3</v>
      </c>
      <c r="C506" s="30">
        <v>5</v>
      </c>
      <c r="D506" s="34">
        <v>1</v>
      </c>
      <c r="E506" s="30">
        <v>6</v>
      </c>
      <c r="F506" s="30">
        <v>7</v>
      </c>
      <c r="J506" s="35"/>
      <c r="K506" s="30">
        <v>1</v>
      </c>
      <c r="L506" s="30">
        <v>4</v>
      </c>
      <c r="M506" s="30">
        <v>5</v>
      </c>
      <c r="Q506" s="35"/>
      <c r="R506" s="30">
        <f t="shared" si="45"/>
        <v>1000828928</v>
      </c>
      <c r="S506" s="30">
        <f t="shared" si="46"/>
        <v>413696</v>
      </c>
    </row>
    <row r="507" spans="1:19">
      <c r="A507" s="57">
        <v>7</v>
      </c>
      <c r="B507" s="57">
        <v>3</v>
      </c>
      <c r="C507" s="30">
        <v>5</v>
      </c>
      <c r="D507" s="34">
        <v>2</v>
      </c>
      <c r="E507" s="30">
        <v>3</v>
      </c>
      <c r="F507" s="30">
        <v>4</v>
      </c>
      <c r="J507" s="35"/>
      <c r="K507" s="30">
        <v>2</v>
      </c>
      <c r="L507" s="30">
        <v>3</v>
      </c>
      <c r="M507" s="30">
        <v>4</v>
      </c>
      <c r="Q507" s="35"/>
      <c r="R507" s="30">
        <f t="shared" si="45"/>
        <v>1000980480</v>
      </c>
      <c r="S507" s="30">
        <f t="shared" si="46"/>
        <v>638976</v>
      </c>
    </row>
    <row r="508" spans="1:19">
      <c r="A508" s="57">
        <v>7</v>
      </c>
      <c r="B508" s="57">
        <v>3</v>
      </c>
      <c r="C508" s="30">
        <v>5</v>
      </c>
      <c r="D508" s="34">
        <v>2</v>
      </c>
      <c r="E508" s="30">
        <v>3</v>
      </c>
      <c r="F508" s="30">
        <v>5</v>
      </c>
      <c r="J508" s="35"/>
      <c r="K508" s="30">
        <v>2</v>
      </c>
      <c r="L508" s="30">
        <v>3</v>
      </c>
      <c r="M508" s="30">
        <v>5</v>
      </c>
      <c r="Q508" s="35"/>
      <c r="R508" s="30">
        <f t="shared" si="45"/>
        <v>1000984576</v>
      </c>
      <c r="S508" s="30">
        <f t="shared" si="46"/>
        <v>643072</v>
      </c>
    </row>
    <row r="509" spans="1:19">
      <c r="A509" s="57">
        <v>7</v>
      </c>
      <c r="B509" s="57">
        <v>3</v>
      </c>
      <c r="C509" s="30">
        <v>5</v>
      </c>
      <c r="D509" s="34">
        <v>2</v>
      </c>
      <c r="E509" s="30">
        <v>3</v>
      </c>
      <c r="F509" s="30">
        <v>6</v>
      </c>
      <c r="J509" s="35"/>
      <c r="K509" s="30">
        <v>2</v>
      </c>
      <c r="L509" s="30">
        <v>3</v>
      </c>
      <c r="M509" s="30">
        <v>5</v>
      </c>
      <c r="Q509" s="35"/>
      <c r="R509" s="30">
        <f t="shared" si="45"/>
        <v>1000988672</v>
      </c>
      <c r="S509" s="30">
        <f t="shared" si="46"/>
        <v>643072</v>
      </c>
    </row>
    <row r="510" spans="1:19">
      <c r="A510" s="57">
        <v>7</v>
      </c>
      <c r="B510" s="57">
        <v>3</v>
      </c>
      <c r="C510" s="30">
        <v>5</v>
      </c>
      <c r="D510" s="34">
        <v>2</v>
      </c>
      <c r="E510" s="30">
        <v>3</v>
      </c>
      <c r="F510" s="30">
        <v>7</v>
      </c>
      <c r="J510" s="35"/>
      <c r="K510" s="30">
        <v>2</v>
      </c>
      <c r="L510" s="30">
        <v>3</v>
      </c>
      <c r="M510" s="30">
        <v>5</v>
      </c>
      <c r="Q510" s="35"/>
      <c r="R510" s="30">
        <f t="shared" si="45"/>
        <v>1000992768</v>
      </c>
      <c r="S510" s="30">
        <f t="shared" si="46"/>
        <v>643072</v>
      </c>
    </row>
    <row r="511" spans="1:19">
      <c r="A511" s="57">
        <v>7</v>
      </c>
      <c r="B511" s="57">
        <v>3</v>
      </c>
      <c r="C511" s="30">
        <v>5</v>
      </c>
      <c r="D511" s="34">
        <v>2</v>
      </c>
      <c r="E511" s="30">
        <v>4</v>
      </c>
      <c r="F511" s="30">
        <v>5</v>
      </c>
      <c r="J511" s="35"/>
      <c r="K511" s="30">
        <v>2</v>
      </c>
      <c r="L511" s="30">
        <v>4</v>
      </c>
      <c r="M511" s="30">
        <v>5</v>
      </c>
      <c r="Q511" s="35"/>
      <c r="R511" s="30">
        <f t="shared" si="45"/>
        <v>1001017344</v>
      </c>
      <c r="S511" s="30">
        <f t="shared" si="46"/>
        <v>675840</v>
      </c>
    </row>
    <row r="512" spans="1:19">
      <c r="A512" s="57">
        <v>7</v>
      </c>
      <c r="B512" s="57">
        <v>3</v>
      </c>
      <c r="C512" s="30">
        <v>5</v>
      </c>
      <c r="D512" s="34">
        <v>2</v>
      </c>
      <c r="E512" s="30">
        <v>4</v>
      </c>
      <c r="F512" s="30">
        <v>6</v>
      </c>
      <c r="J512" s="35"/>
      <c r="K512" s="30">
        <v>2</v>
      </c>
      <c r="L512" s="30">
        <v>4</v>
      </c>
      <c r="M512" s="30">
        <v>5</v>
      </c>
      <c r="Q512" s="35"/>
      <c r="R512" s="30">
        <f t="shared" si="45"/>
        <v>1001021440</v>
      </c>
      <c r="S512" s="30">
        <f t="shared" si="46"/>
        <v>675840</v>
      </c>
    </row>
    <row r="513" spans="1:19">
      <c r="A513" s="57">
        <v>7</v>
      </c>
      <c r="B513" s="57">
        <v>3</v>
      </c>
      <c r="C513" s="30">
        <v>5</v>
      </c>
      <c r="D513" s="34">
        <v>2</v>
      </c>
      <c r="E513" s="30">
        <v>4</v>
      </c>
      <c r="F513" s="30">
        <v>7</v>
      </c>
      <c r="J513" s="35"/>
      <c r="K513" s="30">
        <v>2</v>
      </c>
      <c r="L513" s="30">
        <v>4</v>
      </c>
      <c r="M513" s="30">
        <v>5</v>
      </c>
      <c r="Q513" s="35"/>
      <c r="R513" s="30">
        <f t="shared" si="45"/>
        <v>1001025536</v>
      </c>
      <c r="S513" s="30">
        <f t="shared" si="46"/>
        <v>675840</v>
      </c>
    </row>
    <row r="514" spans="1:19">
      <c r="A514" s="57">
        <v>7</v>
      </c>
      <c r="B514" s="57">
        <v>3</v>
      </c>
      <c r="C514" s="30">
        <v>5</v>
      </c>
      <c r="D514" s="34">
        <v>2</v>
      </c>
      <c r="E514" s="30">
        <v>5</v>
      </c>
      <c r="F514" s="30">
        <v>6</v>
      </c>
      <c r="J514" s="35"/>
      <c r="K514" s="30">
        <v>2</v>
      </c>
      <c r="L514" s="30">
        <v>4</v>
      </c>
      <c r="M514" s="30">
        <v>5</v>
      </c>
      <c r="Q514" s="35"/>
      <c r="R514" s="30">
        <f t="shared" si="45"/>
        <v>1001054208</v>
      </c>
      <c r="S514" s="30">
        <f t="shared" si="46"/>
        <v>675840</v>
      </c>
    </row>
    <row r="515" spans="1:19">
      <c r="A515" s="57">
        <v>7</v>
      </c>
      <c r="B515" s="57">
        <v>3</v>
      </c>
      <c r="C515" s="30">
        <v>5</v>
      </c>
      <c r="D515" s="34">
        <v>2</v>
      </c>
      <c r="E515" s="30">
        <v>5</v>
      </c>
      <c r="F515" s="30">
        <v>7</v>
      </c>
      <c r="J515" s="35"/>
      <c r="K515" s="30">
        <v>2</v>
      </c>
      <c r="L515" s="30">
        <v>4</v>
      </c>
      <c r="M515" s="30">
        <v>5</v>
      </c>
      <c r="Q515" s="35"/>
      <c r="R515" s="30">
        <f t="shared" ref="R515:R578" si="47">J515*8^0+I515*8^1+H515*8^2+G515*8^3+F515*8^4+E515*8^5+D515*8^6+C515*8^7+B515*8^8+A515*8^9</f>
        <v>1001058304</v>
      </c>
      <c r="S515" s="30">
        <f t="shared" si="46"/>
        <v>675840</v>
      </c>
    </row>
    <row r="516" spans="1:19">
      <c r="A516" s="57">
        <v>7</v>
      </c>
      <c r="B516" s="57">
        <v>3</v>
      </c>
      <c r="C516" s="30">
        <v>5</v>
      </c>
      <c r="D516" s="34">
        <v>2</v>
      </c>
      <c r="E516" s="30">
        <v>6</v>
      </c>
      <c r="F516" s="30">
        <v>7</v>
      </c>
      <c r="J516" s="35"/>
      <c r="K516" s="30">
        <v>2</v>
      </c>
      <c r="L516" s="30">
        <v>4</v>
      </c>
      <c r="M516" s="30">
        <v>5</v>
      </c>
      <c r="Q516" s="35"/>
      <c r="R516" s="30">
        <f t="shared" si="47"/>
        <v>1001091072</v>
      </c>
      <c r="S516" s="30">
        <f t="shared" si="46"/>
        <v>675840</v>
      </c>
    </row>
    <row r="517" spans="1:19">
      <c r="A517" s="57">
        <v>7</v>
      </c>
      <c r="B517" s="57">
        <v>3</v>
      </c>
      <c r="C517" s="30">
        <v>5</v>
      </c>
      <c r="D517" s="34">
        <v>3</v>
      </c>
      <c r="E517" s="30">
        <v>4</v>
      </c>
      <c r="F517" s="30">
        <v>5</v>
      </c>
      <c r="J517" s="35"/>
      <c r="K517" s="30">
        <v>3</v>
      </c>
      <c r="L517" s="30">
        <v>4</v>
      </c>
      <c r="M517" s="30">
        <v>5</v>
      </c>
      <c r="Q517" s="35"/>
      <c r="R517" s="30">
        <f t="shared" si="47"/>
        <v>1001279488</v>
      </c>
      <c r="S517" s="30">
        <f t="shared" ref="S517:S580" si="48">Q517*8^0+P517*8^1+O517*8^2+N517*8^3+M517*8^4+L517*8^5+K517*8^6</f>
        <v>937984</v>
      </c>
    </row>
    <row r="518" spans="1:19">
      <c r="A518" s="57">
        <v>7</v>
      </c>
      <c r="B518" s="57">
        <v>3</v>
      </c>
      <c r="C518" s="30">
        <v>5</v>
      </c>
      <c r="D518" s="34">
        <v>3</v>
      </c>
      <c r="E518" s="30">
        <v>4</v>
      </c>
      <c r="F518" s="30">
        <v>6</v>
      </c>
      <c r="J518" s="35"/>
      <c r="K518" s="30">
        <v>3</v>
      </c>
      <c r="L518" s="30">
        <v>4</v>
      </c>
      <c r="M518" s="30">
        <v>5</v>
      </c>
      <c r="Q518" s="35"/>
      <c r="R518" s="30">
        <f t="shared" si="47"/>
        <v>1001283584</v>
      </c>
      <c r="S518" s="30">
        <f t="shared" si="48"/>
        <v>937984</v>
      </c>
    </row>
    <row r="519" spans="1:19">
      <c r="A519" s="57">
        <v>7</v>
      </c>
      <c r="B519" s="57">
        <v>3</v>
      </c>
      <c r="C519" s="30">
        <v>5</v>
      </c>
      <c r="D519" s="34">
        <v>3</v>
      </c>
      <c r="E519" s="30">
        <v>4</v>
      </c>
      <c r="F519" s="30">
        <v>7</v>
      </c>
      <c r="J519" s="35"/>
      <c r="K519" s="30">
        <v>3</v>
      </c>
      <c r="L519" s="30">
        <v>4</v>
      </c>
      <c r="M519" s="30">
        <v>5</v>
      </c>
      <c r="Q519" s="35"/>
      <c r="R519" s="30">
        <f t="shared" si="47"/>
        <v>1001287680</v>
      </c>
      <c r="S519" s="30">
        <f t="shared" si="48"/>
        <v>937984</v>
      </c>
    </row>
    <row r="520" spans="1:19">
      <c r="A520" s="57">
        <v>7</v>
      </c>
      <c r="B520" s="57">
        <v>3</v>
      </c>
      <c r="C520" s="30">
        <v>5</v>
      </c>
      <c r="D520" s="34">
        <v>3</v>
      </c>
      <c r="E520" s="30">
        <v>5</v>
      </c>
      <c r="F520" s="30">
        <v>6</v>
      </c>
      <c r="J520" s="35"/>
      <c r="K520" s="30">
        <v>3</v>
      </c>
      <c r="L520" s="30">
        <v>4</v>
      </c>
      <c r="M520" s="30">
        <v>5</v>
      </c>
      <c r="Q520" s="35"/>
      <c r="R520" s="30">
        <f t="shared" si="47"/>
        <v>1001316352</v>
      </c>
      <c r="S520" s="30">
        <f t="shared" si="48"/>
        <v>937984</v>
      </c>
    </row>
    <row r="521" spans="1:19">
      <c r="A521" s="57">
        <v>7</v>
      </c>
      <c r="B521" s="57">
        <v>3</v>
      </c>
      <c r="C521" s="30">
        <v>5</v>
      </c>
      <c r="D521" s="34">
        <v>3</v>
      </c>
      <c r="E521" s="30">
        <v>5</v>
      </c>
      <c r="F521" s="30">
        <v>7</v>
      </c>
      <c r="J521" s="35"/>
      <c r="K521" s="30">
        <v>3</v>
      </c>
      <c r="L521" s="30">
        <v>4</v>
      </c>
      <c r="M521" s="30">
        <v>5</v>
      </c>
      <c r="Q521" s="35"/>
      <c r="R521" s="30">
        <f t="shared" si="47"/>
        <v>1001320448</v>
      </c>
      <c r="S521" s="30">
        <f t="shared" si="48"/>
        <v>937984</v>
      </c>
    </row>
    <row r="522" spans="1:19">
      <c r="A522" s="57">
        <v>7</v>
      </c>
      <c r="B522" s="57">
        <v>3</v>
      </c>
      <c r="C522" s="30">
        <v>5</v>
      </c>
      <c r="D522" s="34">
        <v>3</v>
      </c>
      <c r="E522" s="30">
        <v>6</v>
      </c>
      <c r="F522" s="30">
        <v>7</v>
      </c>
      <c r="J522" s="35"/>
      <c r="K522" s="30">
        <v>3</v>
      </c>
      <c r="L522" s="30">
        <v>4</v>
      </c>
      <c r="M522" s="30">
        <v>5</v>
      </c>
      <c r="Q522" s="35"/>
      <c r="R522" s="30">
        <f t="shared" si="47"/>
        <v>1001353216</v>
      </c>
      <c r="S522" s="30">
        <f t="shared" si="48"/>
        <v>937984</v>
      </c>
    </row>
    <row r="523" spans="1:19">
      <c r="A523" s="57">
        <v>7</v>
      </c>
      <c r="B523" s="57">
        <v>3</v>
      </c>
      <c r="C523" s="30">
        <v>5</v>
      </c>
      <c r="D523" s="34">
        <v>4</v>
      </c>
      <c r="E523" s="30">
        <v>5</v>
      </c>
      <c r="F523" s="30">
        <v>6</v>
      </c>
      <c r="J523" s="35"/>
      <c r="K523" s="30">
        <v>3</v>
      </c>
      <c r="L523" s="30">
        <v>4</v>
      </c>
      <c r="M523" s="30">
        <v>5</v>
      </c>
      <c r="Q523" s="35"/>
      <c r="R523" s="30">
        <f t="shared" si="47"/>
        <v>1001578496</v>
      </c>
      <c r="S523" s="30">
        <f t="shared" si="48"/>
        <v>937984</v>
      </c>
    </row>
    <row r="524" spans="1:19">
      <c r="A524" s="57">
        <v>7</v>
      </c>
      <c r="B524" s="57">
        <v>3</v>
      </c>
      <c r="C524" s="30">
        <v>5</v>
      </c>
      <c r="D524" s="34">
        <v>4</v>
      </c>
      <c r="E524" s="30">
        <v>5</v>
      </c>
      <c r="F524" s="30">
        <v>7</v>
      </c>
      <c r="J524" s="35"/>
      <c r="K524" s="30">
        <v>3</v>
      </c>
      <c r="L524" s="30">
        <v>4</v>
      </c>
      <c r="M524" s="30">
        <v>5</v>
      </c>
      <c r="Q524" s="35"/>
      <c r="R524" s="30">
        <f t="shared" si="47"/>
        <v>1001582592</v>
      </c>
      <c r="S524" s="30">
        <f t="shared" si="48"/>
        <v>937984</v>
      </c>
    </row>
    <row r="525" spans="1:19">
      <c r="A525" s="57">
        <v>7</v>
      </c>
      <c r="B525" s="57">
        <v>3</v>
      </c>
      <c r="C525" s="30">
        <v>5</v>
      </c>
      <c r="D525" s="34">
        <v>4</v>
      </c>
      <c r="E525" s="30">
        <v>6</v>
      </c>
      <c r="F525" s="30">
        <v>7</v>
      </c>
      <c r="J525" s="35"/>
      <c r="K525" s="30">
        <v>3</v>
      </c>
      <c r="L525" s="30">
        <v>4</v>
      </c>
      <c r="M525" s="30">
        <v>5</v>
      </c>
      <c r="Q525" s="35"/>
      <c r="R525" s="30">
        <f t="shared" si="47"/>
        <v>1001615360</v>
      </c>
      <c r="S525" s="30">
        <f t="shared" si="48"/>
        <v>937984</v>
      </c>
    </row>
    <row r="526" spans="1:19">
      <c r="A526" s="58">
        <v>7</v>
      </c>
      <c r="B526" s="58">
        <v>3</v>
      </c>
      <c r="C526" s="37">
        <v>5</v>
      </c>
      <c r="D526" s="36">
        <v>5</v>
      </c>
      <c r="E526" s="37">
        <v>6</v>
      </c>
      <c r="F526" s="37">
        <v>7</v>
      </c>
      <c r="G526" s="37"/>
      <c r="H526" s="37"/>
      <c r="I526" s="37"/>
      <c r="J526" s="38"/>
      <c r="K526" s="37">
        <v>3</v>
      </c>
      <c r="L526" s="37">
        <v>4</v>
      </c>
      <c r="M526" s="37">
        <v>5</v>
      </c>
      <c r="N526" s="37"/>
      <c r="O526" s="37"/>
      <c r="P526" s="37"/>
      <c r="Q526" s="38"/>
      <c r="R526" s="30">
        <f t="shared" si="47"/>
        <v>1001877504</v>
      </c>
      <c r="S526" s="30">
        <f t="shared" si="48"/>
        <v>937984</v>
      </c>
    </row>
    <row r="527" spans="1:19">
      <c r="A527" s="59">
        <v>7</v>
      </c>
      <c r="B527" s="59">
        <v>3</v>
      </c>
      <c r="C527" s="32">
        <v>6</v>
      </c>
      <c r="D527" s="31">
        <v>1</v>
      </c>
      <c r="E527" s="32">
        <v>2</v>
      </c>
      <c r="F527" s="32">
        <v>3</v>
      </c>
      <c r="G527" s="32"/>
      <c r="H527" s="32"/>
      <c r="I527" s="32"/>
      <c r="J527" s="33"/>
      <c r="K527" s="32">
        <v>1</v>
      </c>
      <c r="L527" s="32">
        <v>2</v>
      </c>
      <c r="M527" s="32">
        <v>3</v>
      </c>
      <c r="N527" s="32"/>
      <c r="O527" s="32"/>
      <c r="P527" s="32"/>
      <c r="Q527" s="33"/>
      <c r="R527" s="30">
        <f t="shared" si="47"/>
        <v>1002778624</v>
      </c>
      <c r="S527" s="30">
        <f t="shared" si="48"/>
        <v>339968</v>
      </c>
    </row>
    <row r="528" spans="1:19">
      <c r="A528" s="57">
        <v>7</v>
      </c>
      <c r="B528" s="57">
        <v>3</v>
      </c>
      <c r="C528" s="30">
        <v>6</v>
      </c>
      <c r="D528" s="34">
        <v>1</v>
      </c>
      <c r="E528" s="30">
        <v>2</v>
      </c>
      <c r="F528" s="30">
        <v>4</v>
      </c>
      <c r="J528" s="35"/>
      <c r="K528" s="30">
        <v>1</v>
      </c>
      <c r="L528" s="30">
        <v>2</v>
      </c>
      <c r="M528" s="30">
        <v>4</v>
      </c>
      <c r="Q528" s="35"/>
      <c r="R528" s="30">
        <f t="shared" si="47"/>
        <v>1002782720</v>
      </c>
      <c r="S528" s="30">
        <f t="shared" si="48"/>
        <v>344064</v>
      </c>
    </row>
    <row r="529" spans="1:19">
      <c r="A529" s="57">
        <v>7</v>
      </c>
      <c r="B529" s="57">
        <v>3</v>
      </c>
      <c r="C529" s="30">
        <v>6</v>
      </c>
      <c r="D529" s="34">
        <v>1</v>
      </c>
      <c r="E529" s="30">
        <v>2</v>
      </c>
      <c r="F529" s="30">
        <v>5</v>
      </c>
      <c r="J529" s="35"/>
      <c r="K529" s="30">
        <v>1</v>
      </c>
      <c r="L529" s="30">
        <v>2</v>
      </c>
      <c r="M529" s="30">
        <v>5</v>
      </c>
      <c r="Q529" s="35"/>
      <c r="R529" s="30">
        <f t="shared" si="47"/>
        <v>1002786816</v>
      </c>
      <c r="S529" s="30">
        <f t="shared" si="48"/>
        <v>348160</v>
      </c>
    </row>
    <row r="530" spans="1:19">
      <c r="A530" s="57">
        <v>7</v>
      </c>
      <c r="B530" s="57">
        <v>3</v>
      </c>
      <c r="C530" s="30">
        <v>6</v>
      </c>
      <c r="D530" s="34">
        <v>1</v>
      </c>
      <c r="E530" s="30">
        <v>2</v>
      </c>
      <c r="F530" s="30">
        <v>6</v>
      </c>
      <c r="J530" s="35"/>
      <c r="K530" s="30">
        <v>1</v>
      </c>
      <c r="L530" s="30">
        <v>2</v>
      </c>
      <c r="M530" s="30">
        <v>6</v>
      </c>
      <c r="Q530" s="35"/>
      <c r="R530" s="30">
        <f t="shared" si="47"/>
        <v>1002790912</v>
      </c>
      <c r="S530" s="30">
        <f t="shared" si="48"/>
        <v>352256</v>
      </c>
    </row>
    <row r="531" spans="1:19">
      <c r="A531" s="57">
        <v>7</v>
      </c>
      <c r="B531" s="57">
        <v>3</v>
      </c>
      <c r="C531" s="30">
        <v>6</v>
      </c>
      <c r="D531" s="34">
        <v>1</v>
      </c>
      <c r="E531" s="30">
        <v>2</v>
      </c>
      <c r="F531" s="30">
        <v>7</v>
      </c>
      <c r="J531" s="35"/>
      <c r="K531" s="30">
        <v>1</v>
      </c>
      <c r="L531" s="30">
        <v>2</v>
      </c>
      <c r="M531" s="30">
        <v>6</v>
      </c>
      <c r="Q531" s="35"/>
      <c r="R531" s="30">
        <f t="shared" si="47"/>
        <v>1002795008</v>
      </c>
      <c r="S531" s="30">
        <f t="shared" si="48"/>
        <v>352256</v>
      </c>
    </row>
    <row r="532" spans="1:19">
      <c r="A532" s="57">
        <v>7</v>
      </c>
      <c r="B532" s="57">
        <v>3</v>
      </c>
      <c r="C532" s="30">
        <v>6</v>
      </c>
      <c r="D532" s="34">
        <v>1</v>
      </c>
      <c r="E532" s="30">
        <v>3</v>
      </c>
      <c r="F532" s="30">
        <v>4</v>
      </c>
      <c r="J532" s="35"/>
      <c r="K532" s="30">
        <v>1</v>
      </c>
      <c r="L532" s="30">
        <v>3</v>
      </c>
      <c r="M532" s="30">
        <v>4</v>
      </c>
      <c r="Q532" s="35"/>
      <c r="R532" s="30">
        <f t="shared" si="47"/>
        <v>1002815488</v>
      </c>
      <c r="S532" s="30">
        <f t="shared" si="48"/>
        <v>376832</v>
      </c>
    </row>
    <row r="533" spans="1:19">
      <c r="A533" s="57">
        <v>7</v>
      </c>
      <c r="B533" s="57">
        <v>3</v>
      </c>
      <c r="C533" s="30">
        <v>6</v>
      </c>
      <c r="D533" s="34">
        <v>1</v>
      </c>
      <c r="E533" s="30">
        <v>3</v>
      </c>
      <c r="F533" s="30">
        <v>5</v>
      </c>
      <c r="J533" s="35"/>
      <c r="K533" s="30">
        <v>1</v>
      </c>
      <c r="L533" s="30">
        <v>3</v>
      </c>
      <c r="M533" s="30">
        <v>5</v>
      </c>
      <c r="Q533" s="35"/>
      <c r="R533" s="30">
        <f t="shared" si="47"/>
        <v>1002819584</v>
      </c>
      <c r="S533" s="30">
        <f t="shared" si="48"/>
        <v>380928</v>
      </c>
    </row>
    <row r="534" spans="1:19">
      <c r="A534" s="57">
        <v>7</v>
      </c>
      <c r="B534" s="57">
        <v>3</v>
      </c>
      <c r="C534" s="30">
        <v>6</v>
      </c>
      <c r="D534" s="34">
        <v>1</v>
      </c>
      <c r="E534" s="30">
        <v>3</v>
      </c>
      <c r="F534" s="30">
        <v>6</v>
      </c>
      <c r="J534" s="35"/>
      <c r="K534" s="30">
        <v>1</v>
      </c>
      <c r="L534" s="30">
        <v>3</v>
      </c>
      <c r="M534" s="30">
        <v>6</v>
      </c>
      <c r="Q534" s="35"/>
      <c r="R534" s="30">
        <f t="shared" si="47"/>
        <v>1002823680</v>
      </c>
      <c r="S534" s="30">
        <f t="shared" si="48"/>
        <v>385024</v>
      </c>
    </row>
    <row r="535" spans="1:19">
      <c r="A535" s="57">
        <v>7</v>
      </c>
      <c r="B535" s="57">
        <v>3</v>
      </c>
      <c r="C535" s="30">
        <v>6</v>
      </c>
      <c r="D535" s="34">
        <v>1</v>
      </c>
      <c r="E535" s="30">
        <v>3</v>
      </c>
      <c r="F535" s="30">
        <v>7</v>
      </c>
      <c r="J535" s="35"/>
      <c r="K535" s="30">
        <v>1</v>
      </c>
      <c r="L535" s="30">
        <v>3</v>
      </c>
      <c r="M535" s="30">
        <v>6</v>
      </c>
      <c r="Q535" s="35"/>
      <c r="R535" s="30">
        <f t="shared" si="47"/>
        <v>1002827776</v>
      </c>
      <c r="S535" s="30">
        <f t="shared" si="48"/>
        <v>385024</v>
      </c>
    </row>
    <row r="536" spans="1:19">
      <c r="A536" s="57">
        <v>7</v>
      </c>
      <c r="B536" s="57">
        <v>3</v>
      </c>
      <c r="C536" s="30">
        <v>6</v>
      </c>
      <c r="D536" s="34">
        <v>1</v>
      </c>
      <c r="E536" s="30">
        <v>4</v>
      </c>
      <c r="F536" s="30">
        <v>5</v>
      </c>
      <c r="J536" s="35"/>
      <c r="K536" s="30">
        <v>1</v>
      </c>
      <c r="L536" s="30">
        <v>4</v>
      </c>
      <c r="M536" s="30">
        <v>5</v>
      </c>
      <c r="Q536" s="35"/>
      <c r="R536" s="30">
        <f t="shared" si="47"/>
        <v>1002852352</v>
      </c>
      <c r="S536" s="30">
        <f t="shared" si="48"/>
        <v>413696</v>
      </c>
    </row>
    <row r="537" spans="1:19">
      <c r="A537" s="57">
        <v>7</v>
      </c>
      <c r="B537" s="57">
        <v>3</v>
      </c>
      <c r="C537" s="30">
        <v>6</v>
      </c>
      <c r="D537" s="34">
        <v>1</v>
      </c>
      <c r="E537" s="30">
        <v>4</v>
      </c>
      <c r="F537" s="30">
        <v>6</v>
      </c>
      <c r="J537" s="35"/>
      <c r="K537" s="30">
        <v>1</v>
      </c>
      <c r="L537" s="30">
        <v>4</v>
      </c>
      <c r="M537" s="30">
        <v>6</v>
      </c>
      <c r="Q537" s="35"/>
      <c r="R537" s="30">
        <f t="shared" si="47"/>
        <v>1002856448</v>
      </c>
      <c r="S537" s="30">
        <f t="shared" si="48"/>
        <v>417792</v>
      </c>
    </row>
    <row r="538" spans="1:19">
      <c r="A538" s="57">
        <v>7</v>
      </c>
      <c r="B538" s="57">
        <v>3</v>
      </c>
      <c r="C538" s="30">
        <v>6</v>
      </c>
      <c r="D538" s="34">
        <v>1</v>
      </c>
      <c r="E538" s="30">
        <v>4</v>
      </c>
      <c r="F538" s="30">
        <v>7</v>
      </c>
      <c r="J538" s="35"/>
      <c r="K538" s="30">
        <v>1</v>
      </c>
      <c r="L538" s="30">
        <v>4</v>
      </c>
      <c r="M538" s="30">
        <v>6</v>
      </c>
      <c r="Q538" s="35"/>
      <c r="R538" s="30">
        <f t="shared" si="47"/>
        <v>1002860544</v>
      </c>
      <c r="S538" s="30">
        <f t="shared" si="48"/>
        <v>417792</v>
      </c>
    </row>
    <row r="539" spans="1:19">
      <c r="A539" s="57">
        <v>7</v>
      </c>
      <c r="B539" s="57">
        <v>3</v>
      </c>
      <c r="C539" s="30">
        <v>6</v>
      </c>
      <c r="D539" s="34">
        <v>1</v>
      </c>
      <c r="E539" s="30">
        <v>5</v>
      </c>
      <c r="F539" s="30">
        <v>6</v>
      </c>
      <c r="J539" s="35"/>
      <c r="K539" s="30">
        <v>1</v>
      </c>
      <c r="L539" s="30">
        <v>5</v>
      </c>
      <c r="M539" s="30">
        <v>6</v>
      </c>
      <c r="Q539" s="35"/>
      <c r="R539" s="30">
        <f t="shared" si="47"/>
        <v>1002889216</v>
      </c>
      <c r="S539" s="30">
        <f t="shared" si="48"/>
        <v>450560</v>
      </c>
    </row>
    <row r="540" spans="1:19">
      <c r="A540" s="57">
        <v>7</v>
      </c>
      <c r="B540" s="57">
        <v>3</v>
      </c>
      <c r="C540" s="30">
        <v>6</v>
      </c>
      <c r="D540" s="34">
        <v>1</v>
      </c>
      <c r="E540" s="30">
        <v>5</v>
      </c>
      <c r="F540" s="30">
        <v>7</v>
      </c>
      <c r="J540" s="35"/>
      <c r="K540" s="30">
        <v>1</v>
      </c>
      <c r="L540" s="30">
        <v>5</v>
      </c>
      <c r="M540" s="30">
        <v>6</v>
      </c>
      <c r="Q540" s="35"/>
      <c r="R540" s="30">
        <f t="shared" si="47"/>
        <v>1002893312</v>
      </c>
      <c r="S540" s="30">
        <f t="shared" si="48"/>
        <v>450560</v>
      </c>
    </row>
    <row r="541" spans="1:19">
      <c r="A541" s="57">
        <v>7</v>
      </c>
      <c r="B541" s="57">
        <v>3</v>
      </c>
      <c r="C541" s="30">
        <v>6</v>
      </c>
      <c r="D541" s="34">
        <v>1</v>
      </c>
      <c r="E541" s="30">
        <v>6</v>
      </c>
      <c r="F541" s="30">
        <v>7</v>
      </c>
      <c r="J541" s="35"/>
      <c r="K541" s="30">
        <v>1</v>
      </c>
      <c r="L541" s="30">
        <v>5</v>
      </c>
      <c r="M541" s="30">
        <v>6</v>
      </c>
      <c r="Q541" s="35"/>
      <c r="R541" s="30">
        <f t="shared" si="47"/>
        <v>1002926080</v>
      </c>
      <c r="S541" s="30">
        <f t="shared" si="48"/>
        <v>450560</v>
      </c>
    </row>
    <row r="542" spans="1:19">
      <c r="A542" s="57">
        <v>7</v>
      </c>
      <c r="B542" s="57">
        <v>3</v>
      </c>
      <c r="C542" s="30">
        <v>6</v>
      </c>
      <c r="D542" s="34">
        <v>2</v>
      </c>
      <c r="E542" s="30">
        <v>3</v>
      </c>
      <c r="F542" s="30">
        <v>4</v>
      </c>
      <c r="J542" s="35"/>
      <c r="K542" s="30">
        <v>2</v>
      </c>
      <c r="L542" s="30">
        <v>3</v>
      </c>
      <c r="M542" s="30">
        <v>4</v>
      </c>
      <c r="Q542" s="35"/>
      <c r="R542" s="30">
        <f t="shared" si="47"/>
        <v>1003077632</v>
      </c>
      <c r="S542" s="30">
        <f t="shared" si="48"/>
        <v>638976</v>
      </c>
    </row>
    <row r="543" spans="1:19">
      <c r="A543" s="57">
        <v>7</v>
      </c>
      <c r="B543" s="57">
        <v>3</v>
      </c>
      <c r="C543" s="30">
        <v>6</v>
      </c>
      <c r="D543" s="34">
        <v>2</v>
      </c>
      <c r="E543" s="30">
        <v>3</v>
      </c>
      <c r="F543" s="30">
        <v>5</v>
      </c>
      <c r="J543" s="35"/>
      <c r="K543" s="30">
        <v>2</v>
      </c>
      <c r="L543" s="30">
        <v>3</v>
      </c>
      <c r="M543" s="30">
        <v>5</v>
      </c>
      <c r="Q543" s="35"/>
      <c r="R543" s="30">
        <f t="shared" si="47"/>
        <v>1003081728</v>
      </c>
      <c r="S543" s="30">
        <f t="shared" si="48"/>
        <v>643072</v>
      </c>
    </row>
    <row r="544" spans="1:19">
      <c r="A544" s="57">
        <v>7</v>
      </c>
      <c r="B544" s="57">
        <v>3</v>
      </c>
      <c r="C544" s="30">
        <v>6</v>
      </c>
      <c r="D544" s="34">
        <v>2</v>
      </c>
      <c r="E544" s="30">
        <v>3</v>
      </c>
      <c r="F544" s="30">
        <v>6</v>
      </c>
      <c r="J544" s="35"/>
      <c r="K544" s="30">
        <v>2</v>
      </c>
      <c r="L544" s="30">
        <v>3</v>
      </c>
      <c r="M544" s="30">
        <v>6</v>
      </c>
      <c r="Q544" s="35"/>
      <c r="R544" s="30">
        <f t="shared" si="47"/>
        <v>1003085824</v>
      </c>
      <c r="S544" s="30">
        <f t="shared" si="48"/>
        <v>647168</v>
      </c>
    </row>
    <row r="545" spans="1:19">
      <c r="A545" s="57">
        <v>7</v>
      </c>
      <c r="B545" s="57">
        <v>3</v>
      </c>
      <c r="C545" s="30">
        <v>6</v>
      </c>
      <c r="D545" s="34">
        <v>2</v>
      </c>
      <c r="E545" s="30">
        <v>3</v>
      </c>
      <c r="F545" s="30">
        <v>7</v>
      </c>
      <c r="J545" s="35"/>
      <c r="K545" s="30">
        <v>2</v>
      </c>
      <c r="L545" s="30">
        <v>3</v>
      </c>
      <c r="M545" s="30">
        <v>6</v>
      </c>
      <c r="Q545" s="35"/>
      <c r="R545" s="30">
        <f t="shared" si="47"/>
        <v>1003089920</v>
      </c>
      <c r="S545" s="30">
        <f t="shared" si="48"/>
        <v>647168</v>
      </c>
    </row>
    <row r="546" spans="1:19">
      <c r="A546" s="57">
        <v>7</v>
      </c>
      <c r="B546" s="57">
        <v>3</v>
      </c>
      <c r="C546" s="30">
        <v>6</v>
      </c>
      <c r="D546" s="34">
        <v>2</v>
      </c>
      <c r="E546" s="30">
        <v>4</v>
      </c>
      <c r="F546" s="30">
        <v>5</v>
      </c>
      <c r="J546" s="35"/>
      <c r="K546" s="30">
        <v>2</v>
      </c>
      <c r="L546" s="30">
        <v>4</v>
      </c>
      <c r="M546" s="30">
        <v>5</v>
      </c>
      <c r="Q546" s="35"/>
      <c r="R546" s="30">
        <f t="shared" si="47"/>
        <v>1003114496</v>
      </c>
      <c r="S546" s="30">
        <f t="shared" si="48"/>
        <v>675840</v>
      </c>
    </row>
    <row r="547" spans="1:19">
      <c r="A547" s="57">
        <v>7</v>
      </c>
      <c r="B547" s="57">
        <v>3</v>
      </c>
      <c r="C547" s="30">
        <v>6</v>
      </c>
      <c r="D547" s="34">
        <v>2</v>
      </c>
      <c r="E547" s="30">
        <v>4</v>
      </c>
      <c r="F547" s="30">
        <v>6</v>
      </c>
      <c r="J547" s="35"/>
      <c r="K547" s="30">
        <v>2</v>
      </c>
      <c r="L547" s="30">
        <v>4</v>
      </c>
      <c r="M547" s="30">
        <v>6</v>
      </c>
      <c r="Q547" s="35"/>
      <c r="R547" s="30">
        <f t="shared" si="47"/>
        <v>1003118592</v>
      </c>
      <c r="S547" s="30">
        <f t="shared" si="48"/>
        <v>679936</v>
      </c>
    </row>
    <row r="548" spans="1:19">
      <c r="A548" s="57">
        <v>7</v>
      </c>
      <c r="B548" s="57">
        <v>3</v>
      </c>
      <c r="C548" s="30">
        <v>6</v>
      </c>
      <c r="D548" s="34">
        <v>2</v>
      </c>
      <c r="E548" s="30">
        <v>4</v>
      </c>
      <c r="F548" s="30">
        <v>7</v>
      </c>
      <c r="J548" s="35"/>
      <c r="K548" s="30">
        <v>2</v>
      </c>
      <c r="L548" s="30">
        <v>4</v>
      </c>
      <c r="M548" s="30">
        <v>6</v>
      </c>
      <c r="Q548" s="35"/>
      <c r="R548" s="30">
        <f t="shared" si="47"/>
        <v>1003122688</v>
      </c>
      <c r="S548" s="30">
        <f t="shared" si="48"/>
        <v>679936</v>
      </c>
    </row>
    <row r="549" spans="1:19">
      <c r="A549" s="57">
        <v>7</v>
      </c>
      <c r="B549" s="57">
        <v>3</v>
      </c>
      <c r="C549" s="30">
        <v>6</v>
      </c>
      <c r="D549" s="34">
        <v>2</v>
      </c>
      <c r="E549" s="30">
        <v>5</v>
      </c>
      <c r="F549" s="30">
        <v>6</v>
      </c>
      <c r="J549" s="35"/>
      <c r="K549" s="30">
        <v>2</v>
      </c>
      <c r="L549" s="30">
        <v>5</v>
      </c>
      <c r="M549" s="30">
        <v>6</v>
      </c>
      <c r="Q549" s="35"/>
      <c r="R549" s="30">
        <f t="shared" si="47"/>
        <v>1003151360</v>
      </c>
      <c r="S549" s="30">
        <f t="shared" si="48"/>
        <v>712704</v>
      </c>
    </row>
    <row r="550" spans="1:19">
      <c r="A550" s="57">
        <v>7</v>
      </c>
      <c r="B550" s="57">
        <v>3</v>
      </c>
      <c r="C550" s="30">
        <v>6</v>
      </c>
      <c r="D550" s="34">
        <v>2</v>
      </c>
      <c r="E550" s="30">
        <v>5</v>
      </c>
      <c r="F550" s="30">
        <v>7</v>
      </c>
      <c r="J550" s="35"/>
      <c r="K550" s="30">
        <v>2</v>
      </c>
      <c r="L550" s="30">
        <v>5</v>
      </c>
      <c r="M550" s="30">
        <v>6</v>
      </c>
      <c r="Q550" s="35"/>
      <c r="R550" s="30">
        <f t="shared" si="47"/>
        <v>1003155456</v>
      </c>
      <c r="S550" s="30">
        <f t="shared" si="48"/>
        <v>712704</v>
      </c>
    </row>
    <row r="551" spans="1:19">
      <c r="A551" s="57">
        <v>7</v>
      </c>
      <c r="B551" s="57">
        <v>3</v>
      </c>
      <c r="C551" s="30">
        <v>6</v>
      </c>
      <c r="D551" s="34">
        <v>2</v>
      </c>
      <c r="E551" s="30">
        <v>6</v>
      </c>
      <c r="F551" s="30">
        <v>7</v>
      </c>
      <c r="J551" s="35"/>
      <c r="K551" s="30">
        <v>2</v>
      </c>
      <c r="L551" s="30">
        <v>5</v>
      </c>
      <c r="M551" s="30">
        <v>6</v>
      </c>
      <c r="Q551" s="35"/>
      <c r="R551" s="30">
        <f t="shared" si="47"/>
        <v>1003188224</v>
      </c>
      <c r="S551" s="30">
        <f t="shared" si="48"/>
        <v>712704</v>
      </c>
    </row>
    <row r="552" spans="1:19">
      <c r="A552" s="57">
        <v>7</v>
      </c>
      <c r="B552" s="57">
        <v>3</v>
      </c>
      <c r="C552" s="30">
        <v>6</v>
      </c>
      <c r="D552" s="34">
        <v>3</v>
      </c>
      <c r="E552" s="30">
        <v>4</v>
      </c>
      <c r="F552" s="30">
        <v>5</v>
      </c>
      <c r="J552" s="35"/>
      <c r="K552" s="30">
        <v>3</v>
      </c>
      <c r="L552" s="30">
        <v>4</v>
      </c>
      <c r="M552" s="30">
        <v>5</v>
      </c>
      <c r="Q552" s="35"/>
      <c r="R552" s="30">
        <f t="shared" si="47"/>
        <v>1003376640</v>
      </c>
      <c r="S552" s="30">
        <f t="shared" si="48"/>
        <v>937984</v>
      </c>
    </row>
    <row r="553" spans="1:19">
      <c r="A553" s="57">
        <v>7</v>
      </c>
      <c r="B553" s="57">
        <v>3</v>
      </c>
      <c r="C553" s="30">
        <v>6</v>
      </c>
      <c r="D553" s="34">
        <v>3</v>
      </c>
      <c r="E553" s="30">
        <v>4</v>
      </c>
      <c r="F553" s="30">
        <v>6</v>
      </c>
      <c r="J553" s="35"/>
      <c r="K553" s="30">
        <v>3</v>
      </c>
      <c r="L553" s="30">
        <v>4</v>
      </c>
      <c r="M553" s="30">
        <v>6</v>
      </c>
      <c r="Q553" s="35"/>
      <c r="R553" s="30">
        <f t="shared" si="47"/>
        <v>1003380736</v>
      </c>
      <c r="S553" s="30">
        <f t="shared" si="48"/>
        <v>942080</v>
      </c>
    </row>
    <row r="554" spans="1:19">
      <c r="A554" s="57">
        <v>7</v>
      </c>
      <c r="B554" s="57">
        <v>3</v>
      </c>
      <c r="C554" s="30">
        <v>6</v>
      </c>
      <c r="D554" s="34">
        <v>3</v>
      </c>
      <c r="E554" s="30">
        <v>4</v>
      </c>
      <c r="F554" s="30">
        <v>7</v>
      </c>
      <c r="J554" s="35"/>
      <c r="K554" s="30">
        <v>3</v>
      </c>
      <c r="L554" s="30">
        <v>4</v>
      </c>
      <c r="M554" s="30">
        <v>6</v>
      </c>
      <c r="Q554" s="35"/>
      <c r="R554" s="30">
        <f t="shared" si="47"/>
        <v>1003384832</v>
      </c>
      <c r="S554" s="30">
        <f t="shared" si="48"/>
        <v>942080</v>
      </c>
    </row>
    <row r="555" spans="1:19">
      <c r="A555" s="57">
        <v>7</v>
      </c>
      <c r="B555" s="57">
        <v>3</v>
      </c>
      <c r="C555" s="30">
        <v>6</v>
      </c>
      <c r="D555" s="34">
        <v>3</v>
      </c>
      <c r="E555" s="30">
        <v>5</v>
      </c>
      <c r="F555" s="30">
        <v>6</v>
      </c>
      <c r="J555" s="35"/>
      <c r="K555" s="30">
        <v>3</v>
      </c>
      <c r="L555" s="30">
        <v>5</v>
      </c>
      <c r="M555" s="30">
        <v>6</v>
      </c>
      <c r="Q555" s="35"/>
      <c r="R555" s="30">
        <f t="shared" si="47"/>
        <v>1003413504</v>
      </c>
      <c r="S555" s="30">
        <f t="shared" si="48"/>
        <v>974848</v>
      </c>
    </row>
    <row r="556" spans="1:19">
      <c r="A556" s="57">
        <v>7</v>
      </c>
      <c r="B556" s="57">
        <v>3</v>
      </c>
      <c r="C556" s="30">
        <v>6</v>
      </c>
      <c r="D556" s="34">
        <v>3</v>
      </c>
      <c r="E556" s="30">
        <v>5</v>
      </c>
      <c r="F556" s="30">
        <v>7</v>
      </c>
      <c r="J556" s="35"/>
      <c r="K556" s="30">
        <v>3</v>
      </c>
      <c r="L556" s="30">
        <v>5</v>
      </c>
      <c r="M556" s="30">
        <v>6</v>
      </c>
      <c r="Q556" s="35"/>
      <c r="R556" s="30">
        <f t="shared" si="47"/>
        <v>1003417600</v>
      </c>
      <c r="S556" s="30">
        <f t="shared" si="48"/>
        <v>974848</v>
      </c>
    </row>
    <row r="557" spans="1:19">
      <c r="A557" s="57">
        <v>7</v>
      </c>
      <c r="B557" s="57">
        <v>3</v>
      </c>
      <c r="C557" s="30">
        <v>6</v>
      </c>
      <c r="D557" s="34">
        <v>3</v>
      </c>
      <c r="E557" s="30">
        <v>6</v>
      </c>
      <c r="F557" s="30">
        <v>7</v>
      </c>
      <c r="J557" s="35"/>
      <c r="K557" s="30">
        <v>3</v>
      </c>
      <c r="L557" s="30">
        <v>5</v>
      </c>
      <c r="M557" s="30">
        <v>6</v>
      </c>
      <c r="Q557" s="35"/>
      <c r="R557" s="30">
        <f t="shared" si="47"/>
        <v>1003450368</v>
      </c>
      <c r="S557" s="30">
        <f t="shared" si="48"/>
        <v>974848</v>
      </c>
    </row>
    <row r="558" spans="1:19">
      <c r="A558" s="57">
        <v>7</v>
      </c>
      <c r="B558" s="57">
        <v>3</v>
      </c>
      <c r="C558" s="30">
        <v>6</v>
      </c>
      <c r="D558" s="34">
        <v>4</v>
      </c>
      <c r="E558" s="30">
        <v>5</v>
      </c>
      <c r="F558" s="30">
        <v>6</v>
      </c>
      <c r="J558" s="35"/>
      <c r="K558" s="30">
        <v>4</v>
      </c>
      <c r="L558" s="30">
        <v>5</v>
      </c>
      <c r="M558" s="30">
        <v>6</v>
      </c>
      <c r="Q558" s="35"/>
      <c r="R558" s="30">
        <f t="shared" si="47"/>
        <v>1003675648</v>
      </c>
      <c r="S558" s="30">
        <f t="shared" si="48"/>
        <v>1236992</v>
      </c>
    </row>
    <row r="559" spans="1:19">
      <c r="A559" s="57">
        <v>7</v>
      </c>
      <c r="B559" s="57">
        <v>3</v>
      </c>
      <c r="C559" s="30">
        <v>6</v>
      </c>
      <c r="D559" s="34">
        <v>4</v>
      </c>
      <c r="E559" s="30">
        <v>5</v>
      </c>
      <c r="F559" s="30">
        <v>7</v>
      </c>
      <c r="J559" s="35"/>
      <c r="K559" s="30">
        <v>4</v>
      </c>
      <c r="L559" s="30">
        <v>5</v>
      </c>
      <c r="M559" s="30">
        <v>6</v>
      </c>
      <c r="Q559" s="35"/>
      <c r="R559" s="30">
        <f t="shared" si="47"/>
        <v>1003679744</v>
      </c>
      <c r="S559" s="30">
        <f t="shared" si="48"/>
        <v>1236992</v>
      </c>
    </row>
    <row r="560" spans="1:19">
      <c r="A560" s="57">
        <v>7</v>
      </c>
      <c r="B560" s="57">
        <v>3</v>
      </c>
      <c r="C560" s="30">
        <v>6</v>
      </c>
      <c r="D560" s="34">
        <v>4</v>
      </c>
      <c r="E560" s="30">
        <v>6</v>
      </c>
      <c r="F560" s="30">
        <v>7</v>
      </c>
      <c r="J560" s="35"/>
      <c r="K560" s="30">
        <v>4</v>
      </c>
      <c r="L560" s="30">
        <v>5</v>
      </c>
      <c r="M560" s="30">
        <v>6</v>
      </c>
      <c r="Q560" s="35"/>
      <c r="R560" s="30">
        <f t="shared" si="47"/>
        <v>1003712512</v>
      </c>
      <c r="S560" s="30">
        <f t="shared" si="48"/>
        <v>1236992</v>
      </c>
    </row>
    <row r="561" spans="1:19">
      <c r="A561" s="58">
        <v>7</v>
      </c>
      <c r="B561" s="58">
        <v>3</v>
      </c>
      <c r="C561" s="37">
        <v>6</v>
      </c>
      <c r="D561" s="36">
        <v>5</v>
      </c>
      <c r="E561" s="37">
        <v>6</v>
      </c>
      <c r="F561" s="37">
        <v>7</v>
      </c>
      <c r="G561" s="37"/>
      <c r="H561" s="37"/>
      <c r="I561" s="37"/>
      <c r="J561" s="38"/>
      <c r="K561" s="37">
        <v>4</v>
      </c>
      <c r="L561" s="37">
        <v>5</v>
      </c>
      <c r="M561" s="37">
        <v>6</v>
      </c>
      <c r="N561" s="37"/>
      <c r="O561" s="37"/>
      <c r="P561" s="37"/>
      <c r="Q561" s="38"/>
      <c r="R561" s="30">
        <f t="shared" si="47"/>
        <v>1003974656</v>
      </c>
      <c r="S561" s="30">
        <f t="shared" si="48"/>
        <v>1236992</v>
      </c>
    </row>
    <row r="562" spans="1:19">
      <c r="A562" s="59">
        <v>7</v>
      </c>
      <c r="B562" s="59">
        <v>4</v>
      </c>
      <c r="C562" s="32">
        <v>4</v>
      </c>
      <c r="D562" s="31">
        <v>1</v>
      </c>
      <c r="E562" s="32">
        <v>2</v>
      </c>
      <c r="F562" s="32">
        <v>3</v>
      </c>
      <c r="G562" s="32">
        <v>4</v>
      </c>
      <c r="H562" s="32"/>
      <c r="I562" s="32"/>
      <c r="J562" s="33"/>
      <c r="K562" s="31">
        <v>1</v>
      </c>
      <c r="L562" s="32">
        <v>2</v>
      </c>
      <c r="M562" s="32">
        <v>3</v>
      </c>
      <c r="N562" s="32">
        <v>4</v>
      </c>
      <c r="O562" s="32"/>
      <c r="P562" s="32"/>
      <c r="Q562" s="33"/>
      <c r="R562" s="30">
        <f t="shared" si="47"/>
        <v>1015363584</v>
      </c>
      <c r="S562" s="30">
        <f t="shared" si="48"/>
        <v>342016</v>
      </c>
    </row>
    <row r="563" spans="1:19">
      <c r="A563" s="57">
        <v>7</v>
      </c>
      <c r="B563" s="57">
        <v>4</v>
      </c>
      <c r="C563" s="30">
        <v>4</v>
      </c>
      <c r="D563" s="34">
        <v>1</v>
      </c>
      <c r="E563" s="30">
        <v>2</v>
      </c>
      <c r="F563" s="30">
        <v>3</v>
      </c>
      <c r="G563" s="30">
        <v>5</v>
      </c>
      <c r="J563" s="35"/>
      <c r="K563" s="30">
        <v>1</v>
      </c>
      <c r="L563" s="30">
        <v>2</v>
      </c>
      <c r="M563" s="30">
        <v>3</v>
      </c>
      <c r="N563" s="30">
        <v>4</v>
      </c>
      <c r="Q563" s="35"/>
      <c r="R563" s="30">
        <f t="shared" si="47"/>
        <v>1015364096</v>
      </c>
      <c r="S563" s="30">
        <f t="shared" si="48"/>
        <v>342016</v>
      </c>
    </row>
    <row r="564" spans="1:19">
      <c r="A564" s="57">
        <v>7</v>
      </c>
      <c r="B564" s="57">
        <v>4</v>
      </c>
      <c r="C564" s="30">
        <v>4</v>
      </c>
      <c r="D564" s="34">
        <v>1</v>
      </c>
      <c r="E564" s="30">
        <v>2</v>
      </c>
      <c r="F564" s="30">
        <v>3</v>
      </c>
      <c r="G564" s="30">
        <v>6</v>
      </c>
      <c r="J564" s="35"/>
      <c r="K564" s="30">
        <v>1</v>
      </c>
      <c r="L564" s="30">
        <v>2</v>
      </c>
      <c r="M564" s="30">
        <v>3</v>
      </c>
      <c r="N564" s="30">
        <v>4</v>
      </c>
      <c r="Q564" s="35"/>
      <c r="R564" s="30">
        <f t="shared" si="47"/>
        <v>1015364608</v>
      </c>
      <c r="S564" s="30">
        <f t="shared" si="48"/>
        <v>342016</v>
      </c>
    </row>
    <row r="565" spans="1:19">
      <c r="A565" s="57">
        <v>7</v>
      </c>
      <c r="B565" s="57">
        <v>4</v>
      </c>
      <c r="C565" s="30">
        <v>4</v>
      </c>
      <c r="D565" s="34">
        <v>1</v>
      </c>
      <c r="E565" s="30">
        <v>2</v>
      </c>
      <c r="F565" s="30">
        <v>3</v>
      </c>
      <c r="G565" s="30">
        <v>7</v>
      </c>
      <c r="J565" s="35"/>
      <c r="K565" s="30">
        <v>1</v>
      </c>
      <c r="L565" s="30">
        <v>2</v>
      </c>
      <c r="M565" s="30">
        <v>3</v>
      </c>
      <c r="N565" s="30">
        <v>4</v>
      </c>
      <c r="Q565" s="35"/>
      <c r="R565" s="30">
        <f t="shared" si="47"/>
        <v>1015365120</v>
      </c>
      <c r="S565" s="30">
        <f t="shared" si="48"/>
        <v>342016</v>
      </c>
    </row>
    <row r="566" spans="1:19">
      <c r="A566" s="57">
        <v>7</v>
      </c>
      <c r="B566" s="57">
        <v>4</v>
      </c>
      <c r="C566" s="30">
        <v>4</v>
      </c>
      <c r="D566" s="34">
        <v>1</v>
      </c>
      <c r="E566" s="30">
        <v>2</v>
      </c>
      <c r="F566" s="30">
        <v>4</v>
      </c>
      <c r="G566" s="30">
        <v>5</v>
      </c>
      <c r="J566" s="35"/>
      <c r="K566" s="30">
        <v>1</v>
      </c>
      <c r="L566" s="30">
        <v>2</v>
      </c>
      <c r="M566" s="30">
        <v>3</v>
      </c>
      <c r="N566" s="30">
        <v>4</v>
      </c>
      <c r="Q566" s="35"/>
      <c r="R566" s="30">
        <f t="shared" si="47"/>
        <v>1015368192</v>
      </c>
      <c r="S566" s="30">
        <f t="shared" si="48"/>
        <v>342016</v>
      </c>
    </row>
    <row r="567" spans="1:19">
      <c r="A567" s="57">
        <v>7</v>
      </c>
      <c r="B567" s="57">
        <v>4</v>
      </c>
      <c r="C567" s="30">
        <v>4</v>
      </c>
      <c r="D567" s="34">
        <v>1</v>
      </c>
      <c r="E567" s="30">
        <v>2</v>
      </c>
      <c r="F567" s="30">
        <v>4</v>
      </c>
      <c r="G567" s="30">
        <v>6</v>
      </c>
      <c r="J567" s="35"/>
      <c r="K567" s="30">
        <v>1</v>
      </c>
      <c r="L567" s="30">
        <v>2</v>
      </c>
      <c r="M567" s="30">
        <v>3</v>
      </c>
      <c r="N567" s="30">
        <v>4</v>
      </c>
      <c r="Q567" s="35"/>
      <c r="R567" s="30">
        <f t="shared" si="47"/>
        <v>1015368704</v>
      </c>
      <c r="S567" s="30">
        <f t="shared" si="48"/>
        <v>342016</v>
      </c>
    </row>
    <row r="568" spans="1:19">
      <c r="A568" s="57">
        <v>7</v>
      </c>
      <c r="B568" s="57">
        <v>4</v>
      </c>
      <c r="C568" s="30">
        <v>4</v>
      </c>
      <c r="D568" s="34">
        <v>1</v>
      </c>
      <c r="E568" s="30">
        <v>2</v>
      </c>
      <c r="F568" s="30">
        <v>4</v>
      </c>
      <c r="G568" s="30">
        <v>7</v>
      </c>
      <c r="J568" s="35"/>
      <c r="K568" s="30">
        <v>1</v>
      </c>
      <c r="L568" s="30">
        <v>2</v>
      </c>
      <c r="M568" s="30">
        <v>3</v>
      </c>
      <c r="N568" s="30">
        <v>4</v>
      </c>
      <c r="Q568" s="35"/>
      <c r="R568" s="30">
        <f t="shared" si="47"/>
        <v>1015369216</v>
      </c>
      <c r="S568" s="30">
        <f t="shared" si="48"/>
        <v>342016</v>
      </c>
    </row>
    <row r="569" spans="1:19">
      <c r="A569" s="57">
        <v>7</v>
      </c>
      <c r="B569" s="57">
        <v>4</v>
      </c>
      <c r="C569" s="30">
        <v>4</v>
      </c>
      <c r="D569" s="34">
        <v>1</v>
      </c>
      <c r="E569" s="30">
        <v>2</v>
      </c>
      <c r="F569" s="30">
        <v>5</v>
      </c>
      <c r="G569" s="30">
        <v>6</v>
      </c>
      <c r="J569" s="35"/>
      <c r="K569" s="30">
        <v>1</v>
      </c>
      <c r="L569" s="30">
        <v>2</v>
      </c>
      <c r="M569" s="30">
        <v>3</v>
      </c>
      <c r="N569" s="30">
        <v>4</v>
      </c>
      <c r="Q569" s="35"/>
      <c r="R569" s="30">
        <f t="shared" si="47"/>
        <v>1015372800</v>
      </c>
      <c r="S569" s="30">
        <f t="shared" si="48"/>
        <v>342016</v>
      </c>
    </row>
    <row r="570" spans="1:19">
      <c r="A570" s="57">
        <v>7</v>
      </c>
      <c r="B570" s="57">
        <v>4</v>
      </c>
      <c r="C570" s="30">
        <v>4</v>
      </c>
      <c r="D570" s="34">
        <v>1</v>
      </c>
      <c r="E570" s="30">
        <v>2</v>
      </c>
      <c r="F570" s="30">
        <v>5</v>
      </c>
      <c r="G570" s="30">
        <v>7</v>
      </c>
      <c r="J570" s="35"/>
      <c r="K570" s="30">
        <v>1</v>
      </c>
      <c r="L570" s="30">
        <v>2</v>
      </c>
      <c r="M570" s="30">
        <v>3</v>
      </c>
      <c r="N570" s="30">
        <v>4</v>
      </c>
      <c r="Q570" s="35"/>
      <c r="R570" s="30">
        <f t="shared" si="47"/>
        <v>1015373312</v>
      </c>
      <c r="S570" s="30">
        <f t="shared" si="48"/>
        <v>342016</v>
      </c>
    </row>
    <row r="571" spans="1:19">
      <c r="A571" s="57">
        <v>7</v>
      </c>
      <c r="B571" s="57">
        <v>4</v>
      </c>
      <c r="C571" s="30">
        <v>4</v>
      </c>
      <c r="D571" s="34">
        <v>1</v>
      </c>
      <c r="E571" s="30">
        <v>2</v>
      </c>
      <c r="F571" s="30">
        <v>6</v>
      </c>
      <c r="G571" s="30">
        <v>7</v>
      </c>
      <c r="J571" s="35"/>
      <c r="K571" s="30">
        <v>1</v>
      </c>
      <c r="L571" s="30">
        <v>2</v>
      </c>
      <c r="M571" s="30">
        <v>3</v>
      </c>
      <c r="N571" s="30">
        <v>4</v>
      </c>
      <c r="Q571" s="35"/>
      <c r="R571" s="30">
        <f t="shared" si="47"/>
        <v>1015377408</v>
      </c>
      <c r="S571" s="30">
        <f t="shared" si="48"/>
        <v>342016</v>
      </c>
    </row>
    <row r="572" spans="1:19">
      <c r="A572" s="57">
        <v>7</v>
      </c>
      <c r="B572" s="57">
        <v>4</v>
      </c>
      <c r="C572" s="30">
        <v>4</v>
      </c>
      <c r="D572" s="34">
        <v>1</v>
      </c>
      <c r="E572" s="30">
        <v>3</v>
      </c>
      <c r="F572" s="30">
        <v>4</v>
      </c>
      <c r="G572" s="30">
        <v>5</v>
      </c>
      <c r="J572" s="35"/>
      <c r="K572" s="30">
        <v>1</v>
      </c>
      <c r="L572" s="30">
        <v>2</v>
      </c>
      <c r="M572" s="30">
        <v>3</v>
      </c>
      <c r="N572" s="30">
        <v>4</v>
      </c>
      <c r="Q572" s="35"/>
      <c r="R572" s="30">
        <f t="shared" si="47"/>
        <v>1015400960</v>
      </c>
      <c r="S572" s="30">
        <f t="shared" si="48"/>
        <v>342016</v>
      </c>
    </row>
    <row r="573" spans="1:19">
      <c r="A573" s="57">
        <v>7</v>
      </c>
      <c r="B573" s="57">
        <v>4</v>
      </c>
      <c r="C573" s="30">
        <v>4</v>
      </c>
      <c r="D573" s="34">
        <v>1</v>
      </c>
      <c r="E573" s="30">
        <v>3</v>
      </c>
      <c r="F573" s="30">
        <v>4</v>
      </c>
      <c r="G573" s="30">
        <v>6</v>
      </c>
      <c r="J573" s="35"/>
      <c r="K573" s="30">
        <v>1</v>
      </c>
      <c r="L573" s="30">
        <v>2</v>
      </c>
      <c r="M573" s="30">
        <v>3</v>
      </c>
      <c r="N573" s="30">
        <v>4</v>
      </c>
      <c r="Q573" s="35"/>
      <c r="R573" s="30">
        <f t="shared" si="47"/>
        <v>1015401472</v>
      </c>
      <c r="S573" s="30">
        <f t="shared" si="48"/>
        <v>342016</v>
      </c>
    </row>
    <row r="574" spans="1:19">
      <c r="A574" s="57">
        <v>7</v>
      </c>
      <c r="B574" s="57">
        <v>4</v>
      </c>
      <c r="C574" s="30">
        <v>4</v>
      </c>
      <c r="D574" s="34">
        <v>1</v>
      </c>
      <c r="E574" s="30">
        <v>3</v>
      </c>
      <c r="F574" s="30">
        <v>4</v>
      </c>
      <c r="G574" s="30">
        <v>7</v>
      </c>
      <c r="J574" s="35"/>
      <c r="K574" s="30">
        <v>1</v>
      </c>
      <c r="L574" s="30">
        <v>2</v>
      </c>
      <c r="M574" s="30">
        <v>3</v>
      </c>
      <c r="N574" s="30">
        <v>4</v>
      </c>
      <c r="Q574" s="35"/>
      <c r="R574" s="30">
        <f t="shared" si="47"/>
        <v>1015401984</v>
      </c>
      <c r="S574" s="30">
        <f t="shared" si="48"/>
        <v>342016</v>
      </c>
    </row>
    <row r="575" spans="1:19">
      <c r="A575" s="57">
        <v>7</v>
      </c>
      <c r="B575" s="57">
        <v>4</v>
      </c>
      <c r="C575" s="30">
        <v>4</v>
      </c>
      <c r="D575" s="34">
        <v>1</v>
      </c>
      <c r="E575" s="30">
        <v>3</v>
      </c>
      <c r="F575" s="30">
        <v>5</v>
      </c>
      <c r="G575" s="30">
        <v>6</v>
      </c>
      <c r="J575" s="35"/>
      <c r="K575" s="30">
        <v>1</v>
      </c>
      <c r="L575" s="30">
        <v>2</v>
      </c>
      <c r="M575" s="30">
        <v>3</v>
      </c>
      <c r="N575" s="30">
        <v>4</v>
      </c>
      <c r="Q575" s="35"/>
      <c r="R575" s="30">
        <f t="shared" si="47"/>
        <v>1015405568</v>
      </c>
      <c r="S575" s="30">
        <f t="shared" si="48"/>
        <v>342016</v>
      </c>
    </row>
    <row r="576" spans="1:19">
      <c r="A576" s="57">
        <v>7</v>
      </c>
      <c r="B576" s="57">
        <v>4</v>
      </c>
      <c r="C576" s="30">
        <v>4</v>
      </c>
      <c r="D576" s="34">
        <v>1</v>
      </c>
      <c r="E576" s="30">
        <v>3</v>
      </c>
      <c r="F576" s="30">
        <v>5</v>
      </c>
      <c r="G576" s="30">
        <v>7</v>
      </c>
      <c r="J576" s="35"/>
      <c r="K576" s="30">
        <v>1</v>
      </c>
      <c r="L576" s="30">
        <v>2</v>
      </c>
      <c r="M576" s="30">
        <v>3</v>
      </c>
      <c r="N576" s="30">
        <v>4</v>
      </c>
      <c r="Q576" s="35"/>
      <c r="R576" s="30">
        <f t="shared" si="47"/>
        <v>1015406080</v>
      </c>
      <c r="S576" s="30">
        <f t="shared" si="48"/>
        <v>342016</v>
      </c>
    </row>
    <row r="577" spans="1:19">
      <c r="A577" s="57">
        <v>7</v>
      </c>
      <c r="B577" s="57">
        <v>4</v>
      </c>
      <c r="C577" s="30">
        <v>4</v>
      </c>
      <c r="D577" s="34">
        <v>1</v>
      </c>
      <c r="E577" s="30">
        <v>3</v>
      </c>
      <c r="F577" s="30">
        <v>6</v>
      </c>
      <c r="G577" s="30">
        <v>7</v>
      </c>
      <c r="J577" s="35"/>
      <c r="K577" s="30">
        <v>1</v>
      </c>
      <c r="L577" s="30">
        <v>2</v>
      </c>
      <c r="M577" s="30">
        <v>3</v>
      </c>
      <c r="N577" s="30">
        <v>4</v>
      </c>
      <c r="Q577" s="35"/>
      <c r="R577" s="30">
        <f t="shared" si="47"/>
        <v>1015410176</v>
      </c>
      <c r="S577" s="30">
        <f t="shared" si="48"/>
        <v>342016</v>
      </c>
    </row>
    <row r="578" spans="1:19">
      <c r="A578" s="57">
        <v>7</v>
      </c>
      <c r="B578" s="57">
        <v>4</v>
      </c>
      <c r="C578" s="30">
        <v>4</v>
      </c>
      <c r="D578" s="34">
        <v>1</v>
      </c>
      <c r="E578" s="30">
        <v>4</v>
      </c>
      <c r="F578" s="30">
        <v>5</v>
      </c>
      <c r="G578" s="30">
        <v>6</v>
      </c>
      <c r="J578" s="35"/>
      <c r="K578" s="30">
        <v>1</v>
      </c>
      <c r="L578" s="30">
        <v>2</v>
      </c>
      <c r="M578" s="30">
        <v>3</v>
      </c>
      <c r="N578" s="30">
        <v>4</v>
      </c>
      <c r="Q578" s="35"/>
      <c r="R578" s="30">
        <f t="shared" si="47"/>
        <v>1015438336</v>
      </c>
      <c r="S578" s="30">
        <f t="shared" si="48"/>
        <v>342016</v>
      </c>
    </row>
    <row r="579" spans="1:19">
      <c r="A579" s="57">
        <v>7</v>
      </c>
      <c r="B579" s="57">
        <v>4</v>
      </c>
      <c r="C579" s="30">
        <v>4</v>
      </c>
      <c r="D579" s="34">
        <v>1</v>
      </c>
      <c r="E579" s="30">
        <v>4</v>
      </c>
      <c r="F579" s="30">
        <v>5</v>
      </c>
      <c r="G579" s="30">
        <v>7</v>
      </c>
      <c r="J579" s="35"/>
      <c r="K579" s="30">
        <v>1</v>
      </c>
      <c r="L579" s="30">
        <v>2</v>
      </c>
      <c r="M579" s="30">
        <v>3</v>
      </c>
      <c r="N579" s="30">
        <v>4</v>
      </c>
      <c r="Q579" s="35"/>
      <c r="R579" s="30">
        <f t="shared" ref="R579:R642" si="49">J579*8^0+I579*8^1+H579*8^2+G579*8^3+F579*8^4+E579*8^5+D579*8^6+C579*8^7+B579*8^8+A579*8^9</f>
        <v>1015438848</v>
      </c>
      <c r="S579" s="30">
        <f t="shared" si="48"/>
        <v>342016</v>
      </c>
    </row>
    <row r="580" spans="1:19">
      <c r="A580" s="57">
        <v>7</v>
      </c>
      <c r="B580" s="57">
        <v>4</v>
      </c>
      <c r="C580" s="30">
        <v>4</v>
      </c>
      <c r="D580" s="34">
        <v>1</v>
      </c>
      <c r="E580" s="30">
        <v>4</v>
      </c>
      <c r="F580" s="30">
        <v>6</v>
      </c>
      <c r="G580" s="30">
        <v>7</v>
      </c>
      <c r="J580" s="35"/>
      <c r="K580" s="30">
        <v>1</v>
      </c>
      <c r="L580" s="30">
        <v>2</v>
      </c>
      <c r="M580" s="30">
        <v>3</v>
      </c>
      <c r="N580" s="30">
        <v>4</v>
      </c>
      <c r="Q580" s="35"/>
      <c r="R580" s="30">
        <f t="shared" si="49"/>
        <v>1015442944</v>
      </c>
      <c r="S580" s="30">
        <f t="shared" si="48"/>
        <v>342016</v>
      </c>
    </row>
    <row r="581" spans="1:19">
      <c r="A581" s="57">
        <v>7</v>
      </c>
      <c r="B581" s="57">
        <v>4</v>
      </c>
      <c r="C581" s="30">
        <v>4</v>
      </c>
      <c r="D581" s="34">
        <v>1</v>
      </c>
      <c r="E581" s="30">
        <v>5</v>
      </c>
      <c r="F581" s="30">
        <v>6</v>
      </c>
      <c r="G581" s="30">
        <v>7</v>
      </c>
      <c r="J581" s="35"/>
      <c r="K581" s="30">
        <v>1</v>
      </c>
      <c r="L581" s="30">
        <v>2</v>
      </c>
      <c r="M581" s="30">
        <v>3</v>
      </c>
      <c r="N581" s="30">
        <v>4</v>
      </c>
      <c r="Q581" s="35"/>
      <c r="R581" s="30">
        <f t="shared" si="49"/>
        <v>1015475712</v>
      </c>
      <c r="S581" s="30">
        <f t="shared" ref="S581:S644" si="50">Q581*8^0+P581*8^1+O581*8^2+N581*8^3+M581*8^4+L581*8^5+K581*8^6</f>
        <v>342016</v>
      </c>
    </row>
    <row r="582" spans="1:19">
      <c r="A582" s="57">
        <v>7</v>
      </c>
      <c r="B582" s="57">
        <v>4</v>
      </c>
      <c r="C582" s="30">
        <v>4</v>
      </c>
      <c r="D582" s="34">
        <v>2</v>
      </c>
      <c r="E582" s="30">
        <v>3</v>
      </c>
      <c r="F582" s="30">
        <v>4</v>
      </c>
      <c r="G582" s="30">
        <v>5</v>
      </c>
      <c r="J582" s="35"/>
      <c r="K582" s="30">
        <v>1</v>
      </c>
      <c r="L582" s="30">
        <v>2</v>
      </c>
      <c r="M582" s="30">
        <v>3</v>
      </c>
      <c r="N582" s="30">
        <v>4</v>
      </c>
      <c r="Q582" s="35"/>
      <c r="R582" s="30">
        <f t="shared" si="49"/>
        <v>1015663104</v>
      </c>
      <c r="S582" s="30">
        <f t="shared" si="50"/>
        <v>342016</v>
      </c>
    </row>
    <row r="583" spans="1:19">
      <c r="A583" s="57">
        <v>7</v>
      </c>
      <c r="B583" s="57">
        <v>4</v>
      </c>
      <c r="C583" s="30">
        <v>4</v>
      </c>
      <c r="D583" s="34">
        <v>2</v>
      </c>
      <c r="E583" s="30">
        <v>3</v>
      </c>
      <c r="F583" s="30">
        <v>4</v>
      </c>
      <c r="G583" s="30">
        <v>6</v>
      </c>
      <c r="J583" s="35"/>
      <c r="K583" s="30">
        <v>1</v>
      </c>
      <c r="L583" s="30">
        <v>2</v>
      </c>
      <c r="M583" s="30">
        <v>3</v>
      </c>
      <c r="N583" s="30">
        <v>4</v>
      </c>
      <c r="Q583" s="35"/>
      <c r="R583" s="30">
        <f t="shared" si="49"/>
        <v>1015663616</v>
      </c>
      <c r="S583" s="30">
        <f t="shared" si="50"/>
        <v>342016</v>
      </c>
    </row>
    <row r="584" spans="1:19">
      <c r="A584" s="57">
        <v>7</v>
      </c>
      <c r="B584" s="57">
        <v>4</v>
      </c>
      <c r="C584" s="30">
        <v>4</v>
      </c>
      <c r="D584" s="34">
        <v>2</v>
      </c>
      <c r="E584" s="30">
        <v>3</v>
      </c>
      <c r="F584" s="30">
        <v>4</v>
      </c>
      <c r="G584" s="30">
        <v>7</v>
      </c>
      <c r="J584" s="35"/>
      <c r="K584" s="30">
        <v>1</v>
      </c>
      <c r="L584" s="30">
        <v>2</v>
      </c>
      <c r="M584" s="30">
        <v>3</v>
      </c>
      <c r="N584" s="30">
        <v>4</v>
      </c>
      <c r="Q584" s="35"/>
      <c r="R584" s="30">
        <f t="shared" si="49"/>
        <v>1015664128</v>
      </c>
      <c r="S584" s="30">
        <f t="shared" si="50"/>
        <v>342016</v>
      </c>
    </row>
    <row r="585" spans="1:19">
      <c r="A585" s="57">
        <v>7</v>
      </c>
      <c r="B585" s="57">
        <v>4</v>
      </c>
      <c r="C585" s="30">
        <v>4</v>
      </c>
      <c r="D585" s="34">
        <v>2</v>
      </c>
      <c r="E585" s="30">
        <v>3</v>
      </c>
      <c r="F585" s="30">
        <v>5</v>
      </c>
      <c r="G585" s="30">
        <v>6</v>
      </c>
      <c r="J585" s="35"/>
      <c r="K585" s="30">
        <v>1</v>
      </c>
      <c r="L585" s="30">
        <v>2</v>
      </c>
      <c r="M585" s="30">
        <v>3</v>
      </c>
      <c r="N585" s="30">
        <v>4</v>
      </c>
      <c r="Q585" s="35"/>
      <c r="R585" s="30">
        <f t="shared" si="49"/>
        <v>1015667712</v>
      </c>
      <c r="S585" s="30">
        <f t="shared" si="50"/>
        <v>342016</v>
      </c>
    </row>
    <row r="586" spans="1:19">
      <c r="A586" s="57">
        <v>7</v>
      </c>
      <c r="B586" s="57">
        <v>4</v>
      </c>
      <c r="C586" s="30">
        <v>4</v>
      </c>
      <c r="D586" s="34">
        <v>2</v>
      </c>
      <c r="E586" s="30">
        <v>3</v>
      </c>
      <c r="F586" s="30">
        <v>5</v>
      </c>
      <c r="G586" s="30">
        <v>7</v>
      </c>
      <c r="J586" s="35"/>
      <c r="K586" s="30">
        <v>1</v>
      </c>
      <c r="L586" s="30">
        <v>2</v>
      </c>
      <c r="M586" s="30">
        <v>3</v>
      </c>
      <c r="N586" s="30">
        <v>4</v>
      </c>
      <c r="Q586" s="35"/>
      <c r="R586" s="30">
        <f t="shared" si="49"/>
        <v>1015668224</v>
      </c>
      <c r="S586" s="30">
        <f t="shared" si="50"/>
        <v>342016</v>
      </c>
    </row>
    <row r="587" spans="1:19">
      <c r="A587" s="57">
        <v>7</v>
      </c>
      <c r="B587" s="57">
        <v>4</v>
      </c>
      <c r="C587" s="30">
        <v>4</v>
      </c>
      <c r="D587" s="34">
        <v>2</v>
      </c>
      <c r="E587" s="30">
        <v>3</v>
      </c>
      <c r="F587" s="30">
        <v>6</v>
      </c>
      <c r="G587" s="30">
        <v>7</v>
      </c>
      <c r="J587" s="35"/>
      <c r="K587" s="30">
        <v>1</v>
      </c>
      <c r="L587" s="30">
        <v>2</v>
      </c>
      <c r="M587" s="30">
        <v>3</v>
      </c>
      <c r="N587" s="30">
        <v>4</v>
      </c>
      <c r="Q587" s="35"/>
      <c r="R587" s="30">
        <f t="shared" si="49"/>
        <v>1015672320</v>
      </c>
      <c r="S587" s="30">
        <f t="shared" si="50"/>
        <v>342016</v>
      </c>
    </row>
    <row r="588" spans="1:19">
      <c r="A588" s="57">
        <v>7</v>
      </c>
      <c r="B588" s="57">
        <v>4</v>
      </c>
      <c r="C588" s="30">
        <v>4</v>
      </c>
      <c r="D588" s="34">
        <v>2</v>
      </c>
      <c r="E588" s="30">
        <v>4</v>
      </c>
      <c r="F588" s="30">
        <v>5</v>
      </c>
      <c r="G588" s="30">
        <v>6</v>
      </c>
      <c r="J588" s="35"/>
      <c r="K588" s="30">
        <v>1</v>
      </c>
      <c r="L588" s="30">
        <v>2</v>
      </c>
      <c r="M588" s="30">
        <v>3</v>
      </c>
      <c r="N588" s="30">
        <v>4</v>
      </c>
      <c r="Q588" s="35"/>
      <c r="R588" s="30">
        <f t="shared" si="49"/>
        <v>1015700480</v>
      </c>
      <c r="S588" s="30">
        <f t="shared" si="50"/>
        <v>342016</v>
      </c>
    </row>
    <row r="589" spans="1:19">
      <c r="A589" s="57">
        <v>7</v>
      </c>
      <c r="B589" s="57">
        <v>4</v>
      </c>
      <c r="C589" s="30">
        <v>4</v>
      </c>
      <c r="D589" s="34">
        <v>2</v>
      </c>
      <c r="E589" s="30">
        <v>4</v>
      </c>
      <c r="F589" s="30">
        <v>5</v>
      </c>
      <c r="G589" s="30">
        <v>7</v>
      </c>
      <c r="J589" s="35"/>
      <c r="K589" s="30">
        <v>1</v>
      </c>
      <c r="L589" s="30">
        <v>2</v>
      </c>
      <c r="M589" s="30">
        <v>3</v>
      </c>
      <c r="N589" s="30">
        <v>4</v>
      </c>
      <c r="Q589" s="35"/>
      <c r="R589" s="30">
        <f t="shared" si="49"/>
        <v>1015700992</v>
      </c>
      <c r="S589" s="30">
        <f t="shared" si="50"/>
        <v>342016</v>
      </c>
    </row>
    <row r="590" spans="1:19">
      <c r="A590" s="57">
        <v>7</v>
      </c>
      <c r="B590" s="57">
        <v>4</v>
      </c>
      <c r="C590" s="30">
        <v>4</v>
      </c>
      <c r="D590" s="34">
        <v>2</v>
      </c>
      <c r="E590" s="30">
        <v>4</v>
      </c>
      <c r="F590" s="30">
        <v>6</v>
      </c>
      <c r="G590" s="30">
        <v>7</v>
      </c>
      <c r="J590" s="35"/>
      <c r="K590" s="30">
        <v>1</v>
      </c>
      <c r="L590" s="30">
        <v>2</v>
      </c>
      <c r="M590" s="30">
        <v>3</v>
      </c>
      <c r="N590" s="30">
        <v>4</v>
      </c>
      <c r="Q590" s="35"/>
      <c r="R590" s="30">
        <f t="shared" si="49"/>
        <v>1015705088</v>
      </c>
      <c r="S590" s="30">
        <f t="shared" si="50"/>
        <v>342016</v>
      </c>
    </row>
    <row r="591" spans="1:19">
      <c r="A591" s="57">
        <v>7</v>
      </c>
      <c r="B591" s="57">
        <v>4</v>
      </c>
      <c r="C591" s="30">
        <v>4</v>
      </c>
      <c r="D591" s="34">
        <v>2</v>
      </c>
      <c r="E591" s="30">
        <v>5</v>
      </c>
      <c r="F591" s="30">
        <v>6</v>
      </c>
      <c r="G591" s="30">
        <v>7</v>
      </c>
      <c r="J591" s="35"/>
      <c r="K591" s="30">
        <v>1</v>
      </c>
      <c r="L591" s="30">
        <v>2</v>
      </c>
      <c r="M591" s="30">
        <v>3</v>
      </c>
      <c r="N591" s="30">
        <v>4</v>
      </c>
      <c r="Q591" s="35"/>
      <c r="R591" s="30">
        <f t="shared" si="49"/>
        <v>1015737856</v>
      </c>
      <c r="S591" s="30">
        <f t="shared" si="50"/>
        <v>342016</v>
      </c>
    </row>
    <row r="592" spans="1:19">
      <c r="A592" s="57">
        <v>7</v>
      </c>
      <c r="B592" s="57">
        <v>4</v>
      </c>
      <c r="C592" s="30">
        <v>4</v>
      </c>
      <c r="D592" s="34">
        <v>3</v>
      </c>
      <c r="E592" s="30">
        <v>4</v>
      </c>
      <c r="F592" s="30">
        <v>5</v>
      </c>
      <c r="G592" s="30">
        <v>6</v>
      </c>
      <c r="J592" s="35"/>
      <c r="K592" s="30">
        <v>1</v>
      </c>
      <c r="L592" s="30">
        <v>2</v>
      </c>
      <c r="M592" s="30">
        <v>3</v>
      </c>
      <c r="N592" s="30">
        <v>4</v>
      </c>
      <c r="Q592" s="35"/>
      <c r="R592" s="30">
        <f t="shared" si="49"/>
        <v>1015962624</v>
      </c>
      <c r="S592" s="30">
        <f t="shared" si="50"/>
        <v>342016</v>
      </c>
    </row>
    <row r="593" spans="1:19">
      <c r="A593" s="57">
        <v>7</v>
      </c>
      <c r="B593" s="57">
        <v>4</v>
      </c>
      <c r="C593" s="30">
        <v>4</v>
      </c>
      <c r="D593" s="34">
        <v>3</v>
      </c>
      <c r="E593" s="30">
        <v>4</v>
      </c>
      <c r="F593" s="30">
        <v>5</v>
      </c>
      <c r="G593" s="30">
        <v>7</v>
      </c>
      <c r="J593" s="35"/>
      <c r="K593" s="30">
        <v>1</v>
      </c>
      <c r="L593" s="30">
        <v>2</v>
      </c>
      <c r="M593" s="30">
        <v>3</v>
      </c>
      <c r="N593" s="30">
        <v>4</v>
      </c>
      <c r="Q593" s="35"/>
      <c r="R593" s="30">
        <f t="shared" si="49"/>
        <v>1015963136</v>
      </c>
      <c r="S593" s="30">
        <f t="shared" si="50"/>
        <v>342016</v>
      </c>
    </row>
    <row r="594" spans="1:19">
      <c r="A594" s="57">
        <v>7</v>
      </c>
      <c r="B594" s="57">
        <v>4</v>
      </c>
      <c r="C594" s="30">
        <v>4</v>
      </c>
      <c r="D594" s="34">
        <v>3</v>
      </c>
      <c r="E594" s="30">
        <v>4</v>
      </c>
      <c r="F594" s="30">
        <v>6</v>
      </c>
      <c r="G594" s="30">
        <v>7</v>
      </c>
      <c r="J594" s="35"/>
      <c r="K594" s="30">
        <v>1</v>
      </c>
      <c r="L594" s="30">
        <v>2</v>
      </c>
      <c r="M594" s="30">
        <v>3</v>
      </c>
      <c r="N594" s="30">
        <v>4</v>
      </c>
      <c r="Q594" s="35"/>
      <c r="R594" s="30">
        <f t="shared" si="49"/>
        <v>1015967232</v>
      </c>
      <c r="S594" s="30">
        <f t="shared" si="50"/>
        <v>342016</v>
      </c>
    </row>
    <row r="595" spans="1:19">
      <c r="A595" s="57">
        <v>7</v>
      </c>
      <c r="B595" s="57">
        <v>4</v>
      </c>
      <c r="C595" s="30">
        <v>4</v>
      </c>
      <c r="D595" s="34">
        <v>3</v>
      </c>
      <c r="E595" s="30">
        <v>5</v>
      </c>
      <c r="F595" s="30">
        <v>6</v>
      </c>
      <c r="G595" s="30">
        <v>7</v>
      </c>
      <c r="J595" s="35"/>
      <c r="K595" s="30">
        <v>1</v>
      </c>
      <c r="L595" s="30">
        <v>2</v>
      </c>
      <c r="M595" s="30">
        <v>3</v>
      </c>
      <c r="N595" s="30">
        <v>4</v>
      </c>
      <c r="Q595" s="35"/>
      <c r="R595" s="30">
        <f t="shared" si="49"/>
        <v>1016000000</v>
      </c>
      <c r="S595" s="30">
        <f t="shared" si="50"/>
        <v>342016</v>
      </c>
    </row>
    <row r="596" spans="1:19">
      <c r="A596" s="58">
        <v>7</v>
      </c>
      <c r="B596" s="58">
        <v>4</v>
      </c>
      <c r="C596" s="37">
        <v>4</v>
      </c>
      <c r="D596" s="36">
        <v>4</v>
      </c>
      <c r="E596" s="37">
        <v>5</v>
      </c>
      <c r="F596" s="37">
        <v>6</v>
      </c>
      <c r="G596" s="37">
        <v>7</v>
      </c>
      <c r="H596" s="37"/>
      <c r="I596" s="37"/>
      <c r="J596" s="38"/>
      <c r="K596" s="37">
        <v>1</v>
      </c>
      <c r="L596" s="37">
        <v>2</v>
      </c>
      <c r="M596" s="37">
        <v>3</v>
      </c>
      <c r="N596" s="37">
        <v>4</v>
      </c>
      <c r="O596" s="37"/>
      <c r="P596" s="37"/>
      <c r="Q596" s="38"/>
      <c r="R596" s="30">
        <f t="shared" si="49"/>
        <v>1016262144</v>
      </c>
      <c r="S596" s="30">
        <f t="shared" si="50"/>
        <v>342016</v>
      </c>
    </row>
    <row r="597" spans="1:19">
      <c r="A597" s="59">
        <v>7</v>
      </c>
      <c r="B597" s="59">
        <v>4</v>
      </c>
      <c r="C597" s="32">
        <v>5</v>
      </c>
      <c r="D597" s="31">
        <v>1</v>
      </c>
      <c r="E597" s="32">
        <v>2</v>
      </c>
      <c r="F597" s="32">
        <v>3</v>
      </c>
      <c r="G597" s="32">
        <v>4</v>
      </c>
      <c r="H597" s="32"/>
      <c r="I597" s="32"/>
      <c r="J597" s="33"/>
      <c r="K597" s="32">
        <v>1</v>
      </c>
      <c r="L597" s="32">
        <v>2</v>
      </c>
      <c r="M597" s="32">
        <v>3</v>
      </c>
      <c r="N597" s="32">
        <v>4</v>
      </c>
      <c r="O597" s="32"/>
      <c r="P597" s="32"/>
      <c r="Q597" s="33"/>
      <c r="R597" s="30">
        <f t="shared" si="49"/>
        <v>1017460736</v>
      </c>
      <c r="S597" s="30">
        <f t="shared" si="50"/>
        <v>342016</v>
      </c>
    </row>
    <row r="598" spans="1:19">
      <c r="A598" s="57">
        <v>7</v>
      </c>
      <c r="B598" s="57">
        <v>4</v>
      </c>
      <c r="C598" s="30">
        <v>5</v>
      </c>
      <c r="D598" s="34">
        <v>1</v>
      </c>
      <c r="E598" s="30">
        <v>2</v>
      </c>
      <c r="F598" s="30">
        <v>3</v>
      </c>
      <c r="G598" s="30">
        <v>5</v>
      </c>
      <c r="J598" s="35"/>
      <c r="K598" s="30">
        <v>1</v>
      </c>
      <c r="L598" s="30">
        <v>2</v>
      </c>
      <c r="M598" s="30">
        <v>3</v>
      </c>
      <c r="N598" s="30">
        <v>5</v>
      </c>
      <c r="Q598" s="35"/>
      <c r="R598" s="30">
        <f t="shared" si="49"/>
        <v>1017461248</v>
      </c>
      <c r="S598" s="30">
        <f t="shared" si="50"/>
        <v>342528</v>
      </c>
    </row>
    <row r="599" spans="1:19">
      <c r="A599" s="57">
        <v>7</v>
      </c>
      <c r="B599" s="57">
        <v>4</v>
      </c>
      <c r="C599" s="30">
        <v>5</v>
      </c>
      <c r="D599" s="34">
        <v>1</v>
      </c>
      <c r="E599" s="30">
        <v>2</v>
      </c>
      <c r="F599" s="30">
        <v>3</v>
      </c>
      <c r="G599" s="30">
        <v>6</v>
      </c>
      <c r="J599" s="35"/>
      <c r="K599" s="30">
        <v>1</v>
      </c>
      <c r="L599" s="30">
        <v>2</v>
      </c>
      <c r="M599" s="30">
        <v>3</v>
      </c>
      <c r="N599" s="30">
        <v>5</v>
      </c>
      <c r="Q599" s="35"/>
      <c r="R599" s="30">
        <f t="shared" si="49"/>
        <v>1017461760</v>
      </c>
      <c r="S599" s="30">
        <f t="shared" si="50"/>
        <v>342528</v>
      </c>
    </row>
    <row r="600" spans="1:19">
      <c r="A600" s="57">
        <v>7</v>
      </c>
      <c r="B600" s="57">
        <v>4</v>
      </c>
      <c r="C600" s="30">
        <v>5</v>
      </c>
      <c r="D600" s="34">
        <v>1</v>
      </c>
      <c r="E600" s="30">
        <v>2</v>
      </c>
      <c r="F600" s="30">
        <v>3</v>
      </c>
      <c r="G600" s="30">
        <v>7</v>
      </c>
      <c r="J600" s="35"/>
      <c r="K600" s="30">
        <v>1</v>
      </c>
      <c r="L600" s="30">
        <v>2</v>
      </c>
      <c r="M600" s="30">
        <v>3</v>
      </c>
      <c r="N600" s="30">
        <v>5</v>
      </c>
      <c r="Q600" s="35"/>
      <c r="R600" s="30">
        <f t="shared" si="49"/>
        <v>1017462272</v>
      </c>
      <c r="S600" s="30">
        <f t="shared" si="50"/>
        <v>342528</v>
      </c>
    </row>
    <row r="601" spans="1:19">
      <c r="A601" s="57">
        <v>7</v>
      </c>
      <c r="B601" s="57">
        <v>4</v>
      </c>
      <c r="C601" s="30">
        <v>5</v>
      </c>
      <c r="D601" s="34">
        <v>1</v>
      </c>
      <c r="E601" s="30">
        <v>2</v>
      </c>
      <c r="F601" s="30">
        <v>4</v>
      </c>
      <c r="G601" s="30">
        <v>5</v>
      </c>
      <c r="J601" s="35"/>
      <c r="K601" s="30">
        <v>1</v>
      </c>
      <c r="L601" s="30">
        <v>2</v>
      </c>
      <c r="M601" s="30">
        <v>4</v>
      </c>
      <c r="N601" s="30">
        <v>5</v>
      </c>
      <c r="Q601" s="35"/>
      <c r="R601" s="30">
        <f t="shared" si="49"/>
        <v>1017465344</v>
      </c>
      <c r="S601" s="30">
        <f t="shared" si="50"/>
        <v>346624</v>
      </c>
    </row>
    <row r="602" spans="1:19">
      <c r="A602" s="57">
        <v>7</v>
      </c>
      <c r="B602" s="57">
        <v>4</v>
      </c>
      <c r="C602" s="30">
        <v>5</v>
      </c>
      <c r="D602" s="34">
        <v>1</v>
      </c>
      <c r="E602" s="30">
        <v>2</v>
      </c>
      <c r="F602" s="30">
        <v>4</v>
      </c>
      <c r="G602" s="30">
        <v>6</v>
      </c>
      <c r="J602" s="35"/>
      <c r="K602" s="30">
        <v>1</v>
      </c>
      <c r="L602" s="30">
        <v>2</v>
      </c>
      <c r="M602" s="30">
        <v>4</v>
      </c>
      <c r="N602" s="30">
        <v>5</v>
      </c>
      <c r="Q602" s="35"/>
      <c r="R602" s="30">
        <f t="shared" si="49"/>
        <v>1017465856</v>
      </c>
      <c r="S602" s="30">
        <f t="shared" si="50"/>
        <v>346624</v>
      </c>
    </row>
    <row r="603" spans="1:19">
      <c r="A603" s="57">
        <v>7</v>
      </c>
      <c r="B603" s="57">
        <v>4</v>
      </c>
      <c r="C603" s="30">
        <v>5</v>
      </c>
      <c r="D603" s="34">
        <v>1</v>
      </c>
      <c r="E603" s="30">
        <v>2</v>
      </c>
      <c r="F603" s="30">
        <v>4</v>
      </c>
      <c r="G603" s="30">
        <v>7</v>
      </c>
      <c r="J603" s="35"/>
      <c r="K603" s="30">
        <v>1</v>
      </c>
      <c r="L603" s="30">
        <v>2</v>
      </c>
      <c r="M603" s="30">
        <v>4</v>
      </c>
      <c r="N603" s="30">
        <v>5</v>
      </c>
      <c r="Q603" s="35"/>
      <c r="R603" s="30">
        <f t="shared" si="49"/>
        <v>1017466368</v>
      </c>
      <c r="S603" s="30">
        <f t="shared" si="50"/>
        <v>346624</v>
      </c>
    </row>
    <row r="604" spans="1:19">
      <c r="A604" s="57">
        <v>7</v>
      </c>
      <c r="B604" s="57">
        <v>4</v>
      </c>
      <c r="C604" s="30">
        <v>5</v>
      </c>
      <c r="D604" s="34">
        <v>1</v>
      </c>
      <c r="E604" s="30">
        <v>2</v>
      </c>
      <c r="F604" s="30">
        <v>5</v>
      </c>
      <c r="G604" s="30">
        <v>6</v>
      </c>
      <c r="J604" s="35"/>
      <c r="K604" s="30">
        <v>1</v>
      </c>
      <c r="L604" s="30">
        <v>2</v>
      </c>
      <c r="M604" s="30">
        <v>4</v>
      </c>
      <c r="N604" s="30">
        <v>5</v>
      </c>
      <c r="Q604" s="35"/>
      <c r="R604" s="30">
        <f t="shared" si="49"/>
        <v>1017469952</v>
      </c>
      <c r="S604" s="30">
        <f t="shared" si="50"/>
        <v>346624</v>
      </c>
    </row>
    <row r="605" spans="1:19">
      <c r="A605" s="57">
        <v>7</v>
      </c>
      <c r="B605" s="57">
        <v>4</v>
      </c>
      <c r="C605" s="30">
        <v>5</v>
      </c>
      <c r="D605" s="34">
        <v>1</v>
      </c>
      <c r="E605" s="30">
        <v>2</v>
      </c>
      <c r="F605" s="30">
        <v>5</v>
      </c>
      <c r="G605" s="30">
        <v>7</v>
      </c>
      <c r="J605" s="35"/>
      <c r="K605" s="30">
        <v>1</v>
      </c>
      <c r="L605" s="30">
        <v>2</v>
      </c>
      <c r="M605" s="30">
        <v>4</v>
      </c>
      <c r="N605" s="30">
        <v>5</v>
      </c>
      <c r="Q605" s="35"/>
      <c r="R605" s="30">
        <f t="shared" si="49"/>
        <v>1017470464</v>
      </c>
      <c r="S605" s="30">
        <f t="shared" si="50"/>
        <v>346624</v>
      </c>
    </row>
    <row r="606" spans="1:19">
      <c r="A606" s="57">
        <v>7</v>
      </c>
      <c r="B606" s="57">
        <v>4</v>
      </c>
      <c r="C606" s="30">
        <v>5</v>
      </c>
      <c r="D606" s="34">
        <v>1</v>
      </c>
      <c r="E606" s="30">
        <v>2</v>
      </c>
      <c r="F606" s="30">
        <v>6</v>
      </c>
      <c r="G606" s="30">
        <v>7</v>
      </c>
      <c r="J606" s="35"/>
      <c r="K606" s="30">
        <v>1</v>
      </c>
      <c r="L606" s="30">
        <v>2</v>
      </c>
      <c r="M606" s="30">
        <v>4</v>
      </c>
      <c r="N606" s="30">
        <v>5</v>
      </c>
      <c r="Q606" s="35"/>
      <c r="R606" s="30">
        <f t="shared" si="49"/>
        <v>1017474560</v>
      </c>
      <c r="S606" s="30">
        <f t="shared" si="50"/>
        <v>346624</v>
      </c>
    </row>
    <row r="607" spans="1:19">
      <c r="A607" s="57">
        <v>7</v>
      </c>
      <c r="B607" s="57">
        <v>4</v>
      </c>
      <c r="C607" s="30">
        <v>5</v>
      </c>
      <c r="D607" s="34">
        <v>1</v>
      </c>
      <c r="E607" s="30">
        <v>3</v>
      </c>
      <c r="F607" s="30">
        <v>4</v>
      </c>
      <c r="G607" s="30">
        <v>5</v>
      </c>
      <c r="J607" s="35"/>
      <c r="K607" s="30">
        <v>1</v>
      </c>
      <c r="L607" s="30">
        <v>3</v>
      </c>
      <c r="M607" s="30">
        <v>4</v>
      </c>
      <c r="N607" s="30">
        <v>5</v>
      </c>
      <c r="Q607" s="35"/>
      <c r="R607" s="30">
        <f t="shared" si="49"/>
        <v>1017498112</v>
      </c>
      <c r="S607" s="30">
        <f t="shared" si="50"/>
        <v>379392</v>
      </c>
    </row>
    <row r="608" spans="1:19">
      <c r="A608" s="57">
        <v>7</v>
      </c>
      <c r="B608" s="57">
        <v>4</v>
      </c>
      <c r="C608" s="30">
        <v>5</v>
      </c>
      <c r="D608" s="34">
        <v>1</v>
      </c>
      <c r="E608" s="30">
        <v>3</v>
      </c>
      <c r="F608" s="30">
        <v>4</v>
      </c>
      <c r="G608" s="30">
        <v>6</v>
      </c>
      <c r="J608" s="35"/>
      <c r="K608" s="30">
        <v>1</v>
      </c>
      <c r="L608" s="30">
        <v>3</v>
      </c>
      <c r="M608" s="30">
        <v>4</v>
      </c>
      <c r="N608" s="30">
        <v>5</v>
      </c>
      <c r="Q608" s="35"/>
      <c r="R608" s="30">
        <f t="shared" si="49"/>
        <v>1017498624</v>
      </c>
      <c r="S608" s="30">
        <f t="shared" si="50"/>
        <v>379392</v>
      </c>
    </row>
    <row r="609" spans="1:19">
      <c r="A609" s="57">
        <v>7</v>
      </c>
      <c r="B609" s="57">
        <v>4</v>
      </c>
      <c r="C609" s="30">
        <v>5</v>
      </c>
      <c r="D609" s="34">
        <v>1</v>
      </c>
      <c r="E609" s="30">
        <v>3</v>
      </c>
      <c r="F609" s="30">
        <v>4</v>
      </c>
      <c r="G609" s="30">
        <v>7</v>
      </c>
      <c r="J609" s="35"/>
      <c r="K609" s="30">
        <v>1</v>
      </c>
      <c r="L609" s="30">
        <v>3</v>
      </c>
      <c r="M609" s="30">
        <v>4</v>
      </c>
      <c r="N609" s="30">
        <v>5</v>
      </c>
      <c r="Q609" s="35"/>
      <c r="R609" s="30">
        <f t="shared" si="49"/>
        <v>1017499136</v>
      </c>
      <c r="S609" s="30">
        <f t="shared" si="50"/>
        <v>379392</v>
      </c>
    </row>
    <row r="610" spans="1:19">
      <c r="A610" s="57">
        <v>7</v>
      </c>
      <c r="B610" s="57">
        <v>4</v>
      </c>
      <c r="C610" s="30">
        <v>5</v>
      </c>
      <c r="D610" s="34">
        <v>1</v>
      </c>
      <c r="E610" s="30">
        <v>3</v>
      </c>
      <c r="F610" s="30">
        <v>5</v>
      </c>
      <c r="G610" s="30">
        <v>6</v>
      </c>
      <c r="J610" s="35"/>
      <c r="K610" s="30">
        <v>1</v>
      </c>
      <c r="L610" s="30">
        <v>3</v>
      </c>
      <c r="M610" s="30">
        <v>4</v>
      </c>
      <c r="N610" s="30">
        <v>5</v>
      </c>
      <c r="Q610" s="35"/>
      <c r="R610" s="30">
        <f t="shared" si="49"/>
        <v>1017502720</v>
      </c>
      <c r="S610" s="30">
        <f t="shared" si="50"/>
        <v>379392</v>
      </c>
    </row>
    <row r="611" spans="1:19">
      <c r="A611" s="57">
        <v>7</v>
      </c>
      <c r="B611" s="57">
        <v>4</v>
      </c>
      <c r="C611" s="30">
        <v>5</v>
      </c>
      <c r="D611" s="34">
        <v>1</v>
      </c>
      <c r="E611" s="30">
        <v>3</v>
      </c>
      <c r="F611" s="30">
        <v>5</v>
      </c>
      <c r="G611" s="30">
        <v>7</v>
      </c>
      <c r="J611" s="35"/>
      <c r="K611" s="30">
        <v>1</v>
      </c>
      <c r="L611" s="30">
        <v>3</v>
      </c>
      <c r="M611" s="30">
        <v>4</v>
      </c>
      <c r="N611" s="30">
        <v>5</v>
      </c>
      <c r="Q611" s="35"/>
      <c r="R611" s="30">
        <f t="shared" si="49"/>
        <v>1017503232</v>
      </c>
      <c r="S611" s="30">
        <f t="shared" si="50"/>
        <v>379392</v>
      </c>
    </row>
    <row r="612" spans="1:19">
      <c r="A612" s="57">
        <v>7</v>
      </c>
      <c r="B612" s="57">
        <v>4</v>
      </c>
      <c r="C612" s="30">
        <v>5</v>
      </c>
      <c r="D612" s="34">
        <v>1</v>
      </c>
      <c r="E612" s="30">
        <v>3</v>
      </c>
      <c r="F612" s="30">
        <v>6</v>
      </c>
      <c r="G612" s="30">
        <v>7</v>
      </c>
      <c r="J612" s="35"/>
      <c r="K612" s="30">
        <v>1</v>
      </c>
      <c r="L612" s="30">
        <v>3</v>
      </c>
      <c r="M612" s="30">
        <v>4</v>
      </c>
      <c r="N612" s="30">
        <v>5</v>
      </c>
      <c r="Q612" s="35"/>
      <c r="R612" s="30">
        <f t="shared" si="49"/>
        <v>1017507328</v>
      </c>
      <c r="S612" s="30">
        <f t="shared" si="50"/>
        <v>379392</v>
      </c>
    </row>
    <row r="613" spans="1:19">
      <c r="A613" s="57">
        <v>7</v>
      </c>
      <c r="B613" s="57">
        <v>4</v>
      </c>
      <c r="C613" s="30">
        <v>5</v>
      </c>
      <c r="D613" s="34">
        <v>1</v>
      </c>
      <c r="E613" s="30">
        <v>4</v>
      </c>
      <c r="F613" s="30">
        <v>5</v>
      </c>
      <c r="G613" s="30">
        <v>6</v>
      </c>
      <c r="J613" s="35"/>
      <c r="K613" s="30">
        <v>1</v>
      </c>
      <c r="L613" s="30">
        <v>3</v>
      </c>
      <c r="M613" s="30">
        <v>4</v>
      </c>
      <c r="N613" s="30">
        <v>5</v>
      </c>
      <c r="Q613" s="35"/>
      <c r="R613" s="30">
        <f t="shared" si="49"/>
        <v>1017535488</v>
      </c>
      <c r="S613" s="30">
        <f t="shared" si="50"/>
        <v>379392</v>
      </c>
    </row>
    <row r="614" spans="1:19">
      <c r="A614" s="57">
        <v>7</v>
      </c>
      <c r="B614" s="57">
        <v>4</v>
      </c>
      <c r="C614" s="30">
        <v>5</v>
      </c>
      <c r="D614" s="34">
        <v>1</v>
      </c>
      <c r="E614" s="30">
        <v>4</v>
      </c>
      <c r="F614" s="30">
        <v>5</v>
      </c>
      <c r="G614" s="30">
        <v>7</v>
      </c>
      <c r="J614" s="35"/>
      <c r="K614" s="30">
        <v>1</v>
      </c>
      <c r="L614" s="30">
        <v>3</v>
      </c>
      <c r="M614" s="30">
        <v>4</v>
      </c>
      <c r="N614" s="30">
        <v>5</v>
      </c>
      <c r="Q614" s="35"/>
      <c r="R614" s="30">
        <f t="shared" si="49"/>
        <v>1017536000</v>
      </c>
      <c r="S614" s="30">
        <f t="shared" si="50"/>
        <v>379392</v>
      </c>
    </row>
    <row r="615" spans="1:19">
      <c r="A615" s="57">
        <v>7</v>
      </c>
      <c r="B615" s="57">
        <v>4</v>
      </c>
      <c r="C615" s="30">
        <v>5</v>
      </c>
      <c r="D615" s="34">
        <v>1</v>
      </c>
      <c r="E615" s="30">
        <v>4</v>
      </c>
      <c r="F615" s="30">
        <v>6</v>
      </c>
      <c r="G615" s="30">
        <v>7</v>
      </c>
      <c r="J615" s="35"/>
      <c r="K615" s="30">
        <v>1</v>
      </c>
      <c r="L615" s="30">
        <v>3</v>
      </c>
      <c r="M615" s="30">
        <v>4</v>
      </c>
      <c r="N615" s="30">
        <v>5</v>
      </c>
      <c r="Q615" s="35"/>
      <c r="R615" s="30">
        <f t="shared" si="49"/>
        <v>1017540096</v>
      </c>
      <c r="S615" s="30">
        <f t="shared" si="50"/>
        <v>379392</v>
      </c>
    </row>
    <row r="616" spans="1:19">
      <c r="A616" s="57">
        <v>7</v>
      </c>
      <c r="B616" s="57">
        <v>4</v>
      </c>
      <c r="C616" s="30">
        <v>5</v>
      </c>
      <c r="D616" s="34">
        <v>1</v>
      </c>
      <c r="E616" s="30">
        <v>5</v>
      </c>
      <c r="F616" s="30">
        <v>6</v>
      </c>
      <c r="G616" s="30">
        <v>7</v>
      </c>
      <c r="J616" s="35"/>
      <c r="K616" s="30">
        <v>1</v>
      </c>
      <c r="L616" s="30">
        <v>3</v>
      </c>
      <c r="M616" s="30">
        <v>4</v>
      </c>
      <c r="N616" s="30">
        <v>5</v>
      </c>
      <c r="Q616" s="35"/>
      <c r="R616" s="30">
        <f t="shared" si="49"/>
        <v>1017572864</v>
      </c>
      <c r="S616" s="30">
        <f t="shared" si="50"/>
        <v>379392</v>
      </c>
    </row>
    <row r="617" spans="1:19">
      <c r="A617" s="57">
        <v>7</v>
      </c>
      <c r="B617" s="57">
        <v>4</v>
      </c>
      <c r="C617" s="30">
        <v>5</v>
      </c>
      <c r="D617" s="34">
        <v>2</v>
      </c>
      <c r="E617" s="30">
        <v>3</v>
      </c>
      <c r="F617" s="30">
        <v>4</v>
      </c>
      <c r="G617" s="30">
        <v>5</v>
      </c>
      <c r="J617" s="35"/>
      <c r="K617" s="30">
        <v>2</v>
      </c>
      <c r="L617" s="30">
        <v>3</v>
      </c>
      <c r="M617" s="30">
        <v>4</v>
      </c>
      <c r="N617" s="30">
        <v>5</v>
      </c>
      <c r="Q617" s="35"/>
      <c r="R617" s="30">
        <f t="shared" si="49"/>
        <v>1017760256</v>
      </c>
      <c r="S617" s="30">
        <f t="shared" si="50"/>
        <v>641536</v>
      </c>
    </row>
    <row r="618" spans="1:19">
      <c r="A618" s="57">
        <v>7</v>
      </c>
      <c r="B618" s="57">
        <v>4</v>
      </c>
      <c r="C618" s="30">
        <v>5</v>
      </c>
      <c r="D618" s="34">
        <v>2</v>
      </c>
      <c r="E618" s="30">
        <v>3</v>
      </c>
      <c r="F618" s="30">
        <v>4</v>
      </c>
      <c r="G618" s="30">
        <v>6</v>
      </c>
      <c r="J618" s="35"/>
      <c r="K618" s="30">
        <v>2</v>
      </c>
      <c r="L618" s="30">
        <v>3</v>
      </c>
      <c r="M618" s="30">
        <v>4</v>
      </c>
      <c r="N618" s="30">
        <v>5</v>
      </c>
      <c r="Q618" s="35"/>
      <c r="R618" s="30">
        <f t="shared" si="49"/>
        <v>1017760768</v>
      </c>
      <c r="S618" s="30">
        <f t="shared" si="50"/>
        <v>641536</v>
      </c>
    </row>
    <row r="619" spans="1:19">
      <c r="A619" s="57">
        <v>7</v>
      </c>
      <c r="B619" s="57">
        <v>4</v>
      </c>
      <c r="C619" s="30">
        <v>5</v>
      </c>
      <c r="D619" s="34">
        <v>2</v>
      </c>
      <c r="E619" s="30">
        <v>3</v>
      </c>
      <c r="F619" s="30">
        <v>4</v>
      </c>
      <c r="G619" s="30">
        <v>7</v>
      </c>
      <c r="J619" s="35"/>
      <c r="K619" s="30">
        <v>2</v>
      </c>
      <c r="L619" s="30">
        <v>3</v>
      </c>
      <c r="M619" s="30">
        <v>4</v>
      </c>
      <c r="N619" s="30">
        <v>5</v>
      </c>
      <c r="Q619" s="35"/>
      <c r="R619" s="30">
        <f t="shared" si="49"/>
        <v>1017761280</v>
      </c>
      <c r="S619" s="30">
        <f t="shared" si="50"/>
        <v>641536</v>
      </c>
    </row>
    <row r="620" spans="1:19">
      <c r="A620" s="57">
        <v>7</v>
      </c>
      <c r="B620" s="57">
        <v>4</v>
      </c>
      <c r="C620" s="30">
        <v>5</v>
      </c>
      <c r="D620" s="34">
        <v>2</v>
      </c>
      <c r="E620" s="30">
        <v>3</v>
      </c>
      <c r="F620" s="30">
        <v>5</v>
      </c>
      <c r="G620" s="30">
        <v>6</v>
      </c>
      <c r="J620" s="35"/>
      <c r="K620" s="30">
        <v>2</v>
      </c>
      <c r="L620" s="30">
        <v>3</v>
      </c>
      <c r="M620" s="30">
        <v>4</v>
      </c>
      <c r="N620" s="30">
        <v>5</v>
      </c>
      <c r="Q620" s="35"/>
      <c r="R620" s="30">
        <f t="shared" si="49"/>
        <v>1017764864</v>
      </c>
      <c r="S620" s="30">
        <f t="shared" si="50"/>
        <v>641536</v>
      </c>
    </row>
    <row r="621" spans="1:19">
      <c r="A621" s="57">
        <v>7</v>
      </c>
      <c r="B621" s="57">
        <v>4</v>
      </c>
      <c r="C621" s="30">
        <v>5</v>
      </c>
      <c r="D621" s="34">
        <v>2</v>
      </c>
      <c r="E621" s="30">
        <v>3</v>
      </c>
      <c r="F621" s="30">
        <v>5</v>
      </c>
      <c r="G621" s="30">
        <v>7</v>
      </c>
      <c r="J621" s="35"/>
      <c r="K621" s="30">
        <v>2</v>
      </c>
      <c r="L621" s="30">
        <v>3</v>
      </c>
      <c r="M621" s="30">
        <v>4</v>
      </c>
      <c r="N621" s="30">
        <v>5</v>
      </c>
      <c r="Q621" s="35"/>
      <c r="R621" s="30">
        <f t="shared" si="49"/>
        <v>1017765376</v>
      </c>
      <c r="S621" s="30">
        <f t="shared" si="50"/>
        <v>641536</v>
      </c>
    </row>
    <row r="622" spans="1:19">
      <c r="A622" s="57">
        <v>7</v>
      </c>
      <c r="B622" s="57">
        <v>4</v>
      </c>
      <c r="C622" s="30">
        <v>5</v>
      </c>
      <c r="D622" s="34">
        <v>2</v>
      </c>
      <c r="E622" s="30">
        <v>3</v>
      </c>
      <c r="F622" s="30">
        <v>6</v>
      </c>
      <c r="G622" s="30">
        <v>7</v>
      </c>
      <c r="J622" s="35"/>
      <c r="K622" s="30">
        <v>2</v>
      </c>
      <c r="L622" s="30">
        <v>3</v>
      </c>
      <c r="M622" s="30">
        <v>4</v>
      </c>
      <c r="N622" s="30">
        <v>5</v>
      </c>
      <c r="Q622" s="35"/>
      <c r="R622" s="30">
        <f t="shared" si="49"/>
        <v>1017769472</v>
      </c>
      <c r="S622" s="30">
        <f t="shared" si="50"/>
        <v>641536</v>
      </c>
    </row>
    <row r="623" spans="1:19">
      <c r="A623" s="57">
        <v>7</v>
      </c>
      <c r="B623" s="57">
        <v>4</v>
      </c>
      <c r="C623" s="30">
        <v>5</v>
      </c>
      <c r="D623" s="34">
        <v>2</v>
      </c>
      <c r="E623" s="30">
        <v>4</v>
      </c>
      <c r="F623" s="30">
        <v>5</v>
      </c>
      <c r="G623" s="30">
        <v>6</v>
      </c>
      <c r="J623" s="35"/>
      <c r="K623" s="30">
        <v>2</v>
      </c>
      <c r="L623" s="30">
        <v>3</v>
      </c>
      <c r="M623" s="30">
        <v>4</v>
      </c>
      <c r="N623" s="30">
        <v>5</v>
      </c>
      <c r="Q623" s="35"/>
      <c r="R623" s="30">
        <f t="shared" si="49"/>
        <v>1017797632</v>
      </c>
      <c r="S623" s="30">
        <f t="shared" si="50"/>
        <v>641536</v>
      </c>
    </row>
    <row r="624" spans="1:19">
      <c r="A624" s="57">
        <v>7</v>
      </c>
      <c r="B624" s="57">
        <v>4</v>
      </c>
      <c r="C624" s="30">
        <v>5</v>
      </c>
      <c r="D624" s="34">
        <v>2</v>
      </c>
      <c r="E624" s="30">
        <v>4</v>
      </c>
      <c r="F624" s="30">
        <v>5</v>
      </c>
      <c r="G624" s="30">
        <v>7</v>
      </c>
      <c r="J624" s="35"/>
      <c r="K624" s="30">
        <v>2</v>
      </c>
      <c r="L624" s="30">
        <v>3</v>
      </c>
      <c r="M624" s="30">
        <v>4</v>
      </c>
      <c r="N624" s="30">
        <v>5</v>
      </c>
      <c r="Q624" s="35"/>
      <c r="R624" s="30">
        <f t="shared" si="49"/>
        <v>1017798144</v>
      </c>
      <c r="S624" s="30">
        <f t="shared" si="50"/>
        <v>641536</v>
      </c>
    </row>
    <row r="625" spans="1:19">
      <c r="A625" s="57">
        <v>7</v>
      </c>
      <c r="B625" s="57">
        <v>4</v>
      </c>
      <c r="C625" s="30">
        <v>5</v>
      </c>
      <c r="D625" s="34">
        <v>2</v>
      </c>
      <c r="E625" s="30">
        <v>4</v>
      </c>
      <c r="F625" s="30">
        <v>6</v>
      </c>
      <c r="G625" s="30">
        <v>7</v>
      </c>
      <c r="J625" s="35"/>
      <c r="K625" s="30">
        <v>2</v>
      </c>
      <c r="L625" s="30">
        <v>3</v>
      </c>
      <c r="M625" s="30">
        <v>4</v>
      </c>
      <c r="N625" s="30">
        <v>5</v>
      </c>
      <c r="Q625" s="35"/>
      <c r="R625" s="30">
        <f t="shared" si="49"/>
        <v>1017802240</v>
      </c>
      <c r="S625" s="30">
        <f t="shared" si="50"/>
        <v>641536</v>
      </c>
    </row>
    <row r="626" spans="1:19">
      <c r="A626" s="57">
        <v>7</v>
      </c>
      <c r="B626" s="57">
        <v>4</v>
      </c>
      <c r="C626" s="30">
        <v>5</v>
      </c>
      <c r="D626" s="34">
        <v>2</v>
      </c>
      <c r="E626" s="30">
        <v>5</v>
      </c>
      <c r="F626" s="30">
        <v>6</v>
      </c>
      <c r="G626" s="30">
        <v>7</v>
      </c>
      <c r="J626" s="35"/>
      <c r="K626" s="30">
        <v>2</v>
      </c>
      <c r="L626" s="30">
        <v>3</v>
      </c>
      <c r="M626" s="30">
        <v>4</v>
      </c>
      <c r="N626" s="30">
        <v>5</v>
      </c>
      <c r="Q626" s="35"/>
      <c r="R626" s="30">
        <f t="shared" si="49"/>
        <v>1017835008</v>
      </c>
      <c r="S626" s="30">
        <f t="shared" si="50"/>
        <v>641536</v>
      </c>
    </row>
    <row r="627" spans="1:19">
      <c r="A627" s="57">
        <v>7</v>
      </c>
      <c r="B627" s="57">
        <v>4</v>
      </c>
      <c r="C627" s="30">
        <v>5</v>
      </c>
      <c r="D627" s="34">
        <v>3</v>
      </c>
      <c r="E627" s="30">
        <v>4</v>
      </c>
      <c r="F627" s="30">
        <v>5</v>
      </c>
      <c r="G627" s="30">
        <v>6</v>
      </c>
      <c r="J627" s="35"/>
      <c r="K627" s="30">
        <v>2</v>
      </c>
      <c r="L627" s="30">
        <v>3</v>
      </c>
      <c r="M627" s="30">
        <v>4</v>
      </c>
      <c r="N627" s="30">
        <v>5</v>
      </c>
      <c r="Q627" s="35"/>
      <c r="R627" s="30">
        <f t="shared" si="49"/>
        <v>1018059776</v>
      </c>
      <c r="S627" s="30">
        <f t="shared" si="50"/>
        <v>641536</v>
      </c>
    </row>
    <row r="628" spans="1:19">
      <c r="A628" s="57">
        <v>7</v>
      </c>
      <c r="B628" s="57">
        <v>4</v>
      </c>
      <c r="C628" s="30">
        <v>5</v>
      </c>
      <c r="D628" s="34">
        <v>3</v>
      </c>
      <c r="E628" s="30">
        <v>4</v>
      </c>
      <c r="F628" s="30">
        <v>5</v>
      </c>
      <c r="G628" s="30">
        <v>7</v>
      </c>
      <c r="J628" s="35"/>
      <c r="K628" s="30">
        <v>2</v>
      </c>
      <c r="L628" s="30">
        <v>3</v>
      </c>
      <c r="M628" s="30">
        <v>4</v>
      </c>
      <c r="N628" s="30">
        <v>5</v>
      </c>
      <c r="Q628" s="35"/>
      <c r="R628" s="30">
        <f t="shared" si="49"/>
        <v>1018060288</v>
      </c>
      <c r="S628" s="30">
        <f t="shared" si="50"/>
        <v>641536</v>
      </c>
    </row>
    <row r="629" spans="1:19">
      <c r="A629" s="57">
        <v>7</v>
      </c>
      <c r="B629" s="57">
        <v>4</v>
      </c>
      <c r="C629" s="30">
        <v>5</v>
      </c>
      <c r="D629" s="34">
        <v>3</v>
      </c>
      <c r="E629" s="30">
        <v>4</v>
      </c>
      <c r="F629" s="30">
        <v>6</v>
      </c>
      <c r="G629" s="30">
        <v>7</v>
      </c>
      <c r="J629" s="35"/>
      <c r="K629" s="30">
        <v>2</v>
      </c>
      <c r="L629" s="30">
        <v>3</v>
      </c>
      <c r="M629" s="30">
        <v>4</v>
      </c>
      <c r="N629" s="30">
        <v>5</v>
      </c>
      <c r="Q629" s="35"/>
      <c r="R629" s="30">
        <f t="shared" si="49"/>
        <v>1018064384</v>
      </c>
      <c r="S629" s="30">
        <f t="shared" si="50"/>
        <v>641536</v>
      </c>
    </row>
    <row r="630" spans="1:19">
      <c r="A630" s="57">
        <v>7</v>
      </c>
      <c r="B630" s="57">
        <v>4</v>
      </c>
      <c r="C630" s="30">
        <v>5</v>
      </c>
      <c r="D630" s="34">
        <v>3</v>
      </c>
      <c r="E630" s="30">
        <v>5</v>
      </c>
      <c r="F630" s="30">
        <v>6</v>
      </c>
      <c r="G630" s="30">
        <v>7</v>
      </c>
      <c r="J630" s="35"/>
      <c r="K630" s="30">
        <v>2</v>
      </c>
      <c r="L630" s="30">
        <v>3</v>
      </c>
      <c r="M630" s="30">
        <v>4</v>
      </c>
      <c r="N630" s="30">
        <v>5</v>
      </c>
      <c r="Q630" s="35"/>
      <c r="R630" s="30">
        <f t="shared" si="49"/>
        <v>1018097152</v>
      </c>
      <c r="S630" s="30">
        <f t="shared" si="50"/>
        <v>641536</v>
      </c>
    </row>
    <row r="631" spans="1:19">
      <c r="A631" s="58">
        <v>7</v>
      </c>
      <c r="B631" s="58">
        <v>4</v>
      </c>
      <c r="C631" s="37">
        <v>5</v>
      </c>
      <c r="D631" s="36">
        <v>4</v>
      </c>
      <c r="E631" s="37">
        <v>5</v>
      </c>
      <c r="F631" s="37">
        <v>6</v>
      </c>
      <c r="G631" s="37">
        <v>7</v>
      </c>
      <c r="H631" s="37"/>
      <c r="I631" s="37"/>
      <c r="J631" s="38"/>
      <c r="K631" s="37">
        <v>2</v>
      </c>
      <c r="L631" s="37">
        <v>3</v>
      </c>
      <c r="M631" s="37">
        <v>4</v>
      </c>
      <c r="N631" s="37">
        <v>5</v>
      </c>
      <c r="O631" s="37"/>
      <c r="P631" s="37"/>
      <c r="Q631" s="38"/>
      <c r="R631" s="30">
        <f t="shared" si="49"/>
        <v>1018359296</v>
      </c>
      <c r="S631" s="30">
        <f t="shared" si="50"/>
        <v>641536</v>
      </c>
    </row>
    <row r="632" spans="1:19">
      <c r="A632" s="59">
        <v>7</v>
      </c>
      <c r="B632" s="59">
        <v>4</v>
      </c>
      <c r="C632" s="32">
        <v>6</v>
      </c>
      <c r="D632" s="31">
        <v>1</v>
      </c>
      <c r="E632" s="32">
        <v>2</v>
      </c>
      <c r="F632" s="32">
        <v>3</v>
      </c>
      <c r="G632" s="32">
        <v>4</v>
      </c>
      <c r="H632" s="32"/>
      <c r="I632" s="32"/>
      <c r="J632" s="33"/>
      <c r="K632" s="31">
        <v>1</v>
      </c>
      <c r="L632" s="32">
        <v>2</v>
      </c>
      <c r="M632" s="32">
        <v>3</v>
      </c>
      <c r="N632" s="32">
        <v>4</v>
      </c>
      <c r="O632" s="32"/>
      <c r="P632" s="32"/>
      <c r="Q632" s="33"/>
      <c r="R632" s="30">
        <f t="shared" si="49"/>
        <v>1019557888</v>
      </c>
      <c r="S632" s="30">
        <f t="shared" si="50"/>
        <v>342016</v>
      </c>
    </row>
    <row r="633" spans="1:19">
      <c r="A633" s="57">
        <v>7</v>
      </c>
      <c r="B633" s="57">
        <v>4</v>
      </c>
      <c r="C633" s="30">
        <v>6</v>
      </c>
      <c r="D633" s="34">
        <v>1</v>
      </c>
      <c r="E633" s="30">
        <v>2</v>
      </c>
      <c r="F633" s="30">
        <v>3</v>
      </c>
      <c r="G633" s="30">
        <v>5</v>
      </c>
      <c r="J633" s="35"/>
      <c r="K633" s="34">
        <v>1</v>
      </c>
      <c r="L633" s="30">
        <v>2</v>
      </c>
      <c r="M633" s="30">
        <v>3</v>
      </c>
      <c r="N633" s="30">
        <v>5</v>
      </c>
      <c r="Q633" s="35"/>
      <c r="R633" s="30">
        <f t="shared" si="49"/>
        <v>1019558400</v>
      </c>
      <c r="S633" s="30">
        <f t="shared" si="50"/>
        <v>342528</v>
      </c>
    </row>
    <row r="634" spans="1:19">
      <c r="A634" s="57">
        <v>7</v>
      </c>
      <c r="B634" s="57">
        <v>4</v>
      </c>
      <c r="C634" s="30">
        <v>6</v>
      </c>
      <c r="D634" s="34">
        <v>1</v>
      </c>
      <c r="E634" s="30">
        <v>2</v>
      </c>
      <c r="F634" s="30">
        <v>3</v>
      </c>
      <c r="G634" s="30">
        <v>6</v>
      </c>
      <c r="J634" s="35"/>
      <c r="K634" s="34">
        <v>1</v>
      </c>
      <c r="L634" s="30">
        <v>2</v>
      </c>
      <c r="M634" s="30">
        <v>3</v>
      </c>
      <c r="N634" s="30">
        <v>6</v>
      </c>
      <c r="Q634" s="35"/>
      <c r="R634" s="30">
        <f t="shared" si="49"/>
        <v>1019558912</v>
      </c>
      <c r="S634" s="30">
        <f t="shared" si="50"/>
        <v>343040</v>
      </c>
    </row>
    <row r="635" spans="1:19">
      <c r="A635" s="57">
        <v>7</v>
      </c>
      <c r="B635" s="57">
        <v>4</v>
      </c>
      <c r="C635" s="30">
        <v>6</v>
      </c>
      <c r="D635" s="34">
        <v>1</v>
      </c>
      <c r="E635" s="30">
        <v>2</v>
      </c>
      <c r="F635" s="30">
        <v>3</v>
      </c>
      <c r="G635" s="30">
        <v>7</v>
      </c>
      <c r="J635" s="35"/>
      <c r="K635" s="34">
        <v>1</v>
      </c>
      <c r="L635" s="30">
        <v>2</v>
      </c>
      <c r="M635" s="30">
        <v>3</v>
      </c>
      <c r="N635" s="30">
        <v>6</v>
      </c>
      <c r="Q635" s="35"/>
      <c r="R635" s="30">
        <f t="shared" si="49"/>
        <v>1019559424</v>
      </c>
      <c r="S635" s="30">
        <f t="shared" si="50"/>
        <v>343040</v>
      </c>
    </row>
    <row r="636" spans="1:19">
      <c r="A636" s="57">
        <v>7</v>
      </c>
      <c r="B636" s="57">
        <v>4</v>
      </c>
      <c r="C636" s="30">
        <v>6</v>
      </c>
      <c r="D636" s="34">
        <v>1</v>
      </c>
      <c r="E636" s="30">
        <v>2</v>
      </c>
      <c r="F636" s="30">
        <v>4</v>
      </c>
      <c r="G636" s="30">
        <v>5</v>
      </c>
      <c r="J636" s="35"/>
      <c r="K636" s="34">
        <v>1</v>
      </c>
      <c r="L636" s="30">
        <v>2</v>
      </c>
      <c r="M636" s="30">
        <v>4</v>
      </c>
      <c r="N636" s="30">
        <v>5</v>
      </c>
      <c r="Q636" s="35"/>
      <c r="R636" s="30">
        <f t="shared" si="49"/>
        <v>1019562496</v>
      </c>
      <c r="S636" s="30">
        <f t="shared" si="50"/>
        <v>346624</v>
      </c>
    </row>
    <row r="637" spans="1:19">
      <c r="A637" s="57">
        <v>7</v>
      </c>
      <c r="B637" s="57">
        <v>4</v>
      </c>
      <c r="C637" s="30">
        <v>6</v>
      </c>
      <c r="D637" s="34">
        <v>1</v>
      </c>
      <c r="E637" s="30">
        <v>2</v>
      </c>
      <c r="F637" s="30">
        <v>4</v>
      </c>
      <c r="G637" s="30">
        <v>6</v>
      </c>
      <c r="J637" s="35"/>
      <c r="K637" s="34">
        <v>1</v>
      </c>
      <c r="L637" s="30">
        <v>2</v>
      </c>
      <c r="M637" s="30">
        <v>4</v>
      </c>
      <c r="N637" s="30">
        <v>6</v>
      </c>
      <c r="Q637" s="35"/>
      <c r="R637" s="30">
        <f t="shared" si="49"/>
        <v>1019563008</v>
      </c>
      <c r="S637" s="30">
        <f t="shared" si="50"/>
        <v>347136</v>
      </c>
    </row>
    <row r="638" spans="1:19">
      <c r="A638" s="57">
        <v>7</v>
      </c>
      <c r="B638" s="57">
        <v>4</v>
      </c>
      <c r="C638" s="30">
        <v>6</v>
      </c>
      <c r="D638" s="34">
        <v>1</v>
      </c>
      <c r="E638" s="30">
        <v>2</v>
      </c>
      <c r="F638" s="30">
        <v>4</v>
      </c>
      <c r="G638" s="30">
        <v>7</v>
      </c>
      <c r="J638" s="35"/>
      <c r="K638" s="34">
        <v>1</v>
      </c>
      <c r="L638" s="30">
        <v>2</v>
      </c>
      <c r="M638" s="30">
        <v>4</v>
      </c>
      <c r="N638" s="30">
        <v>6</v>
      </c>
      <c r="Q638" s="35"/>
      <c r="R638" s="30">
        <f t="shared" si="49"/>
        <v>1019563520</v>
      </c>
      <c r="S638" s="30">
        <f t="shared" si="50"/>
        <v>347136</v>
      </c>
    </row>
    <row r="639" spans="1:19">
      <c r="A639" s="57">
        <v>7</v>
      </c>
      <c r="B639" s="57">
        <v>4</v>
      </c>
      <c r="C639" s="30">
        <v>6</v>
      </c>
      <c r="D639" s="34">
        <v>1</v>
      </c>
      <c r="E639" s="30">
        <v>2</v>
      </c>
      <c r="F639" s="30">
        <v>5</v>
      </c>
      <c r="G639" s="30">
        <v>6</v>
      </c>
      <c r="J639" s="35"/>
      <c r="K639" s="34">
        <v>1</v>
      </c>
      <c r="L639" s="30">
        <v>2</v>
      </c>
      <c r="M639" s="30">
        <v>5</v>
      </c>
      <c r="N639" s="30">
        <v>6</v>
      </c>
      <c r="Q639" s="35"/>
      <c r="R639" s="30">
        <f t="shared" si="49"/>
        <v>1019567104</v>
      </c>
      <c r="S639" s="30">
        <f t="shared" si="50"/>
        <v>351232</v>
      </c>
    </row>
    <row r="640" spans="1:19">
      <c r="A640" s="57">
        <v>7</v>
      </c>
      <c r="B640" s="57">
        <v>4</v>
      </c>
      <c r="C640" s="30">
        <v>6</v>
      </c>
      <c r="D640" s="34">
        <v>1</v>
      </c>
      <c r="E640" s="30">
        <v>2</v>
      </c>
      <c r="F640" s="30">
        <v>5</v>
      </c>
      <c r="G640" s="30">
        <v>7</v>
      </c>
      <c r="J640" s="35"/>
      <c r="K640" s="34">
        <v>1</v>
      </c>
      <c r="L640" s="30">
        <v>2</v>
      </c>
      <c r="M640" s="30">
        <v>5</v>
      </c>
      <c r="N640" s="30">
        <v>6</v>
      </c>
      <c r="Q640" s="35"/>
      <c r="R640" s="30">
        <f t="shared" si="49"/>
        <v>1019567616</v>
      </c>
      <c r="S640" s="30">
        <f t="shared" si="50"/>
        <v>351232</v>
      </c>
    </row>
    <row r="641" spans="1:19">
      <c r="A641" s="57">
        <v>7</v>
      </c>
      <c r="B641" s="57">
        <v>4</v>
      </c>
      <c r="C641" s="30">
        <v>6</v>
      </c>
      <c r="D641" s="34">
        <v>1</v>
      </c>
      <c r="E641" s="30">
        <v>2</v>
      </c>
      <c r="F641" s="30">
        <v>6</v>
      </c>
      <c r="G641" s="30">
        <v>7</v>
      </c>
      <c r="J641" s="35"/>
      <c r="K641" s="34">
        <v>1</v>
      </c>
      <c r="L641" s="30">
        <v>2</v>
      </c>
      <c r="M641" s="30">
        <v>5</v>
      </c>
      <c r="N641" s="30">
        <v>6</v>
      </c>
      <c r="Q641" s="35"/>
      <c r="R641" s="30">
        <f t="shared" si="49"/>
        <v>1019571712</v>
      </c>
      <c r="S641" s="30">
        <f t="shared" si="50"/>
        <v>351232</v>
      </c>
    </row>
    <row r="642" spans="1:19">
      <c r="A642" s="57">
        <v>7</v>
      </c>
      <c r="B642" s="57">
        <v>4</v>
      </c>
      <c r="C642" s="30">
        <v>6</v>
      </c>
      <c r="D642" s="34">
        <v>1</v>
      </c>
      <c r="E642" s="30">
        <v>3</v>
      </c>
      <c r="F642" s="30">
        <v>4</v>
      </c>
      <c r="G642" s="30">
        <v>5</v>
      </c>
      <c r="J642" s="35"/>
      <c r="K642" s="34">
        <v>1</v>
      </c>
      <c r="L642" s="30">
        <v>3</v>
      </c>
      <c r="M642" s="30">
        <v>4</v>
      </c>
      <c r="N642" s="30">
        <v>5</v>
      </c>
      <c r="Q642" s="35"/>
      <c r="R642" s="30">
        <f t="shared" si="49"/>
        <v>1019595264</v>
      </c>
      <c r="S642" s="30">
        <f t="shared" si="50"/>
        <v>379392</v>
      </c>
    </row>
    <row r="643" spans="1:19">
      <c r="A643" s="57">
        <v>7</v>
      </c>
      <c r="B643" s="57">
        <v>4</v>
      </c>
      <c r="C643" s="30">
        <v>6</v>
      </c>
      <c r="D643" s="34">
        <v>1</v>
      </c>
      <c r="E643" s="30">
        <v>3</v>
      </c>
      <c r="F643" s="30">
        <v>4</v>
      </c>
      <c r="G643" s="30">
        <v>6</v>
      </c>
      <c r="J643" s="35"/>
      <c r="K643" s="34">
        <v>1</v>
      </c>
      <c r="L643" s="30">
        <v>3</v>
      </c>
      <c r="M643" s="30">
        <v>4</v>
      </c>
      <c r="N643" s="30">
        <v>6</v>
      </c>
      <c r="Q643" s="35"/>
      <c r="R643" s="30">
        <f t="shared" ref="R643:R706" si="51">J643*8^0+I643*8^1+H643*8^2+G643*8^3+F643*8^4+E643*8^5+D643*8^6+C643*8^7+B643*8^8+A643*8^9</f>
        <v>1019595776</v>
      </c>
      <c r="S643" s="30">
        <f t="shared" si="50"/>
        <v>379904</v>
      </c>
    </row>
    <row r="644" spans="1:19">
      <c r="A644" s="57">
        <v>7</v>
      </c>
      <c r="B644" s="57">
        <v>4</v>
      </c>
      <c r="C644" s="30">
        <v>6</v>
      </c>
      <c r="D644" s="34">
        <v>1</v>
      </c>
      <c r="E644" s="30">
        <v>3</v>
      </c>
      <c r="F644" s="30">
        <v>4</v>
      </c>
      <c r="G644" s="30">
        <v>7</v>
      </c>
      <c r="J644" s="35"/>
      <c r="K644" s="34">
        <v>1</v>
      </c>
      <c r="L644" s="30">
        <v>3</v>
      </c>
      <c r="M644" s="30">
        <v>4</v>
      </c>
      <c r="N644" s="30">
        <v>6</v>
      </c>
      <c r="Q644" s="35"/>
      <c r="R644" s="30">
        <f t="shared" si="51"/>
        <v>1019596288</v>
      </c>
      <c r="S644" s="30">
        <f t="shared" si="50"/>
        <v>379904</v>
      </c>
    </row>
    <row r="645" spans="1:19">
      <c r="A645" s="57">
        <v>7</v>
      </c>
      <c r="B645" s="57">
        <v>4</v>
      </c>
      <c r="C645" s="30">
        <v>6</v>
      </c>
      <c r="D645" s="34">
        <v>1</v>
      </c>
      <c r="E645" s="30">
        <v>3</v>
      </c>
      <c r="F645" s="30">
        <v>5</v>
      </c>
      <c r="G645" s="30">
        <v>6</v>
      </c>
      <c r="J645" s="35"/>
      <c r="K645" s="34">
        <v>1</v>
      </c>
      <c r="L645" s="30">
        <v>3</v>
      </c>
      <c r="M645" s="30">
        <v>5</v>
      </c>
      <c r="N645" s="30">
        <v>6</v>
      </c>
      <c r="Q645" s="35"/>
      <c r="R645" s="30">
        <f t="shared" si="51"/>
        <v>1019599872</v>
      </c>
      <c r="S645" s="30">
        <f t="shared" ref="S645:S708" si="52">Q645*8^0+P645*8^1+O645*8^2+N645*8^3+M645*8^4+L645*8^5+K645*8^6</f>
        <v>384000</v>
      </c>
    </row>
    <row r="646" spans="1:19">
      <c r="A646" s="57">
        <v>7</v>
      </c>
      <c r="B646" s="57">
        <v>4</v>
      </c>
      <c r="C646" s="30">
        <v>6</v>
      </c>
      <c r="D646" s="34">
        <v>1</v>
      </c>
      <c r="E646" s="30">
        <v>3</v>
      </c>
      <c r="F646" s="30">
        <v>5</v>
      </c>
      <c r="G646" s="30">
        <v>7</v>
      </c>
      <c r="J646" s="35"/>
      <c r="K646" s="34">
        <v>1</v>
      </c>
      <c r="L646" s="30">
        <v>3</v>
      </c>
      <c r="M646" s="30">
        <v>5</v>
      </c>
      <c r="N646" s="30">
        <v>6</v>
      </c>
      <c r="Q646" s="35"/>
      <c r="R646" s="30">
        <f t="shared" si="51"/>
        <v>1019600384</v>
      </c>
      <c r="S646" s="30">
        <f t="shared" si="52"/>
        <v>384000</v>
      </c>
    </row>
    <row r="647" spans="1:19">
      <c r="A647" s="57">
        <v>7</v>
      </c>
      <c r="B647" s="57">
        <v>4</v>
      </c>
      <c r="C647" s="30">
        <v>6</v>
      </c>
      <c r="D647" s="34">
        <v>1</v>
      </c>
      <c r="E647" s="30">
        <v>3</v>
      </c>
      <c r="F647" s="30">
        <v>6</v>
      </c>
      <c r="G647" s="30">
        <v>7</v>
      </c>
      <c r="J647" s="35"/>
      <c r="K647" s="34">
        <v>1</v>
      </c>
      <c r="L647" s="30">
        <v>3</v>
      </c>
      <c r="M647" s="30">
        <v>5</v>
      </c>
      <c r="N647" s="30">
        <v>6</v>
      </c>
      <c r="Q647" s="35"/>
      <c r="R647" s="30">
        <f t="shared" si="51"/>
        <v>1019604480</v>
      </c>
      <c r="S647" s="30">
        <f t="shared" si="52"/>
        <v>384000</v>
      </c>
    </row>
    <row r="648" spans="1:19">
      <c r="A648" s="57">
        <v>7</v>
      </c>
      <c r="B648" s="57">
        <v>4</v>
      </c>
      <c r="C648" s="30">
        <v>6</v>
      </c>
      <c r="D648" s="34">
        <v>1</v>
      </c>
      <c r="E648" s="30">
        <v>4</v>
      </c>
      <c r="F648" s="30">
        <v>5</v>
      </c>
      <c r="G648" s="30">
        <v>6</v>
      </c>
      <c r="J648" s="35"/>
      <c r="K648" s="34">
        <v>1</v>
      </c>
      <c r="L648" s="30">
        <v>4</v>
      </c>
      <c r="M648" s="30">
        <v>5</v>
      </c>
      <c r="N648" s="30">
        <v>6</v>
      </c>
      <c r="Q648" s="35"/>
      <c r="R648" s="30">
        <f t="shared" si="51"/>
        <v>1019632640</v>
      </c>
      <c r="S648" s="30">
        <f t="shared" si="52"/>
        <v>416768</v>
      </c>
    </row>
    <row r="649" spans="1:19">
      <c r="A649" s="57">
        <v>7</v>
      </c>
      <c r="B649" s="57">
        <v>4</v>
      </c>
      <c r="C649" s="30">
        <v>6</v>
      </c>
      <c r="D649" s="34">
        <v>1</v>
      </c>
      <c r="E649" s="30">
        <v>4</v>
      </c>
      <c r="F649" s="30">
        <v>5</v>
      </c>
      <c r="G649" s="30">
        <v>7</v>
      </c>
      <c r="J649" s="35"/>
      <c r="K649" s="34">
        <v>1</v>
      </c>
      <c r="L649" s="30">
        <v>4</v>
      </c>
      <c r="M649" s="30">
        <v>5</v>
      </c>
      <c r="N649" s="30">
        <v>6</v>
      </c>
      <c r="Q649" s="35"/>
      <c r="R649" s="30">
        <f t="shared" si="51"/>
        <v>1019633152</v>
      </c>
      <c r="S649" s="30">
        <f t="shared" si="52"/>
        <v>416768</v>
      </c>
    </row>
    <row r="650" spans="1:19">
      <c r="A650" s="57">
        <v>7</v>
      </c>
      <c r="B650" s="57">
        <v>4</v>
      </c>
      <c r="C650" s="30">
        <v>6</v>
      </c>
      <c r="D650" s="34">
        <v>1</v>
      </c>
      <c r="E650" s="30">
        <v>4</v>
      </c>
      <c r="F650" s="30">
        <v>6</v>
      </c>
      <c r="G650" s="30">
        <v>7</v>
      </c>
      <c r="J650" s="35"/>
      <c r="K650" s="34">
        <v>1</v>
      </c>
      <c r="L650" s="30">
        <v>4</v>
      </c>
      <c r="M650" s="30">
        <v>5</v>
      </c>
      <c r="N650" s="30">
        <v>6</v>
      </c>
      <c r="Q650" s="35"/>
      <c r="R650" s="30">
        <f t="shared" si="51"/>
        <v>1019637248</v>
      </c>
      <c r="S650" s="30">
        <f t="shared" si="52"/>
        <v>416768</v>
      </c>
    </row>
    <row r="651" spans="1:19">
      <c r="A651" s="57">
        <v>7</v>
      </c>
      <c r="B651" s="57">
        <v>4</v>
      </c>
      <c r="C651" s="30">
        <v>6</v>
      </c>
      <c r="D651" s="34">
        <v>1</v>
      </c>
      <c r="E651" s="30">
        <v>5</v>
      </c>
      <c r="F651" s="30">
        <v>6</v>
      </c>
      <c r="G651" s="30">
        <v>7</v>
      </c>
      <c r="J651" s="35"/>
      <c r="K651" s="34">
        <v>1</v>
      </c>
      <c r="L651" s="30">
        <v>4</v>
      </c>
      <c r="M651" s="30">
        <v>5</v>
      </c>
      <c r="N651" s="30">
        <v>6</v>
      </c>
      <c r="Q651" s="35"/>
      <c r="R651" s="30">
        <f t="shared" si="51"/>
        <v>1019670016</v>
      </c>
      <c r="S651" s="30">
        <f t="shared" si="52"/>
        <v>416768</v>
      </c>
    </row>
    <row r="652" spans="1:19">
      <c r="A652" s="57">
        <v>7</v>
      </c>
      <c r="B652" s="57">
        <v>4</v>
      </c>
      <c r="C652" s="30">
        <v>6</v>
      </c>
      <c r="D652" s="34">
        <v>2</v>
      </c>
      <c r="E652" s="30">
        <v>3</v>
      </c>
      <c r="F652" s="30">
        <v>4</v>
      </c>
      <c r="G652" s="30">
        <v>5</v>
      </c>
      <c r="J652" s="35"/>
      <c r="K652" s="34">
        <v>2</v>
      </c>
      <c r="L652" s="30">
        <v>3</v>
      </c>
      <c r="M652" s="30">
        <v>4</v>
      </c>
      <c r="N652" s="30">
        <v>5</v>
      </c>
      <c r="Q652" s="35"/>
      <c r="R652" s="30">
        <f t="shared" si="51"/>
        <v>1019857408</v>
      </c>
      <c r="S652" s="30">
        <f t="shared" si="52"/>
        <v>641536</v>
      </c>
    </row>
    <row r="653" spans="1:19">
      <c r="A653" s="57">
        <v>7</v>
      </c>
      <c r="B653" s="57">
        <v>4</v>
      </c>
      <c r="C653" s="30">
        <v>6</v>
      </c>
      <c r="D653" s="34">
        <v>2</v>
      </c>
      <c r="E653" s="30">
        <v>3</v>
      </c>
      <c r="F653" s="30">
        <v>4</v>
      </c>
      <c r="G653" s="30">
        <v>6</v>
      </c>
      <c r="J653" s="35"/>
      <c r="K653" s="34">
        <v>2</v>
      </c>
      <c r="L653" s="30">
        <v>3</v>
      </c>
      <c r="M653" s="30">
        <v>4</v>
      </c>
      <c r="N653" s="30">
        <v>6</v>
      </c>
      <c r="Q653" s="35"/>
      <c r="R653" s="30">
        <f t="shared" si="51"/>
        <v>1019857920</v>
      </c>
      <c r="S653" s="30">
        <f t="shared" si="52"/>
        <v>642048</v>
      </c>
    </row>
    <row r="654" spans="1:19">
      <c r="A654" s="57">
        <v>7</v>
      </c>
      <c r="B654" s="57">
        <v>4</v>
      </c>
      <c r="C654" s="30">
        <v>6</v>
      </c>
      <c r="D654" s="34">
        <v>2</v>
      </c>
      <c r="E654" s="30">
        <v>3</v>
      </c>
      <c r="F654" s="30">
        <v>4</v>
      </c>
      <c r="G654" s="30">
        <v>7</v>
      </c>
      <c r="J654" s="35"/>
      <c r="K654" s="34">
        <v>2</v>
      </c>
      <c r="L654" s="30">
        <v>3</v>
      </c>
      <c r="M654" s="30">
        <v>4</v>
      </c>
      <c r="N654" s="30">
        <v>6</v>
      </c>
      <c r="Q654" s="35"/>
      <c r="R654" s="30">
        <f t="shared" si="51"/>
        <v>1019858432</v>
      </c>
      <c r="S654" s="30">
        <f t="shared" si="52"/>
        <v>642048</v>
      </c>
    </row>
    <row r="655" spans="1:19">
      <c r="A655" s="57">
        <v>7</v>
      </c>
      <c r="B655" s="57">
        <v>4</v>
      </c>
      <c r="C655" s="30">
        <v>6</v>
      </c>
      <c r="D655" s="34">
        <v>2</v>
      </c>
      <c r="E655" s="30">
        <v>3</v>
      </c>
      <c r="F655" s="30">
        <v>5</v>
      </c>
      <c r="G655" s="30">
        <v>6</v>
      </c>
      <c r="J655" s="35"/>
      <c r="K655" s="34">
        <v>2</v>
      </c>
      <c r="L655" s="30">
        <v>3</v>
      </c>
      <c r="M655" s="30">
        <v>5</v>
      </c>
      <c r="N655" s="30">
        <v>6</v>
      </c>
      <c r="Q655" s="35"/>
      <c r="R655" s="30">
        <f t="shared" si="51"/>
        <v>1019862016</v>
      </c>
      <c r="S655" s="30">
        <f t="shared" si="52"/>
        <v>646144</v>
      </c>
    </row>
    <row r="656" spans="1:19">
      <c r="A656" s="57">
        <v>7</v>
      </c>
      <c r="B656" s="57">
        <v>4</v>
      </c>
      <c r="C656" s="30">
        <v>6</v>
      </c>
      <c r="D656" s="34">
        <v>2</v>
      </c>
      <c r="E656" s="30">
        <v>3</v>
      </c>
      <c r="F656" s="30">
        <v>5</v>
      </c>
      <c r="G656" s="30">
        <v>7</v>
      </c>
      <c r="J656" s="35"/>
      <c r="K656" s="34">
        <v>2</v>
      </c>
      <c r="L656" s="30">
        <v>3</v>
      </c>
      <c r="M656" s="30">
        <v>5</v>
      </c>
      <c r="N656" s="30">
        <v>6</v>
      </c>
      <c r="Q656" s="35"/>
      <c r="R656" s="30">
        <f t="shared" si="51"/>
        <v>1019862528</v>
      </c>
      <c r="S656" s="30">
        <f t="shared" si="52"/>
        <v>646144</v>
      </c>
    </row>
    <row r="657" spans="1:19">
      <c r="A657" s="57">
        <v>7</v>
      </c>
      <c r="B657" s="57">
        <v>4</v>
      </c>
      <c r="C657" s="30">
        <v>6</v>
      </c>
      <c r="D657" s="34">
        <v>2</v>
      </c>
      <c r="E657" s="30">
        <v>3</v>
      </c>
      <c r="F657" s="30">
        <v>6</v>
      </c>
      <c r="G657" s="30">
        <v>7</v>
      </c>
      <c r="J657" s="35"/>
      <c r="K657" s="34">
        <v>2</v>
      </c>
      <c r="L657" s="30">
        <v>3</v>
      </c>
      <c r="M657" s="30">
        <v>5</v>
      </c>
      <c r="N657" s="30">
        <v>6</v>
      </c>
      <c r="Q657" s="35"/>
      <c r="R657" s="30">
        <f t="shared" si="51"/>
        <v>1019866624</v>
      </c>
      <c r="S657" s="30">
        <f t="shared" si="52"/>
        <v>646144</v>
      </c>
    </row>
    <row r="658" spans="1:19">
      <c r="A658" s="57">
        <v>7</v>
      </c>
      <c r="B658" s="57">
        <v>4</v>
      </c>
      <c r="C658" s="30">
        <v>6</v>
      </c>
      <c r="D658" s="34">
        <v>2</v>
      </c>
      <c r="E658" s="30">
        <v>4</v>
      </c>
      <c r="F658" s="30">
        <v>5</v>
      </c>
      <c r="G658" s="30">
        <v>6</v>
      </c>
      <c r="J658" s="35"/>
      <c r="K658" s="34">
        <v>2</v>
      </c>
      <c r="L658" s="30">
        <v>4</v>
      </c>
      <c r="M658" s="30">
        <v>5</v>
      </c>
      <c r="N658" s="30">
        <v>6</v>
      </c>
      <c r="Q658" s="35"/>
      <c r="R658" s="30">
        <f t="shared" si="51"/>
        <v>1019894784</v>
      </c>
      <c r="S658" s="30">
        <f t="shared" si="52"/>
        <v>678912</v>
      </c>
    </row>
    <row r="659" spans="1:19">
      <c r="A659" s="57">
        <v>7</v>
      </c>
      <c r="B659" s="57">
        <v>4</v>
      </c>
      <c r="C659" s="30">
        <v>6</v>
      </c>
      <c r="D659" s="34">
        <v>2</v>
      </c>
      <c r="E659" s="30">
        <v>4</v>
      </c>
      <c r="F659" s="30">
        <v>5</v>
      </c>
      <c r="G659" s="30">
        <v>7</v>
      </c>
      <c r="J659" s="35"/>
      <c r="K659" s="34">
        <v>2</v>
      </c>
      <c r="L659" s="30">
        <v>4</v>
      </c>
      <c r="M659" s="30">
        <v>5</v>
      </c>
      <c r="N659" s="30">
        <v>6</v>
      </c>
      <c r="Q659" s="35"/>
      <c r="R659" s="30">
        <f t="shared" si="51"/>
        <v>1019895296</v>
      </c>
      <c r="S659" s="30">
        <f t="shared" si="52"/>
        <v>678912</v>
      </c>
    </row>
    <row r="660" spans="1:19">
      <c r="A660" s="57">
        <v>7</v>
      </c>
      <c r="B660" s="57">
        <v>4</v>
      </c>
      <c r="C660" s="30">
        <v>6</v>
      </c>
      <c r="D660" s="34">
        <v>2</v>
      </c>
      <c r="E660" s="30">
        <v>4</v>
      </c>
      <c r="F660" s="30">
        <v>6</v>
      </c>
      <c r="G660" s="30">
        <v>7</v>
      </c>
      <c r="J660" s="35"/>
      <c r="K660" s="34">
        <v>2</v>
      </c>
      <c r="L660" s="30">
        <v>4</v>
      </c>
      <c r="M660" s="30">
        <v>5</v>
      </c>
      <c r="N660" s="30">
        <v>6</v>
      </c>
      <c r="Q660" s="35"/>
      <c r="R660" s="30">
        <f t="shared" si="51"/>
        <v>1019899392</v>
      </c>
      <c r="S660" s="30">
        <f t="shared" si="52"/>
        <v>678912</v>
      </c>
    </row>
    <row r="661" spans="1:19">
      <c r="A661" s="57">
        <v>7</v>
      </c>
      <c r="B661" s="57">
        <v>4</v>
      </c>
      <c r="C661" s="30">
        <v>6</v>
      </c>
      <c r="D661" s="34">
        <v>2</v>
      </c>
      <c r="E661" s="30">
        <v>5</v>
      </c>
      <c r="F661" s="30">
        <v>6</v>
      </c>
      <c r="G661" s="30">
        <v>7</v>
      </c>
      <c r="J661" s="35"/>
      <c r="K661" s="34">
        <v>2</v>
      </c>
      <c r="L661" s="30">
        <v>4</v>
      </c>
      <c r="M661" s="30">
        <v>5</v>
      </c>
      <c r="N661" s="30">
        <v>6</v>
      </c>
      <c r="Q661" s="35"/>
      <c r="R661" s="30">
        <f t="shared" si="51"/>
        <v>1019932160</v>
      </c>
      <c r="S661" s="30">
        <f t="shared" si="52"/>
        <v>678912</v>
      </c>
    </row>
    <row r="662" spans="1:19">
      <c r="A662" s="57">
        <v>7</v>
      </c>
      <c r="B662" s="57">
        <v>4</v>
      </c>
      <c r="C662" s="30">
        <v>6</v>
      </c>
      <c r="D662" s="34">
        <v>3</v>
      </c>
      <c r="E662" s="30">
        <v>4</v>
      </c>
      <c r="F662" s="30">
        <v>5</v>
      </c>
      <c r="G662" s="30">
        <v>6</v>
      </c>
      <c r="J662" s="35"/>
      <c r="K662" s="34">
        <v>3</v>
      </c>
      <c r="L662" s="30">
        <v>4</v>
      </c>
      <c r="M662" s="30">
        <v>5</v>
      </c>
      <c r="N662" s="30">
        <v>6</v>
      </c>
      <c r="Q662" s="35"/>
      <c r="R662" s="30">
        <f t="shared" si="51"/>
        <v>1020156928</v>
      </c>
      <c r="S662" s="30">
        <f t="shared" si="52"/>
        <v>941056</v>
      </c>
    </row>
    <row r="663" spans="1:19">
      <c r="A663" s="57">
        <v>7</v>
      </c>
      <c r="B663" s="57">
        <v>4</v>
      </c>
      <c r="C663" s="30">
        <v>6</v>
      </c>
      <c r="D663" s="34">
        <v>3</v>
      </c>
      <c r="E663" s="30">
        <v>4</v>
      </c>
      <c r="F663" s="30">
        <v>5</v>
      </c>
      <c r="G663" s="30">
        <v>7</v>
      </c>
      <c r="J663" s="35"/>
      <c r="K663" s="34">
        <v>3</v>
      </c>
      <c r="L663" s="30">
        <v>4</v>
      </c>
      <c r="M663" s="30">
        <v>5</v>
      </c>
      <c r="N663" s="30">
        <v>6</v>
      </c>
      <c r="Q663" s="35"/>
      <c r="R663" s="30">
        <f t="shared" si="51"/>
        <v>1020157440</v>
      </c>
      <c r="S663" s="30">
        <f t="shared" si="52"/>
        <v>941056</v>
      </c>
    </row>
    <row r="664" spans="1:19">
      <c r="A664" s="57">
        <v>7</v>
      </c>
      <c r="B664" s="57">
        <v>4</v>
      </c>
      <c r="C664" s="30">
        <v>6</v>
      </c>
      <c r="D664" s="34">
        <v>3</v>
      </c>
      <c r="E664" s="30">
        <v>4</v>
      </c>
      <c r="F664" s="30">
        <v>6</v>
      </c>
      <c r="G664" s="30">
        <v>7</v>
      </c>
      <c r="J664" s="35"/>
      <c r="K664" s="34">
        <v>3</v>
      </c>
      <c r="L664" s="30">
        <v>4</v>
      </c>
      <c r="M664" s="30">
        <v>5</v>
      </c>
      <c r="N664" s="30">
        <v>6</v>
      </c>
      <c r="Q664" s="35"/>
      <c r="R664" s="30">
        <f t="shared" si="51"/>
        <v>1020161536</v>
      </c>
      <c r="S664" s="30">
        <f t="shared" si="52"/>
        <v>941056</v>
      </c>
    </row>
    <row r="665" spans="1:19">
      <c r="A665" s="57">
        <v>7</v>
      </c>
      <c r="B665" s="57">
        <v>4</v>
      </c>
      <c r="C665" s="30">
        <v>6</v>
      </c>
      <c r="D665" s="34">
        <v>3</v>
      </c>
      <c r="E665" s="30">
        <v>5</v>
      </c>
      <c r="F665" s="30">
        <v>6</v>
      </c>
      <c r="G665" s="30">
        <v>7</v>
      </c>
      <c r="J665" s="35"/>
      <c r="K665" s="34">
        <v>3</v>
      </c>
      <c r="L665" s="30">
        <v>4</v>
      </c>
      <c r="M665" s="30">
        <v>5</v>
      </c>
      <c r="N665" s="30">
        <v>6</v>
      </c>
      <c r="Q665" s="35"/>
      <c r="R665" s="30">
        <f t="shared" si="51"/>
        <v>1020194304</v>
      </c>
      <c r="S665" s="30">
        <f t="shared" si="52"/>
        <v>941056</v>
      </c>
    </row>
    <row r="666" spans="1:19">
      <c r="A666" s="58">
        <v>7</v>
      </c>
      <c r="B666" s="58">
        <v>4</v>
      </c>
      <c r="C666" s="37">
        <v>6</v>
      </c>
      <c r="D666" s="36">
        <v>4</v>
      </c>
      <c r="E666" s="37">
        <v>5</v>
      </c>
      <c r="F666" s="37">
        <v>6</v>
      </c>
      <c r="G666" s="37">
        <v>7</v>
      </c>
      <c r="H666" s="37"/>
      <c r="I666" s="37"/>
      <c r="J666" s="38"/>
      <c r="K666" s="37">
        <v>3</v>
      </c>
      <c r="L666" s="37">
        <v>4</v>
      </c>
      <c r="M666" s="37">
        <v>5</v>
      </c>
      <c r="N666" s="37">
        <v>6</v>
      </c>
      <c r="O666" s="37"/>
      <c r="P666" s="37"/>
      <c r="Q666" s="38"/>
      <c r="R666" s="30">
        <f t="shared" si="51"/>
        <v>1020456448</v>
      </c>
      <c r="S666" s="30">
        <f t="shared" si="52"/>
        <v>941056</v>
      </c>
    </row>
    <row r="667" spans="1:19">
      <c r="A667" s="59">
        <v>7</v>
      </c>
      <c r="B667" s="59">
        <v>5</v>
      </c>
      <c r="C667" s="32">
        <v>5</v>
      </c>
      <c r="D667" s="31">
        <v>1</v>
      </c>
      <c r="E667" s="32">
        <v>2</v>
      </c>
      <c r="F667" s="32">
        <v>3</v>
      </c>
      <c r="G667" s="32">
        <v>4</v>
      </c>
      <c r="H667" s="32">
        <v>5</v>
      </c>
      <c r="I667" s="32"/>
      <c r="J667" s="33"/>
      <c r="K667" s="32">
        <v>1</v>
      </c>
      <c r="L667" s="32">
        <v>2</v>
      </c>
      <c r="M667" s="32">
        <v>3</v>
      </c>
      <c r="N667" s="32">
        <v>4</v>
      </c>
      <c r="O667" s="32">
        <v>5</v>
      </c>
      <c r="P667" s="32"/>
      <c r="Q667" s="33"/>
      <c r="R667" s="30">
        <f t="shared" si="51"/>
        <v>1034238272</v>
      </c>
      <c r="S667" s="30">
        <f t="shared" si="52"/>
        <v>342336</v>
      </c>
    </row>
    <row r="668" spans="1:19">
      <c r="A668" s="57">
        <v>7</v>
      </c>
      <c r="B668" s="57">
        <v>5</v>
      </c>
      <c r="C668" s="30">
        <v>5</v>
      </c>
      <c r="D668" s="34">
        <v>1</v>
      </c>
      <c r="E668" s="30">
        <v>2</v>
      </c>
      <c r="F668" s="30">
        <v>3</v>
      </c>
      <c r="G668" s="30">
        <v>4</v>
      </c>
      <c r="H668" s="30">
        <v>6</v>
      </c>
      <c r="J668" s="35"/>
      <c r="K668" s="30">
        <v>1</v>
      </c>
      <c r="L668" s="30">
        <v>2</v>
      </c>
      <c r="M668" s="30">
        <v>3</v>
      </c>
      <c r="N668" s="30">
        <v>4</v>
      </c>
      <c r="O668" s="30">
        <v>5</v>
      </c>
      <c r="Q668" s="35"/>
      <c r="R668" s="30">
        <f t="shared" si="51"/>
        <v>1034238336</v>
      </c>
      <c r="S668" s="30">
        <f t="shared" si="52"/>
        <v>342336</v>
      </c>
    </row>
    <row r="669" spans="1:19">
      <c r="A669" s="57">
        <v>7</v>
      </c>
      <c r="B669" s="57">
        <v>5</v>
      </c>
      <c r="C669" s="30">
        <v>5</v>
      </c>
      <c r="D669" s="34">
        <v>1</v>
      </c>
      <c r="E669" s="30">
        <v>2</v>
      </c>
      <c r="F669" s="30">
        <v>3</v>
      </c>
      <c r="G669" s="30">
        <v>4</v>
      </c>
      <c r="H669" s="30">
        <v>7</v>
      </c>
      <c r="J669" s="35"/>
      <c r="K669" s="30">
        <v>1</v>
      </c>
      <c r="L669" s="30">
        <v>2</v>
      </c>
      <c r="M669" s="30">
        <v>3</v>
      </c>
      <c r="N669" s="30">
        <v>4</v>
      </c>
      <c r="O669" s="30">
        <v>5</v>
      </c>
      <c r="Q669" s="35"/>
      <c r="R669" s="30">
        <f t="shared" si="51"/>
        <v>1034238400</v>
      </c>
      <c r="S669" s="30">
        <f t="shared" si="52"/>
        <v>342336</v>
      </c>
    </row>
    <row r="670" spans="1:19">
      <c r="A670" s="57">
        <v>7</v>
      </c>
      <c r="B670" s="57">
        <v>5</v>
      </c>
      <c r="C670" s="30">
        <v>5</v>
      </c>
      <c r="D670" s="34">
        <v>1</v>
      </c>
      <c r="E670" s="30">
        <v>2</v>
      </c>
      <c r="F670" s="30">
        <v>3</v>
      </c>
      <c r="G670" s="30">
        <v>5</v>
      </c>
      <c r="H670" s="30">
        <v>6</v>
      </c>
      <c r="J670" s="35"/>
      <c r="K670" s="30">
        <v>1</v>
      </c>
      <c r="L670" s="30">
        <v>2</v>
      </c>
      <c r="M670" s="30">
        <v>3</v>
      </c>
      <c r="N670" s="30">
        <v>4</v>
      </c>
      <c r="O670" s="30">
        <v>5</v>
      </c>
      <c r="Q670" s="35"/>
      <c r="R670" s="30">
        <f t="shared" si="51"/>
        <v>1034238848</v>
      </c>
      <c r="S670" s="30">
        <f t="shared" si="52"/>
        <v>342336</v>
      </c>
    </row>
    <row r="671" spans="1:19">
      <c r="A671" s="57">
        <v>7</v>
      </c>
      <c r="B671" s="57">
        <v>5</v>
      </c>
      <c r="C671" s="30">
        <v>5</v>
      </c>
      <c r="D671" s="34">
        <v>1</v>
      </c>
      <c r="E671" s="30">
        <v>2</v>
      </c>
      <c r="F671" s="30">
        <v>3</v>
      </c>
      <c r="G671" s="30">
        <v>5</v>
      </c>
      <c r="H671" s="30">
        <v>7</v>
      </c>
      <c r="J671" s="35"/>
      <c r="K671" s="30">
        <v>1</v>
      </c>
      <c r="L671" s="30">
        <v>2</v>
      </c>
      <c r="M671" s="30">
        <v>3</v>
      </c>
      <c r="N671" s="30">
        <v>4</v>
      </c>
      <c r="O671" s="30">
        <v>5</v>
      </c>
      <c r="Q671" s="35"/>
      <c r="R671" s="30">
        <f t="shared" si="51"/>
        <v>1034238912</v>
      </c>
      <c r="S671" s="30">
        <f t="shared" si="52"/>
        <v>342336</v>
      </c>
    </row>
    <row r="672" spans="1:19">
      <c r="A672" s="57">
        <v>7</v>
      </c>
      <c r="B672" s="57">
        <v>5</v>
      </c>
      <c r="C672" s="30">
        <v>5</v>
      </c>
      <c r="D672" s="34">
        <v>1</v>
      </c>
      <c r="E672" s="30">
        <v>2</v>
      </c>
      <c r="F672" s="30">
        <v>3</v>
      </c>
      <c r="G672" s="30">
        <v>6</v>
      </c>
      <c r="H672" s="30">
        <v>7</v>
      </c>
      <c r="J672" s="35"/>
      <c r="K672" s="30">
        <v>1</v>
      </c>
      <c r="L672" s="30">
        <v>2</v>
      </c>
      <c r="M672" s="30">
        <v>3</v>
      </c>
      <c r="N672" s="30">
        <v>4</v>
      </c>
      <c r="O672" s="30">
        <v>5</v>
      </c>
      <c r="Q672" s="35"/>
      <c r="R672" s="30">
        <f t="shared" si="51"/>
        <v>1034239424</v>
      </c>
      <c r="S672" s="30">
        <f t="shared" si="52"/>
        <v>342336</v>
      </c>
    </row>
    <row r="673" spans="1:19">
      <c r="A673" s="57">
        <v>7</v>
      </c>
      <c r="B673" s="57">
        <v>5</v>
      </c>
      <c r="C673" s="30">
        <v>5</v>
      </c>
      <c r="D673" s="34">
        <v>1</v>
      </c>
      <c r="E673" s="30">
        <v>2</v>
      </c>
      <c r="F673" s="30">
        <v>4</v>
      </c>
      <c r="G673" s="30">
        <v>5</v>
      </c>
      <c r="H673" s="30">
        <v>6</v>
      </c>
      <c r="J673" s="35"/>
      <c r="K673" s="30">
        <v>1</v>
      </c>
      <c r="L673" s="30">
        <v>2</v>
      </c>
      <c r="M673" s="30">
        <v>3</v>
      </c>
      <c r="N673" s="30">
        <v>4</v>
      </c>
      <c r="O673" s="30">
        <v>5</v>
      </c>
      <c r="Q673" s="35"/>
      <c r="R673" s="30">
        <f t="shared" si="51"/>
        <v>1034242944</v>
      </c>
      <c r="S673" s="30">
        <f t="shared" si="52"/>
        <v>342336</v>
      </c>
    </row>
    <row r="674" spans="1:19">
      <c r="A674" s="57">
        <v>7</v>
      </c>
      <c r="B674" s="57">
        <v>5</v>
      </c>
      <c r="C674" s="30">
        <v>5</v>
      </c>
      <c r="D674" s="34">
        <v>1</v>
      </c>
      <c r="E674" s="30">
        <v>2</v>
      </c>
      <c r="F674" s="30">
        <v>4</v>
      </c>
      <c r="G674" s="30">
        <v>5</v>
      </c>
      <c r="H674" s="30">
        <v>7</v>
      </c>
      <c r="J674" s="35"/>
      <c r="K674" s="30">
        <v>1</v>
      </c>
      <c r="L674" s="30">
        <v>2</v>
      </c>
      <c r="M674" s="30">
        <v>3</v>
      </c>
      <c r="N674" s="30">
        <v>4</v>
      </c>
      <c r="O674" s="30">
        <v>5</v>
      </c>
      <c r="Q674" s="35"/>
      <c r="R674" s="30">
        <f t="shared" si="51"/>
        <v>1034243008</v>
      </c>
      <c r="S674" s="30">
        <f t="shared" si="52"/>
        <v>342336</v>
      </c>
    </row>
    <row r="675" spans="1:19">
      <c r="A675" s="57">
        <v>7</v>
      </c>
      <c r="B675" s="57">
        <v>5</v>
      </c>
      <c r="C675" s="30">
        <v>5</v>
      </c>
      <c r="D675" s="34">
        <v>1</v>
      </c>
      <c r="E675" s="30">
        <v>2</v>
      </c>
      <c r="F675" s="30">
        <v>4</v>
      </c>
      <c r="G675" s="30">
        <v>6</v>
      </c>
      <c r="H675" s="30">
        <v>7</v>
      </c>
      <c r="J675" s="35"/>
      <c r="K675" s="30">
        <v>1</v>
      </c>
      <c r="L675" s="30">
        <v>2</v>
      </c>
      <c r="M675" s="30">
        <v>3</v>
      </c>
      <c r="N675" s="30">
        <v>4</v>
      </c>
      <c r="O675" s="30">
        <v>5</v>
      </c>
      <c r="Q675" s="35"/>
      <c r="R675" s="30">
        <f t="shared" si="51"/>
        <v>1034243520</v>
      </c>
      <c r="S675" s="30">
        <f t="shared" si="52"/>
        <v>342336</v>
      </c>
    </row>
    <row r="676" spans="1:19">
      <c r="A676" s="57">
        <v>7</v>
      </c>
      <c r="B676" s="57">
        <v>5</v>
      </c>
      <c r="C676" s="30">
        <v>5</v>
      </c>
      <c r="D676" s="34">
        <v>1</v>
      </c>
      <c r="E676" s="30">
        <v>2</v>
      </c>
      <c r="F676" s="30">
        <v>5</v>
      </c>
      <c r="G676" s="30">
        <v>6</v>
      </c>
      <c r="H676" s="30">
        <v>7</v>
      </c>
      <c r="J676" s="35"/>
      <c r="K676" s="30">
        <v>1</v>
      </c>
      <c r="L676" s="30">
        <v>2</v>
      </c>
      <c r="M676" s="30">
        <v>3</v>
      </c>
      <c r="N676" s="30">
        <v>4</v>
      </c>
      <c r="O676" s="30">
        <v>5</v>
      </c>
      <c r="Q676" s="35"/>
      <c r="R676" s="30">
        <f t="shared" si="51"/>
        <v>1034247616</v>
      </c>
      <c r="S676" s="30">
        <f t="shared" si="52"/>
        <v>342336</v>
      </c>
    </row>
    <row r="677" spans="1:19">
      <c r="A677" s="57">
        <v>7</v>
      </c>
      <c r="B677" s="57">
        <v>5</v>
      </c>
      <c r="C677" s="30">
        <v>5</v>
      </c>
      <c r="D677" s="34">
        <v>1</v>
      </c>
      <c r="E677" s="30">
        <v>3</v>
      </c>
      <c r="F677" s="30">
        <v>4</v>
      </c>
      <c r="G677" s="30">
        <v>5</v>
      </c>
      <c r="H677" s="30">
        <v>6</v>
      </c>
      <c r="J677" s="35"/>
      <c r="K677" s="30">
        <v>1</v>
      </c>
      <c r="L677" s="30">
        <v>2</v>
      </c>
      <c r="M677" s="30">
        <v>3</v>
      </c>
      <c r="N677" s="30">
        <v>4</v>
      </c>
      <c r="O677" s="30">
        <v>5</v>
      </c>
      <c r="Q677" s="35"/>
      <c r="R677" s="30">
        <f t="shared" si="51"/>
        <v>1034275712</v>
      </c>
      <c r="S677" s="30">
        <f t="shared" si="52"/>
        <v>342336</v>
      </c>
    </row>
    <row r="678" spans="1:19">
      <c r="A678" s="57">
        <v>7</v>
      </c>
      <c r="B678" s="57">
        <v>5</v>
      </c>
      <c r="C678" s="30">
        <v>5</v>
      </c>
      <c r="D678" s="34">
        <v>1</v>
      </c>
      <c r="E678" s="30">
        <v>3</v>
      </c>
      <c r="F678" s="30">
        <v>4</v>
      </c>
      <c r="G678" s="30">
        <v>5</v>
      </c>
      <c r="H678" s="30">
        <v>7</v>
      </c>
      <c r="J678" s="35"/>
      <c r="K678" s="30">
        <v>1</v>
      </c>
      <c r="L678" s="30">
        <v>2</v>
      </c>
      <c r="M678" s="30">
        <v>3</v>
      </c>
      <c r="N678" s="30">
        <v>4</v>
      </c>
      <c r="O678" s="30">
        <v>5</v>
      </c>
      <c r="Q678" s="35"/>
      <c r="R678" s="30">
        <f t="shared" si="51"/>
        <v>1034275776</v>
      </c>
      <c r="S678" s="30">
        <f t="shared" si="52"/>
        <v>342336</v>
      </c>
    </row>
    <row r="679" spans="1:19">
      <c r="A679" s="57">
        <v>7</v>
      </c>
      <c r="B679" s="57">
        <v>5</v>
      </c>
      <c r="C679" s="30">
        <v>5</v>
      </c>
      <c r="D679" s="34">
        <v>1</v>
      </c>
      <c r="E679" s="30">
        <v>3</v>
      </c>
      <c r="F679" s="30">
        <v>4</v>
      </c>
      <c r="G679" s="30">
        <v>6</v>
      </c>
      <c r="H679" s="30">
        <v>7</v>
      </c>
      <c r="J679" s="35"/>
      <c r="K679" s="30">
        <v>1</v>
      </c>
      <c r="L679" s="30">
        <v>2</v>
      </c>
      <c r="M679" s="30">
        <v>3</v>
      </c>
      <c r="N679" s="30">
        <v>4</v>
      </c>
      <c r="O679" s="30">
        <v>5</v>
      </c>
      <c r="Q679" s="35"/>
      <c r="R679" s="30">
        <f t="shared" si="51"/>
        <v>1034276288</v>
      </c>
      <c r="S679" s="30">
        <f t="shared" si="52"/>
        <v>342336</v>
      </c>
    </row>
    <row r="680" spans="1:19">
      <c r="A680" s="57">
        <v>7</v>
      </c>
      <c r="B680" s="57">
        <v>5</v>
      </c>
      <c r="C680" s="30">
        <v>5</v>
      </c>
      <c r="D680" s="34">
        <v>1</v>
      </c>
      <c r="E680" s="30">
        <v>3</v>
      </c>
      <c r="F680" s="30">
        <v>5</v>
      </c>
      <c r="G680" s="30">
        <v>6</v>
      </c>
      <c r="H680" s="30">
        <v>7</v>
      </c>
      <c r="J680" s="35"/>
      <c r="K680" s="30">
        <v>1</v>
      </c>
      <c r="L680" s="30">
        <v>2</v>
      </c>
      <c r="M680" s="30">
        <v>3</v>
      </c>
      <c r="N680" s="30">
        <v>4</v>
      </c>
      <c r="O680" s="30">
        <v>5</v>
      </c>
      <c r="Q680" s="35"/>
      <c r="R680" s="30">
        <f t="shared" si="51"/>
        <v>1034280384</v>
      </c>
      <c r="S680" s="30">
        <f t="shared" si="52"/>
        <v>342336</v>
      </c>
    </row>
    <row r="681" spans="1:19">
      <c r="A681" s="57">
        <v>7</v>
      </c>
      <c r="B681" s="57">
        <v>5</v>
      </c>
      <c r="C681" s="30">
        <v>5</v>
      </c>
      <c r="D681" s="34">
        <v>1</v>
      </c>
      <c r="E681" s="30">
        <v>4</v>
      </c>
      <c r="F681" s="30">
        <v>5</v>
      </c>
      <c r="G681" s="30">
        <v>6</v>
      </c>
      <c r="H681" s="30">
        <v>7</v>
      </c>
      <c r="J681" s="35"/>
      <c r="K681" s="30">
        <v>1</v>
      </c>
      <c r="L681" s="30">
        <v>2</v>
      </c>
      <c r="M681" s="30">
        <v>3</v>
      </c>
      <c r="N681" s="30">
        <v>4</v>
      </c>
      <c r="O681" s="30">
        <v>5</v>
      </c>
      <c r="Q681" s="35"/>
      <c r="R681" s="30">
        <f t="shared" si="51"/>
        <v>1034313152</v>
      </c>
      <c r="S681" s="30">
        <f t="shared" si="52"/>
        <v>342336</v>
      </c>
    </row>
    <row r="682" spans="1:19">
      <c r="A682" s="57">
        <v>7</v>
      </c>
      <c r="B682" s="57">
        <v>5</v>
      </c>
      <c r="C682" s="30">
        <v>5</v>
      </c>
      <c r="D682" s="34">
        <v>2</v>
      </c>
      <c r="E682" s="30">
        <v>3</v>
      </c>
      <c r="F682" s="30">
        <v>4</v>
      </c>
      <c r="G682" s="30">
        <v>5</v>
      </c>
      <c r="H682" s="30">
        <v>6</v>
      </c>
      <c r="J682" s="35"/>
      <c r="K682" s="30">
        <v>1</v>
      </c>
      <c r="L682" s="30">
        <v>2</v>
      </c>
      <c r="M682" s="30">
        <v>3</v>
      </c>
      <c r="N682" s="30">
        <v>4</v>
      </c>
      <c r="O682" s="30">
        <v>5</v>
      </c>
      <c r="Q682" s="35"/>
      <c r="R682" s="30">
        <f t="shared" si="51"/>
        <v>1034537856</v>
      </c>
      <c r="S682" s="30">
        <f t="shared" si="52"/>
        <v>342336</v>
      </c>
    </row>
    <row r="683" spans="1:19">
      <c r="A683" s="57">
        <v>7</v>
      </c>
      <c r="B683" s="57">
        <v>5</v>
      </c>
      <c r="C683" s="30">
        <v>5</v>
      </c>
      <c r="D683" s="34">
        <v>2</v>
      </c>
      <c r="E683" s="30">
        <v>3</v>
      </c>
      <c r="F683" s="30">
        <v>4</v>
      </c>
      <c r="G683" s="30">
        <v>5</v>
      </c>
      <c r="H683" s="30">
        <v>7</v>
      </c>
      <c r="J683" s="35"/>
      <c r="K683" s="30">
        <v>1</v>
      </c>
      <c r="L683" s="30">
        <v>2</v>
      </c>
      <c r="M683" s="30">
        <v>3</v>
      </c>
      <c r="N683" s="30">
        <v>4</v>
      </c>
      <c r="O683" s="30">
        <v>5</v>
      </c>
      <c r="Q683" s="35"/>
      <c r="R683" s="30">
        <f t="shared" si="51"/>
        <v>1034537920</v>
      </c>
      <c r="S683" s="30">
        <f t="shared" si="52"/>
        <v>342336</v>
      </c>
    </row>
    <row r="684" spans="1:19">
      <c r="A684" s="57">
        <v>7</v>
      </c>
      <c r="B684" s="57">
        <v>5</v>
      </c>
      <c r="C684" s="30">
        <v>5</v>
      </c>
      <c r="D684" s="34">
        <v>2</v>
      </c>
      <c r="E684" s="30">
        <v>3</v>
      </c>
      <c r="F684" s="30">
        <v>4</v>
      </c>
      <c r="G684" s="30">
        <v>6</v>
      </c>
      <c r="H684" s="30">
        <v>7</v>
      </c>
      <c r="J684" s="35"/>
      <c r="K684" s="30">
        <v>1</v>
      </c>
      <c r="L684" s="30">
        <v>2</v>
      </c>
      <c r="M684" s="30">
        <v>3</v>
      </c>
      <c r="N684" s="30">
        <v>4</v>
      </c>
      <c r="O684" s="30">
        <v>5</v>
      </c>
      <c r="Q684" s="35"/>
      <c r="R684" s="30">
        <f t="shared" si="51"/>
        <v>1034538432</v>
      </c>
      <c r="S684" s="30">
        <f t="shared" si="52"/>
        <v>342336</v>
      </c>
    </row>
    <row r="685" spans="1:19">
      <c r="A685" s="57">
        <v>7</v>
      </c>
      <c r="B685" s="57">
        <v>5</v>
      </c>
      <c r="C685" s="30">
        <v>5</v>
      </c>
      <c r="D685" s="34">
        <v>2</v>
      </c>
      <c r="E685" s="30">
        <v>3</v>
      </c>
      <c r="F685" s="30">
        <v>5</v>
      </c>
      <c r="G685" s="30">
        <v>6</v>
      </c>
      <c r="H685" s="30">
        <v>7</v>
      </c>
      <c r="J685" s="35"/>
      <c r="K685" s="30">
        <v>1</v>
      </c>
      <c r="L685" s="30">
        <v>2</v>
      </c>
      <c r="M685" s="30">
        <v>3</v>
      </c>
      <c r="N685" s="30">
        <v>4</v>
      </c>
      <c r="O685" s="30">
        <v>5</v>
      </c>
      <c r="Q685" s="35"/>
      <c r="R685" s="30">
        <f t="shared" si="51"/>
        <v>1034542528</v>
      </c>
      <c r="S685" s="30">
        <f t="shared" si="52"/>
        <v>342336</v>
      </c>
    </row>
    <row r="686" spans="1:19">
      <c r="A686" s="57">
        <v>7</v>
      </c>
      <c r="B686" s="57">
        <v>5</v>
      </c>
      <c r="C686" s="30">
        <v>5</v>
      </c>
      <c r="D686" s="34">
        <v>2</v>
      </c>
      <c r="E686" s="30">
        <v>4</v>
      </c>
      <c r="F686" s="30">
        <v>5</v>
      </c>
      <c r="G686" s="30">
        <v>6</v>
      </c>
      <c r="H686" s="30">
        <v>7</v>
      </c>
      <c r="J686" s="35"/>
      <c r="K686" s="30">
        <v>1</v>
      </c>
      <c r="L686" s="30">
        <v>2</v>
      </c>
      <c r="M686" s="30">
        <v>3</v>
      </c>
      <c r="N686" s="30">
        <v>4</v>
      </c>
      <c r="O686" s="30">
        <v>5</v>
      </c>
      <c r="Q686" s="35"/>
      <c r="R686" s="30">
        <f t="shared" si="51"/>
        <v>1034575296</v>
      </c>
      <c r="S686" s="30">
        <f t="shared" si="52"/>
        <v>342336</v>
      </c>
    </row>
    <row r="687" spans="1:19">
      <c r="A687" s="58">
        <v>7</v>
      </c>
      <c r="B687" s="58">
        <v>5</v>
      </c>
      <c r="C687" s="37">
        <v>5</v>
      </c>
      <c r="D687" s="36">
        <v>3</v>
      </c>
      <c r="E687" s="37">
        <v>4</v>
      </c>
      <c r="F687" s="37">
        <v>5</v>
      </c>
      <c r="G687" s="37">
        <v>6</v>
      </c>
      <c r="H687" s="37">
        <v>7</v>
      </c>
      <c r="I687" s="37"/>
      <c r="J687" s="38"/>
      <c r="K687" s="37">
        <v>1</v>
      </c>
      <c r="L687" s="37">
        <v>2</v>
      </c>
      <c r="M687" s="37">
        <v>3</v>
      </c>
      <c r="N687" s="37">
        <v>4</v>
      </c>
      <c r="O687" s="37">
        <v>5</v>
      </c>
      <c r="P687" s="37"/>
      <c r="Q687" s="38"/>
      <c r="R687" s="30">
        <f t="shared" si="51"/>
        <v>1034837440</v>
      </c>
      <c r="S687" s="30">
        <f t="shared" si="52"/>
        <v>342336</v>
      </c>
    </row>
    <row r="688" spans="1:19">
      <c r="A688" s="59">
        <v>7</v>
      </c>
      <c r="B688" s="59">
        <v>5</v>
      </c>
      <c r="C688" s="32">
        <v>6</v>
      </c>
      <c r="D688" s="31">
        <v>1</v>
      </c>
      <c r="E688" s="32">
        <v>2</v>
      </c>
      <c r="F688" s="32">
        <v>3</v>
      </c>
      <c r="G688" s="32">
        <v>4</v>
      </c>
      <c r="H688" s="32">
        <v>5</v>
      </c>
      <c r="I688" s="32"/>
      <c r="J688" s="33"/>
      <c r="K688" s="31">
        <v>1</v>
      </c>
      <c r="L688" s="32">
        <v>2</v>
      </c>
      <c r="M688" s="32">
        <v>3</v>
      </c>
      <c r="N688" s="32">
        <v>4</v>
      </c>
      <c r="O688" s="32">
        <v>5</v>
      </c>
      <c r="P688" s="32"/>
      <c r="Q688" s="33"/>
      <c r="R688" s="30">
        <f t="shared" si="51"/>
        <v>1036335424</v>
      </c>
      <c r="S688" s="30">
        <f t="shared" si="52"/>
        <v>342336</v>
      </c>
    </row>
    <row r="689" spans="1:19">
      <c r="A689" s="57">
        <v>7</v>
      </c>
      <c r="B689" s="57">
        <v>5</v>
      </c>
      <c r="C689" s="30">
        <v>6</v>
      </c>
      <c r="D689" s="34">
        <v>1</v>
      </c>
      <c r="E689" s="30">
        <v>2</v>
      </c>
      <c r="F689" s="30">
        <v>3</v>
      </c>
      <c r="G689" s="30">
        <v>4</v>
      </c>
      <c r="H689" s="30">
        <v>6</v>
      </c>
      <c r="J689" s="35"/>
      <c r="K689" s="34">
        <v>1</v>
      </c>
      <c r="L689" s="30">
        <v>2</v>
      </c>
      <c r="M689" s="30">
        <v>3</v>
      </c>
      <c r="N689" s="30">
        <v>4</v>
      </c>
      <c r="O689" s="30">
        <v>6</v>
      </c>
      <c r="Q689" s="35"/>
      <c r="R689" s="30">
        <f t="shared" si="51"/>
        <v>1036335488</v>
      </c>
      <c r="S689" s="30">
        <f t="shared" si="52"/>
        <v>342400</v>
      </c>
    </row>
    <row r="690" spans="1:19">
      <c r="A690" s="57">
        <v>7</v>
      </c>
      <c r="B690" s="57">
        <v>5</v>
      </c>
      <c r="C690" s="30">
        <v>6</v>
      </c>
      <c r="D690" s="34">
        <v>1</v>
      </c>
      <c r="E690" s="30">
        <v>2</v>
      </c>
      <c r="F690" s="30">
        <v>3</v>
      </c>
      <c r="G690" s="30">
        <v>4</v>
      </c>
      <c r="H690" s="30">
        <v>7</v>
      </c>
      <c r="J690" s="35"/>
      <c r="K690" s="34">
        <v>1</v>
      </c>
      <c r="L690" s="30">
        <v>2</v>
      </c>
      <c r="M690" s="30">
        <v>3</v>
      </c>
      <c r="N690" s="30">
        <v>4</v>
      </c>
      <c r="O690" s="30">
        <v>6</v>
      </c>
      <c r="Q690" s="35"/>
      <c r="R690" s="30">
        <f t="shared" si="51"/>
        <v>1036335552</v>
      </c>
      <c r="S690" s="30">
        <f t="shared" si="52"/>
        <v>342400</v>
      </c>
    </row>
    <row r="691" spans="1:19">
      <c r="A691" s="57">
        <v>7</v>
      </c>
      <c r="B691" s="57">
        <v>5</v>
      </c>
      <c r="C691" s="30">
        <v>6</v>
      </c>
      <c r="D691" s="34">
        <v>1</v>
      </c>
      <c r="E691" s="30">
        <v>2</v>
      </c>
      <c r="F691" s="30">
        <v>3</v>
      </c>
      <c r="G691" s="30">
        <v>5</v>
      </c>
      <c r="H691" s="30">
        <v>6</v>
      </c>
      <c r="J691" s="35"/>
      <c r="K691" s="34">
        <v>1</v>
      </c>
      <c r="L691" s="30">
        <v>2</v>
      </c>
      <c r="M691" s="30">
        <v>3</v>
      </c>
      <c r="N691" s="30">
        <v>5</v>
      </c>
      <c r="O691" s="30">
        <v>6</v>
      </c>
      <c r="Q691" s="35"/>
      <c r="R691" s="30">
        <f t="shared" si="51"/>
        <v>1036336000</v>
      </c>
      <c r="S691" s="30">
        <f t="shared" si="52"/>
        <v>342912</v>
      </c>
    </row>
    <row r="692" spans="1:19">
      <c r="A692" s="57">
        <v>7</v>
      </c>
      <c r="B692" s="57">
        <v>5</v>
      </c>
      <c r="C692" s="30">
        <v>6</v>
      </c>
      <c r="D692" s="34">
        <v>1</v>
      </c>
      <c r="E692" s="30">
        <v>2</v>
      </c>
      <c r="F692" s="30">
        <v>3</v>
      </c>
      <c r="G692" s="30">
        <v>5</v>
      </c>
      <c r="H692" s="30">
        <v>7</v>
      </c>
      <c r="J692" s="35"/>
      <c r="K692" s="34">
        <v>1</v>
      </c>
      <c r="L692" s="30">
        <v>2</v>
      </c>
      <c r="M692" s="30">
        <v>3</v>
      </c>
      <c r="N692" s="30">
        <v>5</v>
      </c>
      <c r="O692" s="30">
        <v>6</v>
      </c>
      <c r="Q692" s="35"/>
      <c r="R692" s="30">
        <f t="shared" si="51"/>
        <v>1036336064</v>
      </c>
      <c r="S692" s="30">
        <f t="shared" si="52"/>
        <v>342912</v>
      </c>
    </row>
    <row r="693" spans="1:19">
      <c r="A693" s="57">
        <v>7</v>
      </c>
      <c r="B693" s="57">
        <v>5</v>
      </c>
      <c r="C693" s="30">
        <v>6</v>
      </c>
      <c r="D693" s="34">
        <v>1</v>
      </c>
      <c r="E693" s="30">
        <v>2</v>
      </c>
      <c r="F693" s="30">
        <v>3</v>
      </c>
      <c r="G693" s="30">
        <v>6</v>
      </c>
      <c r="H693" s="30">
        <v>7</v>
      </c>
      <c r="J693" s="35"/>
      <c r="K693" s="34">
        <v>1</v>
      </c>
      <c r="L693" s="30">
        <v>2</v>
      </c>
      <c r="M693" s="30">
        <v>3</v>
      </c>
      <c r="N693" s="30">
        <v>5</v>
      </c>
      <c r="O693" s="30">
        <v>6</v>
      </c>
      <c r="Q693" s="35"/>
      <c r="R693" s="30">
        <f t="shared" si="51"/>
        <v>1036336576</v>
      </c>
      <c r="S693" s="30">
        <f t="shared" si="52"/>
        <v>342912</v>
      </c>
    </row>
    <row r="694" spans="1:19">
      <c r="A694" s="57">
        <v>7</v>
      </c>
      <c r="B694" s="57">
        <v>5</v>
      </c>
      <c r="C694" s="30">
        <v>6</v>
      </c>
      <c r="D694" s="34">
        <v>1</v>
      </c>
      <c r="E694" s="30">
        <v>2</v>
      </c>
      <c r="F694" s="30">
        <v>4</v>
      </c>
      <c r="G694" s="30">
        <v>5</v>
      </c>
      <c r="H694" s="30">
        <v>6</v>
      </c>
      <c r="J694" s="35"/>
      <c r="K694" s="34">
        <v>1</v>
      </c>
      <c r="L694" s="30">
        <v>2</v>
      </c>
      <c r="M694" s="30">
        <v>4</v>
      </c>
      <c r="N694" s="30">
        <v>5</v>
      </c>
      <c r="O694" s="30">
        <v>6</v>
      </c>
      <c r="Q694" s="35"/>
      <c r="R694" s="30">
        <f t="shared" si="51"/>
        <v>1036340096</v>
      </c>
      <c r="S694" s="30">
        <f t="shared" si="52"/>
        <v>347008</v>
      </c>
    </row>
    <row r="695" spans="1:19">
      <c r="A695" s="57">
        <v>7</v>
      </c>
      <c r="B695" s="57">
        <v>5</v>
      </c>
      <c r="C695" s="30">
        <v>6</v>
      </c>
      <c r="D695" s="34">
        <v>1</v>
      </c>
      <c r="E695" s="30">
        <v>2</v>
      </c>
      <c r="F695" s="30">
        <v>4</v>
      </c>
      <c r="G695" s="30">
        <v>5</v>
      </c>
      <c r="H695" s="30">
        <v>7</v>
      </c>
      <c r="J695" s="35"/>
      <c r="K695" s="34">
        <v>1</v>
      </c>
      <c r="L695" s="30">
        <v>2</v>
      </c>
      <c r="M695" s="30">
        <v>4</v>
      </c>
      <c r="N695" s="30">
        <v>5</v>
      </c>
      <c r="O695" s="30">
        <v>6</v>
      </c>
      <c r="Q695" s="35"/>
      <c r="R695" s="30">
        <f t="shared" si="51"/>
        <v>1036340160</v>
      </c>
      <c r="S695" s="30">
        <f t="shared" si="52"/>
        <v>347008</v>
      </c>
    </row>
    <row r="696" spans="1:19">
      <c r="A696" s="57">
        <v>7</v>
      </c>
      <c r="B696" s="57">
        <v>5</v>
      </c>
      <c r="C696" s="30">
        <v>6</v>
      </c>
      <c r="D696" s="34">
        <v>1</v>
      </c>
      <c r="E696" s="30">
        <v>2</v>
      </c>
      <c r="F696" s="30">
        <v>4</v>
      </c>
      <c r="G696" s="30">
        <v>6</v>
      </c>
      <c r="H696" s="30">
        <v>7</v>
      </c>
      <c r="J696" s="35"/>
      <c r="K696" s="34">
        <v>1</v>
      </c>
      <c r="L696" s="30">
        <v>2</v>
      </c>
      <c r="M696" s="30">
        <v>4</v>
      </c>
      <c r="N696" s="30">
        <v>5</v>
      </c>
      <c r="O696" s="30">
        <v>6</v>
      </c>
      <c r="Q696" s="35"/>
      <c r="R696" s="30">
        <f t="shared" si="51"/>
        <v>1036340672</v>
      </c>
      <c r="S696" s="30">
        <f t="shared" si="52"/>
        <v>347008</v>
      </c>
    </row>
    <row r="697" spans="1:19">
      <c r="A697" s="57">
        <v>7</v>
      </c>
      <c r="B697" s="57">
        <v>5</v>
      </c>
      <c r="C697" s="30">
        <v>6</v>
      </c>
      <c r="D697" s="34">
        <v>1</v>
      </c>
      <c r="E697" s="30">
        <v>2</v>
      </c>
      <c r="F697" s="30">
        <v>5</v>
      </c>
      <c r="G697" s="30">
        <v>6</v>
      </c>
      <c r="H697" s="30">
        <v>7</v>
      </c>
      <c r="J697" s="35"/>
      <c r="K697" s="34">
        <v>1</v>
      </c>
      <c r="L697" s="30">
        <v>2</v>
      </c>
      <c r="M697" s="30">
        <v>4</v>
      </c>
      <c r="N697" s="30">
        <v>5</v>
      </c>
      <c r="O697" s="30">
        <v>6</v>
      </c>
      <c r="Q697" s="35"/>
      <c r="R697" s="30">
        <f t="shared" si="51"/>
        <v>1036344768</v>
      </c>
      <c r="S697" s="30">
        <f t="shared" si="52"/>
        <v>347008</v>
      </c>
    </row>
    <row r="698" spans="1:19">
      <c r="A698" s="57">
        <v>7</v>
      </c>
      <c r="B698" s="57">
        <v>5</v>
      </c>
      <c r="C698" s="30">
        <v>6</v>
      </c>
      <c r="D698" s="34">
        <v>1</v>
      </c>
      <c r="E698" s="30">
        <v>3</v>
      </c>
      <c r="F698" s="30">
        <v>4</v>
      </c>
      <c r="G698" s="30">
        <v>5</v>
      </c>
      <c r="H698" s="30">
        <v>6</v>
      </c>
      <c r="J698" s="35"/>
      <c r="K698" s="34">
        <v>1</v>
      </c>
      <c r="L698" s="30">
        <v>3</v>
      </c>
      <c r="M698" s="30">
        <v>4</v>
      </c>
      <c r="N698" s="30">
        <v>5</v>
      </c>
      <c r="O698" s="30">
        <v>6</v>
      </c>
      <c r="Q698" s="35"/>
      <c r="R698" s="30">
        <f t="shared" si="51"/>
        <v>1036372864</v>
      </c>
      <c r="S698" s="30">
        <f t="shared" si="52"/>
        <v>379776</v>
      </c>
    </row>
    <row r="699" spans="1:19">
      <c r="A699" s="57">
        <v>7</v>
      </c>
      <c r="B699" s="57">
        <v>5</v>
      </c>
      <c r="C699" s="30">
        <v>6</v>
      </c>
      <c r="D699" s="34">
        <v>1</v>
      </c>
      <c r="E699" s="30">
        <v>3</v>
      </c>
      <c r="F699" s="30">
        <v>4</v>
      </c>
      <c r="G699" s="30">
        <v>5</v>
      </c>
      <c r="H699" s="30">
        <v>7</v>
      </c>
      <c r="J699" s="35"/>
      <c r="K699" s="34">
        <v>1</v>
      </c>
      <c r="L699" s="30">
        <v>3</v>
      </c>
      <c r="M699" s="30">
        <v>4</v>
      </c>
      <c r="N699" s="30">
        <v>5</v>
      </c>
      <c r="O699" s="30">
        <v>6</v>
      </c>
      <c r="Q699" s="35"/>
      <c r="R699" s="30">
        <f t="shared" si="51"/>
        <v>1036372928</v>
      </c>
      <c r="S699" s="30">
        <f t="shared" si="52"/>
        <v>379776</v>
      </c>
    </row>
    <row r="700" spans="1:19">
      <c r="A700" s="57">
        <v>7</v>
      </c>
      <c r="B700" s="57">
        <v>5</v>
      </c>
      <c r="C700" s="30">
        <v>6</v>
      </c>
      <c r="D700" s="34">
        <v>1</v>
      </c>
      <c r="E700" s="30">
        <v>3</v>
      </c>
      <c r="F700" s="30">
        <v>4</v>
      </c>
      <c r="G700" s="30">
        <v>6</v>
      </c>
      <c r="H700" s="30">
        <v>7</v>
      </c>
      <c r="J700" s="35"/>
      <c r="K700" s="34">
        <v>1</v>
      </c>
      <c r="L700" s="30">
        <v>3</v>
      </c>
      <c r="M700" s="30">
        <v>4</v>
      </c>
      <c r="N700" s="30">
        <v>5</v>
      </c>
      <c r="O700" s="30">
        <v>6</v>
      </c>
      <c r="Q700" s="35"/>
      <c r="R700" s="30">
        <f t="shared" si="51"/>
        <v>1036373440</v>
      </c>
      <c r="S700" s="30">
        <f t="shared" si="52"/>
        <v>379776</v>
      </c>
    </row>
    <row r="701" spans="1:19">
      <c r="A701" s="57">
        <v>7</v>
      </c>
      <c r="B701" s="57">
        <v>5</v>
      </c>
      <c r="C701" s="30">
        <v>6</v>
      </c>
      <c r="D701" s="34">
        <v>1</v>
      </c>
      <c r="E701" s="30">
        <v>3</v>
      </c>
      <c r="F701" s="30">
        <v>5</v>
      </c>
      <c r="G701" s="30">
        <v>6</v>
      </c>
      <c r="H701" s="30">
        <v>7</v>
      </c>
      <c r="J701" s="35"/>
      <c r="K701" s="34">
        <v>1</v>
      </c>
      <c r="L701" s="30">
        <v>3</v>
      </c>
      <c r="M701" s="30">
        <v>4</v>
      </c>
      <c r="N701" s="30">
        <v>5</v>
      </c>
      <c r="O701" s="30">
        <v>6</v>
      </c>
      <c r="Q701" s="35"/>
      <c r="R701" s="30">
        <f t="shared" si="51"/>
        <v>1036377536</v>
      </c>
      <c r="S701" s="30">
        <f t="shared" si="52"/>
        <v>379776</v>
      </c>
    </row>
    <row r="702" spans="1:19">
      <c r="A702" s="57">
        <v>7</v>
      </c>
      <c r="B702" s="57">
        <v>5</v>
      </c>
      <c r="C702" s="30">
        <v>6</v>
      </c>
      <c r="D702" s="34">
        <v>1</v>
      </c>
      <c r="E702" s="30">
        <v>4</v>
      </c>
      <c r="F702" s="30">
        <v>5</v>
      </c>
      <c r="G702" s="30">
        <v>6</v>
      </c>
      <c r="H702" s="30">
        <v>7</v>
      </c>
      <c r="J702" s="35"/>
      <c r="K702" s="34">
        <v>1</v>
      </c>
      <c r="L702" s="30">
        <v>3</v>
      </c>
      <c r="M702" s="30">
        <v>4</v>
      </c>
      <c r="N702" s="30">
        <v>5</v>
      </c>
      <c r="O702" s="30">
        <v>6</v>
      </c>
      <c r="Q702" s="35"/>
      <c r="R702" s="30">
        <f t="shared" si="51"/>
        <v>1036410304</v>
      </c>
      <c r="S702" s="30">
        <f t="shared" si="52"/>
        <v>379776</v>
      </c>
    </row>
    <row r="703" spans="1:19">
      <c r="A703" s="57">
        <v>7</v>
      </c>
      <c r="B703" s="57">
        <v>5</v>
      </c>
      <c r="C703" s="30">
        <v>6</v>
      </c>
      <c r="D703" s="34">
        <v>2</v>
      </c>
      <c r="E703" s="30">
        <v>3</v>
      </c>
      <c r="F703" s="30">
        <v>4</v>
      </c>
      <c r="G703" s="30">
        <v>5</v>
      </c>
      <c r="H703" s="30">
        <v>6</v>
      </c>
      <c r="J703" s="35"/>
      <c r="K703" s="34">
        <v>2</v>
      </c>
      <c r="L703" s="30">
        <v>3</v>
      </c>
      <c r="M703" s="30">
        <v>4</v>
      </c>
      <c r="N703" s="30">
        <v>5</v>
      </c>
      <c r="O703" s="30">
        <v>6</v>
      </c>
      <c r="Q703" s="35"/>
      <c r="R703" s="30">
        <f t="shared" si="51"/>
        <v>1036635008</v>
      </c>
      <c r="S703" s="30">
        <f t="shared" si="52"/>
        <v>641920</v>
      </c>
    </row>
    <row r="704" spans="1:19">
      <c r="A704" s="57">
        <v>7</v>
      </c>
      <c r="B704" s="57">
        <v>5</v>
      </c>
      <c r="C704" s="30">
        <v>6</v>
      </c>
      <c r="D704" s="34">
        <v>2</v>
      </c>
      <c r="E704" s="30">
        <v>3</v>
      </c>
      <c r="F704" s="30">
        <v>4</v>
      </c>
      <c r="G704" s="30">
        <v>5</v>
      </c>
      <c r="H704" s="30">
        <v>7</v>
      </c>
      <c r="J704" s="35"/>
      <c r="K704" s="34">
        <v>2</v>
      </c>
      <c r="L704" s="30">
        <v>3</v>
      </c>
      <c r="M704" s="30">
        <v>4</v>
      </c>
      <c r="N704" s="30">
        <v>5</v>
      </c>
      <c r="O704" s="30">
        <v>6</v>
      </c>
      <c r="Q704" s="35"/>
      <c r="R704" s="30">
        <f t="shared" si="51"/>
        <v>1036635072</v>
      </c>
      <c r="S704" s="30">
        <f t="shared" si="52"/>
        <v>641920</v>
      </c>
    </row>
    <row r="705" spans="1:19">
      <c r="A705" s="57">
        <v>7</v>
      </c>
      <c r="B705" s="57">
        <v>5</v>
      </c>
      <c r="C705" s="30">
        <v>6</v>
      </c>
      <c r="D705" s="34">
        <v>2</v>
      </c>
      <c r="E705" s="30">
        <v>3</v>
      </c>
      <c r="F705" s="30">
        <v>4</v>
      </c>
      <c r="G705" s="30">
        <v>6</v>
      </c>
      <c r="H705" s="30">
        <v>7</v>
      </c>
      <c r="J705" s="35"/>
      <c r="K705" s="34">
        <v>2</v>
      </c>
      <c r="L705" s="30">
        <v>3</v>
      </c>
      <c r="M705" s="30">
        <v>4</v>
      </c>
      <c r="N705" s="30">
        <v>5</v>
      </c>
      <c r="O705" s="30">
        <v>6</v>
      </c>
      <c r="Q705" s="35"/>
      <c r="R705" s="30">
        <f t="shared" si="51"/>
        <v>1036635584</v>
      </c>
      <c r="S705" s="30">
        <f t="shared" si="52"/>
        <v>641920</v>
      </c>
    </row>
    <row r="706" spans="1:19">
      <c r="A706" s="57">
        <v>7</v>
      </c>
      <c r="B706" s="57">
        <v>5</v>
      </c>
      <c r="C706" s="30">
        <v>6</v>
      </c>
      <c r="D706" s="34">
        <v>2</v>
      </c>
      <c r="E706" s="30">
        <v>3</v>
      </c>
      <c r="F706" s="30">
        <v>5</v>
      </c>
      <c r="G706" s="30">
        <v>6</v>
      </c>
      <c r="H706" s="30">
        <v>7</v>
      </c>
      <c r="J706" s="35"/>
      <c r="K706" s="34">
        <v>2</v>
      </c>
      <c r="L706" s="30">
        <v>3</v>
      </c>
      <c r="M706" s="30">
        <v>4</v>
      </c>
      <c r="N706" s="30">
        <v>5</v>
      </c>
      <c r="O706" s="30">
        <v>6</v>
      </c>
      <c r="Q706" s="35"/>
      <c r="R706" s="30">
        <f t="shared" si="51"/>
        <v>1036639680</v>
      </c>
      <c r="S706" s="30">
        <f t="shared" si="52"/>
        <v>641920</v>
      </c>
    </row>
    <row r="707" spans="1:19">
      <c r="A707" s="57">
        <v>7</v>
      </c>
      <c r="B707" s="57">
        <v>5</v>
      </c>
      <c r="C707" s="30">
        <v>6</v>
      </c>
      <c r="D707" s="34">
        <v>2</v>
      </c>
      <c r="E707" s="30">
        <v>4</v>
      </c>
      <c r="F707" s="30">
        <v>5</v>
      </c>
      <c r="G707" s="30">
        <v>6</v>
      </c>
      <c r="H707" s="30">
        <v>7</v>
      </c>
      <c r="J707" s="35"/>
      <c r="K707" s="34">
        <v>2</v>
      </c>
      <c r="L707" s="30">
        <v>3</v>
      </c>
      <c r="M707" s="30">
        <v>4</v>
      </c>
      <c r="N707" s="30">
        <v>5</v>
      </c>
      <c r="O707" s="30">
        <v>6</v>
      </c>
      <c r="Q707" s="35"/>
      <c r="R707" s="30">
        <f t="shared" ref="R707:R715" si="53">J707*8^0+I707*8^1+H707*8^2+G707*8^3+F707*8^4+E707*8^5+D707*8^6+C707*8^7+B707*8^8+A707*8^9</f>
        <v>1036672448</v>
      </c>
      <c r="S707" s="30">
        <f t="shared" si="52"/>
        <v>641920</v>
      </c>
    </row>
    <row r="708" spans="1:19">
      <c r="A708" s="58">
        <v>7</v>
      </c>
      <c r="B708" s="58">
        <v>5</v>
      </c>
      <c r="C708" s="37">
        <v>6</v>
      </c>
      <c r="D708" s="36">
        <v>3</v>
      </c>
      <c r="E708" s="37">
        <v>4</v>
      </c>
      <c r="F708" s="37">
        <v>5</v>
      </c>
      <c r="G708" s="37">
        <v>6</v>
      </c>
      <c r="H708" s="37">
        <v>7</v>
      </c>
      <c r="I708" s="37"/>
      <c r="J708" s="38"/>
      <c r="K708" s="37">
        <v>2</v>
      </c>
      <c r="L708" s="37">
        <v>3</v>
      </c>
      <c r="M708" s="37">
        <v>4</v>
      </c>
      <c r="N708" s="37">
        <v>5</v>
      </c>
      <c r="O708" s="37">
        <v>6</v>
      </c>
      <c r="P708" s="37"/>
      <c r="Q708" s="38"/>
      <c r="R708" s="30">
        <f t="shared" si="53"/>
        <v>1036934592</v>
      </c>
      <c r="S708" s="30">
        <f t="shared" si="52"/>
        <v>641920</v>
      </c>
    </row>
    <row r="709" spans="1:19">
      <c r="A709" s="57">
        <v>7</v>
      </c>
      <c r="B709" s="57">
        <v>6</v>
      </c>
      <c r="C709" s="30">
        <v>6</v>
      </c>
      <c r="D709" s="34">
        <v>1</v>
      </c>
      <c r="E709" s="30">
        <v>2</v>
      </c>
      <c r="F709" s="30">
        <v>3</v>
      </c>
      <c r="G709" s="30">
        <v>4</v>
      </c>
      <c r="H709" s="30">
        <v>5</v>
      </c>
      <c r="I709" s="30">
        <v>6</v>
      </c>
      <c r="J709" s="35"/>
      <c r="K709" s="30">
        <v>1</v>
      </c>
      <c r="L709" s="30">
        <v>2</v>
      </c>
      <c r="M709" s="30">
        <v>3</v>
      </c>
      <c r="N709" s="30">
        <v>4</v>
      </c>
      <c r="O709" s="30">
        <v>5</v>
      </c>
      <c r="P709" s="30">
        <v>6</v>
      </c>
      <c r="Q709" s="35"/>
      <c r="R709" s="30">
        <f t="shared" si="53"/>
        <v>1053112688</v>
      </c>
      <c r="S709" s="30">
        <f t="shared" ref="S709:S715" si="54">Q709*8^0+P709*8^1+O709*8^2+N709*8^3+M709*8^4+L709*8^5+K709*8^6</f>
        <v>342384</v>
      </c>
    </row>
    <row r="710" spans="1:19">
      <c r="A710" s="57">
        <v>7</v>
      </c>
      <c r="B710" s="57">
        <v>6</v>
      </c>
      <c r="C710" s="30">
        <v>6</v>
      </c>
      <c r="D710" s="34">
        <v>1</v>
      </c>
      <c r="E710" s="30">
        <v>2</v>
      </c>
      <c r="F710" s="30">
        <v>3</v>
      </c>
      <c r="G710" s="30">
        <v>4</v>
      </c>
      <c r="H710" s="30">
        <v>5</v>
      </c>
      <c r="I710" s="30">
        <v>7</v>
      </c>
      <c r="J710" s="35"/>
      <c r="K710" s="30">
        <v>1</v>
      </c>
      <c r="L710" s="30">
        <v>2</v>
      </c>
      <c r="M710" s="30">
        <v>3</v>
      </c>
      <c r="N710" s="30">
        <v>4</v>
      </c>
      <c r="O710" s="30">
        <v>5</v>
      </c>
      <c r="P710" s="30">
        <v>6</v>
      </c>
      <c r="Q710" s="35"/>
      <c r="R710" s="30">
        <f t="shared" si="53"/>
        <v>1053112696</v>
      </c>
      <c r="S710" s="30">
        <f t="shared" si="54"/>
        <v>342384</v>
      </c>
    </row>
    <row r="711" spans="1:19">
      <c r="A711" s="57">
        <v>7</v>
      </c>
      <c r="B711" s="57">
        <v>6</v>
      </c>
      <c r="C711" s="30">
        <v>6</v>
      </c>
      <c r="D711" s="34">
        <v>1</v>
      </c>
      <c r="E711" s="30">
        <v>2</v>
      </c>
      <c r="F711" s="30">
        <v>3</v>
      </c>
      <c r="G711" s="30">
        <v>4</v>
      </c>
      <c r="H711" s="30">
        <v>6</v>
      </c>
      <c r="I711" s="30">
        <v>7</v>
      </c>
      <c r="J711" s="35"/>
      <c r="K711" s="30">
        <v>1</v>
      </c>
      <c r="L711" s="30">
        <v>2</v>
      </c>
      <c r="M711" s="30">
        <v>3</v>
      </c>
      <c r="N711" s="30">
        <v>4</v>
      </c>
      <c r="O711" s="30">
        <v>5</v>
      </c>
      <c r="P711" s="30">
        <v>6</v>
      </c>
      <c r="Q711" s="35"/>
      <c r="R711" s="30">
        <f t="shared" si="53"/>
        <v>1053112760</v>
      </c>
      <c r="S711" s="30">
        <f t="shared" si="54"/>
        <v>342384</v>
      </c>
    </row>
    <row r="712" spans="1:19">
      <c r="A712" s="57">
        <v>7</v>
      </c>
      <c r="B712" s="57">
        <v>6</v>
      </c>
      <c r="C712" s="30">
        <v>6</v>
      </c>
      <c r="D712" s="34">
        <v>1</v>
      </c>
      <c r="E712" s="30">
        <v>2</v>
      </c>
      <c r="F712" s="30">
        <v>3</v>
      </c>
      <c r="G712" s="30">
        <v>5</v>
      </c>
      <c r="H712" s="30">
        <v>6</v>
      </c>
      <c r="I712" s="30">
        <v>7</v>
      </c>
      <c r="J712" s="35"/>
      <c r="K712" s="30">
        <v>1</v>
      </c>
      <c r="L712" s="30">
        <v>2</v>
      </c>
      <c r="M712" s="30">
        <v>3</v>
      </c>
      <c r="N712" s="30">
        <v>4</v>
      </c>
      <c r="O712" s="30">
        <v>5</v>
      </c>
      <c r="P712" s="30">
        <v>6</v>
      </c>
      <c r="Q712" s="35"/>
      <c r="R712" s="30">
        <f t="shared" si="53"/>
        <v>1053113272</v>
      </c>
      <c r="S712" s="30">
        <f t="shared" si="54"/>
        <v>342384</v>
      </c>
    </row>
    <row r="713" spans="1:19">
      <c r="A713" s="57">
        <v>7</v>
      </c>
      <c r="B713" s="57">
        <v>6</v>
      </c>
      <c r="C713" s="30">
        <v>6</v>
      </c>
      <c r="D713" s="34">
        <v>1</v>
      </c>
      <c r="E713" s="30">
        <v>2</v>
      </c>
      <c r="F713" s="30">
        <v>4</v>
      </c>
      <c r="G713" s="30">
        <v>5</v>
      </c>
      <c r="H713" s="30">
        <v>6</v>
      </c>
      <c r="I713" s="30">
        <v>7</v>
      </c>
      <c r="J713" s="35"/>
      <c r="K713" s="30">
        <v>1</v>
      </c>
      <c r="L713" s="30">
        <v>2</v>
      </c>
      <c r="M713" s="30">
        <v>3</v>
      </c>
      <c r="N713" s="30">
        <v>4</v>
      </c>
      <c r="O713" s="30">
        <v>5</v>
      </c>
      <c r="P713" s="30">
        <v>6</v>
      </c>
      <c r="Q713" s="35"/>
      <c r="R713" s="30">
        <f t="shared" si="53"/>
        <v>1053117368</v>
      </c>
      <c r="S713" s="30">
        <f t="shared" si="54"/>
        <v>342384</v>
      </c>
    </row>
    <row r="714" spans="1:19">
      <c r="A714" s="57">
        <v>7</v>
      </c>
      <c r="B714" s="57">
        <v>6</v>
      </c>
      <c r="C714" s="30">
        <v>6</v>
      </c>
      <c r="D714" s="34">
        <v>1</v>
      </c>
      <c r="E714" s="30">
        <v>3</v>
      </c>
      <c r="F714" s="30">
        <v>4</v>
      </c>
      <c r="G714" s="30">
        <v>5</v>
      </c>
      <c r="H714" s="30">
        <v>6</v>
      </c>
      <c r="I714" s="30">
        <v>7</v>
      </c>
      <c r="J714" s="35"/>
      <c r="K714" s="30">
        <v>1</v>
      </c>
      <c r="L714" s="30">
        <v>2</v>
      </c>
      <c r="M714" s="30">
        <v>3</v>
      </c>
      <c r="N714" s="30">
        <v>4</v>
      </c>
      <c r="O714" s="30">
        <v>5</v>
      </c>
      <c r="P714" s="30">
        <v>6</v>
      </c>
      <c r="Q714" s="35"/>
      <c r="R714" s="30">
        <f t="shared" si="53"/>
        <v>1053150136</v>
      </c>
      <c r="S714" s="30">
        <f t="shared" si="54"/>
        <v>342384</v>
      </c>
    </row>
    <row r="715" spans="1:19">
      <c r="A715" s="58">
        <v>7</v>
      </c>
      <c r="B715" s="58">
        <v>6</v>
      </c>
      <c r="C715" s="37">
        <v>6</v>
      </c>
      <c r="D715" s="36">
        <v>2</v>
      </c>
      <c r="E715" s="37">
        <v>3</v>
      </c>
      <c r="F715" s="37">
        <v>4</v>
      </c>
      <c r="G715" s="37">
        <v>5</v>
      </c>
      <c r="H715" s="37">
        <v>6</v>
      </c>
      <c r="I715" s="37">
        <v>7</v>
      </c>
      <c r="J715" s="38"/>
      <c r="K715" s="37">
        <v>1</v>
      </c>
      <c r="L715" s="37">
        <v>2</v>
      </c>
      <c r="M715" s="37">
        <v>3</v>
      </c>
      <c r="N715" s="37">
        <v>4</v>
      </c>
      <c r="O715" s="37">
        <v>5</v>
      </c>
      <c r="P715" s="37">
        <v>6</v>
      </c>
      <c r="Q715" s="38"/>
      <c r="R715" s="30">
        <f t="shared" si="53"/>
        <v>1053412280</v>
      </c>
      <c r="S715" s="30">
        <f t="shared" si="54"/>
        <v>342384</v>
      </c>
    </row>
  </sheetData>
  <mergeCells count="2">
    <mergeCell ref="K1:Q1"/>
    <mergeCell ref="D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B234-1708-4663-8048-82A010F618A0}">
  <dimension ref="B1:AR132"/>
  <sheetViews>
    <sheetView topLeftCell="X1" zoomScale="87" zoomScaleNormal="57" workbookViewId="0">
      <selection activeCell="AJ4" sqref="AJ4"/>
    </sheetView>
  </sheetViews>
  <sheetFormatPr defaultRowHeight="14.25"/>
  <cols>
    <col min="3" max="6" width="9.28515625" bestFit="1" customWidth="1"/>
    <col min="7" max="9" width="9.42578125" bestFit="1" customWidth="1"/>
    <col min="10" max="10" width="12.7109375" bestFit="1" customWidth="1"/>
    <col min="11" max="11" width="12.28515625" bestFit="1" customWidth="1"/>
    <col min="12" max="12" width="10" bestFit="1" customWidth="1"/>
    <col min="13" max="13" width="9.7109375" bestFit="1" customWidth="1"/>
    <col min="14" max="14" width="12" bestFit="1" customWidth="1"/>
    <col min="15" max="15" width="9.42578125" bestFit="1" customWidth="1"/>
    <col min="16" max="16" width="12.140625" bestFit="1" customWidth="1"/>
    <col min="17" max="17" width="9.28515625" bestFit="1" customWidth="1"/>
    <col min="18" max="18" width="11.85546875" bestFit="1" customWidth="1"/>
    <col min="19" max="22" width="9.28515625" bestFit="1" customWidth="1"/>
    <col min="26" max="26" width="12.42578125" bestFit="1" customWidth="1"/>
    <col min="30" max="30" width="16.5703125" bestFit="1" customWidth="1"/>
    <col min="31" max="31" width="14.5703125" bestFit="1" customWidth="1"/>
    <col min="33" max="33" width="10.85546875" bestFit="1" customWidth="1"/>
    <col min="35" max="35" width="14.5703125" bestFit="1" customWidth="1"/>
  </cols>
  <sheetData>
    <row r="1" spans="2:44">
      <c r="R1" s="8"/>
      <c r="S1" s="7"/>
      <c r="T1" s="7"/>
      <c r="U1" s="7"/>
      <c r="V1" s="6"/>
    </row>
    <row r="2" spans="2:44">
      <c r="B2" s="29"/>
      <c r="C2" s="28" t="str">
        <f>'Buy FG1 Reel'!AS9</f>
        <v>R1</v>
      </c>
      <c r="D2" s="28" t="str">
        <f>'Buy FG1 Reel'!AT9</f>
        <v>R2</v>
      </c>
      <c r="E2" s="28" t="str">
        <f>'Buy FG1 Reel'!AU9</f>
        <v>R3</v>
      </c>
      <c r="F2" s="28" t="str">
        <f>'Buy FG1 Reel'!AV9</f>
        <v>R4</v>
      </c>
      <c r="G2" s="28" t="str">
        <f>'Buy FG1 Reel'!AW9</f>
        <v>R5</v>
      </c>
      <c r="H2" s="27" t="str">
        <f>'Buy FG1 Reel'!AX9</f>
        <v>R6</v>
      </c>
      <c r="J2" s="29"/>
      <c r="K2" s="28" t="str">
        <f>'Buy FG1 Reel'!R9</f>
        <v>R1</v>
      </c>
      <c r="L2" s="28" t="str">
        <f>'Buy FG1 Reel'!S9</f>
        <v>R2</v>
      </c>
      <c r="M2" s="28" t="str">
        <f>'Buy FG1 Reel'!T9</f>
        <v>R3</v>
      </c>
      <c r="N2" s="28" t="str">
        <f>'Buy FG1 Reel'!U9</f>
        <v>R4</v>
      </c>
      <c r="O2" s="28" t="str">
        <f>'Buy FG1 Reel'!V9</f>
        <v>R5</v>
      </c>
      <c r="P2" s="27" t="str">
        <f>'Buy FG1 Reel'!W9</f>
        <v>R6</v>
      </c>
      <c r="R2" s="29"/>
      <c r="S2" s="28">
        <v>6</v>
      </c>
      <c r="T2" s="28">
        <v>5</v>
      </c>
      <c r="U2" s="28">
        <v>4</v>
      </c>
      <c r="V2" s="27">
        <v>3</v>
      </c>
      <c r="Z2" s="29" t="s">
        <v>84</v>
      </c>
      <c r="AA2" s="27" t="s">
        <v>85</v>
      </c>
      <c r="AD2" s="29" t="s">
        <v>139</v>
      </c>
      <c r="AE2" s="27" t="s">
        <v>140</v>
      </c>
      <c r="AI2" s="29" t="s">
        <v>141</v>
      </c>
      <c r="AJ2" s="27" t="s">
        <v>85</v>
      </c>
      <c r="AL2" s="11" t="s">
        <v>142</v>
      </c>
      <c r="AM2" s="9" t="s">
        <v>85</v>
      </c>
    </row>
    <row r="3" spans="2:44">
      <c r="B3" s="34" t="str">
        <f>'Buy FG1 Reel'!AR10</f>
        <v>WC</v>
      </c>
      <c r="C3" s="30">
        <f>'Buy FG1 Reel'!AS10</f>
        <v>0</v>
      </c>
      <c r="D3" s="30">
        <f>'Buy FG1 Reel'!AT10</f>
        <v>0</v>
      </c>
      <c r="E3" s="30">
        <f>'Buy FG1 Reel'!AU10</f>
        <v>0</v>
      </c>
      <c r="F3" s="30">
        <f>'Buy FG1 Reel'!AV10</f>
        <v>0</v>
      </c>
      <c r="G3" s="30">
        <f>'Buy FG1 Reel'!AW10</f>
        <v>0</v>
      </c>
      <c r="H3" s="35">
        <f>'Buy FG1 Reel'!AX10</f>
        <v>0</v>
      </c>
      <c r="J3" s="31" t="str">
        <f>'Buy FG1 Reel'!Q10</f>
        <v>WC</v>
      </c>
      <c r="K3" s="32">
        <f>'Buy FG1 Reel'!R10</f>
        <v>0</v>
      </c>
      <c r="L3" s="32">
        <f>'Buy FG1 Reel'!S10</f>
        <v>0</v>
      </c>
      <c r="M3" s="32">
        <f>'Buy FG1 Reel'!T10</f>
        <v>0</v>
      </c>
      <c r="N3" s="32">
        <f>'Buy FG1 Reel'!U10</f>
        <v>0</v>
      </c>
      <c r="O3" s="32">
        <f>'Buy FG1 Reel'!V10</f>
        <v>0</v>
      </c>
      <c r="P3" s="33">
        <f>'Buy FG1 Reel'!W10</f>
        <v>0</v>
      </c>
      <c r="R3" s="34" t="str">
        <f>'Buy FG1 Reel'!Q10</f>
        <v>WC</v>
      </c>
      <c r="S3" s="30">
        <f>'BG Calc'!S3</f>
        <v>0</v>
      </c>
      <c r="T3" s="30">
        <f>'BG Calc'!T3</f>
        <v>0</v>
      </c>
      <c r="U3" s="30">
        <f>'BG Calc'!U3</f>
        <v>0</v>
      </c>
      <c r="V3" s="35">
        <f>'BG Calc'!V3</f>
        <v>0</v>
      </c>
      <c r="Z3" s="34">
        <v>1</v>
      </c>
      <c r="AA3" s="35">
        <v>1000</v>
      </c>
      <c r="AD3" s="34">
        <v>3</v>
      </c>
      <c r="AE3" s="35">
        <v>15</v>
      </c>
      <c r="AI3" s="34">
        <v>0</v>
      </c>
      <c r="AJ3" s="35">
        <v>433</v>
      </c>
      <c r="AL3" s="5" t="s">
        <v>109</v>
      </c>
      <c r="AM3" s="4">
        <v>1</v>
      </c>
      <c r="AQ3" s="50"/>
      <c r="AR3" s="12"/>
    </row>
    <row r="4" spans="2:44">
      <c r="B4" s="34" t="str">
        <f>'Buy FG1 Reel'!AR11</f>
        <v>AA</v>
      </c>
      <c r="C4" s="30">
        <f>'Buy FG1 Reel'!AS11</f>
        <v>10</v>
      </c>
      <c r="D4" s="30">
        <f>'Buy FG1 Reel'!AT11</f>
        <v>28</v>
      </c>
      <c r="E4" s="30">
        <f>'Buy FG1 Reel'!AU11</f>
        <v>16</v>
      </c>
      <c r="F4" s="30">
        <f>'Buy FG1 Reel'!AV11</f>
        <v>18</v>
      </c>
      <c r="G4" s="30">
        <f>'Buy FG1 Reel'!AW11</f>
        <v>10</v>
      </c>
      <c r="H4" s="35">
        <f>'Buy FG1 Reel'!AX11</f>
        <v>16</v>
      </c>
      <c r="J4" s="34" t="str">
        <f>'Buy FG1 Reel'!Q11</f>
        <v>AA</v>
      </c>
      <c r="K4" s="30">
        <f>'Buy FG1 Reel'!R11</f>
        <v>5</v>
      </c>
      <c r="L4" s="30">
        <f>'Buy FG1 Reel'!S11</f>
        <v>14</v>
      </c>
      <c r="M4" s="30">
        <f>'Buy FG1 Reel'!T11</f>
        <v>8</v>
      </c>
      <c r="N4" s="30">
        <f>'Buy FG1 Reel'!U11</f>
        <v>9</v>
      </c>
      <c r="O4" s="30">
        <f>'Buy FG1 Reel'!V11</f>
        <v>5</v>
      </c>
      <c r="P4" s="35">
        <f>'Buy FG1 Reel'!W11</f>
        <v>8</v>
      </c>
      <c r="R4" s="34" t="str">
        <f>'Buy FG1 Reel'!Q11</f>
        <v>AA</v>
      </c>
      <c r="S4" s="30">
        <f>'BG Calc'!S4</f>
        <v>150</v>
      </c>
      <c r="T4" s="30">
        <f>'BG Calc'!T4</f>
        <v>60</v>
      </c>
      <c r="U4" s="30">
        <f>'BG Calc'!U4</f>
        <v>40</v>
      </c>
      <c r="V4" s="35">
        <f>'BG Calc'!V4</f>
        <v>15</v>
      </c>
      <c r="Z4" s="34">
        <v>2</v>
      </c>
      <c r="AA4" s="35">
        <v>500</v>
      </c>
      <c r="AD4" s="34">
        <v>4</v>
      </c>
      <c r="AE4" s="35">
        <v>18</v>
      </c>
      <c r="AI4" s="34">
        <v>1</v>
      </c>
      <c r="AJ4" s="35">
        <v>200</v>
      </c>
      <c r="AL4" s="5" t="s">
        <v>110</v>
      </c>
      <c r="AM4" s="4">
        <v>1</v>
      </c>
    </row>
    <row r="5" spans="2:44">
      <c r="B5" s="34" t="str">
        <f>'Buy FG1 Reel'!AR12</f>
        <v>BB</v>
      </c>
      <c r="C5" s="30">
        <f>'Buy FG1 Reel'!AS12</f>
        <v>10</v>
      </c>
      <c r="D5" s="30">
        <f>'Buy FG1 Reel'!AT12</f>
        <v>24</v>
      </c>
      <c r="E5" s="30">
        <f>'Buy FG1 Reel'!AU12</f>
        <v>14</v>
      </c>
      <c r="F5" s="30">
        <f>'Buy FG1 Reel'!AV12</f>
        <v>14</v>
      </c>
      <c r="G5" s="30">
        <f>'Buy FG1 Reel'!AW12</f>
        <v>16</v>
      </c>
      <c r="H5" s="35">
        <f>'Buy FG1 Reel'!AX12</f>
        <v>26</v>
      </c>
      <c r="J5" s="34" t="str">
        <f>'Buy FG1 Reel'!Q12</f>
        <v>BB</v>
      </c>
      <c r="K5" s="30">
        <f>'Buy FG1 Reel'!R12</f>
        <v>5</v>
      </c>
      <c r="L5" s="30">
        <f>'Buy FG1 Reel'!S12</f>
        <v>12</v>
      </c>
      <c r="M5" s="30">
        <f>'Buy FG1 Reel'!T12</f>
        <v>7</v>
      </c>
      <c r="N5" s="30">
        <f>'Buy FG1 Reel'!U12</f>
        <v>7</v>
      </c>
      <c r="O5" s="30">
        <f>'Buy FG1 Reel'!V12</f>
        <v>8</v>
      </c>
      <c r="P5" s="35">
        <f>'Buy FG1 Reel'!W12</f>
        <v>13</v>
      </c>
      <c r="R5" s="34" t="str">
        <f>'Buy FG1 Reel'!Q12</f>
        <v>BB</v>
      </c>
      <c r="S5" s="30">
        <f>'BG Calc'!S5</f>
        <v>60</v>
      </c>
      <c r="T5" s="30">
        <f>'BG Calc'!T5</f>
        <v>30</v>
      </c>
      <c r="U5" s="30">
        <f>'BG Calc'!U5</f>
        <v>20</v>
      </c>
      <c r="V5" s="35">
        <f>'BG Calc'!V5</f>
        <v>10</v>
      </c>
      <c r="Z5" s="36">
        <v>3</v>
      </c>
      <c r="AA5" s="38">
        <v>189</v>
      </c>
      <c r="AD5" s="34">
        <v>5</v>
      </c>
      <c r="AE5" s="35">
        <v>25</v>
      </c>
      <c r="AI5" s="34">
        <v>2</v>
      </c>
      <c r="AJ5" s="35">
        <v>500</v>
      </c>
      <c r="AL5" s="5" t="s">
        <v>111</v>
      </c>
      <c r="AM5" s="4">
        <v>1</v>
      </c>
    </row>
    <row r="6" spans="2:44">
      <c r="B6" s="34" t="str">
        <f>'Buy FG1 Reel'!AR13</f>
        <v>CC</v>
      </c>
      <c r="C6" s="30">
        <f>'Buy FG1 Reel'!AS13</f>
        <v>20</v>
      </c>
      <c r="D6" s="30">
        <f>'Buy FG1 Reel'!AT13</f>
        <v>20</v>
      </c>
      <c r="E6" s="30">
        <f>'Buy FG1 Reel'!AU13</f>
        <v>8</v>
      </c>
      <c r="F6" s="30">
        <f>'Buy FG1 Reel'!AV13</f>
        <v>8</v>
      </c>
      <c r="G6" s="30">
        <f>'Buy FG1 Reel'!AW13</f>
        <v>22</v>
      </c>
      <c r="H6" s="35">
        <f>'Buy FG1 Reel'!AX13</f>
        <v>22</v>
      </c>
      <c r="J6" s="34" t="str">
        <f>'Buy FG1 Reel'!Q13</f>
        <v>CC</v>
      </c>
      <c r="K6" s="30">
        <f>'Buy FG1 Reel'!R13</f>
        <v>10</v>
      </c>
      <c r="L6" s="30">
        <f>'Buy FG1 Reel'!S13</f>
        <v>10</v>
      </c>
      <c r="M6" s="30">
        <f>'Buy FG1 Reel'!T13</f>
        <v>4</v>
      </c>
      <c r="N6" s="30">
        <f>'Buy FG1 Reel'!U13</f>
        <v>4</v>
      </c>
      <c r="O6" s="30">
        <f>'Buy FG1 Reel'!V13</f>
        <v>11</v>
      </c>
      <c r="P6" s="35">
        <f>'Buy FG1 Reel'!W13</f>
        <v>11</v>
      </c>
      <c r="R6" s="34" t="str">
        <f>'Buy FG1 Reel'!Q13</f>
        <v>CC</v>
      </c>
      <c r="S6" s="30">
        <f>'BG Calc'!S6</f>
        <v>40</v>
      </c>
      <c r="T6" s="30">
        <f>'BG Calc'!T6</f>
        <v>20</v>
      </c>
      <c r="U6" s="30">
        <f>'BG Calc'!U6</f>
        <v>15</v>
      </c>
      <c r="V6" s="35">
        <f>'BG Calc'!V6</f>
        <v>7</v>
      </c>
      <c r="AD6" s="36">
        <v>6</v>
      </c>
      <c r="AE6" s="38">
        <v>30</v>
      </c>
      <c r="AI6" s="34">
        <v>3</v>
      </c>
      <c r="AJ6" s="35">
        <v>200</v>
      </c>
      <c r="AL6" s="3" t="s">
        <v>112</v>
      </c>
      <c r="AM6" s="1">
        <v>1</v>
      </c>
    </row>
    <row r="7" spans="2:44">
      <c r="B7" s="34" t="str">
        <f>'Buy FG1 Reel'!AR14</f>
        <v>DD</v>
      </c>
      <c r="C7" s="30">
        <f>'Buy FG1 Reel'!AS14</f>
        <v>10</v>
      </c>
      <c r="D7" s="30">
        <f>'Buy FG1 Reel'!AT14</f>
        <v>4</v>
      </c>
      <c r="E7" s="30">
        <f>'Buy FG1 Reel'!AU14</f>
        <v>2</v>
      </c>
      <c r="F7" s="30">
        <f>'Buy FG1 Reel'!AV14</f>
        <v>2</v>
      </c>
      <c r="G7" s="30">
        <f>'Buy FG1 Reel'!AW14</f>
        <v>4</v>
      </c>
      <c r="H7" s="35">
        <f>'Buy FG1 Reel'!AX14</f>
        <v>18</v>
      </c>
      <c r="J7" s="34" t="str">
        <f>'Buy FG1 Reel'!Q14</f>
        <v>DD</v>
      </c>
      <c r="K7" s="30">
        <f>'Buy FG1 Reel'!R14</f>
        <v>5</v>
      </c>
      <c r="L7" s="30">
        <f>'Buy FG1 Reel'!S14</f>
        <v>2</v>
      </c>
      <c r="M7" s="30">
        <f>'Buy FG1 Reel'!T14</f>
        <v>1</v>
      </c>
      <c r="N7" s="30">
        <f>'Buy FG1 Reel'!U14</f>
        <v>1</v>
      </c>
      <c r="O7" s="30">
        <f>'Buy FG1 Reel'!V14</f>
        <v>2</v>
      </c>
      <c r="P7" s="35">
        <f>'Buy FG1 Reel'!W14</f>
        <v>9</v>
      </c>
      <c r="R7" s="34" t="str">
        <f>'Buy FG1 Reel'!Q14</f>
        <v>DD</v>
      </c>
      <c r="S7" s="30">
        <f>'BG Calc'!S7</f>
        <v>30</v>
      </c>
      <c r="T7" s="30">
        <f>'BG Calc'!T7</f>
        <v>15</v>
      </c>
      <c r="U7" s="30">
        <f>'BG Calc'!U7</f>
        <v>10</v>
      </c>
      <c r="V7" s="35">
        <f>'BG Calc'!V7</f>
        <v>4</v>
      </c>
      <c r="AI7" s="34">
        <v>4</v>
      </c>
      <c r="AJ7" s="35">
        <v>50</v>
      </c>
    </row>
    <row r="8" spans="2:44">
      <c r="B8" s="34" t="str">
        <f>'Buy FG1 Reel'!AR15</f>
        <v>EE</v>
      </c>
      <c r="C8" s="30">
        <f>'Buy FG1 Reel'!AS15</f>
        <v>2</v>
      </c>
      <c r="D8" s="30">
        <f>'Buy FG1 Reel'!AT15</f>
        <v>4</v>
      </c>
      <c r="E8" s="30">
        <f>'Buy FG1 Reel'!AU15</f>
        <v>6</v>
      </c>
      <c r="F8" s="30">
        <f>'Buy FG1 Reel'!AV15</f>
        <v>2</v>
      </c>
      <c r="G8" s="30">
        <f>'Buy FG1 Reel'!AW15</f>
        <v>4</v>
      </c>
      <c r="H8" s="35">
        <f>'Buy FG1 Reel'!AX15</f>
        <v>6</v>
      </c>
      <c r="J8" s="34" t="str">
        <f>'Buy FG1 Reel'!Q15</f>
        <v>EE</v>
      </c>
      <c r="K8" s="30">
        <f>'Buy FG1 Reel'!R15</f>
        <v>1</v>
      </c>
      <c r="L8" s="30">
        <f>'Buy FG1 Reel'!S15</f>
        <v>2</v>
      </c>
      <c r="M8" s="30">
        <f>'Buy FG1 Reel'!T15</f>
        <v>3</v>
      </c>
      <c r="N8" s="30">
        <f>'Buy FG1 Reel'!U15</f>
        <v>1</v>
      </c>
      <c r="O8" s="30">
        <f>'Buy FG1 Reel'!V15</f>
        <v>2</v>
      </c>
      <c r="P8" s="35">
        <f>'Buy FG1 Reel'!W15</f>
        <v>3</v>
      </c>
      <c r="R8" s="34" t="str">
        <f>'Buy FG1 Reel'!Q15</f>
        <v>EE</v>
      </c>
      <c r="S8" s="30">
        <f>'BG Calc'!S8</f>
        <v>30</v>
      </c>
      <c r="T8" s="30">
        <f>'BG Calc'!T8</f>
        <v>10</v>
      </c>
      <c r="U8" s="30">
        <f>'BG Calc'!U8</f>
        <v>8</v>
      </c>
      <c r="V8" s="35">
        <f>'BG Calc'!V8</f>
        <v>3</v>
      </c>
      <c r="AI8" s="34">
        <v>5</v>
      </c>
      <c r="AJ8" s="35">
        <v>25</v>
      </c>
      <c r="AL8" t="s">
        <v>143</v>
      </c>
    </row>
    <row r="9" spans="2:44">
      <c r="B9" s="34" t="str">
        <f>'Buy FG1 Reel'!AR16</f>
        <v>FF</v>
      </c>
      <c r="C9" s="30">
        <f>'Buy FG1 Reel'!AS16</f>
        <v>12</v>
      </c>
      <c r="D9" s="30">
        <f>'Buy FG1 Reel'!AT16</f>
        <v>16</v>
      </c>
      <c r="E9" s="30">
        <f>'Buy FG1 Reel'!AU16</f>
        <v>10</v>
      </c>
      <c r="F9" s="30">
        <f>'Buy FG1 Reel'!AV16</f>
        <v>2</v>
      </c>
      <c r="G9" s="30">
        <f>'Buy FG1 Reel'!AW16</f>
        <v>12</v>
      </c>
      <c r="H9" s="35">
        <f>'Buy FG1 Reel'!AX16</f>
        <v>24</v>
      </c>
      <c r="J9" s="34" t="str">
        <f>'Buy FG1 Reel'!Q16</f>
        <v>FF</v>
      </c>
      <c r="K9" s="30">
        <f>'Buy FG1 Reel'!R16</f>
        <v>6</v>
      </c>
      <c r="L9" s="30">
        <f>'Buy FG1 Reel'!S16</f>
        <v>8</v>
      </c>
      <c r="M9" s="30">
        <f>'Buy FG1 Reel'!T16</f>
        <v>5</v>
      </c>
      <c r="N9" s="30">
        <f>'Buy FG1 Reel'!U16</f>
        <v>1</v>
      </c>
      <c r="O9" s="30">
        <f>'Buy FG1 Reel'!V16</f>
        <v>6</v>
      </c>
      <c r="P9" s="35">
        <f>'Buy FG1 Reel'!W16</f>
        <v>12</v>
      </c>
      <c r="R9" s="34" t="str">
        <f>'Buy FG1 Reel'!Q16</f>
        <v>FF</v>
      </c>
      <c r="S9" s="30">
        <f>'BG Calc'!S9</f>
        <v>30</v>
      </c>
      <c r="T9" s="30">
        <f>'BG Calc'!T9</f>
        <v>10</v>
      </c>
      <c r="U9" s="30">
        <f>'BG Calc'!U9</f>
        <v>8</v>
      </c>
      <c r="V9" s="35">
        <f>'BG Calc'!V9</f>
        <v>3</v>
      </c>
      <c r="AI9" s="36">
        <v>6</v>
      </c>
      <c r="AJ9" s="38">
        <v>10</v>
      </c>
    </row>
    <row r="10" spans="2:44">
      <c r="B10" s="34" t="str">
        <f>'Buy FG1 Reel'!AR17</f>
        <v>GG</v>
      </c>
      <c r="C10" s="30">
        <f>'Buy FG1 Reel'!AS17</f>
        <v>16</v>
      </c>
      <c r="D10" s="30">
        <f>'Buy FG1 Reel'!AT17</f>
        <v>8</v>
      </c>
      <c r="E10" s="30">
        <f>'Buy FG1 Reel'!AU17</f>
        <v>10</v>
      </c>
      <c r="F10" s="30">
        <f>'Buy FG1 Reel'!AV17</f>
        <v>16</v>
      </c>
      <c r="G10" s="30">
        <f>'Buy FG1 Reel'!AW17</f>
        <v>8</v>
      </c>
      <c r="H10" s="35">
        <f>'Buy FG1 Reel'!AX17</f>
        <v>8</v>
      </c>
      <c r="J10" s="34" t="str">
        <f>'Buy FG1 Reel'!Q17</f>
        <v>GG</v>
      </c>
      <c r="K10" s="30">
        <f>'Buy FG1 Reel'!R17</f>
        <v>8</v>
      </c>
      <c r="L10" s="30">
        <f>'Buy FG1 Reel'!S17</f>
        <v>4</v>
      </c>
      <c r="M10" s="30">
        <f>'Buy FG1 Reel'!T17</f>
        <v>5</v>
      </c>
      <c r="N10" s="30">
        <f>'Buy FG1 Reel'!U17</f>
        <v>8</v>
      </c>
      <c r="O10" s="30">
        <f>'Buy FG1 Reel'!V17</f>
        <v>4</v>
      </c>
      <c r="P10" s="35">
        <f>'Buy FG1 Reel'!W17</f>
        <v>4</v>
      </c>
      <c r="R10" s="34" t="str">
        <f>'Buy FG1 Reel'!Q17</f>
        <v>GG</v>
      </c>
      <c r="S10" s="30">
        <f>'BG Calc'!S10</f>
        <v>20</v>
      </c>
      <c r="T10" s="30">
        <f>'BG Calc'!T10</f>
        <v>6</v>
      </c>
      <c r="U10" s="30">
        <f>'BG Calc'!U10</f>
        <v>4</v>
      </c>
      <c r="V10" s="35">
        <f>'BG Calc'!V10</f>
        <v>2</v>
      </c>
    </row>
    <row r="11" spans="2:44">
      <c r="B11" s="34" t="str">
        <f>'Buy FG1 Reel'!AR18</f>
        <v>HH</v>
      </c>
      <c r="C11" s="30">
        <f>'Buy FG1 Reel'!AS18</f>
        <v>4</v>
      </c>
      <c r="D11" s="30">
        <f>'Buy FG1 Reel'!AT18</f>
        <v>10</v>
      </c>
      <c r="E11" s="30">
        <f>'Buy FG1 Reel'!AU18</f>
        <v>14</v>
      </c>
      <c r="F11" s="30">
        <f>'Buy FG1 Reel'!AV18</f>
        <v>4</v>
      </c>
      <c r="G11" s="30">
        <f>'Buy FG1 Reel'!AW18</f>
        <v>2</v>
      </c>
      <c r="H11" s="35">
        <f>'Buy FG1 Reel'!AX18</f>
        <v>4</v>
      </c>
      <c r="J11" s="34" t="str">
        <f>'Buy FG1 Reel'!Q18</f>
        <v>HH</v>
      </c>
      <c r="K11" s="30">
        <f>'Buy FG1 Reel'!R18</f>
        <v>2</v>
      </c>
      <c r="L11" s="30">
        <f>'Buy FG1 Reel'!S18</f>
        <v>5</v>
      </c>
      <c r="M11" s="30">
        <f>'Buy FG1 Reel'!T18</f>
        <v>7</v>
      </c>
      <c r="N11" s="30">
        <f>'Buy FG1 Reel'!U18</f>
        <v>2</v>
      </c>
      <c r="O11" s="30">
        <f>'Buy FG1 Reel'!V18</f>
        <v>1</v>
      </c>
      <c r="P11" s="35">
        <f>'Buy FG1 Reel'!W18</f>
        <v>2</v>
      </c>
      <c r="R11" s="34" t="str">
        <f>'Buy FG1 Reel'!Q18</f>
        <v>HH</v>
      </c>
      <c r="S11" s="30">
        <f>'BG Calc'!S11</f>
        <v>20</v>
      </c>
      <c r="T11" s="30">
        <f>'BG Calc'!T11</f>
        <v>6</v>
      </c>
      <c r="U11" s="30">
        <f>'BG Calc'!U11</f>
        <v>4</v>
      </c>
      <c r="V11" s="35">
        <f>'BG Calc'!V11</f>
        <v>2</v>
      </c>
      <c r="AI11" s="30"/>
    </row>
    <row r="12" spans="2:44">
      <c r="B12" s="34" t="str">
        <f>'Buy FG1 Reel'!AR19</f>
        <v>JJ</v>
      </c>
      <c r="C12" s="30">
        <f>'Buy FG1 Reel'!AS19</f>
        <v>14</v>
      </c>
      <c r="D12" s="30">
        <f>'Buy FG1 Reel'!AT19</f>
        <v>20</v>
      </c>
      <c r="E12" s="30">
        <f>'Buy FG1 Reel'!AU19</f>
        <v>18</v>
      </c>
      <c r="F12" s="30">
        <f>'Buy FG1 Reel'!AV19</f>
        <v>20</v>
      </c>
      <c r="G12" s="30">
        <f>'Buy FG1 Reel'!AW19</f>
        <v>32</v>
      </c>
      <c r="H12" s="35">
        <f>'Buy FG1 Reel'!AX19</f>
        <v>18</v>
      </c>
      <c r="J12" s="34" t="str">
        <f>'Buy FG1 Reel'!Q19</f>
        <v>JJ</v>
      </c>
      <c r="K12" s="30">
        <f>'Buy FG1 Reel'!R19</f>
        <v>7</v>
      </c>
      <c r="L12" s="30">
        <f>'Buy FG1 Reel'!S19</f>
        <v>10</v>
      </c>
      <c r="M12" s="30">
        <f>'Buy FG1 Reel'!T19</f>
        <v>9</v>
      </c>
      <c r="N12" s="30">
        <f>'Buy FG1 Reel'!U19</f>
        <v>10</v>
      </c>
      <c r="O12" s="30">
        <f>'Buy FG1 Reel'!V19</f>
        <v>16</v>
      </c>
      <c r="P12" s="35">
        <f>'Buy FG1 Reel'!W19</f>
        <v>9</v>
      </c>
      <c r="R12" s="34" t="str">
        <f>'Buy FG1 Reel'!Q19</f>
        <v>JJ</v>
      </c>
      <c r="S12" s="30">
        <f>'BG Calc'!S12</f>
        <v>20</v>
      </c>
      <c r="T12" s="30">
        <f>'BG Calc'!T12</f>
        <v>6</v>
      </c>
      <c r="U12" s="30">
        <f>'BG Calc'!U12</f>
        <v>4</v>
      </c>
      <c r="V12" s="35">
        <f>'BG Calc'!V12</f>
        <v>2</v>
      </c>
    </row>
    <row r="13" spans="2:44">
      <c r="B13" s="34" t="str">
        <f>'Buy FG1 Reel'!AR20</f>
        <v>KK</v>
      </c>
      <c r="C13" s="30">
        <f>'Buy FG1 Reel'!AS20</f>
        <v>16</v>
      </c>
      <c r="D13" s="30">
        <f>'Buy FG1 Reel'!AT20</f>
        <v>24</v>
      </c>
      <c r="E13" s="30">
        <f>'Buy FG1 Reel'!AU20</f>
        <v>18</v>
      </c>
      <c r="F13" s="30">
        <f>'Buy FG1 Reel'!AV20</f>
        <v>10</v>
      </c>
      <c r="G13" s="30">
        <f>'Buy FG1 Reel'!AW20</f>
        <v>10</v>
      </c>
      <c r="H13" s="35">
        <f>'Buy FG1 Reel'!AX20</f>
        <v>20</v>
      </c>
      <c r="J13" s="34" t="str">
        <f>'Buy FG1 Reel'!Q20</f>
        <v>KK</v>
      </c>
      <c r="K13" s="30">
        <f>'Buy FG1 Reel'!R20</f>
        <v>8</v>
      </c>
      <c r="L13" s="30">
        <f>'Buy FG1 Reel'!S20</f>
        <v>12</v>
      </c>
      <c r="M13" s="30">
        <f>'Buy FG1 Reel'!T20</f>
        <v>9</v>
      </c>
      <c r="N13" s="30">
        <f>'Buy FG1 Reel'!U20</f>
        <v>5</v>
      </c>
      <c r="O13" s="30">
        <f>'Buy FG1 Reel'!V20</f>
        <v>5</v>
      </c>
      <c r="P13" s="35">
        <f>'Buy FG1 Reel'!W20</f>
        <v>10</v>
      </c>
      <c r="R13" s="34" t="str">
        <f>'Buy FG1 Reel'!Q20</f>
        <v>KK</v>
      </c>
      <c r="S13" s="30">
        <f>'BG Calc'!S13</f>
        <v>10</v>
      </c>
      <c r="T13" s="30">
        <f>'BG Calc'!T13</f>
        <v>4</v>
      </c>
      <c r="U13" s="30">
        <f>'BG Calc'!U13</f>
        <v>2</v>
      </c>
      <c r="V13" s="35">
        <f>'BG Calc'!V13</f>
        <v>1</v>
      </c>
    </row>
    <row r="14" spans="2:44">
      <c r="B14" s="34" t="str">
        <f>'Buy FG1 Reel'!AR21</f>
        <v>LL</v>
      </c>
      <c r="C14" s="30">
        <f>'Buy FG1 Reel'!AS21</f>
        <v>22</v>
      </c>
      <c r="D14" s="30">
        <f>'Buy FG1 Reel'!AT21</f>
        <v>22</v>
      </c>
      <c r="E14" s="30">
        <f>'Buy FG1 Reel'!AU21</f>
        <v>8</v>
      </c>
      <c r="F14" s="30">
        <f>'Buy FG1 Reel'!AV21</f>
        <v>14</v>
      </c>
      <c r="G14" s="30">
        <f>'Buy FG1 Reel'!AW21</f>
        <v>12</v>
      </c>
      <c r="H14" s="35">
        <f>'Buy FG1 Reel'!AX21</f>
        <v>34</v>
      </c>
      <c r="J14" s="34" t="str">
        <f>'Buy FG1 Reel'!Q21</f>
        <v>LL</v>
      </c>
      <c r="K14" s="30">
        <f>'Buy FG1 Reel'!R21</f>
        <v>11</v>
      </c>
      <c r="L14" s="30">
        <f>'Buy FG1 Reel'!S21</f>
        <v>11</v>
      </c>
      <c r="M14" s="30">
        <f>'Buy FG1 Reel'!T21</f>
        <v>4</v>
      </c>
      <c r="N14" s="30">
        <f>'Buy FG1 Reel'!U21</f>
        <v>7</v>
      </c>
      <c r="O14" s="30">
        <f>'Buy FG1 Reel'!V21</f>
        <v>6</v>
      </c>
      <c r="P14" s="35">
        <f>'Buy FG1 Reel'!W21</f>
        <v>17</v>
      </c>
      <c r="R14" s="34" t="str">
        <f>'Buy FG1 Reel'!Q21</f>
        <v>LL</v>
      </c>
      <c r="S14" s="30">
        <f>'BG Calc'!S14</f>
        <v>10</v>
      </c>
      <c r="T14" s="30">
        <f>'BG Calc'!T14</f>
        <v>4</v>
      </c>
      <c r="U14" s="30">
        <f>'BG Calc'!U14</f>
        <v>2</v>
      </c>
      <c r="V14" s="35">
        <f>'BG Calc'!V14</f>
        <v>1</v>
      </c>
    </row>
    <row r="15" spans="2:44">
      <c r="B15" s="34" t="str">
        <f>'Buy FG1 Reel'!AR22</f>
        <v>BN</v>
      </c>
      <c r="C15" s="30">
        <f>'Buy FG1 Reel'!AS22</f>
        <v>0</v>
      </c>
      <c r="D15" s="30">
        <f>'Buy FG1 Reel'!AT22</f>
        <v>0</v>
      </c>
      <c r="E15" s="30">
        <f>'Buy FG1 Reel'!AU22</f>
        <v>0</v>
      </c>
      <c r="F15" s="30">
        <f>'Buy FG1 Reel'!AV22</f>
        <v>0</v>
      </c>
      <c r="G15" s="30">
        <f>'Buy FG1 Reel'!AW22</f>
        <v>0</v>
      </c>
      <c r="H15" s="35">
        <f>'Buy FG1 Reel'!AX22</f>
        <v>0</v>
      </c>
      <c r="J15" s="34" t="str">
        <f>'Buy FG1 Reel'!Q22</f>
        <v>BN</v>
      </c>
      <c r="K15" s="30">
        <f>'Buy FG1 Reel'!R22</f>
        <v>0</v>
      </c>
      <c r="L15" s="30">
        <f>'Buy FG1 Reel'!S22</f>
        <v>0</v>
      </c>
      <c r="M15" s="30">
        <f>'Buy FG1 Reel'!T22</f>
        <v>0</v>
      </c>
      <c r="N15" s="30">
        <f>'Buy FG1 Reel'!U22</f>
        <v>0</v>
      </c>
      <c r="O15" s="30">
        <f>'Buy FG1 Reel'!V22</f>
        <v>0</v>
      </c>
      <c r="P15" s="35">
        <f>'Buy FG1 Reel'!W22</f>
        <v>0</v>
      </c>
      <c r="R15" s="36" t="str">
        <f>'Buy FG1 Reel'!Q22</f>
        <v>BN</v>
      </c>
      <c r="S15" s="37">
        <f>'BG Calc'!S15</f>
        <v>0</v>
      </c>
      <c r="T15" s="37">
        <f>'BG Calc'!T15</f>
        <v>0</v>
      </c>
      <c r="U15" s="37">
        <f>'BG Calc'!U15</f>
        <v>0</v>
      </c>
      <c r="V15" s="38">
        <f>'BG Calc'!V15</f>
        <v>0</v>
      </c>
    </row>
    <row r="16" spans="2:44">
      <c r="B16" s="34" t="str">
        <f>'Buy FG1 Reel'!AR23</f>
        <v>WC-0</v>
      </c>
      <c r="C16" s="30">
        <f>'Buy FG1 Reel'!AS23</f>
        <v>68</v>
      </c>
      <c r="D16" s="30">
        <f>'Buy FG1 Reel'!AT23</f>
        <v>90</v>
      </c>
      <c r="E16" s="30">
        <f>'Buy FG1 Reel'!AU23</f>
        <v>62</v>
      </c>
      <c r="F16" s="30">
        <f>'Buy FG1 Reel'!AV23</f>
        <v>55</v>
      </c>
      <c r="G16" s="30">
        <f>'Buy FG1 Reel'!AW23</f>
        <v>66</v>
      </c>
      <c r="H16" s="35">
        <f>'Buy FG1 Reel'!AX23</f>
        <v>98</v>
      </c>
      <c r="J16" s="48" t="s">
        <v>14</v>
      </c>
      <c r="K16" s="28">
        <f>SUM(K3:K15)</f>
        <v>68</v>
      </c>
      <c r="L16" s="28">
        <f t="shared" ref="L16:P16" si="0">SUM(L3:L15)</f>
        <v>90</v>
      </c>
      <c r="M16" s="28">
        <f t="shared" si="0"/>
        <v>62</v>
      </c>
      <c r="N16" s="28">
        <f t="shared" si="0"/>
        <v>55</v>
      </c>
      <c r="O16" s="28">
        <f t="shared" si="0"/>
        <v>66</v>
      </c>
      <c r="P16" s="27">
        <f t="shared" si="0"/>
        <v>98</v>
      </c>
    </row>
    <row r="17" spans="2:41">
      <c r="B17" s="34" t="str">
        <f>'Buy FG1 Reel'!AR24</f>
        <v>AA-0</v>
      </c>
      <c r="C17" s="30">
        <f>'Buy FG1 Reel'!AS24</f>
        <v>60</v>
      </c>
      <c r="D17" s="30">
        <f>'Buy FG1 Reel'!AT24</f>
        <v>65</v>
      </c>
      <c r="E17" s="30">
        <f>'Buy FG1 Reel'!AU24</f>
        <v>48</v>
      </c>
      <c r="F17" s="30">
        <f>'Buy FG1 Reel'!AV24</f>
        <v>39</v>
      </c>
      <c r="G17" s="30">
        <f>'Buy FG1 Reel'!AW24</f>
        <v>58</v>
      </c>
      <c r="H17" s="35">
        <f>'Buy FG1 Reel'!AX24</f>
        <v>85</v>
      </c>
      <c r="J17" s="36" t="s">
        <v>96</v>
      </c>
      <c r="K17" s="79">
        <f>PRODUCT(K16:P16)</f>
        <v>134981985600</v>
      </c>
      <c r="L17" s="79"/>
      <c r="M17" s="79"/>
      <c r="N17" s="79"/>
      <c r="O17" s="79"/>
      <c r="P17" s="80"/>
      <c r="Z17" s="52" t="s">
        <v>97</v>
      </c>
      <c r="AA17" s="81" t="s">
        <v>98</v>
      </c>
      <c r="AB17" s="81"/>
      <c r="AC17" s="81"/>
      <c r="AD17" s="81"/>
      <c r="AE17" s="81"/>
      <c r="AF17" s="81"/>
      <c r="AG17" s="52" t="s">
        <v>144</v>
      </c>
      <c r="AJ17" s="53"/>
      <c r="AK17" s="81" t="s">
        <v>31</v>
      </c>
      <c r="AL17" s="81"/>
    </row>
    <row r="18" spans="2:41">
      <c r="B18" s="34" t="str">
        <f>'Buy FG1 Reel'!AR25</f>
        <v>BB-0</v>
      </c>
      <c r="C18" s="30">
        <f>'Buy FG1 Reel'!AS25</f>
        <v>61</v>
      </c>
      <c r="D18" s="30">
        <f>'Buy FG1 Reel'!AT25</f>
        <v>68</v>
      </c>
      <c r="E18" s="30">
        <f>'Buy FG1 Reel'!AU25</f>
        <v>50</v>
      </c>
      <c r="F18" s="30">
        <f>'Buy FG1 Reel'!AV25</f>
        <v>43</v>
      </c>
      <c r="G18" s="30">
        <f>'Buy FG1 Reel'!AW25</f>
        <v>53</v>
      </c>
      <c r="H18" s="35">
        <f>'Buy FG1 Reel'!AX25</f>
        <v>74</v>
      </c>
      <c r="Z18" s="53">
        <v>1</v>
      </c>
      <c r="AA18" s="53">
        <v>0</v>
      </c>
      <c r="AB18" s="53">
        <v>0</v>
      </c>
      <c r="AC18" s="53">
        <v>0</v>
      </c>
      <c r="AD18" s="53">
        <v>0</v>
      </c>
      <c r="AE18" s="53">
        <v>1</v>
      </c>
      <c r="AF18" s="53">
        <v>1</v>
      </c>
      <c r="AG18" s="53">
        <v>10</v>
      </c>
      <c r="AJ18" s="53"/>
      <c r="AK18" s="81" t="s">
        <v>101</v>
      </c>
      <c r="AL18" s="81"/>
    </row>
    <row r="19" spans="2:41">
      <c r="B19" s="34" t="str">
        <f>'Buy FG1 Reel'!AR26</f>
        <v>CC-0</v>
      </c>
      <c r="C19" s="30">
        <f>'Buy FG1 Reel'!AS26</f>
        <v>50</v>
      </c>
      <c r="D19" s="30">
        <f>'Buy FG1 Reel'!AT26</f>
        <v>73</v>
      </c>
      <c r="E19" s="30">
        <f>'Buy FG1 Reel'!AU26</f>
        <v>56</v>
      </c>
      <c r="F19" s="30">
        <f>'Buy FG1 Reel'!AV26</f>
        <v>49</v>
      </c>
      <c r="G19" s="30">
        <f>'Buy FG1 Reel'!AW26</f>
        <v>46</v>
      </c>
      <c r="H19" s="35">
        <f>'Buy FG1 Reel'!AX26</f>
        <v>78</v>
      </c>
      <c r="J19" s="8" t="s">
        <v>102</v>
      </c>
      <c r="K19" s="6">
        <v>20</v>
      </c>
      <c r="Z19" s="53">
        <v>2</v>
      </c>
      <c r="AA19" s="53">
        <v>0</v>
      </c>
      <c r="AB19" s="53">
        <v>0</v>
      </c>
      <c r="AC19" s="53">
        <v>0</v>
      </c>
      <c r="AD19" s="53">
        <v>1</v>
      </c>
      <c r="AE19" s="53">
        <v>0</v>
      </c>
      <c r="AF19" s="53">
        <v>1</v>
      </c>
      <c r="AG19" s="53">
        <v>10</v>
      </c>
      <c r="AJ19" s="52" t="s">
        <v>103</v>
      </c>
      <c r="AK19" s="52" t="s">
        <v>104</v>
      </c>
      <c r="AL19" s="52" t="s">
        <v>105</v>
      </c>
    </row>
    <row r="20" spans="2:41">
      <c r="B20" s="34" t="str">
        <f>'Buy FG1 Reel'!AR27</f>
        <v>DD-0</v>
      </c>
      <c r="C20" s="30">
        <f>'Buy FG1 Reel'!AS27</f>
        <v>60</v>
      </c>
      <c r="D20" s="30">
        <f>'Buy FG1 Reel'!AT27</f>
        <v>86</v>
      </c>
      <c r="E20" s="30">
        <f>'Buy FG1 Reel'!AU27</f>
        <v>60</v>
      </c>
      <c r="F20" s="30">
        <f>'Buy FG1 Reel'!AV27</f>
        <v>53</v>
      </c>
      <c r="G20" s="30">
        <f>'Buy FG1 Reel'!AW27</f>
        <v>62</v>
      </c>
      <c r="H20" s="35">
        <f>'Buy FG1 Reel'!AX27</f>
        <v>82</v>
      </c>
      <c r="J20" s="5" t="s">
        <v>6</v>
      </c>
      <c r="K20" s="14">
        <f>R86/(K19*K17)</f>
        <v>7.5379769396428264E-2</v>
      </c>
      <c r="Z20" s="53">
        <v>3</v>
      </c>
      <c r="AA20" s="53">
        <v>0</v>
      </c>
      <c r="AB20" s="53">
        <v>0</v>
      </c>
      <c r="AC20" s="53">
        <v>1</v>
      </c>
      <c r="AD20" s="53">
        <v>0</v>
      </c>
      <c r="AE20" s="53">
        <v>0</v>
      </c>
      <c r="AF20" s="53">
        <v>1</v>
      </c>
      <c r="AG20" s="53">
        <v>10</v>
      </c>
      <c r="AJ20" s="53">
        <v>2</v>
      </c>
      <c r="AK20" s="53">
        <v>100</v>
      </c>
      <c r="AL20" s="53">
        <v>25</v>
      </c>
      <c r="AO20" s="74"/>
    </row>
    <row r="21" spans="2:41">
      <c r="B21" s="34" t="str">
        <f>'Buy FG1 Reel'!AR28</f>
        <v>EE-0</v>
      </c>
      <c r="C21" s="30">
        <f>'Buy FG1 Reel'!AS28</f>
        <v>66</v>
      </c>
      <c r="D21" s="30">
        <f>'Buy FG1 Reel'!AT28</f>
        <v>86</v>
      </c>
      <c r="E21" s="30">
        <f>'Buy FG1 Reel'!AU28</f>
        <v>56</v>
      </c>
      <c r="F21" s="30">
        <f>'Buy FG1 Reel'!AV28</f>
        <v>53</v>
      </c>
      <c r="G21" s="30">
        <f>'Buy FG1 Reel'!AW28</f>
        <v>62</v>
      </c>
      <c r="H21" s="35">
        <f>'Buy FG1 Reel'!AX28</f>
        <v>92</v>
      </c>
      <c r="J21" s="3" t="s">
        <v>106</v>
      </c>
      <c r="K21" s="13" t="e">
        <f>K17/SUM(N88:N132)</f>
        <v>#DIV/0!</v>
      </c>
      <c r="Z21" s="53">
        <v>4</v>
      </c>
      <c r="AA21" s="53">
        <v>0</v>
      </c>
      <c r="AB21" s="53">
        <v>1</v>
      </c>
      <c r="AC21" s="53">
        <v>0</v>
      </c>
      <c r="AD21" s="53">
        <v>0</v>
      </c>
      <c r="AE21" s="53">
        <v>0</v>
      </c>
      <c r="AF21" s="53">
        <v>1</v>
      </c>
      <c r="AG21" s="53">
        <v>10</v>
      </c>
      <c r="AJ21" s="53">
        <v>3</v>
      </c>
      <c r="AK21" s="53">
        <v>200</v>
      </c>
      <c r="AL21" s="53">
        <v>75</v>
      </c>
    </row>
    <row r="22" spans="2:41">
      <c r="B22" s="34" t="str">
        <f>'Buy FG1 Reel'!AR29</f>
        <v>FF-0</v>
      </c>
      <c r="C22" s="30">
        <f>'Buy FG1 Reel'!AS29</f>
        <v>58</v>
      </c>
      <c r="D22" s="30">
        <f>'Buy FG1 Reel'!AT29</f>
        <v>76</v>
      </c>
      <c r="E22" s="30">
        <f>'Buy FG1 Reel'!AU29</f>
        <v>54</v>
      </c>
      <c r="F22" s="30">
        <f>'Buy FG1 Reel'!AV29</f>
        <v>53</v>
      </c>
      <c r="G22" s="30">
        <f>'Buy FG1 Reel'!AW29</f>
        <v>54</v>
      </c>
      <c r="H22" s="35">
        <f>'Buy FG1 Reel'!AX29</f>
        <v>76</v>
      </c>
      <c r="M22" s="12"/>
      <c r="Z22" s="53">
        <v>5</v>
      </c>
      <c r="AA22" s="53">
        <v>1</v>
      </c>
      <c r="AB22" s="53">
        <v>0</v>
      </c>
      <c r="AC22" s="53">
        <v>0</v>
      </c>
      <c r="AD22" s="53">
        <v>0</v>
      </c>
      <c r="AE22" s="53">
        <v>0</v>
      </c>
      <c r="AF22" s="53">
        <v>1</v>
      </c>
      <c r="AG22" s="53">
        <v>10</v>
      </c>
      <c r="AJ22" s="53">
        <v>4</v>
      </c>
      <c r="AK22" s="53">
        <v>75</v>
      </c>
      <c r="AL22" s="53">
        <v>75</v>
      </c>
    </row>
    <row r="23" spans="2:41">
      <c r="B23" s="34" t="str">
        <f>'Buy FG1 Reel'!AR30</f>
        <v>GG-0</v>
      </c>
      <c r="C23" s="30">
        <f>'Buy FG1 Reel'!AS30</f>
        <v>54</v>
      </c>
      <c r="D23" s="30">
        <f>'Buy FG1 Reel'!AT30</f>
        <v>84</v>
      </c>
      <c r="E23" s="30">
        <f>'Buy FG1 Reel'!AU30</f>
        <v>54</v>
      </c>
      <c r="F23" s="30">
        <f>'Buy FG1 Reel'!AV30</f>
        <v>41</v>
      </c>
      <c r="G23" s="30">
        <f>'Buy FG1 Reel'!AW30</f>
        <v>60</v>
      </c>
      <c r="H23" s="35">
        <f>'Buy FG1 Reel'!AX30</f>
        <v>92</v>
      </c>
      <c r="J23" s="11" t="s">
        <v>107</v>
      </c>
      <c r="K23" s="49">
        <v>222222</v>
      </c>
      <c r="Z23" s="53">
        <v>6</v>
      </c>
      <c r="AA23" s="53">
        <v>0</v>
      </c>
      <c r="AB23" s="53">
        <v>0</v>
      </c>
      <c r="AC23" s="53">
        <v>0</v>
      </c>
      <c r="AD23" s="53">
        <v>1</v>
      </c>
      <c r="AE23" s="53">
        <v>1</v>
      </c>
      <c r="AF23" s="53">
        <v>0</v>
      </c>
      <c r="AG23" s="53">
        <v>10</v>
      </c>
      <c r="AJ23" s="53">
        <v>5</v>
      </c>
      <c r="AK23" s="53">
        <v>50</v>
      </c>
      <c r="AL23" s="53">
        <v>75</v>
      </c>
    </row>
    <row r="24" spans="2:41">
      <c r="B24" s="34" t="str">
        <f>'Buy FG1 Reel'!AR31</f>
        <v>HH-0</v>
      </c>
      <c r="C24" s="30">
        <f>'Buy FG1 Reel'!AS31</f>
        <v>64</v>
      </c>
      <c r="D24" s="30">
        <f>'Buy FG1 Reel'!AT31</f>
        <v>80</v>
      </c>
      <c r="E24" s="30">
        <f>'Buy FG1 Reel'!AU31</f>
        <v>48</v>
      </c>
      <c r="F24" s="30">
        <f>'Buy FG1 Reel'!AV31</f>
        <v>51</v>
      </c>
      <c r="G24" s="30">
        <f>'Buy FG1 Reel'!AW31</f>
        <v>64</v>
      </c>
      <c r="H24" s="35">
        <f>'Buy FG1 Reel'!AX31</f>
        <v>94</v>
      </c>
      <c r="Z24" s="53">
        <v>7</v>
      </c>
      <c r="AA24" s="53">
        <v>0</v>
      </c>
      <c r="AB24" s="53">
        <v>0</v>
      </c>
      <c r="AC24" s="53">
        <v>1</v>
      </c>
      <c r="AD24" s="53">
        <v>0</v>
      </c>
      <c r="AE24" s="53">
        <v>1</v>
      </c>
      <c r="AF24" s="53">
        <v>0</v>
      </c>
      <c r="AG24" s="53">
        <v>10</v>
      </c>
      <c r="AJ24" s="53">
        <v>6</v>
      </c>
      <c r="AK24" s="53">
        <v>15</v>
      </c>
      <c r="AL24" s="53">
        <v>75</v>
      </c>
    </row>
    <row r="25" spans="2:41">
      <c r="B25" s="34" t="str">
        <f>'Buy FG1 Reel'!AR32</f>
        <v>JJ-0</v>
      </c>
      <c r="C25" s="30">
        <f>'Buy FG1 Reel'!AS32</f>
        <v>56</v>
      </c>
      <c r="D25" s="30">
        <f>'Buy FG1 Reel'!AT32</f>
        <v>72</v>
      </c>
      <c r="E25" s="30">
        <f>'Buy FG1 Reel'!AU32</f>
        <v>47</v>
      </c>
      <c r="F25" s="30">
        <f>'Buy FG1 Reel'!AV32</f>
        <v>37</v>
      </c>
      <c r="G25" s="30">
        <f>'Buy FG1 Reel'!AW32</f>
        <v>36</v>
      </c>
      <c r="H25" s="35">
        <f>'Buy FG1 Reel'!AX32</f>
        <v>82</v>
      </c>
      <c r="J25" s="11"/>
      <c r="K25" s="28" t="s">
        <v>108</v>
      </c>
      <c r="L25" s="28" t="s">
        <v>109</v>
      </c>
      <c r="M25" s="28" t="s">
        <v>110</v>
      </c>
      <c r="N25" s="28" t="s">
        <v>111</v>
      </c>
      <c r="O25" s="28" t="s">
        <v>112</v>
      </c>
      <c r="P25" s="27" t="s">
        <v>113</v>
      </c>
      <c r="Z25" s="53">
        <v>8</v>
      </c>
      <c r="AA25" s="53">
        <v>0</v>
      </c>
      <c r="AB25" s="53">
        <v>1</v>
      </c>
      <c r="AC25" s="53">
        <v>0</v>
      </c>
      <c r="AD25" s="53">
        <v>0</v>
      </c>
      <c r="AE25" s="53">
        <v>1</v>
      </c>
      <c r="AF25" s="53">
        <v>0</v>
      </c>
      <c r="AG25" s="53">
        <v>10</v>
      </c>
      <c r="AJ25" s="53">
        <v>7</v>
      </c>
      <c r="AK25" s="53">
        <v>10</v>
      </c>
      <c r="AL25" s="53">
        <v>75</v>
      </c>
    </row>
    <row r="26" spans="2:41">
      <c r="B26" s="34" t="str">
        <f>'Buy FG1 Reel'!AR33</f>
        <v>KK-0</v>
      </c>
      <c r="C26" s="30">
        <f>'Buy FG1 Reel'!AS33</f>
        <v>54</v>
      </c>
      <c r="D26" s="30">
        <f>'Buy FG1 Reel'!AT33</f>
        <v>68</v>
      </c>
      <c r="E26" s="30">
        <f>'Buy FG1 Reel'!AU33</f>
        <v>46</v>
      </c>
      <c r="F26" s="30">
        <f>'Buy FG1 Reel'!AV33</f>
        <v>47</v>
      </c>
      <c r="G26" s="30">
        <f>'Buy FG1 Reel'!AW33</f>
        <v>58</v>
      </c>
      <c r="H26" s="35">
        <f>'Buy FG1 Reel'!AX33</f>
        <v>80</v>
      </c>
      <c r="J26" s="36" t="s">
        <v>114</v>
      </c>
      <c r="K26" s="37">
        <f t="shared" ref="K26:P26" si="1">VALUE(MID($K$23,RIGHT(K25,1),1))</f>
        <v>2</v>
      </c>
      <c r="L26" s="37">
        <f t="shared" si="1"/>
        <v>2</v>
      </c>
      <c r="M26" s="37">
        <f t="shared" si="1"/>
        <v>2</v>
      </c>
      <c r="N26" s="37">
        <f t="shared" si="1"/>
        <v>2</v>
      </c>
      <c r="O26" s="37">
        <f t="shared" si="1"/>
        <v>2</v>
      </c>
      <c r="P26" s="38">
        <f t="shared" si="1"/>
        <v>2</v>
      </c>
      <c r="Z26" s="53">
        <v>9</v>
      </c>
      <c r="AA26" s="53">
        <v>1</v>
      </c>
      <c r="AB26" s="53">
        <v>0</v>
      </c>
      <c r="AC26" s="53">
        <v>0</v>
      </c>
      <c r="AD26" s="53">
        <v>0</v>
      </c>
      <c r="AE26" s="53">
        <v>1</v>
      </c>
      <c r="AF26" s="53">
        <v>0</v>
      </c>
      <c r="AG26" s="53">
        <v>10</v>
      </c>
    </row>
    <row r="27" spans="2:41">
      <c r="B27" s="34" t="str">
        <f>'Buy FG1 Reel'!AR34</f>
        <v>LL-0</v>
      </c>
      <c r="C27" s="30">
        <f>'Buy FG1 Reel'!AS34</f>
        <v>48</v>
      </c>
      <c r="D27" s="30">
        <f>'Buy FG1 Reel'!AT34</f>
        <v>70</v>
      </c>
      <c r="E27" s="30">
        <f>'Buy FG1 Reel'!AU34</f>
        <v>56</v>
      </c>
      <c r="F27" s="30">
        <f>'Buy FG1 Reel'!AV34</f>
        <v>44</v>
      </c>
      <c r="G27" s="30">
        <f>'Buy FG1 Reel'!AW34</f>
        <v>56</v>
      </c>
      <c r="H27" s="35">
        <f>'Buy FG1 Reel'!AX34</f>
        <v>66</v>
      </c>
      <c r="Z27" s="53">
        <v>10</v>
      </c>
      <c r="AA27" s="53">
        <v>0</v>
      </c>
      <c r="AB27" s="53">
        <v>0</v>
      </c>
      <c r="AC27" s="53">
        <v>1</v>
      </c>
      <c r="AD27" s="53">
        <v>1</v>
      </c>
      <c r="AE27" s="53">
        <v>0</v>
      </c>
      <c r="AF27" s="53">
        <v>0</v>
      </c>
      <c r="AG27" s="53">
        <v>10</v>
      </c>
    </row>
    <row r="28" spans="2:41">
      <c r="B28" s="34" t="str">
        <f>'Buy FG1 Reel'!AR35</f>
        <v>BN-0</v>
      </c>
      <c r="C28" s="30">
        <f>'Buy FG1 Reel'!AS35</f>
        <v>68</v>
      </c>
      <c r="D28" s="30">
        <f>'Buy FG1 Reel'!AT35</f>
        <v>90</v>
      </c>
      <c r="E28" s="30">
        <f>'Buy FG1 Reel'!AU35</f>
        <v>62</v>
      </c>
      <c r="F28" s="30">
        <f>'Buy FG1 Reel'!AV35</f>
        <v>55</v>
      </c>
      <c r="G28" s="30">
        <f>'Buy FG1 Reel'!AW35</f>
        <v>66</v>
      </c>
      <c r="H28" s="35">
        <f>'Buy FG1 Reel'!AX35</f>
        <v>98</v>
      </c>
      <c r="Z28" s="53">
        <v>11</v>
      </c>
      <c r="AA28" s="53">
        <v>0</v>
      </c>
      <c r="AB28" s="53">
        <v>1</v>
      </c>
      <c r="AC28" s="53">
        <v>0</v>
      </c>
      <c r="AD28" s="53">
        <v>1</v>
      </c>
      <c r="AE28" s="53">
        <v>0</v>
      </c>
      <c r="AF28" s="53">
        <v>0</v>
      </c>
      <c r="AG28" s="53">
        <v>10</v>
      </c>
    </row>
    <row r="29" spans="2:41">
      <c r="B29" s="48" t="s">
        <v>115</v>
      </c>
      <c r="C29" s="28">
        <f t="shared" ref="C29:H29" si="2">K16</f>
        <v>68</v>
      </c>
      <c r="D29" s="28">
        <f t="shared" si="2"/>
        <v>90</v>
      </c>
      <c r="E29" s="28">
        <f t="shared" si="2"/>
        <v>62</v>
      </c>
      <c r="F29" s="28">
        <f t="shared" si="2"/>
        <v>55</v>
      </c>
      <c r="G29" s="28">
        <f t="shared" si="2"/>
        <v>66</v>
      </c>
      <c r="H29" s="27">
        <f t="shared" si="2"/>
        <v>98</v>
      </c>
      <c r="Z29" s="53">
        <v>12</v>
      </c>
      <c r="AA29" s="53">
        <v>1</v>
      </c>
      <c r="AB29" s="53">
        <v>0</v>
      </c>
      <c r="AC29" s="53">
        <v>0</v>
      </c>
      <c r="AD29" s="53">
        <v>1</v>
      </c>
      <c r="AE29" s="53">
        <v>0</v>
      </c>
      <c r="AF29" s="53">
        <v>0</v>
      </c>
      <c r="AG29" s="53">
        <v>10</v>
      </c>
    </row>
    <row r="30" spans="2:41">
      <c r="Z30" s="53">
        <v>13</v>
      </c>
      <c r="AA30" s="53">
        <v>0</v>
      </c>
      <c r="AB30" s="53">
        <v>1</v>
      </c>
      <c r="AC30" s="53">
        <v>1</v>
      </c>
      <c r="AD30" s="53">
        <v>0</v>
      </c>
      <c r="AE30" s="53">
        <v>0</v>
      </c>
      <c r="AF30" s="53">
        <v>0</v>
      </c>
      <c r="AG30" s="53">
        <v>10</v>
      </c>
    </row>
    <row r="31" spans="2:41">
      <c r="B31" s="11" t="s">
        <v>108</v>
      </c>
      <c r="C31" s="10" t="s">
        <v>109</v>
      </c>
      <c r="D31" s="10" t="s">
        <v>110</v>
      </c>
      <c r="E31" s="10" t="s">
        <v>111</v>
      </c>
      <c r="F31" s="10" t="s">
        <v>112</v>
      </c>
      <c r="G31" s="10" t="s">
        <v>113</v>
      </c>
      <c r="H31" s="10" t="s">
        <v>108</v>
      </c>
      <c r="I31" s="10" t="s">
        <v>109</v>
      </c>
      <c r="J31" s="10" t="s">
        <v>110</v>
      </c>
      <c r="K31" s="10" t="s">
        <v>111</v>
      </c>
      <c r="L31" s="10" t="s">
        <v>112</v>
      </c>
      <c r="M31" s="10" t="s">
        <v>113</v>
      </c>
      <c r="N31" s="10" t="s">
        <v>116</v>
      </c>
      <c r="O31" s="10"/>
      <c r="P31" s="10"/>
      <c r="Q31" s="10" t="s">
        <v>117</v>
      </c>
      <c r="R31" s="9" t="s">
        <v>118</v>
      </c>
      <c r="Z31" s="53">
        <v>14</v>
      </c>
      <c r="AA31" s="53">
        <v>1</v>
      </c>
      <c r="AB31" s="53">
        <v>0</v>
      </c>
      <c r="AC31" s="53">
        <v>1</v>
      </c>
      <c r="AD31" s="53">
        <v>0</v>
      </c>
      <c r="AE31" s="53">
        <v>0</v>
      </c>
      <c r="AF31" s="53">
        <v>0</v>
      </c>
      <c r="AG31" s="53">
        <v>10</v>
      </c>
    </row>
    <row r="32" spans="2:41">
      <c r="B32" s="8" t="str">
        <f>$B$4</f>
        <v>AA</v>
      </c>
      <c r="C32" s="7" t="str">
        <f>$B32</f>
        <v>AA</v>
      </c>
      <c r="D32" s="7" t="str">
        <f>$B32</f>
        <v>AA</v>
      </c>
      <c r="E32" s="7" t="str">
        <f>$B32</f>
        <v>AA</v>
      </c>
      <c r="F32" s="7" t="str">
        <f>$B32</f>
        <v>AA</v>
      </c>
      <c r="G32" s="7" t="str">
        <f>$B32</f>
        <v>AA</v>
      </c>
      <c r="H32" s="7">
        <f>SUMIF($B$3:$B$29,B32,C$3:C$29)</f>
        <v>10</v>
      </c>
      <c r="I32" s="7">
        <f t="shared" ref="I32:M35" si="3">SUMIF($B$3:$B$29,C32,D$3:D$29)</f>
        <v>28</v>
      </c>
      <c r="J32" s="7">
        <f t="shared" si="3"/>
        <v>16</v>
      </c>
      <c r="K32" s="7">
        <f t="shared" si="3"/>
        <v>18</v>
      </c>
      <c r="L32" s="7">
        <f t="shared" si="3"/>
        <v>10</v>
      </c>
      <c r="M32" s="7">
        <f t="shared" si="3"/>
        <v>16</v>
      </c>
      <c r="N32" s="7">
        <f>PRODUCT(H32:M32)</f>
        <v>12902400</v>
      </c>
      <c r="O32" s="7">
        <v>6</v>
      </c>
      <c r="P32" s="7" t="str">
        <f>B32</f>
        <v>AA</v>
      </c>
      <c r="Q32" s="7">
        <f>INDEX($S$3:$V$15,MATCH(P32,$R$3:$R$15,0),MATCH(O32,$S$2:$V$2,0))</f>
        <v>150</v>
      </c>
      <c r="R32" s="6">
        <f>Q32*N32</f>
        <v>1935360000</v>
      </c>
      <c r="Z32" s="53">
        <v>15</v>
      </c>
      <c r="AA32" s="53">
        <v>1</v>
      </c>
      <c r="AB32" s="53">
        <v>1</v>
      </c>
      <c r="AC32" s="53">
        <v>0</v>
      </c>
      <c r="AD32" s="53">
        <v>0</v>
      </c>
      <c r="AE32" s="53">
        <v>0</v>
      </c>
      <c r="AF32" s="53">
        <v>0</v>
      </c>
      <c r="AG32" s="53">
        <v>10</v>
      </c>
    </row>
    <row r="33" spans="2:33">
      <c r="B33" s="5" t="str">
        <f>$B32</f>
        <v>AA</v>
      </c>
      <c r="C33" t="str">
        <f>$B32</f>
        <v>AA</v>
      </c>
      <c r="D33" t="str">
        <f>$B32</f>
        <v>AA</v>
      </c>
      <c r="E33" t="str">
        <f>$B32</f>
        <v>AA</v>
      </c>
      <c r="F33" t="str">
        <f>$B32</f>
        <v>AA</v>
      </c>
      <c r="G33" t="str">
        <f>F33&amp;"-0"</f>
        <v>AA-0</v>
      </c>
      <c r="H33">
        <f>SUMIF($B$3:$B$29,B33,C$3:C$29)</f>
        <v>10</v>
      </c>
      <c r="I33">
        <f t="shared" si="3"/>
        <v>28</v>
      </c>
      <c r="J33">
        <f t="shared" si="3"/>
        <v>16</v>
      </c>
      <c r="K33">
        <f t="shared" si="3"/>
        <v>18</v>
      </c>
      <c r="L33">
        <f t="shared" si="3"/>
        <v>10</v>
      </c>
      <c r="M33">
        <f t="shared" si="3"/>
        <v>85</v>
      </c>
      <c r="N33">
        <f>PRODUCT(H33:M33)</f>
        <v>68544000</v>
      </c>
      <c r="O33">
        <v>5</v>
      </c>
      <c r="P33" t="str">
        <f>B33</f>
        <v>AA</v>
      </c>
      <c r="Q33">
        <f>INDEX($S$3:$V$15,MATCH(P33,$R$3:$R$15,0),MATCH(O33,$S$2:$V$2,0))</f>
        <v>60</v>
      </c>
      <c r="R33" s="4">
        <f>Q33*N33</f>
        <v>4112640000</v>
      </c>
      <c r="Z33" s="53">
        <v>16</v>
      </c>
      <c r="AA33" s="53">
        <v>0</v>
      </c>
      <c r="AB33" s="53">
        <v>0</v>
      </c>
      <c r="AC33" s="53">
        <v>0</v>
      </c>
      <c r="AD33" s="53">
        <v>1</v>
      </c>
      <c r="AE33" s="53">
        <v>1</v>
      </c>
      <c r="AF33" s="53">
        <v>1</v>
      </c>
      <c r="AG33" s="53">
        <v>500</v>
      </c>
    </row>
    <row r="34" spans="2:33">
      <c r="B34" s="5" t="str">
        <f>$B32</f>
        <v>AA</v>
      </c>
      <c r="C34" t="str">
        <f>$B32</f>
        <v>AA</v>
      </c>
      <c r="D34" t="str">
        <f>$B32</f>
        <v>AA</v>
      </c>
      <c r="E34" t="str">
        <f>$B32</f>
        <v>AA</v>
      </c>
      <c r="F34" t="str">
        <f>E34&amp;"-0"</f>
        <v>AA-0</v>
      </c>
      <c r="G34" t="str">
        <f>$B$29</f>
        <v>---</v>
      </c>
      <c r="H34">
        <f t="shared" ref="H34:H35" si="4">SUMIF($B$3:$B$29,B34,C$3:C$29)</f>
        <v>10</v>
      </c>
      <c r="I34">
        <f t="shared" si="3"/>
        <v>28</v>
      </c>
      <c r="J34">
        <f t="shared" si="3"/>
        <v>16</v>
      </c>
      <c r="K34">
        <f t="shared" si="3"/>
        <v>18</v>
      </c>
      <c r="L34">
        <f t="shared" si="3"/>
        <v>58</v>
      </c>
      <c r="M34">
        <f t="shared" si="3"/>
        <v>98</v>
      </c>
      <c r="N34">
        <f t="shared" ref="N34:N35" si="5">PRODUCT(H34:M34)</f>
        <v>458357760</v>
      </c>
      <c r="O34">
        <v>5</v>
      </c>
      <c r="P34" t="str">
        <f t="shared" ref="P34:P35" si="6">B34</f>
        <v>AA</v>
      </c>
      <c r="Q34">
        <f t="shared" ref="Q34:Q35" si="7">INDEX($S$3:$V$15,MATCH(P34,$R$3:$R$15,0),MATCH(O34,$S$2:$V$2,0))</f>
        <v>60</v>
      </c>
      <c r="R34" s="4">
        <f t="shared" ref="R34:R35" si="8">Q34*N34</f>
        <v>27501465600</v>
      </c>
      <c r="Z34" s="53">
        <v>17</v>
      </c>
      <c r="AA34" s="53">
        <v>0</v>
      </c>
      <c r="AB34" s="53">
        <v>0</v>
      </c>
      <c r="AC34" s="53">
        <v>1</v>
      </c>
      <c r="AD34" s="53">
        <v>0</v>
      </c>
      <c r="AE34" s="53">
        <v>1</v>
      </c>
      <c r="AF34" s="53">
        <v>1</v>
      </c>
      <c r="AG34" s="53">
        <v>500</v>
      </c>
    </row>
    <row r="35" spans="2:33">
      <c r="B35" s="5" t="str">
        <f>$B33</f>
        <v>AA</v>
      </c>
      <c r="C35" t="str">
        <f>$B32</f>
        <v>AA</v>
      </c>
      <c r="D35" t="str">
        <f>$B32</f>
        <v>AA</v>
      </c>
      <c r="E35" t="str">
        <f>D35&amp;"-0"</f>
        <v>AA-0</v>
      </c>
      <c r="F35" t="str">
        <f>$B$29</f>
        <v>---</v>
      </c>
      <c r="G35" t="str">
        <f>$B$29</f>
        <v>---</v>
      </c>
      <c r="H35">
        <f t="shared" si="4"/>
        <v>10</v>
      </c>
      <c r="I35">
        <f t="shared" si="3"/>
        <v>28</v>
      </c>
      <c r="J35">
        <f t="shared" si="3"/>
        <v>16</v>
      </c>
      <c r="K35">
        <f t="shared" si="3"/>
        <v>39</v>
      </c>
      <c r="L35">
        <f t="shared" si="3"/>
        <v>66</v>
      </c>
      <c r="M35">
        <f t="shared" si="3"/>
        <v>98</v>
      </c>
      <c r="N35">
        <f t="shared" si="5"/>
        <v>1130088960</v>
      </c>
      <c r="O35">
        <v>5</v>
      </c>
      <c r="P35" t="str">
        <f t="shared" si="6"/>
        <v>AA</v>
      </c>
      <c r="Q35">
        <f t="shared" si="7"/>
        <v>60</v>
      </c>
      <c r="R35" s="4">
        <f t="shared" si="8"/>
        <v>67805337600</v>
      </c>
      <c r="Z35" s="53">
        <v>18</v>
      </c>
      <c r="AA35" s="53">
        <v>0</v>
      </c>
      <c r="AB35" s="53">
        <v>1</v>
      </c>
      <c r="AC35" s="53">
        <v>0</v>
      </c>
      <c r="AD35" s="53">
        <v>0</v>
      </c>
      <c r="AE35" s="53">
        <v>1</v>
      </c>
      <c r="AF35" s="53">
        <v>1</v>
      </c>
      <c r="AG35" s="53">
        <v>500</v>
      </c>
    </row>
    <row r="36" spans="2:33">
      <c r="B36" s="5"/>
      <c r="R36" s="4"/>
      <c r="Z36" s="53">
        <v>19</v>
      </c>
      <c r="AA36" s="53">
        <v>1</v>
      </c>
      <c r="AB36" s="53">
        <v>0</v>
      </c>
      <c r="AC36" s="53">
        <v>0</v>
      </c>
      <c r="AD36" s="53">
        <v>0</v>
      </c>
      <c r="AE36" s="53">
        <v>1</v>
      </c>
      <c r="AF36" s="53">
        <v>1</v>
      </c>
      <c r="AG36" s="53">
        <v>500</v>
      </c>
    </row>
    <row r="37" spans="2:33">
      <c r="B37" s="8" t="str">
        <f>$B$5</f>
        <v>BB</v>
      </c>
      <c r="C37" s="7" t="str">
        <f>$B37</f>
        <v>BB</v>
      </c>
      <c r="D37" s="7" t="str">
        <f>$B37</f>
        <v>BB</v>
      </c>
      <c r="E37" s="7" t="str">
        <f>$B37</f>
        <v>BB</v>
      </c>
      <c r="F37" s="7" t="str">
        <f>$B37</f>
        <v>BB</v>
      </c>
      <c r="G37" s="7" t="str">
        <f>$B37</f>
        <v>BB</v>
      </c>
      <c r="H37" s="7">
        <f>SUMIF($B$3:$B$29,B37,C$3:C$29)</f>
        <v>10</v>
      </c>
      <c r="I37" s="7">
        <f t="shared" ref="I37:M40" si="9">SUMIF($B$3:$B$29,C37,D$3:D$29)</f>
        <v>24</v>
      </c>
      <c r="J37" s="7">
        <f t="shared" si="9"/>
        <v>14</v>
      </c>
      <c r="K37" s="7">
        <f t="shared" si="9"/>
        <v>14</v>
      </c>
      <c r="L37" s="7">
        <f t="shared" si="9"/>
        <v>16</v>
      </c>
      <c r="M37" s="7">
        <f t="shared" si="9"/>
        <v>26</v>
      </c>
      <c r="N37" s="7">
        <f>PRODUCT(H37:M37)</f>
        <v>19568640</v>
      </c>
      <c r="O37" s="7">
        <v>6</v>
      </c>
      <c r="P37" s="7" t="str">
        <f>B37</f>
        <v>BB</v>
      </c>
      <c r="Q37" s="7">
        <f>INDEX($S$3:$V$15,MATCH(P37,$R$3:$R$15,0),MATCH(O37,$S$2:$V$2,0))</f>
        <v>60</v>
      </c>
      <c r="R37" s="6">
        <f>Q37*N37</f>
        <v>1174118400</v>
      </c>
      <c r="Z37" s="53">
        <v>20</v>
      </c>
      <c r="AA37" s="53">
        <v>0</v>
      </c>
      <c r="AB37" s="53">
        <v>0</v>
      </c>
      <c r="AC37" s="53">
        <v>1</v>
      </c>
      <c r="AD37" s="53">
        <v>1</v>
      </c>
      <c r="AE37" s="53">
        <v>0</v>
      </c>
      <c r="AF37" s="53">
        <v>1</v>
      </c>
      <c r="AG37" s="53">
        <v>500</v>
      </c>
    </row>
    <row r="38" spans="2:33">
      <c r="B38" s="5" t="str">
        <f>$B37</f>
        <v>BB</v>
      </c>
      <c r="C38" t="str">
        <f>$B37</f>
        <v>BB</v>
      </c>
      <c r="D38" t="str">
        <f>$B37</f>
        <v>BB</v>
      </c>
      <c r="E38" t="str">
        <f>$B37</f>
        <v>BB</v>
      </c>
      <c r="F38" t="str">
        <f>$B37</f>
        <v>BB</v>
      </c>
      <c r="G38" t="str">
        <f>F38&amp;"-0"</f>
        <v>BB-0</v>
      </c>
      <c r="H38">
        <f>SUMIF($B$3:$B$29,B38,C$3:C$29)</f>
        <v>10</v>
      </c>
      <c r="I38">
        <f t="shared" si="9"/>
        <v>24</v>
      </c>
      <c r="J38">
        <f t="shared" si="9"/>
        <v>14</v>
      </c>
      <c r="K38">
        <f t="shared" si="9"/>
        <v>14</v>
      </c>
      <c r="L38">
        <f t="shared" si="9"/>
        <v>16</v>
      </c>
      <c r="M38">
        <f t="shared" si="9"/>
        <v>74</v>
      </c>
      <c r="N38">
        <f>PRODUCT(H38:M38)</f>
        <v>55695360</v>
      </c>
      <c r="O38">
        <v>5</v>
      </c>
      <c r="P38" t="str">
        <f>B38</f>
        <v>BB</v>
      </c>
      <c r="Q38">
        <f>INDEX($S$3:$V$15,MATCH(P38,$R$3:$R$15,0),MATCH(O38,$S$2:$V$2,0))</f>
        <v>30</v>
      </c>
      <c r="R38" s="4">
        <f>Q38*N38</f>
        <v>1670860800</v>
      </c>
      <c r="Z38" s="53">
        <v>21</v>
      </c>
      <c r="AA38" s="53">
        <v>0</v>
      </c>
      <c r="AB38" s="53">
        <v>1</v>
      </c>
      <c r="AC38" s="53">
        <v>0</v>
      </c>
      <c r="AD38" s="53">
        <v>1</v>
      </c>
      <c r="AE38" s="53">
        <v>0</v>
      </c>
      <c r="AF38" s="53">
        <v>1</v>
      </c>
      <c r="AG38" s="53">
        <v>500</v>
      </c>
    </row>
    <row r="39" spans="2:33">
      <c r="B39" s="5" t="str">
        <f>$B37</f>
        <v>BB</v>
      </c>
      <c r="C39" t="str">
        <f>$B37</f>
        <v>BB</v>
      </c>
      <c r="D39" t="str">
        <f>$B37</f>
        <v>BB</v>
      </c>
      <c r="E39" t="str">
        <f>$B37</f>
        <v>BB</v>
      </c>
      <c r="F39" t="str">
        <f>E39&amp;"-0"</f>
        <v>BB-0</v>
      </c>
      <c r="G39" t="str">
        <f>$B$29</f>
        <v>---</v>
      </c>
      <c r="H39">
        <f t="shared" ref="H39:H40" si="10">SUMIF($B$3:$B$29,B39,C$3:C$29)</f>
        <v>10</v>
      </c>
      <c r="I39">
        <f t="shared" si="9"/>
        <v>24</v>
      </c>
      <c r="J39">
        <f t="shared" si="9"/>
        <v>14</v>
      </c>
      <c r="K39">
        <f t="shared" si="9"/>
        <v>14</v>
      </c>
      <c r="L39">
        <f t="shared" si="9"/>
        <v>53</v>
      </c>
      <c r="M39">
        <f t="shared" si="9"/>
        <v>98</v>
      </c>
      <c r="N39">
        <f t="shared" ref="N39:N40" si="11">PRODUCT(H39:M39)</f>
        <v>244325760</v>
      </c>
      <c r="O39">
        <v>5</v>
      </c>
      <c r="P39" t="str">
        <f t="shared" ref="P39:P40" si="12">B39</f>
        <v>BB</v>
      </c>
      <c r="Q39">
        <f t="shared" ref="Q39:Q40" si="13">INDEX($S$3:$V$15,MATCH(P39,$R$3:$R$15,0),MATCH(O39,$S$2:$V$2,0))</f>
        <v>30</v>
      </c>
      <c r="R39" s="4">
        <f t="shared" ref="R39:R40" si="14">Q39*N39</f>
        <v>7329772800</v>
      </c>
      <c r="Z39" s="53">
        <v>22</v>
      </c>
      <c r="AA39" s="53">
        <v>1</v>
      </c>
      <c r="AB39" s="53">
        <v>0</v>
      </c>
      <c r="AC39" s="53">
        <v>0</v>
      </c>
      <c r="AD39" s="53">
        <v>1</v>
      </c>
      <c r="AE39" s="53">
        <v>0</v>
      </c>
      <c r="AF39" s="53">
        <v>1</v>
      </c>
      <c r="AG39" s="53">
        <v>500</v>
      </c>
    </row>
    <row r="40" spans="2:33">
      <c r="B40" s="5" t="str">
        <f>$B38</f>
        <v>BB</v>
      </c>
      <c r="C40" t="str">
        <f>$B37</f>
        <v>BB</v>
      </c>
      <c r="D40" t="str">
        <f>$B37</f>
        <v>BB</v>
      </c>
      <c r="E40" t="str">
        <f>D40&amp;"-0"</f>
        <v>BB-0</v>
      </c>
      <c r="F40" t="str">
        <f>$B$29</f>
        <v>---</v>
      </c>
      <c r="G40" t="str">
        <f>$B$29</f>
        <v>---</v>
      </c>
      <c r="H40">
        <f t="shared" si="10"/>
        <v>10</v>
      </c>
      <c r="I40">
        <f t="shared" si="9"/>
        <v>24</v>
      </c>
      <c r="J40">
        <f t="shared" si="9"/>
        <v>14</v>
      </c>
      <c r="K40">
        <f t="shared" si="9"/>
        <v>43</v>
      </c>
      <c r="L40">
        <f t="shared" si="9"/>
        <v>66</v>
      </c>
      <c r="M40">
        <f t="shared" si="9"/>
        <v>98</v>
      </c>
      <c r="N40">
        <f t="shared" si="11"/>
        <v>934496640</v>
      </c>
      <c r="O40">
        <v>5</v>
      </c>
      <c r="P40" t="str">
        <f t="shared" si="12"/>
        <v>BB</v>
      </c>
      <c r="Q40">
        <f t="shared" si="13"/>
        <v>30</v>
      </c>
      <c r="R40" s="4">
        <f t="shared" si="14"/>
        <v>28034899200</v>
      </c>
      <c r="Z40" s="53">
        <v>23</v>
      </c>
      <c r="AA40" s="53">
        <v>0</v>
      </c>
      <c r="AB40" s="53">
        <v>1</v>
      </c>
      <c r="AC40" s="53">
        <v>1</v>
      </c>
      <c r="AD40" s="53">
        <v>0</v>
      </c>
      <c r="AE40" s="53">
        <v>0</v>
      </c>
      <c r="AF40" s="53">
        <v>1</v>
      </c>
      <c r="AG40" s="53">
        <v>500</v>
      </c>
    </row>
    <row r="41" spans="2:33">
      <c r="B41" s="5"/>
      <c r="R41" s="4"/>
      <c r="Z41" s="53">
        <v>24</v>
      </c>
      <c r="AA41" s="53">
        <v>1</v>
      </c>
      <c r="AB41" s="53">
        <v>0</v>
      </c>
      <c r="AC41" s="53">
        <v>1</v>
      </c>
      <c r="AD41" s="53">
        <v>0</v>
      </c>
      <c r="AE41" s="53">
        <v>0</v>
      </c>
      <c r="AF41" s="53">
        <v>1</v>
      </c>
      <c r="AG41" s="53">
        <v>500</v>
      </c>
    </row>
    <row r="42" spans="2:33">
      <c r="B42" s="8" t="str">
        <f>$B$6</f>
        <v>CC</v>
      </c>
      <c r="C42" s="7" t="str">
        <f>$B42</f>
        <v>CC</v>
      </c>
      <c r="D42" s="7" t="str">
        <f>$B42</f>
        <v>CC</v>
      </c>
      <c r="E42" s="7" t="str">
        <f>$B42</f>
        <v>CC</v>
      </c>
      <c r="F42" s="7" t="str">
        <f>$B42</f>
        <v>CC</v>
      </c>
      <c r="G42" s="7" t="str">
        <f>$B42</f>
        <v>CC</v>
      </c>
      <c r="H42" s="7">
        <f>SUMIF($B$3:$B$29,B42,C$3:C$29)</f>
        <v>20</v>
      </c>
      <c r="I42" s="7">
        <f t="shared" ref="I42:M45" si="15">SUMIF($B$3:$B$29,C42,D$3:D$29)</f>
        <v>20</v>
      </c>
      <c r="J42" s="7">
        <f t="shared" si="15"/>
        <v>8</v>
      </c>
      <c r="K42" s="7">
        <f t="shared" si="15"/>
        <v>8</v>
      </c>
      <c r="L42" s="7">
        <f t="shared" si="15"/>
        <v>22</v>
      </c>
      <c r="M42" s="7">
        <f t="shared" si="15"/>
        <v>22</v>
      </c>
      <c r="N42" s="7">
        <f>PRODUCT(H42:M42)</f>
        <v>12390400</v>
      </c>
      <c r="O42" s="7">
        <v>6</v>
      </c>
      <c r="P42" s="7" t="str">
        <f>B42</f>
        <v>CC</v>
      </c>
      <c r="Q42" s="7">
        <f>INDEX($S$3:$V$15,MATCH(P42,$R$3:$R$15,0),MATCH(O42,$S$2:$V$2,0))</f>
        <v>40</v>
      </c>
      <c r="R42" s="6">
        <f>Q42*N42</f>
        <v>495616000</v>
      </c>
      <c r="Z42" s="53">
        <v>25</v>
      </c>
      <c r="AA42" s="53">
        <v>1</v>
      </c>
      <c r="AB42" s="53">
        <v>1</v>
      </c>
      <c r="AC42" s="53">
        <v>0</v>
      </c>
      <c r="AD42" s="53">
        <v>0</v>
      </c>
      <c r="AE42" s="53">
        <v>0</v>
      </c>
      <c r="AF42" s="53">
        <v>1</v>
      </c>
      <c r="AG42" s="53">
        <v>500</v>
      </c>
    </row>
    <row r="43" spans="2:33">
      <c r="B43" s="5" t="str">
        <f>$B42</f>
        <v>CC</v>
      </c>
      <c r="C43" t="str">
        <f>$B42</f>
        <v>CC</v>
      </c>
      <c r="D43" t="str">
        <f>$B42</f>
        <v>CC</v>
      </c>
      <c r="E43" t="str">
        <f>$B42</f>
        <v>CC</v>
      </c>
      <c r="F43" t="str">
        <f>$B42</f>
        <v>CC</v>
      </c>
      <c r="G43" t="str">
        <f>F43&amp;"-0"</f>
        <v>CC-0</v>
      </c>
      <c r="H43">
        <f>SUMIF($B$3:$B$29,B43,C$3:C$29)</f>
        <v>20</v>
      </c>
      <c r="I43">
        <f t="shared" si="15"/>
        <v>20</v>
      </c>
      <c r="J43">
        <f t="shared" si="15"/>
        <v>8</v>
      </c>
      <c r="K43">
        <f t="shared" si="15"/>
        <v>8</v>
      </c>
      <c r="L43">
        <f t="shared" si="15"/>
        <v>22</v>
      </c>
      <c r="M43">
        <f t="shared" si="15"/>
        <v>78</v>
      </c>
      <c r="N43">
        <f>PRODUCT(H43:M43)</f>
        <v>43929600</v>
      </c>
      <c r="O43">
        <v>5</v>
      </c>
      <c r="P43" t="str">
        <f>B43</f>
        <v>CC</v>
      </c>
      <c r="Q43">
        <f>INDEX($S$3:$V$15,MATCH(P43,$R$3:$R$15,0),MATCH(O43,$S$2:$V$2,0))</f>
        <v>20</v>
      </c>
      <c r="R43" s="4">
        <f>Q43*N43</f>
        <v>878592000</v>
      </c>
      <c r="Z43" s="53">
        <v>26</v>
      </c>
      <c r="AA43" s="53">
        <v>0</v>
      </c>
      <c r="AB43" s="53">
        <v>0</v>
      </c>
      <c r="AC43" s="53">
        <v>1</v>
      </c>
      <c r="AD43" s="53">
        <v>1</v>
      </c>
      <c r="AE43" s="53">
        <v>1</v>
      </c>
      <c r="AF43" s="53">
        <v>0</v>
      </c>
      <c r="AG43" s="53">
        <v>500</v>
      </c>
    </row>
    <row r="44" spans="2:33">
      <c r="B44" s="5" t="str">
        <f>$B42</f>
        <v>CC</v>
      </c>
      <c r="C44" t="str">
        <f>$B42</f>
        <v>CC</v>
      </c>
      <c r="D44" t="str">
        <f>$B42</f>
        <v>CC</v>
      </c>
      <c r="E44" t="str">
        <f>$B42</f>
        <v>CC</v>
      </c>
      <c r="F44" t="str">
        <f>E44&amp;"-0"</f>
        <v>CC-0</v>
      </c>
      <c r="G44" t="str">
        <f>$B$29</f>
        <v>---</v>
      </c>
      <c r="H44">
        <f t="shared" ref="H44:H45" si="16">SUMIF($B$3:$B$29,B44,C$3:C$29)</f>
        <v>20</v>
      </c>
      <c r="I44">
        <f t="shared" si="15"/>
        <v>20</v>
      </c>
      <c r="J44">
        <f t="shared" si="15"/>
        <v>8</v>
      </c>
      <c r="K44">
        <f t="shared" si="15"/>
        <v>8</v>
      </c>
      <c r="L44">
        <f t="shared" si="15"/>
        <v>46</v>
      </c>
      <c r="M44">
        <f t="shared" si="15"/>
        <v>98</v>
      </c>
      <c r="N44">
        <f t="shared" ref="N44:N45" si="17">PRODUCT(H44:M44)</f>
        <v>115404800</v>
      </c>
      <c r="O44">
        <v>5</v>
      </c>
      <c r="P44" t="str">
        <f t="shared" ref="P44:P45" si="18">B44</f>
        <v>CC</v>
      </c>
      <c r="Q44">
        <f t="shared" ref="Q44:Q45" si="19">INDEX($S$3:$V$15,MATCH(P44,$R$3:$R$15,0),MATCH(O44,$S$2:$V$2,0))</f>
        <v>20</v>
      </c>
      <c r="R44" s="4">
        <f t="shared" ref="R44:R45" si="20">Q44*N44</f>
        <v>2308096000</v>
      </c>
      <c r="Z44" s="53">
        <v>27</v>
      </c>
      <c r="AA44" s="53">
        <v>0</v>
      </c>
      <c r="AB44" s="53">
        <v>1</v>
      </c>
      <c r="AC44" s="53">
        <v>0</v>
      </c>
      <c r="AD44" s="53">
        <v>1</v>
      </c>
      <c r="AE44" s="53">
        <v>1</v>
      </c>
      <c r="AF44" s="53">
        <v>0</v>
      </c>
      <c r="AG44" s="53">
        <v>500</v>
      </c>
    </row>
    <row r="45" spans="2:33">
      <c r="B45" s="5" t="str">
        <f>$B43</f>
        <v>CC</v>
      </c>
      <c r="C45" t="str">
        <f>$B42</f>
        <v>CC</v>
      </c>
      <c r="D45" t="str">
        <f>$B42</f>
        <v>CC</v>
      </c>
      <c r="E45" t="str">
        <f>D45&amp;"-0"</f>
        <v>CC-0</v>
      </c>
      <c r="F45" t="str">
        <f>$B$29</f>
        <v>---</v>
      </c>
      <c r="G45" t="str">
        <f>$B$29</f>
        <v>---</v>
      </c>
      <c r="H45">
        <f t="shared" si="16"/>
        <v>20</v>
      </c>
      <c r="I45">
        <f t="shared" si="15"/>
        <v>20</v>
      </c>
      <c r="J45">
        <f t="shared" si="15"/>
        <v>8</v>
      </c>
      <c r="K45">
        <f t="shared" si="15"/>
        <v>49</v>
      </c>
      <c r="L45">
        <f t="shared" si="15"/>
        <v>66</v>
      </c>
      <c r="M45">
        <f t="shared" si="15"/>
        <v>98</v>
      </c>
      <c r="N45">
        <f t="shared" si="17"/>
        <v>1014182400</v>
      </c>
      <c r="O45">
        <v>5</v>
      </c>
      <c r="P45" t="str">
        <f t="shared" si="18"/>
        <v>CC</v>
      </c>
      <c r="Q45">
        <f t="shared" si="19"/>
        <v>20</v>
      </c>
      <c r="R45" s="4">
        <f t="shared" si="20"/>
        <v>20283648000</v>
      </c>
      <c r="Z45" s="53">
        <v>28</v>
      </c>
      <c r="AA45" s="53">
        <v>1</v>
      </c>
      <c r="AB45" s="53">
        <v>0</v>
      </c>
      <c r="AC45" s="53">
        <v>0</v>
      </c>
      <c r="AD45" s="53">
        <v>1</v>
      </c>
      <c r="AE45" s="53">
        <v>1</v>
      </c>
      <c r="AF45" s="53">
        <v>0</v>
      </c>
      <c r="AG45" s="53">
        <v>500</v>
      </c>
    </row>
    <row r="46" spans="2:33">
      <c r="B46" s="5"/>
      <c r="R46" s="4"/>
      <c r="Z46" s="53">
        <v>29</v>
      </c>
      <c r="AA46" s="53">
        <v>0</v>
      </c>
      <c r="AB46" s="53">
        <v>1</v>
      </c>
      <c r="AC46" s="53">
        <v>1</v>
      </c>
      <c r="AD46" s="53">
        <v>0</v>
      </c>
      <c r="AE46" s="53">
        <v>1</v>
      </c>
      <c r="AF46" s="53">
        <v>0</v>
      </c>
      <c r="AG46" s="53">
        <v>500</v>
      </c>
    </row>
    <row r="47" spans="2:33">
      <c r="B47" s="8" t="str">
        <f>$B$7</f>
        <v>DD</v>
      </c>
      <c r="C47" s="7" t="str">
        <f>$B47</f>
        <v>DD</v>
      </c>
      <c r="D47" s="7" t="str">
        <f>$B47</f>
        <v>DD</v>
      </c>
      <c r="E47" s="7" t="str">
        <f>$B47</f>
        <v>DD</v>
      </c>
      <c r="F47" s="7" t="str">
        <f>$B47</f>
        <v>DD</v>
      </c>
      <c r="G47" s="7" t="str">
        <f>$B47</f>
        <v>DD</v>
      </c>
      <c r="H47" s="7">
        <f>SUMIF($B$3:$B$29,B47,C$3:C$29)</f>
        <v>10</v>
      </c>
      <c r="I47" s="7">
        <f t="shared" ref="I47:M50" si="21">SUMIF($B$3:$B$29,C47,D$3:D$29)</f>
        <v>4</v>
      </c>
      <c r="J47" s="7">
        <f t="shared" si="21"/>
        <v>2</v>
      </c>
      <c r="K47" s="7">
        <f t="shared" si="21"/>
        <v>2</v>
      </c>
      <c r="L47" s="7">
        <f t="shared" si="21"/>
        <v>4</v>
      </c>
      <c r="M47" s="7">
        <f t="shared" si="21"/>
        <v>18</v>
      </c>
      <c r="N47" s="7">
        <f>PRODUCT(H47:M47)</f>
        <v>11520</v>
      </c>
      <c r="O47" s="7">
        <v>6</v>
      </c>
      <c r="P47" s="7" t="str">
        <f>B47</f>
        <v>DD</v>
      </c>
      <c r="Q47" s="7">
        <f>INDEX($S$3:$V$15,MATCH(P47,$R$3:$R$15,0),MATCH(O47,$S$2:$V$2,0))</f>
        <v>30</v>
      </c>
      <c r="R47" s="6">
        <f>Q47*N47</f>
        <v>345600</v>
      </c>
      <c r="Z47" s="53">
        <v>30</v>
      </c>
      <c r="AA47" s="53">
        <v>1</v>
      </c>
      <c r="AB47" s="53">
        <v>0</v>
      </c>
      <c r="AC47" s="53">
        <v>1</v>
      </c>
      <c r="AD47" s="53">
        <v>0</v>
      </c>
      <c r="AE47" s="53">
        <v>1</v>
      </c>
      <c r="AF47" s="53">
        <v>0</v>
      </c>
      <c r="AG47" s="53">
        <v>500</v>
      </c>
    </row>
    <row r="48" spans="2:33">
      <c r="B48" s="5" t="str">
        <f>$B47</f>
        <v>DD</v>
      </c>
      <c r="C48" t="str">
        <f>$B47</f>
        <v>DD</v>
      </c>
      <c r="D48" t="str">
        <f>$B47</f>
        <v>DD</v>
      </c>
      <c r="E48" t="str">
        <f>$B47</f>
        <v>DD</v>
      </c>
      <c r="F48" t="str">
        <f>$B47</f>
        <v>DD</v>
      </c>
      <c r="G48" t="str">
        <f>F48&amp;"-0"</f>
        <v>DD-0</v>
      </c>
      <c r="H48">
        <f>SUMIF($B$3:$B$29,B48,C$3:C$29)</f>
        <v>10</v>
      </c>
      <c r="I48">
        <f t="shared" si="21"/>
        <v>4</v>
      </c>
      <c r="J48">
        <f t="shared" si="21"/>
        <v>2</v>
      </c>
      <c r="K48">
        <f t="shared" si="21"/>
        <v>2</v>
      </c>
      <c r="L48">
        <f t="shared" si="21"/>
        <v>4</v>
      </c>
      <c r="M48">
        <f t="shared" si="21"/>
        <v>82</v>
      </c>
      <c r="N48">
        <f>PRODUCT(H48:M48)</f>
        <v>52480</v>
      </c>
      <c r="O48">
        <v>5</v>
      </c>
      <c r="P48" t="str">
        <f>B48</f>
        <v>DD</v>
      </c>
      <c r="Q48">
        <f>INDEX($S$3:$V$15,MATCH(P48,$R$3:$R$15,0),MATCH(O48,$S$2:$V$2,0))</f>
        <v>15</v>
      </c>
      <c r="R48" s="4">
        <f>Q48*N48</f>
        <v>787200</v>
      </c>
      <c r="Z48" s="53">
        <v>31</v>
      </c>
      <c r="AA48" s="53">
        <v>1</v>
      </c>
      <c r="AB48" s="53">
        <v>1</v>
      </c>
      <c r="AC48" s="53">
        <v>0</v>
      </c>
      <c r="AD48" s="53">
        <v>0</v>
      </c>
      <c r="AE48" s="53">
        <v>1</v>
      </c>
      <c r="AF48" s="53">
        <v>0</v>
      </c>
      <c r="AG48" s="53">
        <v>500</v>
      </c>
    </row>
    <row r="49" spans="2:33">
      <c r="B49" s="5" t="str">
        <f>$B47</f>
        <v>DD</v>
      </c>
      <c r="C49" t="str">
        <f>$B47</f>
        <v>DD</v>
      </c>
      <c r="D49" t="str">
        <f>$B47</f>
        <v>DD</v>
      </c>
      <c r="E49" t="str">
        <f>$B47</f>
        <v>DD</v>
      </c>
      <c r="F49" t="str">
        <f>E49&amp;"-0"</f>
        <v>DD-0</v>
      </c>
      <c r="G49" t="str">
        <f>$B$29</f>
        <v>---</v>
      </c>
      <c r="H49">
        <f t="shared" ref="H49:H50" si="22">SUMIF($B$3:$B$29,B49,C$3:C$29)</f>
        <v>10</v>
      </c>
      <c r="I49">
        <f t="shared" si="21"/>
        <v>4</v>
      </c>
      <c r="J49">
        <f t="shared" si="21"/>
        <v>2</v>
      </c>
      <c r="K49">
        <f t="shared" si="21"/>
        <v>2</v>
      </c>
      <c r="L49">
        <f t="shared" si="21"/>
        <v>62</v>
      </c>
      <c r="M49">
        <f t="shared" si="21"/>
        <v>98</v>
      </c>
      <c r="N49">
        <f t="shared" ref="N49:N50" si="23">PRODUCT(H49:M49)</f>
        <v>972160</v>
      </c>
      <c r="O49">
        <v>5</v>
      </c>
      <c r="P49" t="str">
        <f t="shared" ref="P49:P50" si="24">B49</f>
        <v>DD</v>
      </c>
      <c r="Q49">
        <f t="shared" ref="Q49:Q50" si="25">INDEX($S$3:$V$15,MATCH(P49,$R$3:$R$15,0),MATCH(O49,$S$2:$V$2,0))</f>
        <v>15</v>
      </c>
      <c r="R49" s="4">
        <f t="shared" ref="R49:R50" si="26">Q49*N49</f>
        <v>14582400</v>
      </c>
      <c r="Z49" s="53">
        <v>32</v>
      </c>
      <c r="AA49" s="53">
        <v>0</v>
      </c>
      <c r="AB49" s="53">
        <v>1</v>
      </c>
      <c r="AC49" s="53">
        <v>1</v>
      </c>
      <c r="AD49" s="53">
        <v>1</v>
      </c>
      <c r="AE49" s="53">
        <v>0</v>
      </c>
      <c r="AF49" s="53">
        <v>0</v>
      </c>
      <c r="AG49" s="53">
        <v>500</v>
      </c>
    </row>
    <row r="50" spans="2:33">
      <c r="B50" s="5" t="str">
        <f>$B48</f>
        <v>DD</v>
      </c>
      <c r="C50" t="str">
        <f>$B47</f>
        <v>DD</v>
      </c>
      <c r="D50" t="str">
        <f>$B47</f>
        <v>DD</v>
      </c>
      <c r="E50" t="str">
        <f>D50&amp;"-0"</f>
        <v>DD-0</v>
      </c>
      <c r="F50" t="str">
        <f>$B$29</f>
        <v>---</v>
      </c>
      <c r="G50" t="str">
        <f>$B$29</f>
        <v>---</v>
      </c>
      <c r="H50">
        <f t="shared" si="22"/>
        <v>10</v>
      </c>
      <c r="I50">
        <f t="shared" si="21"/>
        <v>4</v>
      </c>
      <c r="J50">
        <f t="shared" si="21"/>
        <v>2</v>
      </c>
      <c r="K50">
        <f t="shared" si="21"/>
        <v>53</v>
      </c>
      <c r="L50">
        <f t="shared" si="21"/>
        <v>66</v>
      </c>
      <c r="M50">
        <f t="shared" si="21"/>
        <v>98</v>
      </c>
      <c r="N50">
        <f t="shared" si="23"/>
        <v>27424320</v>
      </c>
      <c r="O50">
        <v>5</v>
      </c>
      <c r="P50" t="str">
        <f t="shared" si="24"/>
        <v>DD</v>
      </c>
      <c r="Q50">
        <f t="shared" si="25"/>
        <v>15</v>
      </c>
      <c r="R50" s="4">
        <f t="shared" si="26"/>
        <v>411364800</v>
      </c>
      <c r="Z50" s="53">
        <v>33</v>
      </c>
      <c r="AA50" s="53">
        <v>1</v>
      </c>
      <c r="AB50" s="53">
        <v>0</v>
      </c>
      <c r="AC50" s="53">
        <v>1</v>
      </c>
      <c r="AD50" s="53">
        <v>1</v>
      </c>
      <c r="AE50" s="53">
        <v>0</v>
      </c>
      <c r="AF50" s="53">
        <v>0</v>
      </c>
      <c r="AG50" s="53">
        <v>500</v>
      </c>
    </row>
    <row r="51" spans="2:33">
      <c r="B51" s="5"/>
      <c r="R51" s="4"/>
      <c r="Z51" s="53">
        <v>34</v>
      </c>
      <c r="AA51" s="53">
        <v>1</v>
      </c>
      <c r="AB51" s="53">
        <v>1</v>
      </c>
      <c r="AC51" s="53">
        <v>0</v>
      </c>
      <c r="AD51" s="53">
        <v>1</v>
      </c>
      <c r="AE51" s="53">
        <v>0</v>
      </c>
      <c r="AF51" s="53">
        <v>0</v>
      </c>
      <c r="AG51" s="53">
        <v>500</v>
      </c>
    </row>
    <row r="52" spans="2:33">
      <c r="B52" s="8" t="str">
        <f>$B$8</f>
        <v>EE</v>
      </c>
      <c r="C52" s="7" t="str">
        <f>$B52</f>
        <v>EE</v>
      </c>
      <c r="D52" s="7" t="str">
        <f>$B52</f>
        <v>EE</v>
      </c>
      <c r="E52" s="7" t="str">
        <f>$B52</f>
        <v>EE</v>
      </c>
      <c r="F52" s="7" t="str">
        <f>$B52</f>
        <v>EE</v>
      </c>
      <c r="G52" s="7" t="str">
        <f>$B52</f>
        <v>EE</v>
      </c>
      <c r="H52" s="7">
        <f>SUMIF($B$3:$B$29,B52,C$3:C$29)</f>
        <v>2</v>
      </c>
      <c r="I52" s="7">
        <f t="shared" ref="I52:M55" si="27">SUMIF($B$3:$B$29,C52,D$3:D$29)</f>
        <v>4</v>
      </c>
      <c r="J52" s="7">
        <f t="shared" si="27"/>
        <v>6</v>
      </c>
      <c r="K52" s="7">
        <f t="shared" si="27"/>
        <v>2</v>
      </c>
      <c r="L52" s="7">
        <f t="shared" si="27"/>
        <v>4</v>
      </c>
      <c r="M52" s="7">
        <f t="shared" si="27"/>
        <v>6</v>
      </c>
      <c r="N52" s="7">
        <f>PRODUCT(H52:M52)</f>
        <v>2304</v>
      </c>
      <c r="O52" s="7">
        <v>6</v>
      </c>
      <c r="P52" s="7" t="str">
        <f>B52</f>
        <v>EE</v>
      </c>
      <c r="Q52" s="7">
        <f>INDEX($S$3:$V$15,MATCH(P52,$R$3:$R$15,0),MATCH(O52,$S$2:$V$2,0))</f>
        <v>30</v>
      </c>
      <c r="R52" s="6">
        <f>Q52*N52</f>
        <v>69120</v>
      </c>
      <c r="Z52" s="53">
        <v>35</v>
      </c>
      <c r="AA52" s="53">
        <v>1</v>
      </c>
      <c r="AB52" s="53">
        <v>1</v>
      </c>
      <c r="AC52" s="53">
        <v>1</v>
      </c>
      <c r="AD52" s="53">
        <v>0</v>
      </c>
      <c r="AE52" s="53">
        <v>0</v>
      </c>
      <c r="AF52" s="53">
        <v>0</v>
      </c>
      <c r="AG52" s="53">
        <v>500</v>
      </c>
    </row>
    <row r="53" spans="2:33">
      <c r="B53" s="5" t="str">
        <f>$B52</f>
        <v>EE</v>
      </c>
      <c r="C53" t="str">
        <f>$B52</f>
        <v>EE</v>
      </c>
      <c r="D53" t="str">
        <f>$B52</f>
        <v>EE</v>
      </c>
      <c r="E53" t="str">
        <f>$B52</f>
        <v>EE</v>
      </c>
      <c r="F53" t="str">
        <f>$B52</f>
        <v>EE</v>
      </c>
      <c r="G53" t="str">
        <f>F53&amp;"-0"</f>
        <v>EE-0</v>
      </c>
      <c r="H53">
        <f>SUMIF($B$3:$B$29,B53,C$3:C$29)</f>
        <v>2</v>
      </c>
      <c r="I53">
        <f t="shared" si="27"/>
        <v>4</v>
      </c>
      <c r="J53">
        <f t="shared" si="27"/>
        <v>6</v>
      </c>
      <c r="K53">
        <f t="shared" si="27"/>
        <v>2</v>
      </c>
      <c r="L53">
        <f t="shared" si="27"/>
        <v>4</v>
      </c>
      <c r="M53">
        <f t="shared" si="27"/>
        <v>92</v>
      </c>
      <c r="N53">
        <f>PRODUCT(H53:M53)</f>
        <v>35328</v>
      </c>
      <c r="O53">
        <v>5</v>
      </c>
      <c r="P53" t="str">
        <f>B53</f>
        <v>EE</v>
      </c>
      <c r="Q53">
        <f>INDEX($S$3:$V$15,MATCH(P53,$R$3:$R$15,0),MATCH(O53,$S$2:$V$2,0))</f>
        <v>10</v>
      </c>
      <c r="R53" s="4">
        <f>Q53*N53</f>
        <v>353280</v>
      </c>
    </row>
    <row r="54" spans="2:33">
      <c r="B54" s="5" t="str">
        <f>$B52</f>
        <v>EE</v>
      </c>
      <c r="C54" t="str">
        <f>$B52</f>
        <v>EE</v>
      </c>
      <c r="D54" t="str">
        <f>$B52</f>
        <v>EE</v>
      </c>
      <c r="E54" t="str">
        <f>$B52</f>
        <v>EE</v>
      </c>
      <c r="F54" t="str">
        <f>E54&amp;"-0"</f>
        <v>EE-0</v>
      </c>
      <c r="G54" t="str">
        <f>$B$29</f>
        <v>---</v>
      </c>
      <c r="H54">
        <f t="shared" ref="H54:H55" si="28">SUMIF($B$3:$B$29,B54,C$3:C$29)</f>
        <v>2</v>
      </c>
      <c r="I54">
        <f t="shared" si="27"/>
        <v>4</v>
      </c>
      <c r="J54">
        <f t="shared" si="27"/>
        <v>6</v>
      </c>
      <c r="K54">
        <f t="shared" si="27"/>
        <v>2</v>
      </c>
      <c r="L54">
        <f t="shared" si="27"/>
        <v>62</v>
      </c>
      <c r="M54">
        <f t="shared" si="27"/>
        <v>98</v>
      </c>
      <c r="N54">
        <f t="shared" ref="N54:N55" si="29">PRODUCT(H54:M54)</f>
        <v>583296</v>
      </c>
      <c r="O54">
        <v>5</v>
      </c>
      <c r="P54" t="str">
        <f t="shared" ref="P54:P55" si="30">B54</f>
        <v>EE</v>
      </c>
      <c r="Q54">
        <f t="shared" ref="Q54:Q55" si="31">INDEX($S$3:$V$15,MATCH(P54,$R$3:$R$15,0),MATCH(O54,$S$2:$V$2,0))</f>
        <v>10</v>
      </c>
      <c r="R54" s="4">
        <f t="shared" ref="R54:R55" si="32">Q54*N54</f>
        <v>5832960</v>
      </c>
    </row>
    <row r="55" spans="2:33">
      <c r="B55" s="5" t="str">
        <f>$B53</f>
        <v>EE</v>
      </c>
      <c r="C55" t="str">
        <f>$B52</f>
        <v>EE</v>
      </c>
      <c r="D55" t="str">
        <f>$B52</f>
        <v>EE</v>
      </c>
      <c r="E55" t="str">
        <f>D55&amp;"-0"</f>
        <v>EE-0</v>
      </c>
      <c r="F55" t="str">
        <f>$B$29</f>
        <v>---</v>
      </c>
      <c r="G55" t="str">
        <f>$B$29</f>
        <v>---</v>
      </c>
      <c r="H55">
        <f t="shared" si="28"/>
        <v>2</v>
      </c>
      <c r="I55">
        <f t="shared" si="27"/>
        <v>4</v>
      </c>
      <c r="J55">
        <f t="shared" si="27"/>
        <v>6</v>
      </c>
      <c r="K55">
        <f t="shared" si="27"/>
        <v>53</v>
      </c>
      <c r="L55">
        <f t="shared" si="27"/>
        <v>66</v>
      </c>
      <c r="M55">
        <f t="shared" si="27"/>
        <v>98</v>
      </c>
      <c r="N55">
        <f t="shared" si="29"/>
        <v>16454592</v>
      </c>
      <c r="O55">
        <v>5</v>
      </c>
      <c r="P55" t="str">
        <f t="shared" si="30"/>
        <v>EE</v>
      </c>
      <c r="Q55">
        <f t="shared" si="31"/>
        <v>10</v>
      </c>
      <c r="R55" s="4">
        <f t="shared" si="32"/>
        <v>164545920</v>
      </c>
    </row>
    <row r="56" spans="2:33">
      <c r="B56" s="5"/>
      <c r="R56" s="4"/>
    </row>
    <row r="57" spans="2:33">
      <c r="B57" s="8" t="str">
        <f>$B$9</f>
        <v>FF</v>
      </c>
      <c r="C57" s="7" t="str">
        <f>$B57</f>
        <v>FF</v>
      </c>
      <c r="D57" s="7" t="str">
        <f>$B57</f>
        <v>FF</v>
      </c>
      <c r="E57" s="7" t="str">
        <f>$B57</f>
        <v>FF</v>
      </c>
      <c r="F57" s="7" t="str">
        <f>$B57</f>
        <v>FF</v>
      </c>
      <c r="G57" s="7" t="str">
        <f>$B57</f>
        <v>FF</v>
      </c>
      <c r="H57" s="7">
        <f>SUMIF($B$3:$B$29,B57,C$3:C$29)</f>
        <v>12</v>
      </c>
      <c r="I57" s="7">
        <f t="shared" ref="I57:M60" si="33">SUMIF($B$3:$B$29,C57,D$3:D$29)</f>
        <v>16</v>
      </c>
      <c r="J57" s="7">
        <f t="shared" si="33"/>
        <v>10</v>
      </c>
      <c r="K57" s="7">
        <f t="shared" si="33"/>
        <v>2</v>
      </c>
      <c r="L57" s="7">
        <f t="shared" si="33"/>
        <v>12</v>
      </c>
      <c r="M57" s="7">
        <f t="shared" si="33"/>
        <v>24</v>
      </c>
      <c r="N57" s="7">
        <f>PRODUCT(H57:M57)</f>
        <v>1105920</v>
      </c>
      <c r="O57" s="7">
        <v>6</v>
      </c>
      <c r="P57" s="7" t="str">
        <f>B57</f>
        <v>FF</v>
      </c>
      <c r="Q57" s="7">
        <f>INDEX($S$3:$V$15,MATCH(P57,$R$3:$R$15,0),MATCH(O57,$S$2:$V$2,0))</f>
        <v>30</v>
      </c>
      <c r="R57" s="6">
        <f>Q57*N57</f>
        <v>33177600</v>
      </c>
    </row>
    <row r="58" spans="2:33">
      <c r="B58" s="5" t="str">
        <f>$B57</f>
        <v>FF</v>
      </c>
      <c r="C58" t="str">
        <f>$B57</f>
        <v>FF</v>
      </c>
      <c r="D58" t="str">
        <f>$B57</f>
        <v>FF</v>
      </c>
      <c r="E58" t="str">
        <f>$B57</f>
        <v>FF</v>
      </c>
      <c r="F58" t="str">
        <f>$B57</f>
        <v>FF</v>
      </c>
      <c r="G58" t="str">
        <f>F58&amp;"-0"</f>
        <v>FF-0</v>
      </c>
      <c r="H58">
        <f>SUMIF($B$3:$B$29,B58,C$3:C$29)</f>
        <v>12</v>
      </c>
      <c r="I58">
        <f t="shared" si="33"/>
        <v>16</v>
      </c>
      <c r="J58">
        <f t="shared" si="33"/>
        <v>10</v>
      </c>
      <c r="K58">
        <f t="shared" si="33"/>
        <v>2</v>
      </c>
      <c r="L58">
        <f t="shared" si="33"/>
        <v>12</v>
      </c>
      <c r="M58">
        <f t="shared" si="33"/>
        <v>76</v>
      </c>
      <c r="N58">
        <f>PRODUCT(H58:M58)</f>
        <v>3502080</v>
      </c>
      <c r="O58">
        <v>5</v>
      </c>
      <c r="P58" t="str">
        <f>B58</f>
        <v>FF</v>
      </c>
      <c r="Q58">
        <f>INDEX($S$3:$V$15,MATCH(P58,$R$3:$R$15,0),MATCH(O58,$S$2:$V$2,0))</f>
        <v>10</v>
      </c>
      <c r="R58" s="4">
        <f>Q58*N58</f>
        <v>35020800</v>
      </c>
    </row>
    <row r="59" spans="2:33">
      <c r="B59" s="5" t="str">
        <f>$B57</f>
        <v>FF</v>
      </c>
      <c r="C59" t="str">
        <f>$B57</f>
        <v>FF</v>
      </c>
      <c r="D59" t="str">
        <f>$B57</f>
        <v>FF</v>
      </c>
      <c r="E59" t="str">
        <f>$B57</f>
        <v>FF</v>
      </c>
      <c r="F59" t="str">
        <f>E59&amp;"-0"</f>
        <v>FF-0</v>
      </c>
      <c r="G59" t="str">
        <f>$B$29</f>
        <v>---</v>
      </c>
      <c r="H59">
        <f t="shared" ref="H59:H60" si="34">SUMIF($B$3:$B$29,B59,C$3:C$29)</f>
        <v>12</v>
      </c>
      <c r="I59">
        <f t="shared" si="33"/>
        <v>16</v>
      </c>
      <c r="J59">
        <f t="shared" si="33"/>
        <v>10</v>
      </c>
      <c r="K59">
        <f t="shared" si="33"/>
        <v>2</v>
      </c>
      <c r="L59">
        <f t="shared" si="33"/>
        <v>54</v>
      </c>
      <c r="M59">
        <f t="shared" si="33"/>
        <v>98</v>
      </c>
      <c r="N59">
        <f t="shared" ref="N59:N60" si="35">PRODUCT(H59:M59)</f>
        <v>20321280</v>
      </c>
      <c r="O59">
        <v>5</v>
      </c>
      <c r="P59" t="str">
        <f t="shared" ref="P59:P60" si="36">B59</f>
        <v>FF</v>
      </c>
      <c r="Q59">
        <f t="shared" ref="Q59:Q60" si="37">INDEX($S$3:$V$15,MATCH(P59,$R$3:$R$15,0),MATCH(O59,$S$2:$V$2,0))</f>
        <v>10</v>
      </c>
      <c r="R59" s="4">
        <f t="shared" ref="R59:R60" si="38">Q59*N59</f>
        <v>203212800</v>
      </c>
    </row>
    <row r="60" spans="2:33">
      <c r="B60" s="5" t="str">
        <f>$B58</f>
        <v>FF</v>
      </c>
      <c r="C60" t="str">
        <f>$B57</f>
        <v>FF</v>
      </c>
      <c r="D60" t="str">
        <f>$B57</f>
        <v>FF</v>
      </c>
      <c r="E60" t="str">
        <f>D60&amp;"-0"</f>
        <v>FF-0</v>
      </c>
      <c r="F60" t="str">
        <f>$B$29</f>
        <v>---</v>
      </c>
      <c r="G60" t="str">
        <f>$B$29</f>
        <v>---</v>
      </c>
      <c r="H60">
        <f t="shared" si="34"/>
        <v>12</v>
      </c>
      <c r="I60">
        <f t="shared" si="33"/>
        <v>16</v>
      </c>
      <c r="J60">
        <f t="shared" si="33"/>
        <v>10</v>
      </c>
      <c r="K60">
        <f t="shared" si="33"/>
        <v>53</v>
      </c>
      <c r="L60">
        <f t="shared" si="33"/>
        <v>66</v>
      </c>
      <c r="M60">
        <f t="shared" si="33"/>
        <v>98</v>
      </c>
      <c r="N60">
        <f t="shared" si="35"/>
        <v>658183680</v>
      </c>
      <c r="O60">
        <v>5</v>
      </c>
      <c r="P60" t="str">
        <f t="shared" si="36"/>
        <v>FF</v>
      </c>
      <c r="Q60">
        <f t="shared" si="37"/>
        <v>10</v>
      </c>
      <c r="R60" s="4">
        <f t="shared" si="38"/>
        <v>6581836800</v>
      </c>
    </row>
    <row r="61" spans="2:33">
      <c r="B61" s="5"/>
      <c r="R61" s="4"/>
    </row>
    <row r="62" spans="2:33">
      <c r="B62" s="8" t="str">
        <f>$B$10</f>
        <v>GG</v>
      </c>
      <c r="C62" s="7" t="str">
        <f>$B62</f>
        <v>GG</v>
      </c>
      <c r="D62" s="7" t="str">
        <f>$B62</f>
        <v>GG</v>
      </c>
      <c r="E62" s="7" t="str">
        <f>$B62</f>
        <v>GG</v>
      </c>
      <c r="F62" s="7" t="str">
        <f>$B62</f>
        <v>GG</v>
      </c>
      <c r="G62" s="7" t="str">
        <f>$B62</f>
        <v>GG</v>
      </c>
      <c r="H62" s="7">
        <f>SUMIF($B$3:$B$29,B62,C$3:C$29)</f>
        <v>16</v>
      </c>
      <c r="I62" s="7">
        <f t="shared" ref="I62:M65" si="39">SUMIF($B$3:$B$29,C62,D$3:D$29)</f>
        <v>8</v>
      </c>
      <c r="J62" s="7">
        <f t="shared" si="39"/>
        <v>10</v>
      </c>
      <c r="K62" s="7">
        <f t="shared" si="39"/>
        <v>16</v>
      </c>
      <c r="L62" s="7">
        <f t="shared" si="39"/>
        <v>8</v>
      </c>
      <c r="M62" s="7">
        <f t="shared" si="39"/>
        <v>8</v>
      </c>
      <c r="N62" s="7">
        <f>PRODUCT(H62:M62)</f>
        <v>1310720</v>
      </c>
      <c r="O62" s="7">
        <v>6</v>
      </c>
      <c r="P62" s="7" t="str">
        <f>B62</f>
        <v>GG</v>
      </c>
      <c r="Q62" s="7">
        <f>INDEX($S$3:$V$15,MATCH(P62,$R$3:$R$15,0),MATCH(O62,$S$2:$V$2,0))</f>
        <v>20</v>
      </c>
      <c r="R62" s="6">
        <f>Q62*N62</f>
        <v>26214400</v>
      </c>
    </row>
    <row r="63" spans="2:33">
      <c r="B63" s="5" t="str">
        <f>$B62</f>
        <v>GG</v>
      </c>
      <c r="C63" t="str">
        <f>$B62</f>
        <v>GG</v>
      </c>
      <c r="D63" t="str">
        <f>$B62</f>
        <v>GG</v>
      </c>
      <c r="E63" t="str">
        <f>$B62</f>
        <v>GG</v>
      </c>
      <c r="F63" t="str">
        <f>$B62</f>
        <v>GG</v>
      </c>
      <c r="G63" t="str">
        <f>F63&amp;"-0"</f>
        <v>GG-0</v>
      </c>
      <c r="H63">
        <f>SUMIF($B$3:$B$29,B63,C$3:C$29)</f>
        <v>16</v>
      </c>
      <c r="I63">
        <f t="shared" si="39"/>
        <v>8</v>
      </c>
      <c r="J63">
        <f t="shared" si="39"/>
        <v>10</v>
      </c>
      <c r="K63">
        <f t="shared" si="39"/>
        <v>16</v>
      </c>
      <c r="L63">
        <f t="shared" si="39"/>
        <v>8</v>
      </c>
      <c r="M63">
        <f t="shared" si="39"/>
        <v>92</v>
      </c>
      <c r="N63">
        <f>PRODUCT(H63:M63)</f>
        <v>15073280</v>
      </c>
      <c r="O63">
        <v>5</v>
      </c>
      <c r="P63" t="str">
        <f>B63</f>
        <v>GG</v>
      </c>
      <c r="Q63">
        <f>INDEX($S$3:$V$15,MATCH(P63,$R$3:$R$15,0),MATCH(O63,$S$2:$V$2,0))</f>
        <v>6</v>
      </c>
      <c r="R63" s="4">
        <f>Q63*N63</f>
        <v>90439680</v>
      </c>
    </row>
    <row r="64" spans="2:33">
      <c r="B64" s="5" t="str">
        <f>$B62</f>
        <v>GG</v>
      </c>
      <c r="C64" t="str">
        <f>$B62</f>
        <v>GG</v>
      </c>
      <c r="D64" t="str">
        <f>$B62</f>
        <v>GG</v>
      </c>
      <c r="E64" t="str">
        <f>$B62</f>
        <v>GG</v>
      </c>
      <c r="F64" t="str">
        <f>E64&amp;"-0"</f>
        <v>GG-0</v>
      </c>
      <c r="G64" t="str">
        <f>$B$29</f>
        <v>---</v>
      </c>
      <c r="H64">
        <f t="shared" ref="H64:H65" si="40">SUMIF($B$3:$B$29,B64,C$3:C$29)</f>
        <v>16</v>
      </c>
      <c r="I64">
        <f t="shared" si="39"/>
        <v>8</v>
      </c>
      <c r="J64">
        <f t="shared" si="39"/>
        <v>10</v>
      </c>
      <c r="K64">
        <f t="shared" si="39"/>
        <v>16</v>
      </c>
      <c r="L64">
        <f t="shared" si="39"/>
        <v>60</v>
      </c>
      <c r="M64">
        <f t="shared" si="39"/>
        <v>98</v>
      </c>
      <c r="N64">
        <f t="shared" ref="N64:N65" si="41">PRODUCT(H64:M64)</f>
        <v>120422400</v>
      </c>
      <c r="O64">
        <v>5</v>
      </c>
      <c r="P64" t="str">
        <f t="shared" ref="P64:P65" si="42">B64</f>
        <v>GG</v>
      </c>
      <c r="Q64">
        <f t="shared" ref="Q64:Q65" si="43">INDEX($S$3:$V$15,MATCH(P64,$R$3:$R$15,0),MATCH(O64,$S$2:$V$2,0))</f>
        <v>6</v>
      </c>
      <c r="R64" s="4">
        <f t="shared" ref="R64:R65" si="44">Q64*N64</f>
        <v>722534400</v>
      </c>
    </row>
    <row r="65" spans="2:18">
      <c r="B65" s="5" t="str">
        <f>$B63</f>
        <v>GG</v>
      </c>
      <c r="C65" t="str">
        <f>$B62</f>
        <v>GG</v>
      </c>
      <c r="D65" t="str">
        <f>$B62</f>
        <v>GG</v>
      </c>
      <c r="E65" t="str">
        <f>D65&amp;"-0"</f>
        <v>GG-0</v>
      </c>
      <c r="F65" t="str">
        <f>$B$29</f>
        <v>---</v>
      </c>
      <c r="G65" t="str">
        <f>$B$29</f>
        <v>---</v>
      </c>
      <c r="H65">
        <f t="shared" si="40"/>
        <v>16</v>
      </c>
      <c r="I65">
        <f t="shared" si="39"/>
        <v>8</v>
      </c>
      <c r="J65">
        <f t="shared" si="39"/>
        <v>10</v>
      </c>
      <c r="K65">
        <f t="shared" si="39"/>
        <v>41</v>
      </c>
      <c r="L65">
        <f t="shared" si="39"/>
        <v>66</v>
      </c>
      <c r="M65">
        <f t="shared" si="39"/>
        <v>98</v>
      </c>
      <c r="N65">
        <f t="shared" si="41"/>
        <v>339440640</v>
      </c>
      <c r="O65">
        <v>5</v>
      </c>
      <c r="P65" t="str">
        <f t="shared" si="42"/>
        <v>GG</v>
      </c>
      <c r="Q65">
        <f t="shared" si="43"/>
        <v>6</v>
      </c>
      <c r="R65" s="4">
        <f t="shared" si="44"/>
        <v>2036643840</v>
      </c>
    </row>
    <row r="66" spans="2:18">
      <c r="B66" s="5"/>
      <c r="R66" s="4"/>
    </row>
    <row r="67" spans="2:18">
      <c r="B67" s="8" t="str">
        <f>$B$11</f>
        <v>HH</v>
      </c>
      <c r="C67" s="7" t="str">
        <f>$B67</f>
        <v>HH</v>
      </c>
      <c r="D67" s="7" t="str">
        <f>$B67</f>
        <v>HH</v>
      </c>
      <c r="E67" s="7" t="str">
        <f>$B67</f>
        <v>HH</v>
      </c>
      <c r="F67" s="7" t="str">
        <f>$B67</f>
        <v>HH</v>
      </c>
      <c r="G67" s="7" t="str">
        <f>$B67</f>
        <v>HH</v>
      </c>
      <c r="H67" s="7">
        <f>SUMIF($B$3:$B$29,B67,C$3:C$29)</f>
        <v>4</v>
      </c>
      <c r="I67" s="7">
        <f t="shared" ref="I67:M70" si="45">SUMIF($B$3:$B$29,C67,D$3:D$29)</f>
        <v>10</v>
      </c>
      <c r="J67" s="7">
        <f t="shared" si="45"/>
        <v>14</v>
      </c>
      <c r="K67" s="7">
        <f t="shared" si="45"/>
        <v>4</v>
      </c>
      <c r="L67" s="7">
        <f t="shared" si="45"/>
        <v>2</v>
      </c>
      <c r="M67" s="7">
        <f t="shared" si="45"/>
        <v>4</v>
      </c>
      <c r="N67" s="7">
        <f>PRODUCT(H67:M67)</f>
        <v>17920</v>
      </c>
      <c r="O67" s="7">
        <v>6</v>
      </c>
      <c r="P67" s="7" t="str">
        <f>B67</f>
        <v>HH</v>
      </c>
      <c r="Q67" s="7">
        <f>INDEX($S$3:$V$15,MATCH(P67,$R$3:$R$15,0),MATCH(O67,$S$2:$V$2,0))</f>
        <v>20</v>
      </c>
      <c r="R67" s="6">
        <f>Q67*N67</f>
        <v>358400</v>
      </c>
    </row>
    <row r="68" spans="2:18">
      <c r="B68" s="5" t="str">
        <f>$B67</f>
        <v>HH</v>
      </c>
      <c r="C68" t="str">
        <f>$B67</f>
        <v>HH</v>
      </c>
      <c r="D68" t="str">
        <f>$B67</f>
        <v>HH</v>
      </c>
      <c r="E68" t="str">
        <f>$B67</f>
        <v>HH</v>
      </c>
      <c r="F68" t="str">
        <f>$B67</f>
        <v>HH</v>
      </c>
      <c r="G68" t="str">
        <f>F68&amp;"-0"</f>
        <v>HH-0</v>
      </c>
      <c r="H68">
        <f>SUMIF($B$3:$B$29,B68,C$3:C$29)</f>
        <v>4</v>
      </c>
      <c r="I68">
        <f t="shared" si="45"/>
        <v>10</v>
      </c>
      <c r="J68">
        <f t="shared" si="45"/>
        <v>14</v>
      </c>
      <c r="K68">
        <f t="shared" si="45"/>
        <v>4</v>
      </c>
      <c r="L68">
        <f t="shared" si="45"/>
        <v>2</v>
      </c>
      <c r="M68">
        <f t="shared" si="45"/>
        <v>94</v>
      </c>
      <c r="N68">
        <f>PRODUCT(H68:M68)</f>
        <v>421120</v>
      </c>
      <c r="O68">
        <v>5</v>
      </c>
      <c r="P68" t="str">
        <f>B68</f>
        <v>HH</v>
      </c>
      <c r="Q68">
        <f>INDEX($S$3:$V$15,MATCH(P68,$R$3:$R$15,0),MATCH(O68,$S$2:$V$2,0))</f>
        <v>6</v>
      </c>
      <c r="R68" s="4">
        <f>Q68*N68</f>
        <v>2526720</v>
      </c>
    </row>
    <row r="69" spans="2:18">
      <c r="B69" s="5" t="str">
        <f>$B67</f>
        <v>HH</v>
      </c>
      <c r="C69" t="str">
        <f>$B67</f>
        <v>HH</v>
      </c>
      <c r="D69" t="str">
        <f>$B67</f>
        <v>HH</v>
      </c>
      <c r="E69" t="str">
        <f>$B67</f>
        <v>HH</v>
      </c>
      <c r="F69" t="str">
        <f>E69&amp;"-0"</f>
        <v>HH-0</v>
      </c>
      <c r="G69" t="str">
        <f>$B$29</f>
        <v>---</v>
      </c>
      <c r="H69">
        <f t="shared" ref="H69:H70" si="46">SUMIF($B$3:$B$29,B69,C$3:C$29)</f>
        <v>4</v>
      </c>
      <c r="I69">
        <f t="shared" si="45"/>
        <v>10</v>
      </c>
      <c r="J69">
        <f t="shared" si="45"/>
        <v>14</v>
      </c>
      <c r="K69">
        <f t="shared" si="45"/>
        <v>4</v>
      </c>
      <c r="L69">
        <f t="shared" si="45"/>
        <v>64</v>
      </c>
      <c r="M69">
        <f t="shared" si="45"/>
        <v>98</v>
      </c>
      <c r="N69">
        <f t="shared" ref="N69:N70" si="47">PRODUCT(H69:M69)</f>
        <v>14049280</v>
      </c>
      <c r="O69">
        <v>5</v>
      </c>
      <c r="P69" t="str">
        <f t="shared" ref="P69:P70" si="48">B69</f>
        <v>HH</v>
      </c>
      <c r="Q69">
        <f t="shared" ref="Q69:Q70" si="49">INDEX($S$3:$V$15,MATCH(P69,$R$3:$R$15,0),MATCH(O69,$S$2:$V$2,0))</f>
        <v>6</v>
      </c>
      <c r="R69" s="4">
        <f t="shared" ref="R69:R70" si="50">Q69*N69</f>
        <v>84295680</v>
      </c>
    </row>
    <row r="70" spans="2:18">
      <c r="B70" s="5" t="str">
        <f>$B68</f>
        <v>HH</v>
      </c>
      <c r="C70" t="str">
        <f>$B67</f>
        <v>HH</v>
      </c>
      <c r="D70" t="str">
        <f>$B67</f>
        <v>HH</v>
      </c>
      <c r="E70" t="str">
        <f>D70&amp;"-0"</f>
        <v>HH-0</v>
      </c>
      <c r="F70" t="str">
        <f>$B$29</f>
        <v>---</v>
      </c>
      <c r="G70" t="str">
        <f>$B$29</f>
        <v>---</v>
      </c>
      <c r="H70">
        <f t="shared" si="46"/>
        <v>4</v>
      </c>
      <c r="I70">
        <f t="shared" si="45"/>
        <v>10</v>
      </c>
      <c r="J70">
        <f t="shared" si="45"/>
        <v>14</v>
      </c>
      <c r="K70">
        <f t="shared" si="45"/>
        <v>51</v>
      </c>
      <c r="L70">
        <f t="shared" si="45"/>
        <v>66</v>
      </c>
      <c r="M70">
        <f t="shared" si="45"/>
        <v>98</v>
      </c>
      <c r="N70">
        <f t="shared" si="47"/>
        <v>184726080</v>
      </c>
      <c r="O70">
        <v>5</v>
      </c>
      <c r="P70" t="str">
        <f t="shared" si="48"/>
        <v>HH</v>
      </c>
      <c r="Q70">
        <f t="shared" si="49"/>
        <v>6</v>
      </c>
      <c r="R70" s="4">
        <f t="shared" si="50"/>
        <v>1108356480</v>
      </c>
    </row>
    <row r="71" spans="2:18">
      <c r="B71" s="5"/>
      <c r="R71" s="4"/>
    </row>
    <row r="72" spans="2:18">
      <c r="B72" s="8" t="str">
        <f>$B$12</f>
        <v>JJ</v>
      </c>
      <c r="C72" s="7" t="str">
        <f>$B72</f>
        <v>JJ</v>
      </c>
      <c r="D72" s="7" t="str">
        <f>$B72</f>
        <v>JJ</v>
      </c>
      <c r="E72" s="7" t="str">
        <f>$B72</f>
        <v>JJ</v>
      </c>
      <c r="F72" s="7" t="str">
        <f>$B72</f>
        <v>JJ</v>
      </c>
      <c r="G72" s="7" t="str">
        <f>$B72</f>
        <v>JJ</v>
      </c>
      <c r="H72" s="7">
        <f>SUMIF($B$3:$B$29,B72,C$3:C$29)</f>
        <v>14</v>
      </c>
      <c r="I72" s="7">
        <f t="shared" ref="I72:M75" si="51">SUMIF($B$3:$B$29,C72,D$3:D$29)</f>
        <v>20</v>
      </c>
      <c r="J72" s="7">
        <f t="shared" si="51"/>
        <v>18</v>
      </c>
      <c r="K72" s="7">
        <f t="shared" si="51"/>
        <v>20</v>
      </c>
      <c r="L72" s="7">
        <f t="shared" si="51"/>
        <v>32</v>
      </c>
      <c r="M72" s="7">
        <f t="shared" si="51"/>
        <v>18</v>
      </c>
      <c r="N72" s="7">
        <f>PRODUCT(H72:M72)</f>
        <v>58060800</v>
      </c>
      <c r="O72" s="7">
        <v>6</v>
      </c>
      <c r="P72" s="7" t="str">
        <f>B72</f>
        <v>JJ</v>
      </c>
      <c r="Q72" s="7">
        <f>INDEX($S$3:$V$15,MATCH(P72,$R$3:$R$15,0),MATCH(O72,$S$2:$V$2,0))</f>
        <v>20</v>
      </c>
      <c r="R72" s="6">
        <f>Q72*N72</f>
        <v>1161216000</v>
      </c>
    </row>
    <row r="73" spans="2:18">
      <c r="B73" s="5" t="str">
        <f>$B72</f>
        <v>JJ</v>
      </c>
      <c r="C73" t="str">
        <f>$B72</f>
        <v>JJ</v>
      </c>
      <c r="D73" t="str">
        <f>$B72</f>
        <v>JJ</v>
      </c>
      <c r="E73" t="str">
        <f>$B72</f>
        <v>JJ</v>
      </c>
      <c r="F73" t="str">
        <f>$B72</f>
        <v>JJ</v>
      </c>
      <c r="G73" t="str">
        <f>F73&amp;"-0"</f>
        <v>JJ-0</v>
      </c>
      <c r="H73">
        <f>SUMIF($B$3:$B$29,B73,C$3:C$29)</f>
        <v>14</v>
      </c>
      <c r="I73">
        <f t="shared" si="51"/>
        <v>20</v>
      </c>
      <c r="J73">
        <f t="shared" si="51"/>
        <v>18</v>
      </c>
      <c r="K73">
        <f t="shared" si="51"/>
        <v>20</v>
      </c>
      <c r="L73">
        <f t="shared" si="51"/>
        <v>32</v>
      </c>
      <c r="M73">
        <f t="shared" si="51"/>
        <v>82</v>
      </c>
      <c r="N73">
        <f>PRODUCT(H73:M73)</f>
        <v>264499200</v>
      </c>
      <c r="O73">
        <v>5</v>
      </c>
      <c r="P73" t="str">
        <f>B73</f>
        <v>JJ</v>
      </c>
      <c r="Q73">
        <f>INDEX($S$3:$V$15,MATCH(P73,$R$3:$R$15,0),MATCH(O73,$S$2:$V$2,0))</f>
        <v>6</v>
      </c>
      <c r="R73" s="4">
        <f>Q73*N73</f>
        <v>1586995200</v>
      </c>
    </row>
    <row r="74" spans="2:18">
      <c r="B74" s="5" t="str">
        <f>$B72</f>
        <v>JJ</v>
      </c>
      <c r="C74" t="str">
        <f>$B72</f>
        <v>JJ</v>
      </c>
      <c r="D74" t="str">
        <f>$B72</f>
        <v>JJ</v>
      </c>
      <c r="E74" t="str">
        <f>$B72</f>
        <v>JJ</v>
      </c>
      <c r="F74" t="str">
        <f>E74&amp;"-0"</f>
        <v>JJ-0</v>
      </c>
      <c r="G74" t="str">
        <f>$B$29</f>
        <v>---</v>
      </c>
      <c r="H74">
        <f t="shared" ref="H74:H75" si="52">SUMIF($B$3:$B$29,B74,C$3:C$29)</f>
        <v>14</v>
      </c>
      <c r="I74">
        <f t="shared" si="51"/>
        <v>20</v>
      </c>
      <c r="J74">
        <f t="shared" si="51"/>
        <v>18</v>
      </c>
      <c r="K74">
        <f t="shared" si="51"/>
        <v>20</v>
      </c>
      <c r="L74">
        <f t="shared" si="51"/>
        <v>36</v>
      </c>
      <c r="M74">
        <f t="shared" si="51"/>
        <v>98</v>
      </c>
      <c r="N74">
        <f t="shared" ref="N74:N75" si="53">PRODUCT(H74:M74)</f>
        <v>355622400</v>
      </c>
      <c r="O74">
        <v>5</v>
      </c>
      <c r="P74" t="str">
        <f t="shared" ref="P74:P75" si="54">B74</f>
        <v>JJ</v>
      </c>
      <c r="Q74">
        <f t="shared" ref="Q74:Q75" si="55">INDEX($S$3:$V$15,MATCH(P74,$R$3:$R$15,0),MATCH(O74,$S$2:$V$2,0))</f>
        <v>6</v>
      </c>
      <c r="R74" s="4">
        <f t="shared" ref="R74:R75" si="56">Q74*N74</f>
        <v>2133734400</v>
      </c>
    </row>
    <row r="75" spans="2:18">
      <c r="B75" s="5" t="str">
        <f>$B73</f>
        <v>JJ</v>
      </c>
      <c r="C75" t="str">
        <f>$B72</f>
        <v>JJ</v>
      </c>
      <c r="D75" t="str">
        <f>$B72</f>
        <v>JJ</v>
      </c>
      <c r="E75" t="str">
        <f>D75&amp;"-0"</f>
        <v>JJ-0</v>
      </c>
      <c r="F75" t="str">
        <f>$B$29</f>
        <v>---</v>
      </c>
      <c r="G75" t="str">
        <f>$B$29</f>
        <v>---</v>
      </c>
      <c r="H75">
        <f t="shared" si="52"/>
        <v>14</v>
      </c>
      <c r="I75">
        <f t="shared" si="51"/>
        <v>20</v>
      </c>
      <c r="J75">
        <f t="shared" si="51"/>
        <v>18</v>
      </c>
      <c r="K75">
        <f t="shared" si="51"/>
        <v>37</v>
      </c>
      <c r="L75">
        <f t="shared" si="51"/>
        <v>66</v>
      </c>
      <c r="M75">
        <f t="shared" si="51"/>
        <v>98</v>
      </c>
      <c r="N75">
        <f t="shared" si="53"/>
        <v>1206152640</v>
      </c>
      <c r="O75">
        <v>5</v>
      </c>
      <c r="P75" t="str">
        <f t="shared" si="54"/>
        <v>JJ</v>
      </c>
      <c r="Q75">
        <f t="shared" si="55"/>
        <v>6</v>
      </c>
      <c r="R75" s="4">
        <f t="shared" si="56"/>
        <v>7236915840</v>
      </c>
    </row>
    <row r="76" spans="2:18">
      <c r="B76" s="5"/>
      <c r="R76" s="4"/>
    </row>
    <row r="77" spans="2:18">
      <c r="B77" s="8" t="str">
        <f>$B$13</f>
        <v>KK</v>
      </c>
      <c r="C77" s="7" t="str">
        <f>$B77</f>
        <v>KK</v>
      </c>
      <c r="D77" s="7" t="str">
        <f>$B77</f>
        <v>KK</v>
      </c>
      <c r="E77" s="7" t="str">
        <f>$B77</f>
        <v>KK</v>
      </c>
      <c r="F77" s="7" t="str">
        <f>$B77</f>
        <v>KK</v>
      </c>
      <c r="G77" s="7" t="str">
        <f>$B77</f>
        <v>KK</v>
      </c>
      <c r="H77" s="7">
        <f>SUMIF($B$3:$B$29,B77,C$3:C$29)</f>
        <v>16</v>
      </c>
      <c r="I77" s="7">
        <f t="shared" ref="I77:M80" si="57">SUMIF($B$3:$B$29,C77,D$3:D$29)</f>
        <v>24</v>
      </c>
      <c r="J77" s="7">
        <f t="shared" si="57"/>
        <v>18</v>
      </c>
      <c r="K77" s="7">
        <f t="shared" si="57"/>
        <v>10</v>
      </c>
      <c r="L77" s="7">
        <f t="shared" si="57"/>
        <v>10</v>
      </c>
      <c r="M77" s="7">
        <f t="shared" si="57"/>
        <v>20</v>
      </c>
      <c r="N77" s="7">
        <f>PRODUCT(H77:M77)</f>
        <v>13824000</v>
      </c>
      <c r="O77" s="7">
        <v>6</v>
      </c>
      <c r="P77" s="7" t="str">
        <f>B77</f>
        <v>KK</v>
      </c>
      <c r="Q77" s="7">
        <f>INDEX($S$3:$V$15,MATCH(P77,$R$3:$R$15,0),MATCH(O77,$S$2:$V$2,0))</f>
        <v>10</v>
      </c>
      <c r="R77" s="6">
        <f>Q77*N77</f>
        <v>138240000</v>
      </c>
    </row>
    <row r="78" spans="2:18">
      <c r="B78" s="5" t="str">
        <f>$B77</f>
        <v>KK</v>
      </c>
      <c r="C78" t="str">
        <f>$B77</f>
        <v>KK</v>
      </c>
      <c r="D78" t="str">
        <f>$B77</f>
        <v>KK</v>
      </c>
      <c r="E78" t="str">
        <f>$B77</f>
        <v>KK</v>
      </c>
      <c r="F78" t="str">
        <f>$B77</f>
        <v>KK</v>
      </c>
      <c r="G78" t="str">
        <f>F78&amp;"-0"</f>
        <v>KK-0</v>
      </c>
      <c r="H78">
        <f>SUMIF($B$3:$B$29,B78,C$3:C$29)</f>
        <v>16</v>
      </c>
      <c r="I78">
        <f t="shared" si="57"/>
        <v>24</v>
      </c>
      <c r="J78">
        <f t="shared" si="57"/>
        <v>18</v>
      </c>
      <c r="K78">
        <f t="shared" si="57"/>
        <v>10</v>
      </c>
      <c r="L78">
        <f t="shared" si="57"/>
        <v>10</v>
      </c>
      <c r="M78">
        <f t="shared" si="57"/>
        <v>80</v>
      </c>
      <c r="N78">
        <f>PRODUCT(H78:M78)</f>
        <v>55296000</v>
      </c>
      <c r="O78">
        <v>5</v>
      </c>
      <c r="P78" t="str">
        <f>B78</f>
        <v>KK</v>
      </c>
      <c r="Q78">
        <f>INDEX($S$3:$V$15,MATCH(P78,$R$3:$R$15,0),MATCH(O78,$S$2:$V$2,0))</f>
        <v>4</v>
      </c>
      <c r="R78" s="4">
        <f>Q78*N78</f>
        <v>221184000</v>
      </c>
    </row>
    <row r="79" spans="2:18">
      <c r="B79" s="5" t="str">
        <f>$B77</f>
        <v>KK</v>
      </c>
      <c r="C79" t="str">
        <f>$B77</f>
        <v>KK</v>
      </c>
      <c r="D79" t="str">
        <f>$B77</f>
        <v>KK</v>
      </c>
      <c r="E79" t="str">
        <f>$B77</f>
        <v>KK</v>
      </c>
      <c r="F79" t="str">
        <f>E79&amp;"-0"</f>
        <v>KK-0</v>
      </c>
      <c r="G79" t="str">
        <f>$B$29</f>
        <v>---</v>
      </c>
      <c r="H79">
        <f t="shared" ref="H79:H80" si="58">SUMIF($B$3:$B$29,B79,C$3:C$29)</f>
        <v>16</v>
      </c>
      <c r="I79">
        <f t="shared" si="57"/>
        <v>24</v>
      </c>
      <c r="J79">
        <f t="shared" si="57"/>
        <v>18</v>
      </c>
      <c r="K79">
        <f t="shared" si="57"/>
        <v>10</v>
      </c>
      <c r="L79">
        <f t="shared" si="57"/>
        <v>58</v>
      </c>
      <c r="M79">
        <f t="shared" si="57"/>
        <v>98</v>
      </c>
      <c r="N79">
        <f t="shared" ref="N79:N80" si="59">PRODUCT(H79:M79)</f>
        <v>392878080</v>
      </c>
      <c r="O79">
        <v>5</v>
      </c>
      <c r="P79" t="str">
        <f t="shared" ref="P79:P80" si="60">B79</f>
        <v>KK</v>
      </c>
      <c r="Q79">
        <f t="shared" ref="Q79:Q80" si="61">INDEX($S$3:$V$15,MATCH(P79,$R$3:$R$15,0),MATCH(O79,$S$2:$V$2,0))</f>
        <v>4</v>
      </c>
      <c r="R79" s="4">
        <f t="shared" ref="R79:R80" si="62">Q79*N79</f>
        <v>1571512320</v>
      </c>
    </row>
    <row r="80" spans="2:18">
      <c r="B80" s="5" t="str">
        <f>$B78</f>
        <v>KK</v>
      </c>
      <c r="C80" t="str">
        <f>$B77</f>
        <v>KK</v>
      </c>
      <c r="D80" t="str">
        <f>$B77</f>
        <v>KK</v>
      </c>
      <c r="E80" t="str">
        <f>D80&amp;"-0"</f>
        <v>KK-0</v>
      </c>
      <c r="F80" t="str">
        <f>$B$29</f>
        <v>---</v>
      </c>
      <c r="G80" t="str">
        <f>$B$29</f>
        <v>---</v>
      </c>
      <c r="H80">
        <f t="shared" si="58"/>
        <v>16</v>
      </c>
      <c r="I80">
        <f t="shared" si="57"/>
        <v>24</v>
      </c>
      <c r="J80">
        <f t="shared" si="57"/>
        <v>18</v>
      </c>
      <c r="K80">
        <f t="shared" si="57"/>
        <v>47</v>
      </c>
      <c r="L80">
        <f t="shared" si="57"/>
        <v>66</v>
      </c>
      <c r="M80">
        <f t="shared" si="57"/>
        <v>98</v>
      </c>
      <c r="N80">
        <f t="shared" si="59"/>
        <v>2101220352</v>
      </c>
      <c r="O80">
        <v>5</v>
      </c>
      <c r="P80" t="str">
        <f t="shared" si="60"/>
        <v>KK</v>
      </c>
      <c r="Q80">
        <f t="shared" si="61"/>
        <v>4</v>
      </c>
      <c r="R80" s="4">
        <f t="shared" si="62"/>
        <v>8404881408</v>
      </c>
    </row>
    <row r="81" spans="2:18">
      <c r="B81" s="5"/>
      <c r="R81" s="4"/>
    </row>
    <row r="82" spans="2:18">
      <c r="B82" s="8" t="str">
        <f>$B$14</f>
        <v>LL</v>
      </c>
      <c r="C82" s="7" t="str">
        <f>$B82</f>
        <v>LL</v>
      </c>
      <c r="D82" s="7" t="str">
        <f>$B82</f>
        <v>LL</v>
      </c>
      <c r="E82" s="7" t="str">
        <f>$B82</f>
        <v>LL</v>
      </c>
      <c r="F82" s="7" t="str">
        <f>$B82</f>
        <v>LL</v>
      </c>
      <c r="G82" s="7" t="str">
        <f>$B82</f>
        <v>LL</v>
      </c>
      <c r="H82" s="7">
        <f>SUMIF($B$3:$B$29,B82,C$3:C$29)</f>
        <v>22</v>
      </c>
      <c r="I82" s="7">
        <f t="shared" ref="I82:M85" si="63">SUMIF($B$3:$B$29,C82,D$3:D$29)</f>
        <v>22</v>
      </c>
      <c r="J82" s="7">
        <f t="shared" si="63"/>
        <v>8</v>
      </c>
      <c r="K82" s="7">
        <f t="shared" si="63"/>
        <v>14</v>
      </c>
      <c r="L82" s="7">
        <f t="shared" si="63"/>
        <v>12</v>
      </c>
      <c r="M82" s="7">
        <f t="shared" si="63"/>
        <v>34</v>
      </c>
      <c r="N82" s="7">
        <f>PRODUCT(H82:M82)</f>
        <v>22116864</v>
      </c>
      <c r="O82" s="7">
        <v>6</v>
      </c>
      <c r="P82" s="7" t="str">
        <f>B82</f>
        <v>LL</v>
      </c>
      <c r="Q82" s="7">
        <f>INDEX($S$3:$V$15,MATCH(P82,$R$3:$R$15,0),MATCH(O82,$S$2:$V$2,0))</f>
        <v>10</v>
      </c>
      <c r="R82" s="6">
        <f>Q82*N82</f>
        <v>221168640</v>
      </c>
    </row>
    <row r="83" spans="2:18">
      <c r="B83" s="5" t="str">
        <f>$B82</f>
        <v>LL</v>
      </c>
      <c r="C83" t="str">
        <f>$B82</f>
        <v>LL</v>
      </c>
      <c r="D83" t="str">
        <f>$B82</f>
        <v>LL</v>
      </c>
      <c r="E83" t="str">
        <f>$B82</f>
        <v>LL</v>
      </c>
      <c r="F83" t="str">
        <f>$B82</f>
        <v>LL</v>
      </c>
      <c r="G83" t="str">
        <f>F83&amp;"-0"</f>
        <v>LL-0</v>
      </c>
      <c r="H83">
        <f>SUMIF($B$3:$B$29,B83,C$3:C$29)</f>
        <v>22</v>
      </c>
      <c r="I83">
        <f t="shared" si="63"/>
        <v>22</v>
      </c>
      <c r="J83">
        <f t="shared" si="63"/>
        <v>8</v>
      </c>
      <c r="K83">
        <f t="shared" si="63"/>
        <v>14</v>
      </c>
      <c r="L83">
        <f t="shared" si="63"/>
        <v>12</v>
      </c>
      <c r="M83">
        <f t="shared" si="63"/>
        <v>66</v>
      </c>
      <c r="N83">
        <f>PRODUCT(H83:M83)</f>
        <v>42932736</v>
      </c>
      <c r="O83">
        <v>5</v>
      </c>
      <c r="P83" t="str">
        <f>B83</f>
        <v>LL</v>
      </c>
      <c r="Q83">
        <f>INDEX($S$3:$V$15,MATCH(P83,$R$3:$R$15,0),MATCH(O83,$S$2:$V$2,0))</f>
        <v>4</v>
      </c>
      <c r="R83" s="4">
        <f>Q83*N83</f>
        <v>171730944</v>
      </c>
    </row>
    <row r="84" spans="2:18">
      <c r="B84" s="5" t="str">
        <f>$B82</f>
        <v>LL</v>
      </c>
      <c r="C84" t="str">
        <f>$B82</f>
        <v>LL</v>
      </c>
      <c r="D84" t="str">
        <f>$B82</f>
        <v>LL</v>
      </c>
      <c r="E84" t="str">
        <f>$B82</f>
        <v>LL</v>
      </c>
      <c r="F84" t="str">
        <f>E84&amp;"-0"</f>
        <v>LL-0</v>
      </c>
      <c r="G84" t="str">
        <f>$B$29</f>
        <v>---</v>
      </c>
      <c r="H84">
        <f t="shared" ref="H84:H85" si="64">SUMIF($B$3:$B$29,B84,C$3:C$29)</f>
        <v>22</v>
      </c>
      <c r="I84">
        <f t="shared" si="63"/>
        <v>22</v>
      </c>
      <c r="J84">
        <f t="shared" si="63"/>
        <v>8</v>
      </c>
      <c r="K84">
        <f t="shared" si="63"/>
        <v>14</v>
      </c>
      <c r="L84">
        <f t="shared" si="63"/>
        <v>56</v>
      </c>
      <c r="M84">
        <f t="shared" si="63"/>
        <v>98</v>
      </c>
      <c r="N84">
        <f t="shared" ref="N84:N85" si="65">PRODUCT(H84:M84)</f>
        <v>297493504</v>
      </c>
      <c r="O84">
        <v>5</v>
      </c>
      <c r="P84" t="str">
        <f t="shared" ref="P84:P85" si="66">B84</f>
        <v>LL</v>
      </c>
      <c r="Q84">
        <f t="shared" ref="Q84:Q85" si="67">INDEX($S$3:$V$15,MATCH(P84,$R$3:$R$15,0),MATCH(O84,$S$2:$V$2,0))</f>
        <v>4</v>
      </c>
      <c r="R84" s="4">
        <f t="shared" ref="R84:R85" si="68">Q84*N84</f>
        <v>1189974016</v>
      </c>
    </row>
    <row r="85" spans="2:18">
      <c r="B85" s="5" t="str">
        <f>$B83</f>
        <v>LL</v>
      </c>
      <c r="C85" t="str">
        <f>$B82</f>
        <v>LL</v>
      </c>
      <c r="D85" t="str">
        <f>$B82</f>
        <v>LL</v>
      </c>
      <c r="E85" t="str">
        <f>D85&amp;"-0"</f>
        <v>LL-0</v>
      </c>
      <c r="F85" t="str">
        <f>$B$29</f>
        <v>---</v>
      </c>
      <c r="G85" t="str">
        <f>$B$29</f>
        <v>---</v>
      </c>
      <c r="H85">
        <f t="shared" si="64"/>
        <v>22</v>
      </c>
      <c r="I85">
        <f t="shared" si="63"/>
        <v>22</v>
      </c>
      <c r="J85">
        <f t="shared" si="63"/>
        <v>8</v>
      </c>
      <c r="K85">
        <f t="shared" si="63"/>
        <v>44</v>
      </c>
      <c r="L85">
        <f t="shared" si="63"/>
        <v>66</v>
      </c>
      <c r="M85">
        <f t="shared" si="63"/>
        <v>98</v>
      </c>
      <c r="N85">
        <f t="shared" si="65"/>
        <v>1101940224</v>
      </c>
      <c r="O85">
        <v>5</v>
      </c>
      <c r="P85" t="str">
        <f t="shared" si="66"/>
        <v>LL</v>
      </c>
      <c r="Q85">
        <f t="shared" si="67"/>
        <v>4</v>
      </c>
      <c r="R85" s="4">
        <f t="shared" si="68"/>
        <v>4407760896</v>
      </c>
    </row>
    <row r="86" spans="2:18"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>
        <f>SUM(R32:R85)</f>
        <v>203498218944</v>
      </c>
    </row>
    <row r="88" spans="2:18">
      <c r="B88" s="8" t="str">
        <f>$B$15</f>
        <v>BN</v>
      </c>
      <c r="C88" s="7" t="str">
        <f t="shared" ref="C88:G105" si="69">$B$15</f>
        <v>BN</v>
      </c>
      <c r="D88" s="7" t="str">
        <f t="shared" si="69"/>
        <v>BN</v>
      </c>
      <c r="E88" s="7" t="str">
        <f t="shared" si="69"/>
        <v>BN</v>
      </c>
      <c r="F88" s="7" t="str">
        <f t="shared" si="69"/>
        <v>BN</v>
      </c>
      <c r="G88" s="7" t="str">
        <f t="shared" si="69"/>
        <v>BN</v>
      </c>
      <c r="H88" s="7">
        <f>SUMIF($B$3:$B$28,B88,C$3:C$28)</f>
        <v>0</v>
      </c>
      <c r="I88" s="7">
        <f t="shared" ref="I88:M88" si="70">SUMIF($B$3:$B$28,C88,D$3:D$28)</f>
        <v>0</v>
      </c>
      <c r="J88" s="7">
        <f t="shared" si="70"/>
        <v>0</v>
      </c>
      <c r="K88" s="7">
        <f t="shared" si="70"/>
        <v>0</v>
      </c>
      <c r="L88" s="7">
        <f t="shared" si="70"/>
        <v>0</v>
      </c>
      <c r="M88" s="7">
        <f t="shared" si="70"/>
        <v>0</v>
      </c>
      <c r="N88" s="6">
        <f>PRODUCT(H88:M88)</f>
        <v>0</v>
      </c>
    </row>
    <row r="89" spans="2:18">
      <c r="B89" s="5"/>
      <c r="N89" s="4"/>
    </row>
    <row r="90" spans="2:18">
      <c r="B90" s="5" t="str">
        <f t="shared" ref="B90:G116" si="71">$B$15</f>
        <v>BN</v>
      </c>
      <c r="C90" t="str">
        <f t="shared" si="69"/>
        <v>BN</v>
      </c>
      <c r="D90" t="str">
        <f t="shared" si="69"/>
        <v>BN</v>
      </c>
      <c r="E90" t="str">
        <f t="shared" si="69"/>
        <v>BN</v>
      </c>
      <c r="F90" t="str">
        <f t="shared" si="69"/>
        <v>BN</v>
      </c>
      <c r="G90" t="str">
        <f>$B$28</f>
        <v>BN-0</v>
      </c>
      <c r="H90">
        <f>SUMIF($B$3:$B$28,B90,C$3:C$28)</f>
        <v>0</v>
      </c>
      <c r="I90">
        <f t="shared" ref="I90:M105" si="72">SUMIF($B$3:$B$28,C90,D$3:D$28)</f>
        <v>0</v>
      </c>
      <c r="J90">
        <f t="shared" si="72"/>
        <v>0</v>
      </c>
      <c r="K90">
        <f t="shared" si="72"/>
        <v>0</v>
      </c>
      <c r="L90">
        <f t="shared" si="72"/>
        <v>0</v>
      </c>
      <c r="M90">
        <f t="shared" si="72"/>
        <v>98</v>
      </c>
      <c r="N90" s="4">
        <f>PRODUCT(H90:M90)</f>
        <v>0</v>
      </c>
    </row>
    <row r="91" spans="2:18">
      <c r="B91" s="5" t="str">
        <f t="shared" si="71"/>
        <v>BN</v>
      </c>
      <c r="C91" t="str">
        <f t="shared" si="69"/>
        <v>BN</v>
      </c>
      <c r="D91" t="str">
        <f t="shared" si="69"/>
        <v>BN</v>
      </c>
      <c r="E91" t="str">
        <f t="shared" si="69"/>
        <v>BN</v>
      </c>
      <c r="F91" t="str">
        <f>$B$28</f>
        <v>BN-0</v>
      </c>
      <c r="G91" t="str">
        <f t="shared" si="69"/>
        <v>BN</v>
      </c>
      <c r="H91">
        <f t="shared" ref="H91:M115" si="73">SUMIF($B$3:$B$28,B91,C$3:C$28)</f>
        <v>0</v>
      </c>
      <c r="I91">
        <f t="shared" si="72"/>
        <v>0</v>
      </c>
      <c r="J91">
        <f t="shared" si="72"/>
        <v>0</v>
      </c>
      <c r="K91">
        <f t="shared" si="72"/>
        <v>0</v>
      </c>
      <c r="L91">
        <f t="shared" si="72"/>
        <v>66</v>
      </c>
      <c r="M91">
        <f t="shared" si="72"/>
        <v>0</v>
      </c>
      <c r="N91" s="4">
        <f t="shared" ref="N91:N132" si="74">PRODUCT(H91:M91)</f>
        <v>0</v>
      </c>
    </row>
    <row r="92" spans="2:18">
      <c r="B92" s="5" t="str">
        <f t="shared" si="71"/>
        <v>BN</v>
      </c>
      <c r="C92" t="str">
        <f t="shared" si="69"/>
        <v>BN</v>
      </c>
      <c r="D92" t="str">
        <f t="shared" si="69"/>
        <v>BN</v>
      </c>
      <c r="E92" t="str">
        <f>$B$28</f>
        <v>BN-0</v>
      </c>
      <c r="F92" t="str">
        <f t="shared" si="69"/>
        <v>BN</v>
      </c>
      <c r="G92" t="str">
        <f t="shared" si="69"/>
        <v>BN</v>
      </c>
      <c r="H92">
        <f t="shared" si="73"/>
        <v>0</v>
      </c>
      <c r="I92">
        <f t="shared" si="72"/>
        <v>0</v>
      </c>
      <c r="J92">
        <f t="shared" si="72"/>
        <v>0</v>
      </c>
      <c r="K92">
        <f t="shared" si="72"/>
        <v>55</v>
      </c>
      <c r="L92">
        <f t="shared" si="72"/>
        <v>0</v>
      </c>
      <c r="M92">
        <f t="shared" si="72"/>
        <v>0</v>
      </c>
      <c r="N92" s="4">
        <f t="shared" si="74"/>
        <v>0</v>
      </c>
    </row>
    <row r="93" spans="2:18">
      <c r="B93" s="5" t="str">
        <f t="shared" si="71"/>
        <v>BN</v>
      </c>
      <c r="C93" t="str">
        <f t="shared" si="69"/>
        <v>BN</v>
      </c>
      <c r="D93" t="str">
        <f>$B$28</f>
        <v>BN-0</v>
      </c>
      <c r="E93" t="str">
        <f t="shared" si="69"/>
        <v>BN</v>
      </c>
      <c r="F93" t="str">
        <f t="shared" si="69"/>
        <v>BN</v>
      </c>
      <c r="G93" t="str">
        <f t="shared" si="69"/>
        <v>BN</v>
      </c>
      <c r="H93">
        <f t="shared" si="73"/>
        <v>0</v>
      </c>
      <c r="I93">
        <f t="shared" si="72"/>
        <v>0</v>
      </c>
      <c r="J93">
        <f t="shared" si="72"/>
        <v>62</v>
      </c>
      <c r="K93">
        <f t="shared" si="72"/>
        <v>0</v>
      </c>
      <c r="L93">
        <f t="shared" si="72"/>
        <v>0</v>
      </c>
      <c r="M93">
        <f t="shared" si="72"/>
        <v>0</v>
      </c>
      <c r="N93" s="4">
        <f t="shared" si="74"/>
        <v>0</v>
      </c>
    </row>
    <row r="94" spans="2:18">
      <c r="B94" s="5" t="str">
        <f t="shared" si="71"/>
        <v>BN</v>
      </c>
      <c r="C94" t="str">
        <f>$B$28</f>
        <v>BN-0</v>
      </c>
      <c r="D94" t="str">
        <f t="shared" si="69"/>
        <v>BN</v>
      </c>
      <c r="E94" t="str">
        <f t="shared" si="69"/>
        <v>BN</v>
      </c>
      <c r="F94" t="str">
        <f t="shared" si="69"/>
        <v>BN</v>
      </c>
      <c r="G94" t="str">
        <f t="shared" si="69"/>
        <v>BN</v>
      </c>
      <c r="H94">
        <f t="shared" si="73"/>
        <v>0</v>
      </c>
      <c r="I94">
        <f t="shared" si="72"/>
        <v>90</v>
      </c>
      <c r="J94">
        <f t="shared" si="72"/>
        <v>0</v>
      </c>
      <c r="K94">
        <f t="shared" si="72"/>
        <v>0</v>
      </c>
      <c r="L94">
        <f t="shared" si="72"/>
        <v>0</v>
      </c>
      <c r="M94">
        <f t="shared" si="72"/>
        <v>0</v>
      </c>
      <c r="N94" s="4">
        <f t="shared" si="74"/>
        <v>0</v>
      </c>
    </row>
    <row r="95" spans="2:18">
      <c r="B95" s="5" t="str">
        <f>$B$28</f>
        <v>BN-0</v>
      </c>
      <c r="C95" t="str">
        <f t="shared" si="69"/>
        <v>BN</v>
      </c>
      <c r="D95" t="str">
        <f t="shared" si="69"/>
        <v>BN</v>
      </c>
      <c r="E95" t="str">
        <f t="shared" si="69"/>
        <v>BN</v>
      </c>
      <c r="F95" t="str">
        <f t="shared" si="69"/>
        <v>BN</v>
      </c>
      <c r="G95" t="str">
        <f t="shared" si="69"/>
        <v>BN</v>
      </c>
      <c r="H95">
        <f t="shared" si="73"/>
        <v>68</v>
      </c>
      <c r="I95">
        <f t="shared" si="72"/>
        <v>0</v>
      </c>
      <c r="J95">
        <f t="shared" si="72"/>
        <v>0</v>
      </c>
      <c r="K95">
        <f t="shared" si="72"/>
        <v>0</v>
      </c>
      <c r="L95">
        <f t="shared" si="72"/>
        <v>0</v>
      </c>
      <c r="M95">
        <f t="shared" si="72"/>
        <v>0</v>
      </c>
      <c r="N95" s="4">
        <f t="shared" si="74"/>
        <v>0</v>
      </c>
    </row>
    <row r="96" spans="2:18">
      <c r="B96" s="5"/>
      <c r="N96" s="4"/>
    </row>
    <row r="97" spans="2:14">
      <c r="B97" s="5" t="str">
        <f t="shared" si="71"/>
        <v>BN</v>
      </c>
      <c r="C97" t="str">
        <f t="shared" si="69"/>
        <v>BN</v>
      </c>
      <c r="D97" t="str">
        <f t="shared" si="69"/>
        <v>BN</v>
      </c>
      <c r="E97" t="str">
        <f t="shared" si="69"/>
        <v>BN</v>
      </c>
      <c r="F97" t="str">
        <f>$B$28</f>
        <v>BN-0</v>
      </c>
      <c r="G97" t="str">
        <f>$B$28</f>
        <v>BN-0</v>
      </c>
      <c r="H97">
        <f t="shared" si="73"/>
        <v>0</v>
      </c>
      <c r="I97">
        <f t="shared" si="72"/>
        <v>0</v>
      </c>
      <c r="J97">
        <f t="shared" si="72"/>
        <v>0</v>
      </c>
      <c r="K97">
        <f t="shared" si="72"/>
        <v>0</v>
      </c>
      <c r="L97">
        <f t="shared" si="72"/>
        <v>66</v>
      </c>
      <c r="M97">
        <f t="shared" si="72"/>
        <v>98</v>
      </c>
      <c r="N97" s="4">
        <f t="shared" si="74"/>
        <v>0</v>
      </c>
    </row>
    <row r="98" spans="2:14">
      <c r="B98" s="5" t="str">
        <f t="shared" si="71"/>
        <v>BN</v>
      </c>
      <c r="C98" t="str">
        <f t="shared" si="69"/>
        <v>BN</v>
      </c>
      <c r="D98" t="str">
        <f t="shared" si="69"/>
        <v>BN</v>
      </c>
      <c r="E98" t="str">
        <f>$B$28</f>
        <v>BN-0</v>
      </c>
      <c r="F98" t="str">
        <f t="shared" si="69"/>
        <v>BN</v>
      </c>
      <c r="G98" t="str">
        <f>$B$28</f>
        <v>BN-0</v>
      </c>
      <c r="H98">
        <f t="shared" si="73"/>
        <v>0</v>
      </c>
      <c r="I98">
        <f t="shared" si="72"/>
        <v>0</v>
      </c>
      <c r="J98">
        <f t="shared" si="72"/>
        <v>0</v>
      </c>
      <c r="K98">
        <f t="shared" si="72"/>
        <v>55</v>
      </c>
      <c r="L98">
        <f t="shared" si="72"/>
        <v>0</v>
      </c>
      <c r="M98">
        <f t="shared" si="72"/>
        <v>98</v>
      </c>
      <c r="N98" s="4">
        <f t="shared" si="74"/>
        <v>0</v>
      </c>
    </row>
    <row r="99" spans="2:14">
      <c r="B99" s="5" t="str">
        <f t="shared" si="71"/>
        <v>BN</v>
      </c>
      <c r="C99" t="str">
        <f t="shared" si="69"/>
        <v>BN</v>
      </c>
      <c r="D99" t="str">
        <f>$B$28</f>
        <v>BN-0</v>
      </c>
      <c r="E99" t="str">
        <f t="shared" si="69"/>
        <v>BN</v>
      </c>
      <c r="F99" t="str">
        <f t="shared" si="69"/>
        <v>BN</v>
      </c>
      <c r="G99" t="str">
        <f>$B$28</f>
        <v>BN-0</v>
      </c>
      <c r="H99">
        <f t="shared" si="73"/>
        <v>0</v>
      </c>
      <c r="I99">
        <f t="shared" si="72"/>
        <v>0</v>
      </c>
      <c r="J99">
        <f t="shared" si="72"/>
        <v>62</v>
      </c>
      <c r="K99">
        <f t="shared" si="72"/>
        <v>0</v>
      </c>
      <c r="L99">
        <f t="shared" si="72"/>
        <v>0</v>
      </c>
      <c r="M99">
        <f t="shared" si="72"/>
        <v>98</v>
      </c>
      <c r="N99" s="4">
        <f t="shared" si="74"/>
        <v>0</v>
      </c>
    </row>
    <row r="100" spans="2:14">
      <c r="B100" s="5" t="str">
        <f t="shared" si="71"/>
        <v>BN</v>
      </c>
      <c r="C100" t="str">
        <f>$B$28</f>
        <v>BN-0</v>
      </c>
      <c r="D100" t="str">
        <f t="shared" si="69"/>
        <v>BN</v>
      </c>
      <c r="E100" t="str">
        <f t="shared" si="69"/>
        <v>BN</v>
      </c>
      <c r="F100" t="str">
        <f t="shared" si="69"/>
        <v>BN</v>
      </c>
      <c r="G100" t="str">
        <f>$B$28</f>
        <v>BN-0</v>
      </c>
      <c r="H100">
        <f t="shared" si="73"/>
        <v>0</v>
      </c>
      <c r="I100">
        <f t="shared" si="72"/>
        <v>90</v>
      </c>
      <c r="J100">
        <f t="shared" si="72"/>
        <v>0</v>
      </c>
      <c r="K100">
        <f t="shared" si="72"/>
        <v>0</v>
      </c>
      <c r="L100">
        <f t="shared" si="72"/>
        <v>0</v>
      </c>
      <c r="M100">
        <f t="shared" si="72"/>
        <v>98</v>
      </c>
      <c r="N100" s="4">
        <f t="shared" si="74"/>
        <v>0</v>
      </c>
    </row>
    <row r="101" spans="2:14">
      <c r="B101" s="5" t="str">
        <f>$B$28</f>
        <v>BN-0</v>
      </c>
      <c r="C101" t="str">
        <f t="shared" si="69"/>
        <v>BN</v>
      </c>
      <c r="D101" t="str">
        <f t="shared" si="69"/>
        <v>BN</v>
      </c>
      <c r="E101" t="str">
        <f t="shared" si="69"/>
        <v>BN</v>
      </c>
      <c r="F101" t="str">
        <f t="shared" si="69"/>
        <v>BN</v>
      </c>
      <c r="G101" t="str">
        <f>$B$28</f>
        <v>BN-0</v>
      </c>
      <c r="H101">
        <f t="shared" si="73"/>
        <v>68</v>
      </c>
      <c r="I101">
        <f t="shared" si="72"/>
        <v>0</v>
      </c>
      <c r="J101">
        <f t="shared" si="72"/>
        <v>0</v>
      </c>
      <c r="K101">
        <f t="shared" si="72"/>
        <v>0</v>
      </c>
      <c r="L101">
        <f t="shared" si="72"/>
        <v>0</v>
      </c>
      <c r="M101">
        <f t="shared" si="72"/>
        <v>98</v>
      </c>
      <c r="N101" s="4">
        <f t="shared" si="74"/>
        <v>0</v>
      </c>
    </row>
    <row r="102" spans="2:14">
      <c r="B102" s="5" t="str">
        <f t="shared" si="71"/>
        <v>BN</v>
      </c>
      <c r="C102" t="str">
        <f t="shared" si="69"/>
        <v>BN</v>
      </c>
      <c r="D102" t="str">
        <f t="shared" si="69"/>
        <v>BN</v>
      </c>
      <c r="E102" t="str">
        <f>$B$28</f>
        <v>BN-0</v>
      </c>
      <c r="F102" t="str">
        <f>$B$28</f>
        <v>BN-0</v>
      </c>
      <c r="G102" t="str">
        <f t="shared" si="69"/>
        <v>BN</v>
      </c>
      <c r="H102">
        <f t="shared" si="73"/>
        <v>0</v>
      </c>
      <c r="I102">
        <f t="shared" si="72"/>
        <v>0</v>
      </c>
      <c r="J102">
        <f t="shared" si="72"/>
        <v>0</v>
      </c>
      <c r="K102">
        <f t="shared" si="72"/>
        <v>55</v>
      </c>
      <c r="L102">
        <f t="shared" si="72"/>
        <v>66</v>
      </c>
      <c r="M102">
        <f t="shared" si="72"/>
        <v>0</v>
      </c>
      <c r="N102" s="4">
        <f t="shared" si="74"/>
        <v>0</v>
      </c>
    </row>
    <row r="103" spans="2:14">
      <c r="B103" s="5" t="str">
        <f t="shared" si="71"/>
        <v>BN</v>
      </c>
      <c r="C103" t="str">
        <f t="shared" si="69"/>
        <v>BN</v>
      </c>
      <c r="D103" t="str">
        <f>$B$28</f>
        <v>BN-0</v>
      </c>
      <c r="E103" t="str">
        <f t="shared" si="69"/>
        <v>BN</v>
      </c>
      <c r="F103" t="str">
        <f>$B$28</f>
        <v>BN-0</v>
      </c>
      <c r="G103" t="str">
        <f t="shared" si="69"/>
        <v>BN</v>
      </c>
      <c r="H103">
        <f t="shared" si="73"/>
        <v>0</v>
      </c>
      <c r="I103">
        <f t="shared" si="72"/>
        <v>0</v>
      </c>
      <c r="J103">
        <f t="shared" si="72"/>
        <v>62</v>
      </c>
      <c r="K103">
        <f t="shared" si="72"/>
        <v>0</v>
      </c>
      <c r="L103">
        <f t="shared" si="72"/>
        <v>66</v>
      </c>
      <c r="M103">
        <f t="shared" si="72"/>
        <v>0</v>
      </c>
      <c r="N103" s="4">
        <f t="shared" si="74"/>
        <v>0</v>
      </c>
    </row>
    <row r="104" spans="2:14">
      <c r="B104" s="5" t="str">
        <f t="shared" si="71"/>
        <v>BN</v>
      </c>
      <c r="C104" t="str">
        <f>$B$28</f>
        <v>BN-0</v>
      </c>
      <c r="D104" t="str">
        <f t="shared" si="69"/>
        <v>BN</v>
      </c>
      <c r="E104" t="str">
        <f t="shared" si="69"/>
        <v>BN</v>
      </c>
      <c r="F104" t="str">
        <f>$B$28</f>
        <v>BN-0</v>
      </c>
      <c r="G104" t="str">
        <f t="shared" si="69"/>
        <v>BN</v>
      </c>
      <c r="H104">
        <f t="shared" si="73"/>
        <v>0</v>
      </c>
      <c r="I104">
        <f t="shared" si="72"/>
        <v>90</v>
      </c>
      <c r="J104">
        <f t="shared" si="72"/>
        <v>0</v>
      </c>
      <c r="K104">
        <f t="shared" si="72"/>
        <v>0</v>
      </c>
      <c r="L104">
        <f t="shared" si="72"/>
        <v>66</v>
      </c>
      <c r="M104">
        <f t="shared" si="72"/>
        <v>0</v>
      </c>
      <c r="N104" s="4">
        <f t="shared" si="74"/>
        <v>0</v>
      </c>
    </row>
    <row r="105" spans="2:14">
      <c r="B105" s="5" t="str">
        <f>$B$28</f>
        <v>BN-0</v>
      </c>
      <c r="C105" t="str">
        <f t="shared" si="69"/>
        <v>BN</v>
      </c>
      <c r="D105" t="str">
        <f t="shared" si="69"/>
        <v>BN</v>
      </c>
      <c r="E105" t="str">
        <f t="shared" si="69"/>
        <v>BN</v>
      </c>
      <c r="F105" t="str">
        <f>$B$28</f>
        <v>BN-0</v>
      </c>
      <c r="G105" t="str">
        <f t="shared" si="69"/>
        <v>BN</v>
      </c>
      <c r="H105">
        <f t="shared" si="73"/>
        <v>68</v>
      </c>
      <c r="I105">
        <f t="shared" si="72"/>
        <v>0</v>
      </c>
      <c r="J105">
        <f t="shared" si="72"/>
        <v>0</v>
      </c>
      <c r="K105">
        <f t="shared" si="72"/>
        <v>0</v>
      </c>
      <c r="L105">
        <f t="shared" si="72"/>
        <v>66</v>
      </c>
      <c r="M105">
        <f t="shared" si="72"/>
        <v>0</v>
      </c>
      <c r="N105" s="4">
        <f t="shared" si="74"/>
        <v>0</v>
      </c>
    </row>
    <row r="106" spans="2:14">
      <c r="B106" s="5" t="str">
        <f t="shared" si="71"/>
        <v>BN</v>
      </c>
      <c r="C106" t="str">
        <f t="shared" si="71"/>
        <v>BN</v>
      </c>
      <c r="D106" t="str">
        <f>$B$28</f>
        <v>BN-0</v>
      </c>
      <c r="E106" t="str">
        <f>$B$28</f>
        <v>BN-0</v>
      </c>
      <c r="F106" t="str">
        <f t="shared" si="71"/>
        <v>BN</v>
      </c>
      <c r="G106" t="str">
        <f t="shared" si="71"/>
        <v>BN</v>
      </c>
      <c r="H106">
        <f t="shared" si="73"/>
        <v>0</v>
      </c>
      <c r="I106">
        <f t="shared" si="73"/>
        <v>0</v>
      </c>
      <c r="J106">
        <f t="shared" si="73"/>
        <v>62</v>
      </c>
      <c r="K106">
        <f t="shared" si="73"/>
        <v>55</v>
      </c>
      <c r="L106">
        <f t="shared" si="73"/>
        <v>0</v>
      </c>
      <c r="M106">
        <f t="shared" si="73"/>
        <v>0</v>
      </c>
      <c r="N106" s="4">
        <f t="shared" si="74"/>
        <v>0</v>
      </c>
    </row>
    <row r="107" spans="2:14">
      <c r="B107" s="5" t="str">
        <f t="shared" si="71"/>
        <v>BN</v>
      </c>
      <c r="C107" t="str">
        <f>$B$28</f>
        <v>BN-0</v>
      </c>
      <c r="D107" t="str">
        <f t="shared" si="71"/>
        <v>BN</v>
      </c>
      <c r="E107" t="str">
        <f>$B$28</f>
        <v>BN-0</v>
      </c>
      <c r="F107" t="str">
        <f t="shared" si="71"/>
        <v>BN</v>
      </c>
      <c r="G107" t="str">
        <f t="shared" si="71"/>
        <v>BN</v>
      </c>
      <c r="H107">
        <f t="shared" si="73"/>
        <v>0</v>
      </c>
      <c r="I107">
        <f t="shared" si="73"/>
        <v>90</v>
      </c>
      <c r="J107">
        <f t="shared" si="73"/>
        <v>0</v>
      </c>
      <c r="K107">
        <f t="shared" si="73"/>
        <v>55</v>
      </c>
      <c r="L107">
        <f t="shared" si="73"/>
        <v>0</v>
      </c>
      <c r="M107">
        <f t="shared" si="73"/>
        <v>0</v>
      </c>
      <c r="N107" s="4">
        <f t="shared" si="74"/>
        <v>0</v>
      </c>
    </row>
    <row r="108" spans="2:14">
      <c r="B108" s="5" t="str">
        <f>$B$28</f>
        <v>BN-0</v>
      </c>
      <c r="C108" t="str">
        <f t="shared" si="71"/>
        <v>BN</v>
      </c>
      <c r="D108" t="str">
        <f t="shared" si="71"/>
        <v>BN</v>
      </c>
      <c r="E108" t="str">
        <f>$B$28</f>
        <v>BN-0</v>
      </c>
      <c r="F108" t="str">
        <f t="shared" si="71"/>
        <v>BN</v>
      </c>
      <c r="G108" t="str">
        <f t="shared" si="71"/>
        <v>BN</v>
      </c>
      <c r="H108">
        <f t="shared" si="73"/>
        <v>68</v>
      </c>
      <c r="I108">
        <f t="shared" si="73"/>
        <v>0</v>
      </c>
      <c r="J108">
        <f t="shared" si="73"/>
        <v>0</v>
      </c>
      <c r="K108">
        <f t="shared" si="73"/>
        <v>55</v>
      </c>
      <c r="L108">
        <f t="shared" si="73"/>
        <v>0</v>
      </c>
      <c r="M108">
        <f t="shared" si="73"/>
        <v>0</v>
      </c>
      <c r="N108" s="4">
        <f t="shared" si="74"/>
        <v>0</v>
      </c>
    </row>
    <row r="109" spans="2:14">
      <c r="B109" s="5" t="str">
        <f t="shared" si="71"/>
        <v>BN</v>
      </c>
      <c r="C109" t="str">
        <f>$B$28</f>
        <v>BN-0</v>
      </c>
      <c r="D109" t="str">
        <f>$B$28</f>
        <v>BN-0</v>
      </c>
      <c r="E109" t="str">
        <f t="shared" si="71"/>
        <v>BN</v>
      </c>
      <c r="F109" t="str">
        <f t="shared" si="71"/>
        <v>BN</v>
      </c>
      <c r="G109" t="str">
        <f t="shared" si="71"/>
        <v>BN</v>
      </c>
      <c r="H109">
        <f t="shared" si="73"/>
        <v>0</v>
      </c>
      <c r="I109">
        <f t="shared" si="73"/>
        <v>90</v>
      </c>
      <c r="J109">
        <f t="shared" si="73"/>
        <v>62</v>
      </c>
      <c r="K109">
        <f t="shared" si="73"/>
        <v>0</v>
      </c>
      <c r="L109">
        <f t="shared" si="73"/>
        <v>0</v>
      </c>
      <c r="M109">
        <f t="shared" si="73"/>
        <v>0</v>
      </c>
      <c r="N109" s="4">
        <f t="shared" si="74"/>
        <v>0</v>
      </c>
    </row>
    <row r="110" spans="2:14">
      <c r="B110" s="5" t="str">
        <f>$B$28</f>
        <v>BN-0</v>
      </c>
      <c r="C110" t="str">
        <f t="shared" si="71"/>
        <v>BN</v>
      </c>
      <c r="D110" t="str">
        <f>$B$28</f>
        <v>BN-0</v>
      </c>
      <c r="E110" t="str">
        <f t="shared" si="71"/>
        <v>BN</v>
      </c>
      <c r="F110" t="str">
        <f t="shared" si="71"/>
        <v>BN</v>
      </c>
      <c r="G110" t="str">
        <f t="shared" si="71"/>
        <v>BN</v>
      </c>
      <c r="H110">
        <f t="shared" si="73"/>
        <v>68</v>
      </c>
      <c r="I110">
        <f t="shared" si="73"/>
        <v>0</v>
      </c>
      <c r="J110">
        <f t="shared" si="73"/>
        <v>62</v>
      </c>
      <c r="K110">
        <f t="shared" si="73"/>
        <v>0</v>
      </c>
      <c r="L110">
        <f t="shared" si="73"/>
        <v>0</v>
      </c>
      <c r="M110">
        <f t="shared" si="73"/>
        <v>0</v>
      </c>
      <c r="N110" s="4">
        <f t="shared" si="74"/>
        <v>0</v>
      </c>
    </row>
    <row r="111" spans="2:14">
      <c r="B111" s="5" t="str">
        <f>$B$28</f>
        <v>BN-0</v>
      </c>
      <c r="C111" t="str">
        <f>$B$28</f>
        <v>BN-0</v>
      </c>
      <c r="D111" t="str">
        <f t="shared" si="71"/>
        <v>BN</v>
      </c>
      <c r="E111" t="str">
        <f t="shared" si="71"/>
        <v>BN</v>
      </c>
      <c r="F111" t="str">
        <f t="shared" si="71"/>
        <v>BN</v>
      </c>
      <c r="G111" t="str">
        <f t="shared" si="71"/>
        <v>BN</v>
      </c>
      <c r="H111">
        <f t="shared" si="73"/>
        <v>68</v>
      </c>
      <c r="I111">
        <f t="shared" si="73"/>
        <v>90</v>
      </c>
      <c r="J111">
        <f t="shared" si="73"/>
        <v>0</v>
      </c>
      <c r="K111">
        <f t="shared" si="73"/>
        <v>0</v>
      </c>
      <c r="L111">
        <f t="shared" si="73"/>
        <v>0</v>
      </c>
      <c r="M111">
        <f t="shared" si="73"/>
        <v>0</v>
      </c>
      <c r="N111" s="4">
        <f t="shared" si="74"/>
        <v>0</v>
      </c>
    </row>
    <row r="112" spans="2:14">
      <c r="B112" s="5"/>
      <c r="N112" s="4"/>
    </row>
    <row r="113" spans="2:14">
      <c r="B113" s="5" t="str">
        <f t="shared" si="71"/>
        <v>BN</v>
      </c>
      <c r="C113" t="str">
        <f t="shared" si="71"/>
        <v>BN</v>
      </c>
      <c r="D113" t="str">
        <f t="shared" si="71"/>
        <v>BN</v>
      </c>
      <c r="E113" t="str">
        <f>$B$28</f>
        <v>BN-0</v>
      </c>
      <c r="F113" t="str">
        <f>$B$28</f>
        <v>BN-0</v>
      </c>
      <c r="G113" t="str">
        <f>$B$28</f>
        <v>BN-0</v>
      </c>
      <c r="H113">
        <f t="shared" si="73"/>
        <v>0</v>
      </c>
      <c r="I113">
        <f t="shared" si="73"/>
        <v>0</v>
      </c>
      <c r="J113">
        <f t="shared" si="73"/>
        <v>0</v>
      </c>
      <c r="K113">
        <f t="shared" si="73"/>
        <v>55</v>
      </c>
      <c r="L113">
        <f t="shared" si="73"/>
        <v>66</v>
      </c>
      <c r="M113">
        <f t="shared" si="73"/>
        <v>98</v>
      </c>
      <c r="N113" s="4">
        <f t="shared" si="74"/>
        <v>0</v>
      </c>
    </row>
    <row r="114" spans="2:14">
      <c r="B114" s="5" t="str">
        <f t="shared" si="71"/>
        <v>BN</v>
      </c>
      <c r="C114" t="str">
        <f t="shared" si="71"/>
        <v>BN</v>
      </c>
      <c r="D114" t="str">
        <f>$B$28</f>
        <v>BN-0</v>
      </c>
      <c r="E114" t="str">
        <f t="shared" si="71"/>
        <v>BN</v>
      </c>
      <c r="F114" t="str">
        <f>$B$28</f>
        <v>BN-0</v>
      </c>
      <c r="G114" t="str">
        <f>$B$28</f>
        <v>BN-0</v>
      </c>
      <c r="H114">
        <f t="shared" si="73"/>
        <v>0</v>
      </c>
      <c r="I114">
        <f t="shared" si="73"/>
        <v>0</v>
      </c>
      <c r="J114">
        <f t="shared" si="73"/>
        <v>62</v>
      </c>
      <c r="K114">
        <f t="shared" si="73"/>
        <v>0</v>
      </c>
      <c r="L114">
        <f t="shared" si="73"/>
        <v>66</v>
      </c>
      <c r="M114">
        <f t="shared" si="73"/>
        <v>98</v>
      </c>
      <c r="N114" s="4">
        <f t="shared" si="74"/>
        <v>0</v>
      </c>
    </row>
    <row r="115" spans="2:14">
      <c r="B115" s="5" t="str">
        <f t="shared" si="71"/>
        <v>BN</v>
      </c>
      <c r="C115" t="str">
        <f>$B$28</f>
        <v>BN-0</v>
      </c>
      <c r="D115" t="str">
        <f t="shared" si="71"/>
        <v>BN</v>
      </c>
      <c r="E115" t="str">
        <f t="shared" si="71"/>
        <v>BN</v>
      </c>
      <c r="F115" t="str">
        <f t="shared" ref="B115:G132" si="75">$B$28</f>
        <v>BN-0</v>
      </c>
      <c r="G115" t="str">
        <f t="shared" si="75"/>
        <v>BN-0</v>
      </c>
      <c r="H115">
        <f t="shared" si="73"/>
        <v>0</v>
      </c>
      <c r="I115">
        <f t="shared" si="73"/>
        <v>90</v>
      </c>
      <c r="J115">
        <f t="shared" si="73"/>
        <v>0</v>
      </c>
      <c r="K115">
        <f t="shared" si="73"/>
        <v>0</v>
      </c>
      <c r="L115">
        <f t="shared" si="73"/>
        <v>66</v>
      </c>
      <c r="M115">
        <f t="shared" si="73"/>
        <v>98</v>
      </c>
      <c r="N115" s="4">
        <f t="shared" si="74"/>
        <v>0</v>
      </c>
    </row>
    <row r="116" spans="2:14">
      <c r="B116" s="5" t="str">
        <f>$B$28</f>
        <v>BN-0</v>
      </c>
      <c r="C116" t="str">
        <f t="shared" si="71"/>
        <v>BN</v>
      </c>
      <c r="D116" t="str">
        <f t="shared" si="71"/>
        <v>BN</v>
      </c>
      <c r="E116" t="str">
        <f t="shared" si="71"/>
        <v>BN</v>
      </c>
      <c r="F116" t="str">
        <f t="shared" si="75"/>
        <v>BN-0</v>
      </c>
      <c r="G116" t="str">
        <f t="shared" si="75"/>
        <v>BN-0</v>
      </c>
      <c r="H116">
        <f t="shared" ref="H116:M131" si="76">SUMIF($B$3:$B$28,B116,C$3:C$28)</f>
        <v>68</v>
      </c>
      <c r="I116">
        <f t="shared" si="76"/>
        <v>0</v>
      </c>
      <c r="J116">
        <f t="shared" si="76"/>
        <v>0</v>
      </c>
      <c r="K116">
        <f t="shared" si="76"/>
        <v>0</v>
      </c>
      <c r="L116">
        <f t="shared" si="76"/>
        <v>66</v>
      </c>
      <c r="M116">
        <f t="shared" si="76"/>
        <v>98</v>
      </c>
      <c r="N116" s="4">
        <f t="shared" si="74"/>
        <v>0</v>
      </c>
    </row>
    <row r="117" spans="2:14">
      <c r="B117" s="5" t="str">
        <f t="shared" ref="B117:G132" si="77">$B$15</f>
        <v>BN</v>
      </c>
      <c r="C117" t="str">
        <f t="shared" si="77"/>
        <v>BN</v>
      </c>
      <c r="D117" t="str">
        <f t="shared" si="75"/>
        <v>BN-0</v>
      </c>
      <c r="E117" t="str">
        <f t="shared" si="75"/>
        <v>BN-0</v>
      </c>
      <c r="F117" t="str">
        <f t="shared" si="77"/>
        <v>BN</v>
      </c>
      <c r="G117" t="str">
        <f t="shared" si="75"/>
        <v>BN-0</v>
      </c>
      <c r="H117">
        <f t="shared" si="76"/>
        <v>0</v>
      </c>
      <c r="I117">
        <f t="shared" si="76"/>
        <v>0</v>
      </c>
      <c r="J117">
        <f t="shared" si="76"/>
        <v>62</v>
      </c>
      <c r="K117">
        <f t="shared" si="76"/>
        <v>55</v>
      </c>
      <c r="L117">
        <f t="shared" si="76"/>
        <v>0</v>
      </c>
      <c r="M117">
        <f t="shared" si="76"/>
        <v>98</v>
      </c>
      <c r="N117" s="4">
        <f t="shared" si="74"/>
        <v>0</v>
      </c>
    </row>
    <row r="118" spans="2:14">
      <c r="B118" s="5" t="str">
        <f t="shared" si="77"/>
        <v>BN</v>
      </c>
      <c r="C118" t="str">
        <f t="shared" si="75"/>
        <v>BN-0</v>
      </c>
      <c r="D118" t="str">
        <f t="shared" si="77"/>
        <v>BN</v>
      </c>
      <c r="E118" t="str">
        <f t="shared" si="75"/>
        <v>BN-0</v>
      </c>
      <c r="F118" t="str">
        <f t="shared" si="77"/>
        <v>BN</v>
      </c>
      <c r="G118" t="str">
        <f t="shared" si="75"/>
        <v>BN-0</v>
      </c>
      <c r="H118">
        <f t="shared" si="76"/>
        <v>0</v>
      </c>
      <c r="I118">
        <f t="shared" si="76"/>
        <v>90</v>
      </c>
      <c r="J118">
        <f t="shared" si="76"/>
        <v>0</v>
      </c>
      <c r="K118">
        <f t="shared" si="76"/>
        <v>55</v>
      </c>
      <c r="L118">
        <f t="shared" si="76"/>
        <v>0</v>
      </c>
      <c r="M118">
        <f t="shared" si="76"/>
        <v>98</v>
      </c>
      <c r="N118" s="4">
        <f t="shared" si="74"/>
        <v>0</v>
      </c>
    </row>
    <row r="119" spans="2:14">
      <c r="B119" s="5" t="str">
        <f t="shared" si="75"/>
        <v>BN-0</v>
      </c>
      <c r="C119" t="str">
        <f t="shared" si="77"/>
        <v>BN</v>
      </c>
      <c r="D119" t="str">
        <f t="shared" si="77"/>
        <v>BN</v>
      </c>
      <c r="E119" t="str">
        <f t="shared" si="75"/>
        <v>BN-0</v>
      </c>
      <c r="F119" t="str">
        <f t="shared" si="77"/>
        <v>BN</v>
      </c>
      <c r="G119" t="str">
        <f t="shared" si="75"/>
        <v>BN-0</v>
      </c>
      <c r="H119">
        <f t="shared" si="76"/>
        <v>68</v>
      </c>
      <c r="I119">
        <f t="shared" si="76"/>
        <v>0</v>
      </c>
      <c r="J119">
        <f t="shared" si="76"/>
        <v>0</v>
      </c>
      <c r="K119">
        <f t="shared" si="76"/>
        <v>55</v>
      </c>
      <c r="L119">
        <f t="shared" si="76"/>
        <v>0</v>
      </c>
      <c r="M119">
        <f t="shared" si="76"/>
        <v>98</v>
      </c>
      <c r="N119" s="4">
        <f t="shared" si="74"/>
        <v>0</v>
      </c>
    </row>
    <row r="120" spans="2:14">
      <c r="B120" s="5" t="str">
        <f t="shared" si="77"/>
        <v>BN</v>
      </c>
      <c r="C120" t="str">
        <f t="shared" si="75"/>
        <v>BN-0</v>
      </c>
      <c r="D120" t="str">
        <f t="shared" si="75"/>
        <v>BN-0</v>
      </c>
      <c r="E120" t="str">
        <f t="shared" si="77"/>
        <v>BN</v>
      </c>
      <c r="F120" t="str">
        <f t="shared" si="77"/>
        <v>BN</v>
      </c>
      <c r="G120" t="str">
        <f t="shared" si="75"/>
        <v>BN-0</v>
      </c>
      <c r="H120">
        <f t="shared" si="76"/>
        <v>0</v>
      </c>
      <c r="I120">
        <f t="shared" si="76"/>
        <v>90</v>
      </c>
      <c r="J120">
        <f t="shared" si="76"/>
        <v>62</v>
      </c>
      <c r="K120">
        <f t="shared" si="76"/>
        <v>0</v>
      </c>
      <c r="L120">
        <f t="shared" si="76"/>
        <v>0</v>
      </c>
      <c r="M120">
        <f t="shared" si="76"/>
        <v>98</v>
      </c>
      <c r="N120" s="4">
        <f t="shared" si="74"/>
        <v>0</v>
      </c>
    </row>
    <row r="121" spans="2:14">
      <c r="B121" s="5" t="str">
        <f t="shared" si="75"/>
        <v>BN-0</v>
      </c>
      <c r="C121" t="str">
        <f t="shared" si="77"/>
        <v>BN</v>
      </c>
      <c r="D121" t="str">
        <f t="shared" si="75"/>
        <v>BN-0</v>
      </c>
      <c r="E121" t="str">
        <f t="shared" si="77"/>
        <v>BN</v>
      </c>
      <c r="F121" t="str">
        <f t="shared" si="77"/>
        <v>BN</v>
      </c>
      <c r="G121" t="str">
        <f t="shared" si="75"/>
        <v>BN-0</v>
      </c>
      <c r="H121">
        <f t="shared" si="76"/>
        <v>68</v>
      </c>
      <c r="I121">
        <f t="shared" si="76"/>
        <v>0</v>
      </c>
      <c r="J121">
        <f t="shared" si="76"/>
        <v>62</v>
      </c>
      <c r="K121">
        <f t="shared" si="76"/>
        <v>0</v>
      </c>
      <c r="L121">
        <f t="shared" si="76"/>
        <v>0</v>
      </c>
      <c r="M121">
        <f t="shared" si="76"/>
        <v>98</v>
      </c>
      <c r="N121" s="4">
        <f t="shared" si="74"/>
        <v>0</v>
      </c>
    </row>
    <row r="122" spans="2:14">
      <c r="B122" s="5" t="str">
        <f t="shared" si="75"/>
        <v>BN-0</v>
      </c>
      <c r="C122" t="str">
        <f t="shared" si="75"/>
        <v>BN-0</v>
      </c>
      <c r="D122" t="str">
        <f t="shared" si="77"/>
        <v>BN</v>
      </c>
      <c r="E122" t="str">
        <f t="shared" si="77"/>
        <v>BN</v>
      </c>
      <c r="F122" t="str">
        <f t="shared" si="77"/>
        <v>BN</v>
      </c>
      <c r="G122" t="str">
        <f t="shared" si="75"/>
        <v>BN-0</v>
      </c>
      <c r="H122">
        <f t="shared" si="76"/>
        <v>68</v>
      </c>
      <c r="I122">
        <f t="shared" si="76"/>
        <v>90</v>
      </c>
      <c r="J122">
        <f t="shared" si="76"/>
        <v>0</v>
      </c>
      <c r="K122">
        <f t="shared" si="76"/>
        <v>0</v>
      </c>
      <c r="L122">
        <f t="shared" si="76"/>
        <v>0</v>
      </c>
      <c r="M122">
        <f t="shared" si="76"/>
        <v>98</v>
      </c>
      <c r="N122" s="4">
        <f t="shared" si="74"/>
        <v>0</v>
      </c>
    </row>
    <row r="123" spans="2:14">
      <c r="B123" s="5" t="str">
        <f t="shared" si="77"/>
        <v>BN</v>
      </c>
      <c r="C123" t="str">
        <f t="shared" si="77"/>
        <v>BN</v>
      </c>
      <c r="D123" t="str">
        <f t="shared" si="75"/>
        <v>BN-0</v>
      </c>
      <c r="E123" t="str">
        <f t="shared" si="75"/>
        <v>BN-0</v>
      </c>
      <c r="F123" t="str">
        <f t="shared" si="75"/>
        <v>BN-0</v>
      </c>
      <c r="G123" t="str">
        <f t="shared" si="77"/>
        <v>BN</v>
      </c>
      <c r="H123">
        <f t="shared" si="76"/>
        <v>0</v>
      </c>
      <c r="I123">
        <f t="shared" si="76"/>
        <v>0</v>
      </c>
      <c r="J123">
        <f t="shared" si="76"/>
        <v>62</v>
      </c>
      <c r="K123">
        <f t="shared" si="76"/>
        <v>55</v>
      </c>
      <c r="L123">
        <f t="shared" si="76"/>
        <v>66</v>
      </c>
      <c r="M123">
        <f t="shared" si="76"/>
        <v>0</v>
      </c>
      <c r="N123" s="4">
        <f t="shared" si="74"/>
        <v>0</v>
      </c>
    </row>
    <row r="124" spans="2:14">
      <c r="B124" s="5" t="str">
        <f t="shared" si="77"/>
        <v>BN</v>
      </c>
      <c r="C124" t="str">
        <f t="shared" si="75"/>
        <v>BN-0</v>
      </c>
      <c r="D124" t="str">
        <f t="shared" si="77"/>
        <v>BN</v>
      </c>
      <c r="E124" t="str">
        <f t="shared" si="75"/>
        <v>BN-0</v>
      </c>
      <c r="F124" t="str">
        <f t="shared" si="75"/>
        <v>BN-0</v>
      </c>
      <c r="G124" t="str">
        <f t="shared" si="77"/>
        <v>BN</v>
      </c>
      <c r="H124">
        <f t="shared" si="76"/>
        <v>0</v>
      </c>
      <c r="I124">
        <f t="shared" si="76"/>
        <v>90</v>
      </c>
      <c r="J124">
        <f t="shared" si="76"/>
        <v>0</v>
      </c>
      <c r="K124">
        <f t="shared" si="76"/>
        <v>55</v>
      </c>
      <c r="L124">
        <f t="shared" si="76"/>
        <v>66</v>
      </c>
      <c r="M124">
        <f t="shared" si="76"/>
        <v>0</v>
      </c>
      <c r="N124" s="4">
        <f t="shared" si="74"/>
        <v>0</v>
      </c>
    </row>
    <row r="125" spans="2:14">
      <c r="B125" s="5" t="str">
        <f t="shared" si="75"/>
        <v>BN-0</v>
      </c>
      <c r="C125" t="str">
        <f t="shared" si="77"/>
        <v>BN</v>
      </c>
      <c r="D125" t="str">
        <f t="shared" si="77"/>
        <v>BN</v>
      </c>
      <c r="E125" t="str">
        <f t="shared" si="75"/>
        <v>BN-0</v>
      </c>
      <c r="F125" t="str">
        <f t="shared" si="75"/>
        <v>BN-0</v>
      </c>
      <c r="G125" t="str">
        <f t="shared" si="77"/>
        <v>BN</v>
      </c>
      <c r="H125">
        <f t="shared" si="76"/>
        <v>68</v>
      </c>
      <c r="I125">
        <f t="shared" si="76"/>
        <v>0</v>
      </c>
      <c r="J125">
        <f t="shared" si="76"/>
        <v>0</v>
      </c>
      <c r="K125">
        <f t="shared" si="76"/>
        <v>55</v>
      </c>
      <c r="L125">
        <f t="shared" si="76"/>
        <v>66</v>
      </c>
      <c r="M125">
        <f t="shared" si="76"/>
        <v>0</v>
      </c>
      <c r="N125" s="4">
        <f t="shared" si="74"/>
        <v>0</v>
      </c>
    </row>
    <row r="126" spans="2:14">
      <c r="B126" s="5" t="str">
        <f t="shared" si="77"/>
        <v>BN</v>
      </c>
      <c r="C126" t="str">
        <f t="shared" si="75"/>
        <v>BN-0</v>
      </c>
      <c r="D126" t="str">
        <f t="shared" si="75"/>
        <v>BN-0</v>
      </c>
      <c r="E126" t="str">
        <f t="shared" si="77"/>
        <v>BN</v>
      </c>
      <c r="F126" t="str">
        <f t="shared" si="75"/>
        <v>BN-0</v>
      </c>
      <c r="G126" t="str">
        <f t="shared" si="77"/>
        <v>BN</v>
      </c>
      <c r="H126">
        <f t="shared" si="76"/>
        <v>0</v>
      </c>
      <c r="I126">
        <f t="shared" si="76"/>
        <v>90</v>
      </c>
      <c r="J126">
        <f t="shared" si="76"/>
        <v>62</v>
      </c>
      <c r="K126">
        <f t="shared" si="76"/>
        <v>0</v>
      </c>
      <c r="L126">
        <f t="shared" si="76"/>
        <v>66</v>
      </c>
      <c r="M126">
        <f t="shared" si="76"/>
        <v>0</v>
      </c>
      <c r="N126" s="4">
        <f t="shared" si="74"/>
        <v>0</v>
      </c>
    </row>
    <row r="127" spans="2:14">
      <c r="B127" s="5" t="str">
        <f t="shared" si="75"/>
        <v>BN-0</v>
      </c>
      <c r="C127" t="str">
        <f t="shared" si="77"/>
        <v>BN</v>
      </c>
      <c r="D127" t="str">
        <f t="shared" si="75"/>
        <v>BN-0</v>
      </c>
      <c r="E127" t="str">
        <f t="shared" si="77"/>
        <v>BN</v>
      </c>
      <c r="F127" t="str">
        <f t="shared" si="75"/>
        <v>BN-0</v>
      </c>
      <c r="G127" t="str">
        <f t="shared" si="77"/>
        <v>BN</v>
      </c>
      <c r="H127">
        <f t="shared" si="76"/>
        <v>68</v>
      </c>
      <c r="I127">
        <f t="shared" si="76"/>
        <v>0</v>
      </c>
      <c r="J127">
        <f t="shared" si="76"/>
        <v>62</v>
      </c>
      <c r="K127">
        <f t="shared" si="76"/>
        <v>0</v>
      </c>
      <c r="L127">
        <f t="shared" si="76"/>
        <v>66</v>
      </c>
      <c r="M127">
        <f t="shared" si="76"/>
        <v>0</v>
      </c>
      <c r="N127" s="4">
        <f t="shared" si="74"/>
        <v>0</v>
      </c>
    </row>
    <row r="128" spans="2:14">
      <c r="B128" s="5" t="str">
        <f t="shared" si="75"/>
        <v>BN-0</v>
      </c>
      <c r="C128" t="str">
        <f t="shared" si="75"/>
        <v>BN-0</v>
      </c>
      <c r="D128" t="str">
        <f t="shared" si="77"/>
        <v>BN</v>
      </c>
      <c r="E128" t="str">
        <f t="shared" si="77"/>
        <v>BN</v>
      </c>
      <c r="F128" t="str">
        <f t="shared" si="75"/>
        <v>BN-0</v>
      </c>
      <c r="G128" t="str">
        <f t="shared" si="77"/>
        <v>BN</v>
      </c>
      <c r="H128">
        <f t="shared" si="76"/>
        <v>68</v>
      </c>
      <c r="I128">
        <f t="shared" si="76"/>
        <v>90</v>
      </c>
      <c r="J128">
        <f t="shared" si="76"/>
        <v>0</v>
      </c>
      <c r="K128">
        <f t="shared" si="76"/>
        <v>0</v>
      </c>
      <c r="L128">
        <f t="shared" si="76"/>
        <v>66</v>
      </c>
      <c r="M128">
        <f t="shared" si="76"/>
        <v>0</v>
      </c>
      <c r="N128" s="4">
        <f t="shared" si="74"/>
        <v>0</v>
      </c>
    </row>
    <row r="129" spans="2:14">
      <c r="B129" s="5" t="str">
        <f t="shared" si="77"/>
        <v>BN</v>
      </c>
      <c r="C129" t="str">
        <f t="shared" si="75"/>
        <v>BN-0</v>
      </c>
      <c r="D129" t="str">
        <f t="shared" si="75"/>
        <v>BN-0</v>
      </c>
      <c r="E129" t="str">
        <f t="shared" si="75"/>
        <v>BN-0</v>
      </c>
      <c r="F129" t="str">
        <f t="shared" si="77"/>
        <v>BN</v>
      </c>
      <c r="G129" t="str">
        <f t="shared" si="77"/>
        <v>BN</v>
      </c>
      <c r="H129">
        <f t="shared" si="76"/>
        <v>0</v>
      </c>
      <c r="I129">
        <f t="shared" si="76"/>
        <v>90</v>
      </c>
      <c r="J129">
        <f t="shared" si="76"/>
        <v>62</v>
      </c>
      <c r="K129">
        <f t="shared" si="76"/>
        <v>55</v>
      </c>
      <c r="L129">
        <f t="shared" si="76"/>
        <v>0</v>
      </c>
      <c r="M129">
        <f t="shared" si="76"/>
        <v>0</v>
      </c>
      <c r="N129" s="4">
        <f t="shared" si="74"/>
        <v>0</v>
      </c>
    </row>
    <row r="130" spans="2:14">
      <c r="B130" s="5" t="str">
        <f t="shared" si="75"/>
        <v>BN-0</v>
      </c>
      <c r="C130" t="str">
        <f t="shared" si="77"/>
        <v>BN</v>
      </c>
      <c r="D130" t="str">
        <f t="shared" si="75"/>
        <v>BN-0</v>
      </c>
      <c r="E130" t="str">
        <f t="shared" si="75"/>
        <v>BN-0</v>
      </c>
      <c r="F130" t="str">
        <f t="shared" si="77"/>
        <v>BN</v>
      </c>
      <c r="G130" t="str">
        <f t="shared" si="77"/>
        <v>BN</v>
      </c>
      <c r="H130">
        <f t="shared" si="76"/>
        <v>68</v>
      </c>
      <c r="I130">
        <f t="shared" si="76"/>
        <v>0</v>
      </c>
      <c r="J130">
        <f t="shared" si="76"/>
        <v>62</v>
      </c>
      <c r="K130">
        <f t="shared" si="76"/>
        <v>55</v>
      </c>
      <c r="L130">
        <f t="shared" si="76"/>
        <v>0</v>
      </c>
      <c r="M130">
        <f t="shared" si="76"/>
        <v>0</v>
      </c>
      <c r="N130" s="4">
        <f t="shared" si="74"/>
        <v>0</v>
      </c>
    </row>
    <row r="131" spans="2:14">
      <c r="B131" s="5" t="str">
        <f t="shared" si="75"/>
        <v>BN-0</v>
      </c>
      <c r="C131" t="str">
        <f t="shared" si="75"/>
        <v>BN-0</v>
      </c>
      <c r="D131" t="str">
        <f t="shared" si="77"/>
        <v>BN</v>
      </c>
      <c r="E131" t="str">
        <f t="shared" si="75"/>
        <v>BN-0</v>
      </c>
      <c r="F131" t="str">
        <f t="shared" si="77"/>
        <v>BN</v>
      </c>
      <c r="G131" t="str">
        <f t="shared" si="77"/>
        <v>BN</v>
      </c>
      <c r="H131">
        <f t="shared" si="76"/>
        <v>68</v>
      </c>
      <c r="I131">
        <f t="shared" si="76"/>
        <v>90</v>
      </c>
      <c r="J131">
        <f t="shared" si="76"/>
        <v>0</v>
      </c>
      <c r="K131">
        <f t="shared" si="76"/>
        <v>55</v>
      </c>
      <c r="L131">
        <f t="shared" si="76"/>
        <v>0</v>
      </c>
      <c r="M131">
        <f t="shared" si="76"/>
        <v>0</v>
      </c>
      <c r="N131" s="4">
        <f t="shared" si="74"/>
        <v>0</v>
      </c>
    </row>
    <row r="132" spans="2:14">
      <c r="B132" s="3" t="str">
        <f t="shared" si="75"/>
        <v>BN-0</v>
      </c>
      <c r="C132" s="2" t="str">
        <f t="shared" si="75"/>
        <v>BN-0</v>
      </c>
      <c r="D132" s="2" t="str">
        <f t="shared" si="75"/>
        <v>BN-0</v>
      </c>
      <c r="E132" s="2" t="str">
        <f t="shared" si="77"/>
        <v>BN</v>
      </c>
      <c r="F132" s="2" t="str">
        <f t="shared" si="77"/>
        <v>BN</v>
      </c>
      <c r="G132" s="2" t="str">
        <f t="shared" si="77"/>
        <v>BN</v>
      </c>
      <c r="H132" s="2">
        <f t="shared" ref="H132:M132" si="78">SUMIF($B$3:$B$28,B132,C$3:C$28)</f>
        <v>68</v>
      </c>
      <c r="I132" s="2">
        <f t="shared" si="78"/>
        <v>90</v>
      </c>
      <c r="J132" s="2">
        <f t="shared" si="78"/>
        <v>62</v>
      </c>
      <c r="K132" s="2">
        <f t="shared" si="78"/>
        <v>0</v>
      </c>
      <c r="L132" s="2">
        <f t="shared" si="78"/>
        <v>0</v>
      </c>
      <c r="M132" s="2">
        <f t="shared" si="78"/>
        <v>0</v>
      </c>
      <c r="N132" s="1">
        <f t="shared" si="74"/>
        <v>0</v>
      </c>
    </row>
  </sheetData>
  <mergeCells count="4">
    <mergeCell ref="K17:P17"/>
    <mergeCell ref="AA17:AF17"/>
    <mergeCell ref="AK17:AL17"/>
    <mergeCell ref="AK18:AL18"/>
  </mergeCells>
  <conditionalFormatting sqref="AA18:AF52">
    <cfRule type="cellIs" dxfId="9" priority="1" operator="equal">
      <formula>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3FF1-F089-448E-99B2-1B01DF35AE81}">
  <dimension ref="B2:BL135"/>
  <sheetViews>
    <sheetView zoomScale="66" zoomScaleNormal="84" workbookViewId="0">
      <selection activeCell="H10" sqref="H10:H107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'Buy FG1 Calc'!K26</f>
        <v>2</v>
      </c>
      <c r="S3" s="37">
        <f>'Buy FG1 Calc'!L26</f>
        <v>2</v>
      </c>
      <c r="T3" s="37">
        <f>'Buy FG1 Calc'!M26</f>
        <v>2</v>
      </c>
      <c r="U3" s="37">
        <f>'Buy FG1 Calc'!N26</f>
        <v>2</v>
      </c>
      <c r="V3" s="37">
        <f>'Buy FG1 Calc'!O26</f>
        <v>2</v>
      </c>
      <c r="W3" s="38">
        <f>'Buy FG1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LL</v>
      </c>
      <c r="D4" s="32" t="str">
        <f t="shared" si="1"/>
        <v>KK</v>
      </c>
      <c r="E4" s="32" t="str">
        <f t="shared" si="1"/>
        <v>JJ</v>
      </c>
      <c r="F4" s="32" t="str">
        <f t="shared" si="1"/>
        <v>KK</v>
      </c>
      <c r="G4" s="32" t="str">
        <f t="shared" si="1"/>
        <v>KK</v>
      </c>
      <c r="H4" s="33" t="str">
        <f t="shared" si="1"/>
        <v>BB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JJ</v>
      </c>
      <c r="D5" s="30" t="str">
        <f t="shared" si="1"/>
        <v>HH</v>
      </c>
      <c r="E5" s="30" t="str">
        <f t="shared" si="1"/>
        <v>AA</v>
      </c>
      <c r="F5" s="30" t="str">
        <f t="shared" si="1"/>
        <v>AA</v>
      </c>
      <c r="G5" s="30" t="str">
        <f t="shared" si="1"/>
        <v>JJ</v>
      </c>
      <c r="H5" s="35" t="str">
        <f t="shared" si="1"/>
        <v>KK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GG</v>
      </c>
      <c r="D6" s="30" t="str">
        <f t="shared" si="1"/>
        <v>LL</v>
      </c>
      <c r="E6" s="30" t="str">
        <f t="shared" si="1"/>
        <v>HH</v>
      </c>
      <c r="F6" s="30" t="str">
        <f t="shared" si="1"/>
        <v>LL</v>
      </c>
      <c r="G6" s="30" t="str">
        <f t="shared" si="1"/>
        <v>CC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LL</v>
      </c>
      <c r="D7" s="30" t="str">
        <f t="shared" si="1"/>
        <v>JJ</v>
      </c>
      <c r="E7" s="30" t="str">
        <f t="shared" si="1"/>
        <v>KK</v>
      </c>
      <c r="F7" s="30" t="str">
        <f t="shared" si="1"/>
        <v>GG</v>
      </c>
      <c r="G7" s="30" t="str">
        <f t="shared" si="1"/>
        <v>JJ</v>
      </c>
      <c r="H7" s="35" t="str">
        <f t="shared" si="1"/>
        <v>LL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KK</v>
      </c>
      <c r="D8" s="30" t="str">
        <f t="shared" si="1"/>
        <v>AA</v>
      </c>
      <c r="E8" s="30" t="str">
        <f t="shared" si="1"/>
        <v>JJ</v>
      </c>
      <c r="F8" s="30" t="str">
        <f t="shared" si="1"/>
        <v>AA</v>
      </c>
      <c r="G8" s="30" t="str">
        <f t="shared" si="1"/>
        <v>FF</v>
      </c>
      <c r="H8" s="35" t="str">
        <f t="shared" si="1"/>
        <v>DD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FF</v>
      </c>
      <c r="D9" s="37" t="str">
        <f t="shared" si="1"/>
        <v>BB</v>
      </c>
      <c r="E9" s="37" t="str">
        <f t="shared" si="1"/>
        <v>AA</v>
      </c>
      <c r="F9" s="37" t="str">
        <f t="shared" si="1"/>
        <v>JJ</v>
      </c>
      <c r="G9" s="37" t="str">
        <f t="shared" si="1"/>
        <v>CC</v>
      </c>
      <c r="H9" s="38" t="str">
        <f t="shared" si="1"/>
        <v>CC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137</v>
      </c>
      <c r="D10" s="30" t="s">
        <v>133</v>
      </c>
      <c r="E10" s="30" t="s">
        <v>138</v>
      </c>
      <c r="F10" s="30" t="s">
        <v>128</v>
      </c>
      <c r="G10" s="30" t="s">
        <v>133</v>
      </c>
      <c r="H10" s="35" t="s">
        <v>133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0000011000000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0010000100000</v>
      </c>
      <c r="AD10" s="15" t="str">
        <f t="shared" si="7"/>
        <v>0100000000010</v>
      </c>
      <c r="AE10" s="15" t="str">
        <f t="shared" si="7"/>
        <v>0000001001000</v>
      </c>
      <c r="AF10" s="15" t="str">
        <f t="shared" si="7"/>
        <v>0001000100000</v>
      </c>
      <c r="AG10" s="41" t="str">
        <f t="shared" si="7"/>
        <v>0001000100000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134</v>
      </c>
      <c r="D11" s="30" t="s">
        <v>133</v>
      </c>
      <c r="E11" s="30" t="s">
        <v>128</v>
      </c>
      <c r="F11" s="30" t="s">
        <v>132</v>
      </c>
      <c r="G11" s="30" t="s">
        <v>134</v>
      </c>
      <c r="H11" s="35" t="s">
        <v>133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5</v>
      </c>
      <c r="S11" s="30">
        <f t="shared" si="5"/>
        <v>14</v>
      </c>
      <c r="T11" s="30">
        <f t="shared" si="5"/>
        <v>8</v>
      </c>
      <c r="U11" s="30">
        <f t="shared" si="5"/>
        <v>9</v>
      </c>
      <c r="V11" s="30">
        <f t="shared" si="5"/>
        <v>5</v>
      </c>
      <c r="W11" s="35">
        <f t="shared" si="5"/>
        <v>8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0001010000000</v>
      </c>
      <c r="AC11" s="15" t="str">
        <f t="shared" si="7"/>
        <v>0000000200000</v>
      </c>
      <c r="AD11" s="15" t="str">
        <f t="shared" si="7"/>
        <v>0000001000010</v>
      </c>
      <c r="AE11" s="15" t="str">
        <f t="shared" si="7"/>
        <v>0000001000100</v>
      </c>
      <c r="AF11" s="15" t="str">
        <f t="shared" si="7"/>
        <v>0001000100000</v>
      </c>
      <c r="AG11" s="41" t="str">
        <f t="shared" si="7"/>
        <v>0000000200000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10</v>
      </c>
      <c r="AT11" s="30" cm="1">
        <f t="array" ref="AT11">SUMPRODUCT($AI$10:$AI$113,AL$10:AL$113,IF(LEFT($AJ$10:$AJ$113,2)=$AR11,1,0))</f>
        <v>28</v>
      </c>
      <c r="AU11" s="30" cm="1">
        <f t="array" ref="AU11">SUMPRODUCT($AI$10:$AI$113,AM$10:AM$113,IF(LEFT($AJ$10:$AJ$113,2)=$AR11,1,0))</f>
        <v>16</v>
      </c>
      <c r="AV11" s="30" cm="1">
        <f t="array" ref="AV11">SUMPRODUCT($AI$10:$AI$113,AN$10:AN$113,IF(LEFT($AJ$10:$AJ$113,2)=$AR11,1,0))</f>
        <v>18</v>
      </c>
      <c r="AW11" s="30" cm="1">
        <f t="array" ref="AW11">SUMPRODUCT($AI$10:$AI$113,AO$10:AO$113,IF(LEFT($AJ$10:$AJ$113,2)=$AR11,1,0))</f>
        <v>10</v>
      </c>
      <c r="AX11" s="35" cm="1">
        <f t="array" ref="AX11">SUMPRODUCT($AI$10:$AI$113,AP$10:AP$113,IF(LEFT($AJ$10:$AJ$113,2)=$AR11,1,0))</f>
        <v>16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128</v>
      </c>
      <c r="D12" s="30" t="s">
        <v>133</v>
      </c>
      <c r="E12" s="30" t="s">
        <v>128</v>
      </c>
      <c r="F12" s="30" t="s">
        <v>131</v>
      </c>
      <c r="G12" s="30" t="s">
        <v>136</v>
      </c>
      <c r="H12" s="35" t="s">
        <v>133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5</v>
      </c>
      <c r="S12" s="30">
        <f t="shared" si="5"/>
        <v>12</v>
      </c>
      <c r="T12" s="30">
        <f t="shared" si="5"/>
        <v>7</v>
      </c>
      <c r="U12" s="30">
        <f t="shared" si="5"/>
        <v>7</v>
      </c>
      <c r="V12" s="30">
        <f t="shared" si="5"/>
        <v>8</v>
      </c>
      <c r="W12" s="35">
        <f t="shared" si="5"/>
        <v>13</v>
      </c>
      <c r="Y12" s="20">
        <f t="shared" si="6"/>
        <v>4</v>
      </c>
      <c r="Z12" s="23" t="s">
        <v>134</v>
      </c>
      <c r="AB12" s="40" t="str">
        <f t="shared" si="11"/>
        <v>0001001000000</v>
      </c>
      <c r="AC12" s="15" t="str">
        <f t="shared" si="7"/>
        <v>0000000200000</v>
      </c>
      <c r="AD12" s="15" t="str">
        <f t="shared" si="7"/>
        <v>0000002000000</v>
      </c>
      <c r="AE12" s="15" t="str">
        <f t="shared" si="7"/>
        <v>0100000000100</v>
      </c>
      <c r="AF12" s="15" t="str">
        <f t="shared" si="7"/>
        <v>0001100000000</v>
      </c>
      <c r="AG12" s="41" t="str">
        <f t="shared" si="7"/>
        <v>0000000200000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10</v>
      </c>
      <c r="AT12" s="30" cm="1">
        <f t="array" ref="AT12">SUMPRODUCT($AI$10:$AI$113,AL$10:AL$113,IF(LEFT($AJ$10:$AJ$113,2)=$AR12,1,0))</f>
        <v>24</v>
      </c>
      <c r="AU12" s="30" cm="1">
        <f t="array" ref="AU12">SUMPRODUCT($AI$10:$AI$113,AM$10:AM$113,IF(LEFT($AJ$10:$AJ$113,2)=$AR12,1,0))</f>
        <v>14</v>
      </c>
      <c r="AV12" s="30" cm="1">
        <f t="array" ref="AV12">SUMPRODUCT($AI$10:$AI$113,AN$10:AN$113,IF(LEFT($AJ$10:$AJ$113,2)=$AR12,1,0))</f>
        <v>14</v>
      </c>
      <c r="AW12" s="30" cm="1">
        <f t="array" ref="AW12">SUMPRODUCT($AI$10:$AI$113,AO$10:AO$113,IF(LEFT($AJ$10:$AJ$113,2)=$AR12,1,0))</f>
        <v>16</v>
      </c>
      <c r="AX12" s="35" cm="1">
        <f t="array" ref="AX12">SUMPRODUCT($AI$10:$AI$113,AP$10:AP$113,IF(LEFT($AJ$10:$AJ$113,2)=$AR12,1,0))</f>
        <v>26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129</v>
      </c>
      <c r="D13" s="30" t="s">
        <v>128</v>
      </c>
      <c r="E13" s="30" t="s">
        <v>128</v>
      </c>
      <c r="F13" s="30" t="s">
        <v>132</v>
      </c>
      <c r="G13" s="30" t="s">
        <v>129</v>
      </c>
      <c r="H13" s="35" t="s">
        <v>132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10</v>
      </c>
      <c r="S13" s="30">
        <f t="shared" si="5"/>
        <v>10</v>
      </c>
      <c r="T13" s="30">
        <f t="shared" si="5"/>
        <v>4</v>
      </c>
      <c r="U13" s="30">
        <f t="shared" si="5"/>
        <v>4</v>
      </c>
      <c r="V13" s="30">
        <f t="shared" si="5"/>
        <v>11</v>
      </c>
      <c r="W13" s="35">
        <f t="shared" si="5"/>
        <v>11</v>
      </c>
      <c r="Y13" s="20">
        <f t="shared" si="6"/>
        <v>5</v>
      </c>
      <c r="Z13" s="23" t="s">
        <v>136</v>
      </c>
      <c r="AB13" s="40" t="str">
        <f t="shared" si="11"/>
        <v>0000001001000</v>
      </c>
      <c r="AC13" s="15" t="str">
        <f t="shared" si="7"/>
        <v>0000001100000</v>
      </c>
      <c r="AD13" s="15" t="str">
        <f t="shared" si="7"/>
        <v>0000002000000</v>
      </c>
      <c r="AE13" s="15" t="str">
        <f t="shared" si="7"/>
        <v>0100000000100</v>
      </c>
      <c r="AF13" s="15" t="str">
        <f t="shared" si="7"/>
        <v>0000100001000</v>
      </c>
      <c r="AG13" s="41" t="str">
        <f t="shared" si="7"/>
        <v>0000000100100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20</v>
      </c>
      <c r="AT13" s="30" cm="1">
        <f t="array" ref="AT13">SUMPRODUCT($AI$10:$AI$113,AL$10:AL$113,IF(LEFT($AJ$10:$AJ$113,2)=$AR13,1,0))</f>
        <v>20</v>
      </c>
      <c r="AU13" s="30" cm="1">
        <f t="array" ref="AU13">SUMPRODUCT($AI$10:$AI$113,AM$10:AM$113,IF(LEFT($AJ$10:$AJ$113,2)=$AR13,1,0))</f>
        <v>8</v>
      </c>
      <c r="AV13" s="30" cm="1">
        <f t="array" ref="AV13">SUMPRODUCT($AI$10:$AI$113,AN$10:AN$113,IF(LEFT($AJ$10:$AJ$113,2)=$AR13,1,0))</f>
        <v>8</v>
      </c>
      <c r="AW13" s="30" cm="1">
        <f t="array" ref="AW13">SUMPRODUCT($AI$10:$AI$113,AO$10:AO$113,IF(LEFT($AJ$10:$AJ$113,2)=$AR13,1,0))</f>
        <v>22</v>
      </c>
      <c r="AX13" s="35" cm="1">
        <f t="array" ref="AX13">SUMPRODUCT($AI$10:$AI$113,AP$10:AP$113,IF(LEFT($AJ$10:$AJ$113,2)=$AR13,1,0))</f>
        <v>22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133</v>
      </c>
      <c r="D14" s="30" t="s">
        <v>131</v>
      </c>
      <c r="E14" s="30" t="s">
        <v>132</v>
      </c>
      <c r="F14" s="30" t="s">
        <v>132</v>
      </c>
      <c r="G14" s="30" t="s">
        <v>129</v>
      </c>
      <c r="H14" s="35" t="s">
        <v>134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5</v>
      </c>
      <c r="S14" s="30">
        <f t="shared" si="5"/>
        <v>2</v>
      </c>
      <c r="T14" s="30">
        <f t="shared" si="5"/>
        <v>1</v>
      </c>
      <c r="U14" s="30">
        <f t="shared" si="5"/>
        <v>1</v>
      </c>
      <c r="V14" s="30">
        <f t="shared" si="5"/>
        <v>2</v>
      </c>
      <c r="W14" s="35">
        <f t="shared" si="5"/>
        <v>9</v>
      </c>
      <c r="Y14" s="20">
        <f t="shared" si="6"/>
        <v>6</v>
      </c>
      <c r="Z14" s="23" t="s">
        <v>137</v>
      </c>
      <c r="AB14" s="40" t="str">
        <f t="shared" si="11"/>
        <v>0000000101000</v>
      </c>
      <c r="AC14" s="15" t="str">
        <f t="shared" si="7"/>
        <v>0100001000000</v>
      </c>
      <c r="AD14" s="15" t="str">
        <f t="shared" si="7"/>
        <v>0000001000100</v>
      </c>
      <c r="AE14" s="15" t="str">
        <f t="shared" si="7"/>
        <v>0000000000200</v>
      </c>
      <c r="AF14" s="15" t="str">
        <f t="shared" si="7"/>
        <v>0000000002000</v>
      </c>
      <c r="AG14" s="41" t="str">
        <f t="shared" si="7"/>
        <v>0001000000100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10</v>
      </c>
      <c r="AT14" s="30" cm="1">
        <f t="array" ref="AT14">SUMPRODUCT($AI$10:$AI$113,AL$10:AL$113,IF(LEFT($AJ$10:$AJ$113,2)=$AR14,1,0))</f>
        <v>4</v>
      </c>
      <c r="AU14" s="30" cm="1">
        <f t="array" ref="AU14">SUMPRODUCT($AI$10:$AI$113,AM$10:AM$113,IF(LEFT($AJ$10:$AJ$113,2)=$AR14,1,0))</f>
        <v>2</v>
      </c>
      <c r="AV14" s="30" cm="1">
        <f t="array" ref="AV14">SUMPRODUCT($AI$10:$AI$113,AN$10:AN$113,IF(LEFT($AJ$10:$AJ$113,2)=$AR14,1,0))</f>
        <v>2</v>
      </c>
      <c r="AW14" s="30" cm="1">
        <f t="array" ref="AW14">SUMPRODUCT($AI$10:$AI$113,AO$10:AO$113,IF(LEFT($AJ$10:$AJ$113,2)=$AR14,1,0))</f>
        <v>4</v>
      </c>
      <c r="AX14" s="35" cm="1">
        <f t="array" ref="AX14">SUMPRODUCT($AI$10:$AI$113,AP$10:AP$113,IF(LEFT($AJ$10:$AJ$113,2)=$AR14,1,0))</f>
        <v>18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133</v>
      </c>
      <c r="D15" s="30" t="s">
        <v>131</v>
      </c>
      <c r="E15" s="30" t="s">
        <v>137</v>
      </c>
      <c r="F15" s="30" t="s">
        <v>132</v>
      </c>
      <c r="G15" s="30" t="s">
        <v>129</v>
      </c>
      <c r="H15" s="35" t="s">
        <v>134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1</v>
      </c>
      <c r="S15" s="30">
        <f t="shared" si="5"/>
        <v>2</v>
      </c>
      <c r="T15" s="30">
        <f t="shared" si="5"/>
        <v>3</v>
      </c>
      <c r="U15" s="30">
        <f t="shared" si="5"/>
        <v>1</v>
      </c>
      <c r="V15" s="30">
        <f t="shared" si="5"/>
        <v>2</v>
      </c>
      <c r="W15" s="35">
        <f t="shared" si="5"/>
        <v>3</v>
      </c>
      <c r="Y15" s="20">
        <f t="shared" si="6"/>
        <v>7</v>
      </c>
      <c r="Z15" s="23" t="s">
        <v>128</v>
      </c>
      <c r="AB15" s="40" t="str">
        <f t="shared" si="11"/>
        <v>0000000200000</v>
      </c>
      <c r="AC15" s="15" t="str">
        <f t="shared" si="7"/>
        <v>0200000000000</v>
      </c>
      <c r="AD15" s="15" t="str">
        <f t="shared" si="7"/>
        <v>0000010000100</v>
      </c>
      <c r="AE15" s="15" t="str">
        <f t="shared" si="7"/>
        <v>0000000000200</v>
      </c>
      <c r="AF15" s="15" t="str">
        <f t="shared" si="7"/>
        <v>0000000002000</v>
      </c>
      <c r="AG15" s="41" t="str">
        <f t="shared" si="7"/>
        <v>0002000000000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2</v>
      </c>
      <c r="AL15" s="39" cm="1">
        <f t="array" ref="AL15">SUMPRODUCT(--(MID(AC$10:AC$135, SUMIF($Z$9:$Z$21, LEFT($AJ15,2), $Y$9:$Y$21), 1) = RIGHT($AJ15, 1)), K$10:K$135)</f>
        <v>3</v>
      </c>
      <c r="AM15" s="39" cm="1">
        <f t="array" ref="AM15">SUMPRODUCT(--(MID(AD$10:AD$135, SUMIF($Z$9:$Z$21, LEFT($AJ15,2), $Y$9:$Y$21), 1) = RIGHT($AJ15, 1)), L$10:L$135)</f>
        <v>2</v>
      </c>
      <c r="AN15" s="39" cm="1">
        <f t="array" ref="AN15">SUMPRODUCT(--(MID(AE$10:AE$135, SUMIF($Z$9:$Z$21, LEFT($AJ15,2), $Y$9:$Y$21), 1) = RIGHT($AJ15, 1)), M$10:M$135)</f>
        <v>2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3</v>
      </c>
      <c r="AR15" s="34" t="str">
        <f t="shared" si="8"/>
        <v>EE</v>
      </c>
      <c r="AS15" s="30" cm="1">
        <f t="array" ref="AS15">SUMPRODUCT($AI$10:$AI$113,AK$10:AK$113,IF(LEFT($AJ$10:$AJ$113,2)=$AR15,1,0))</f>
        <v>2</v>
      </c>
      <c r="AT15" s="30" cm="1">
        <f t="array" ref="AT15">SUMPRODUCT($AI$10:$AI$113,AL$10:AL$113,IF(LEFT($AJ$10:$AJ$113,2)=$AR15,1,0))</f>
        <v>4</v>
      </c>
      <c r="AU15" s="30" cm="1">
        <f t="array" ref="AU15">SUMPRODUCT($AI$10:$AI$113,AM$10:AM$113,IF(LEFT($AJ$10:$AJ$113,2)=$AR15,1,0))</f>
        <v>6</v>
      </c>
      <c r="AV15" s="30" cm="1">
        <f t="array" ref="AV15">SUMPRODUCT($AI$10:$AI$113,AN$10:AN$113,IF(LEFT($AJ$10:$AJ$113,2)=$AR15,1,0))</f>
        <v>2</v>
      </c>
      <c r="AW15" s="30" cm="1">
        <f t="array" ref="AW15">SUMPRODUCT($AI$10:$AI$113,AO$10:AO$113,IF(LEFT($AJ$10:$AJ$113,2)=$AR15,1,0))</f>
        <v>4</v>
      </c>
      <c r="AX15" s="35" cm="1">
        <f t="array" ref="AX15">SUMPRODUCT($AI$10:$AI$113,AP$10:AP$113,IF(LEFT($AJ$10:$AJ$113,2)=$AR15,1,0))</f>
        <v>6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133</v>
      </c>
      <c r="D16" s="30" t="s">
        <v>131</v>
      </c>
      <c r="E16" s="30" t="s">
        <v>127</v>
      </c>
      <c r="F16" s="30" t="s">
        <v>130</v>
      </c>
      <c r="G16" s="30" t="s">
        <v>128</v>
      </c>
      <c r="H16" s="35" t="s">
        <v>134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6</v>
      </c>
      <c r="S16" s="30">
        <f t="shared" si="5"/>
        <v>8</v>
      </c>
      <c r="T16" s="30">
        <f t="shared" si="5"/>
        <v>5</v>
      </c>
      <c r="U16" s="30">
        <f t="shared" si="5"/>
        <v>1</v>
      </c>
      <c r="V16" s="30">
        <f t="shared" si="5"/>
        <v>6</v>
      </c>
      <c r="W16" s="35">
        <f t="shared" si="5"/>
        <v>12</v>
      </c>
      <c r="Y16" s="20">
        <f t="shared" si="6"/>
        <v>8</v>
      </c>
      <c r="Z16" s="23" t="s">
        <v>133</v>
      </c>
      <c r="AB16" s="40" t="str">
        <f t="shared" si="11"/>
        <v>0000000200000</v>
      </c>
      <c r="AC16" s="15" t="str">
        <f t="shared" si="7"/>
        <v>0200000000000</v>
      </c>
      <c r="AD16" s="15" t="str">
        <f t="shared" si="7"/>
        <v>0010010000000</v>
      </c>
      <c r="AE16" s="15" t="str">
        <f t="shared" si="7"/>
        <v>0000000010100</v>
      </c>
      <c r="AF16" s="15" t="str">
        <f t="shared" si="7"/>
        <v>0000001001000</v>
      </c>
      <c r="AG16" s="41" t="str">
        <f t="shared" si="7"/>
        <v>0002000000000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6</v>
      </c>
      <c r="AL16" s="39" cm="1">
        <f t="array" ref="AL16">SUMPRODUCT(--(MID(AC$10:AC$135, SUMIF($Z$9:$Z$21, LEFT($AJ16,2), $Y$9:$Y$21), 1) = RIGHT($AJ16, 1)), K$10:K$135)</f>
        <v>22</v>
      </c>
      <c r="AM16" s="39" cm="1">
        <f t="array" ref="AM16">SUMPRODUCT(--(MID(AD$10:AD$135, SUMIF($Z$9:$Z$21, LEFT($AJ16,2), $Y$9:$Y$21), 1) = RIGHT($AJ16, 1)), L$10:L$135)</f>
        <v>12</v>
      </c>
      <c r="AN16" s="39" cm="1">
        <f t="array" ref="AN16">SUMPRODUCT(--(MID(AE$10:AE$135, SUMIF($Z$9:$Z$21, LEFT($AJ16,2), $Y$9:$Y$21), 1) = RIGHT($AJ16, 1)), M$10:M$135)</f>
        <v>14</v>
      </c>
      <c r="AO16" s="39" cm="1">
        <f t="array" ref="AO16">SUMPRODUCT(--(MID(AF$10:AF$135, SUMIF($Z$9:$Z$21, LEFT($AJ16,2), $Y$9:$Y$21), 1) = RIGHT($AJ16, 1)), N$10:N$135)</f>
        <v>6</v>
      </c>
      <c r="AP16" s="19" cm="1">
        <f t="array" ref="AP16">SUMPRODUCT(--(MID(AG$10:AG$135, SUMIF($Z$9:$Z$21, LEFT($AJ16,2), $Y$9:$Y$21), 1) = RIGHT($AJ16, 1)), O$10:O$135)</f>
        <v>10</v>
      </c>
      <c r="AR16" s="34" t="str">
        <f t="shared" si="8"/>
        <v>FF</v>
      </c>
      <c r="AS16" s="30" cm="1">
        <f t="array" ref="AS16">SUMPRODUCT($AI$10:$AI$113,AK$10:AK$113,IF(LEFT($AJ$10:$AJ$113,2)=$AR16,1,0))</f>
        <v>12</v>
      </c>
      <c r="AT16" s="30" cm="1">
        <f t="array" ref="AT16">SUMPRODUCT($AI$10:$AI$113,AL$10:AL$113,IF(LEFT($AJ$10:$AJ$113,2)=$AR16,1,0))</f>
        <v>16</v>
      </c>
      <c r="AU16" s="30" cm="1">
        <f t="array" ref="AU16">SUMPRODUCT($AI$10:$AI$113,AM$10:AM$113,IF(LEFT($AJ$10:$AJ$113,2)=$AR16,1,0))</f>
        <v>10</v>
      </c>
      <c r="AV16" s="30" cm="1">
        <f t="array" ref="AV16">SUMPRODUCT($AI$10:$AI$113,AN$10:AN$113,IF(LEFT($AJ$10:$AJ$113,2)=$AR16,1,0))</f>
        <v>2</v>
      </c>
      <c r="AW16" s="30" cm="1">
        <f t="array" ref="AW16">SUMPRODUCT($AI$10:$AI$113,AO$10:AO$113,IF(LEFT($AJ$10:$AJ$113,2)=$AR16,1,0))</f>
        <v>12</v>
      </c>
      <c r="AX16" s="35" cm="1">
        <f t="array" ref="AX16">SUMPRODUCT($AI$10:$AI$113,AP$10:AP$113,IF(LEFT($AJ$10:$AJ$113,2)=$AR16,1,0))</f>
        <v>24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136</v>
      </c>
      <c r="D17" s="30" t="s">
        <v>131</v>
      </c>
      <c r="E17" s="30" t="s">
        <v>130</v>
      </c>
      <c r="F17" s="30" t="s">
        <v>133</v>
      </c>
      <c r="G17" s="30" t="s">
        <v>127</v>
      </c>
      <c r="H17" s="35" t="s">
        <v>138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8</v>
      </c>
      <c r="S17" s="30">
        <f t="shared" si="5"/>
        <v>4</v>
      </c>
      <c r="T17" s="30">
        <f t="shared" si="5"/>
        <v>5</v>
      </c>
      <c r="U17" s="30">
        <f t="shared" si="5"/>
        <v>8</v>
      </c>
      <c r="V17" s="30">
        <f t="shared" si="5"/>
        <v>4</v>
      </c>
      <c r="W17" s="35">
        <f t="shared" si="5"/>
        <v>4</v>
      </c>
      <c r="Y17" s="20">
        <f t="shared" si="6"/>
        <v>9</v>
      </c>
      <c r="Z17" s="23" t="s">
        <v>130</v>
      </c>
      <c r="AB17" s="40" t="str">
        <f t="shared" si="11"/>
        <v>0000100100000</v>
      </c>
      <c r="AC17" s="15" t="str">
        <f t="shared" si="7"/>
        <v>0200000000000</v>
      </c>
      <c r="AD17" s="15" t="str">
        <f t="shared" si="7"/>
        <v>0010000010000</v>
      </c>
      <c r="AE17" s="15" t="str">
        <f t="shared" si="7"/>
        <v>0000000110000</v>
      </c>
      <c r="AF17" s="15" t="str">
        <f t="shared" si="7"/>
        <v>0010001000000</v>
      </c>
      <c r="AG17" s="41" t="str">
        <f t="shared" si="7"/>
        <v>0001000000010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60</v>
      </c>
      <c r="AL17" s="39" cm="1">
        <f t="array" ref="AL17">SUMPRODUCT(--(MID(AC$10:AC$135, SUMIF($Z$9:$Z$21, LEFT($AJ17,2), $Y$9:$Y$21), 1) = RIGHT($AJ17, 1)), K$10:K$135)</f>
        <v>65</v>
      </c>
      <c r="AM17" s="39" cm="1">
        <f t="array" ref="AM17">SUMPRODUCT(--(MID(AD$10:AD$135, SUMIF($Z$9:$Z$21, LEFT($AJ17,2), $Y$9:$Y$21), 1) = RIGHT($AJ17, 1)), L$10:L$135)</f>
        <v>48</v>
      </c>
      <c r="AN17" s="39" cm="1">
        <f t="array" ref="AN17">SUMPRODUCT(--(MID(AE$10:AE$135, SUMIF($Z$9:$Z$21, LEFT($AJ17,2), $Y$9:$Y$21), 1) = RIGHT($AJ17, 1)), M$10:M$135)</f>
        <v>39</v>
      </c>
      <c r="AO17" s="39" cm="1">
        <f t="array" ref="AO17">SUMPRODUCT(--(MID(AF$10:AF$135, SUMIF($Z$9:$Z$21, LEFT($AJ17,2), $Y$9:$Y$21), 1) = RIGHT($AJ17, 1)), N$10:N$135)</f>
        <v>58</v>
      </c>
      <c r="AP17" s="19" cm="1">
        <f t="array" ref="AP17">SUMPRODUCT(--(MID(AG$10:AG$135, SUMIF($Z$9:$Z$21, LEFT($AJ17,2), $Y$9:$Y$21), 1) = RIGHT($AJ17, 1)), O$10:O$135)</f>
        <v>85</v>
      </c>
      <c r="AR17" s="34" t="str">
        <f t="shared" si="8"/>
        <v>GG</v>
      </c>
      <c r="AS17" s="30" cm="1">
        <f t="array" ref="AS17">SUMPRODUCT($AI$10:$AI$113,AK$10:AK$113,IF(LEFT($AJ$10:$AJ$113,2)=$AR17,1,0))</f>
        <v>16</v>
      </c>
      <c r="AT17" s="30" cm="1">
        <f t="array" ref="AT17">SUMPRODUCT($AI$10:$AI$113,AL$10:AL$113,IF(LEFT($AJ$10:$AJ$113,2)=$AR17,1,0))</f>
        <v>8</v>
      </c>
      <c r="AU17" s="30" cm="1">
        <f t="array" ref="AU17">SUMPRODUCT($AI$10:$AI$113,AM$10:AM$113,IF(LEFT($AJ$10:$AJ$113,2)=$AR17,1,0))</f>
        <v>10</v>
      </c>
      <c r="AV17" s="30" cm="1">
        <f t="array" ref="AV17">SUMPRODUCT($AI$10:$AI$113,AN$10:AN$113,IF(LEFT($AJ$10:$AJ$113,2)=$AR17,1,0))</f>
        <v>16</v>
      </c>
      <c r="AW17" s="30" cm="1">
        <f t="array" ref="AW17">SUMPRODUCT($AI$10:$AI$113,AO$10:AO$113,IF(LEFT($AJ$10:$AJ$113,2)=$AR17,1,0))</f>
        <v>8</v>
      </c>
      <c r="AX17" s="35" cm="1">
        <f t="array" ref="AX17">SUMPRODUCT($AI$10:$AI$113,AP$10:AP$113,IF(LEFT($AJ$10:$AJ$113,2)=$AR17,1,0))</f>
        <v>8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130</v>
      </c>
      <c r="D18" s="30" t="s">
        <v>136</v>
      </c>
      <c r="E18" s="30" t="s">
        <v>128</v>
      </c>
      <c r="F18" s="30" t="s">
        <v>133</v>
      </c>
      <c r="G18" s="30" t="s">
        <v>127</v>
      </c>
      <c r="H18" s="35" t="s">
        <v>129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2</v>
      </c>
      <c r="S18" s="30">
        <f t="shared" si="5"/>
        <v>5</v>
      </c>
      <c r="T18" s="30">
        <f t="shared" si="5"/>
        <v>7</v>
      </c>
      <c r="U18" s="30">
        <f t="shared" si="5"/>
        <v>2</v>
      </c>
      <c r="V18" s="30">
        <f t="shared" si="5"/>
        <v>1</v>
      </c>
      <c r="W18" s="35">
        <f t="shared" si="5"/>
        <v>2</v>
      </c>
      <c r="Y18" s="20">
        <f t="shared" si="6"/>
        <v>10</v>
      </c>
      <c r="Z18" s="23" t="s">
        <v>129</v>
      </c>
      <c r="AB18" s="40" t="str">
        <f t="shared" si="11"/>
        <v>0000100010000</v>
      </c>
      <c r="AC18" s="15" t="str">
        <f t="shared" si="7"/>
        <v>0100100000000</v>
      </c>
      <c r="AD18" s="15" t="str">
        <f t="shared" si="7"/>
        <v>0000001010000</v>
      </c>
      <c r="AE18" s="15" t="str">
        <f t="shared" si="7"/>
        <v>0000000200000</v>
      </c>
      <c r="AF18" s="15" t="str">
        <f t="shared" si="7"/>
        <v>0020000000000</v>
      </c>
      <c r="AG18" s="41" t="str">
        <f t="shared" si="7"/>
        <v>0000000001010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4</v>
      </c>
      <c r="AT18" s="30" cm="1">
        <f t="array" ref="AT18">SUMPRODUCT($AI$10:$AI$113,AL$10:AL$113,IF(LEFT($AJ$10:$AJ$113,2)=$AR18,1,0))</f>
        <v>10</v>
      </c>
      <c r="AU18" s="30" cm="1">
        <f t="array" ref="AU18">SUMPRODUCT($AI$10:$AI$113,AM$10:AM$113,IF(LEFT($AJ$10:$AJ$113,2)=$AR18,1,0))</f>
        <v>14</v>
      </c>
      <c r="AV18" s="30" cm="1">
        <f t="array" ref="AV18">SUMPRODUCT($AI$10:$AI$113,AN$10:AN$113,IF(LEFT($AJ$10:$AJ$113,2)=$AR18,1,0))</f>
        <v>4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4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132</v>
      </c>
      <c r="D19" s="30" t="s">
        <v>138</v>
      </c>
      <c r="E19" s="30" t="s">
        <v>134</v>
      </c>
      <c r="F19" s="30" t="s">
        <v>133</v>
      </c>
      <c r="G19" s="30" t="s">
        <v>127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7</v>
      </c>
      <c r="S19" s="30">
        <f t="shared" si="5"/>
        <v>10</v>
      </c>
      <c r="T19" s="30">
        <f t="shared" si="5"/>
        <v>9</v>
      </c>
      <c r="U19" s="30">
        <f t="shared" si="5"/>
        <v>10</v>
      </c>
      <c r="V19" s="30">
        <f t="shared" si="5"/>
        <v>16</v>
      </c>
      <c r="W19" s="35">
        <f t="shared" si="5"/>
        <v>9</v>
      </c>
      <c r="Y19" s="20">
        <f t="shared" si="6"/>
        <v>11</v>
      </c>
      <c r="Z19" s="23" t="s">
        <v>132</v>
      </c>
      <c r="AA19" s="21"/>
      <c r="AB19" s="40" t="str">
        <f t="shared" si="11"/>
        <v>0000000010100</v>
      </c>
      <c r="AC19" s="15" t="str">
        <f t="shared" si="7"/>
        <v>0000100000010</v>
      </c>
      <c r="AD19" s="15" t="str">
        <f t="shared" si="7"/>
        <v>0001001000000</v>
      </c>
      <c r="AE19" s="15" t="str">
        <f t="shared" si="7"/>
        <v>0000000200000</v>
      </c>
      <c r="AF19" s="15" t="str">
        <f t="shared" si="7"/>
        <v>0020000000000</v>
      </c>
      <c r="AG19" s="41" t="str">
        <f t="shared" si="7"/>
        <v>0000000001100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14</v>
      </c>
      <c r="AT19" s="30" cm="1">
        <f t="array" ref="AT19">SUMPRODUCT($AI$10:$AI$113,AL$10:AL$113,IF(LEFT($AJ$10:$AJ$113,2)=$AR19,1,0))</f>
        <v>20</v>
      </c>
      <c r="AU19" s="30" cm="1">
        <f t="array" ref="AU19">SUMPRODUCT($AI$10:$AI$113,AM$10:AM$113,IF(LEFT($AJ$10:$AJ$113,2)=$AR19,1,0))</f>
        <v>18</v>
      </c>
      <c r="AV19" s="30" cm="1">
        <f t="array" ref="AV19">SUMPRODUCT($AI$10:$AI$113,AN$10:AN$113,IF(LEFT($AJ$10:$AJ$113,2)=$AR19,1,0))</f>
        <v>20</v>
      </c>
      <c r="AW19" s="30" cm="1">
        <f t="array" ref="AW19">SUMPRODUCT($AI$10:$AI$113,AO$10:AO$113,IF(LEFT($AJ$10:$AJ$113,2)=$AR19,1,0))</f>
        <v>32</v>
      </c>
      <c r="AX19" s="35" cm="1">
        <f t="array" ref="AX19">SUMPRODUCT($AI$10:$AI$113,AP$10:AP$113,IF(LEFT($AJ$10:$AJ$113,2)=$AR19,1,0))</f>
        <v>18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131</v>
      </c>
      <c r="D20" s="30" t="s">
        <v>138</v>
      </c>
      <c r="E20" s="30" t="s">
        <v>136</v>
      </c>
      <c r="F20" s="30" t="s">
        <v>127</v>
      </c>
      <c r="G20" s="30" t="s">
        <v>127</v>
      </c>
      <c r="H20" s="35" t="s">
        <v>132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8</v>
      </c>
      <c r="S20" s="30">
        <f t="shared" si="5"/>
        <v>12</v>
      </c>
      <c r="T20" s="30">
        <f t="shared" si="5"/>
        <v>9</v>
      </c>
      <c r="U20" s="30">
        <f t="shared" si="5"/>
        <v>5</v>
      </c>
      <c r="V20" s="30">
        <f t="shared" si="5"/>
        <v>5</v>
      </c>
      <c r="W20" s="35">
        <f t="shared" si="5"/>
        <v>10</v>
      </c>
      <c r="Y20" s="20">
        <v>12</v>
      </c>
      <c r="Z20" s="23" t="s">
        <v>138</v>
      </c>
      <c r="AA20" s="21"/>
      <c r="AB20" s="40" t="str">
        <f t="shared" si="11"/>
        <v>0100000000100</v>
      </c>
      <c r="AC20" s="15" t="str">
        <f t="shared" si="7"/>
        <v>0000000000020</v>
      </c>
      <c r="AD20" s="15" t="str">
        <f t="shared" si="7"/>
        <v>0001100000000</v>
      </c>
      <c r="AE20" s="15" t="str">
        <f t="shared" si="7"/>
        <v>0010000100000</v>
      </c>
      <c r="AF20" s="15" t="str">
        <f t="shared" si="7"/>
        <v>0020000000000</v>
      </c>
      <c r="AG20" s="41" t="str">
        <f t="shared" si="7"/>
        <v>0000000000200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16</v>
      </c>
      <c r="AT20" s="30" cm="1">
        <f t="array" ref="AT20">SUMPRODUCT($AI$10:$AI$113,AL$10:AL$113,IF(LEFT($AJ$10:$AJ$113,2)=$AR20,1,0))</f>
        <v>24</v>
      </c>
      <c r="AU20" s="30" cm="1">
        <f t="array" ref="AU20">SUMPRODUCT($AI$10:$AI$113,AM$10:AM$113,IF(LEFT($AJ$10:$AJ$113,2)=$AR20,1,0))</f>
        <v>18</v>
      </c>
      <c r="AV20" s="30" cm="1">
        <f t="array" ref="AV20">SUMPRODUCT($AI$10:$AI$113,AN$10:AN$113,IF(LEFT($AJ$10:$AJ$113,2)=$AR20,1,0))</f>
        <v>10</v>
      </c>
      <c r="AW20" s="30" cm="1">
        <f t="array" ref="AW20">SUMPRODUCT($AI$10:$AI$113,AO$10:AO$113,IF(LEFT($AJ$10:$AJ$113,2)=$AR20,1,0))</f>
        <v>10</v>
      </c>
      <c r="AX20" s="35" cm="1">
        <f t="array" ref="AX20">SUMPRODUCT($AI$10:$AI$113,AP$10:AP$113,IF(LEFT($AJ$10:$AJ$113,2)=$AR20,1,0))</f>
        <v>20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127</v>
      </c>
      <c r="D21" s="30" t="s">
        <v>138</v>
      </c>
      <c r="E21" s="30" t="s">
        <v>131</v>
      </c>
      <c r="F21" s="30" t="s">
        <v>134</v>
      </c>
      <c r="G21" s="30" t="s">
        <v>137</v>
      </c>
      <c r="H21" s="35" t="s">
        <v>132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11</v>
      </c>
      <c r="S21" s="30">
        <f t="shared" si="5"/>
        <v>11</v>
      </c>
      <c r="T21" s="30">
        <f t="shared" si="5"/>
        <v>4</v>
      </c>
      <c r="U21" s="30">
        <f t="shared" si="5"/>
        <v>7</v>
      </c>
      <c r="V21" s="30">
        <f t="shared" si="5"/>
        <v>6</v>
      </c>
      <c r="W21" s="35">
        <f t="shared" si="5"/>
        <v>17</v>
      </c>
      <c r="Y21" s="18">
        <v>13</v>
      </c>
      <c r="Z21" s="22" t="s">
        <v>135</v>
      </c>
      <c r="AA21" s="21"/>
      <c r="AB21" s="40" t="str">
        <f t="shared" si="11"/>
        <v>0110000000000</v>
      </c>
      <c r="AC21" s="15" t="str">
        <f t="shared" si="7"/>
        <v>0000000000020</v>
      </c>
      <c r="AD21" s="15" t="str">
        <f t="shared" si="7"/>
        <v>0100100000000</v>
      </c>
      <c r="AE21" s="15" t="str">
        <f t="shared" si="7"/>
        <v>0011000000000</v>
      </c>
      <c r="AF21" s="15" t="str">
        <f t="shared" si="7"/>
        <v>0010010000000</v>
      </c>
      <c r="AG21" s="41" t="str">
        <f t="shared" si="7"/>
        <v>0000000000200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22</v>
      </c>
      <c r="AT21" s="30" cm="1">
        <f t="array" ref="AT21">SUMPRODUCT($AI$10:$AI$113,AL$10:AL$113,IF(LEFT($AJ$10:$AJ$113,2)=$AR21,1,0))</f>
        <v>22</v>
      </c>
      <c r="AU21" s="30" cm="1">
        <f t="array" ref="AU21">SUMPRODUCT($AI$10:$AI$113,AM$10:AM$113,IF(LEFT($AJ$10:$AJ$113,2)=$AR21,1,0))</f>
        <v>8</v>
      </c>
      <c r="AV21" s="30" cm="1">
        <f t="array" ref="AV21">SUMPRODUCT($AI$10:$AI$113,AN$10:AN$113,IF(LEFT($AJ$10:$AJ$113,2)=$AR21,1,0))</f>
        <v>14</v>
      </c>
      <c r="AW21" s="30" cm="1">
        <f t="array" ref="AW21">SUMPRODUCT($AI$10:$AI$113,AO$10:AO$113,IF(LEFT($AJ$10:$AJ$113,2)=$AR21,1,0))</f>
        <v>12</v>
      </c>
      <c r="AX21" s="35" cm="1">
        <f t="array" ref="AX21">SUMPRODUCT($AI$10:$AI$113,AP$10:AP$113,IF(LEFT($AJ$10:$AJ$113,2)=$AR21,1,0))</f>
        <v>34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127</v>
      </c>
      <c r="D22" s="30" t="s">
        <v>133</v>
      </c>
      <c r="E22" s="30" t="s">
        <v>133</v>
      </c>
      <c r="F22" s="30" t="s">
        <v>129</v>
      </c>
      <c r="G22" s="30" t="s">
        <v>132</v>
      </c>
      <c r="H22" s="35" t="s">
        <v>137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0020000000000</v>
      </c>
      <c r="AC22" s="15" t="str">
        <f t="shared" si="7"/>
        <v>0000000100010</v>
      </c>
      <c r="AD22" s="15" t="str">
        <f t="shared" si="7"/>
        <v>0100000100000</v>
      </c>
      <c r="AE22" s="15" t="str">
        <f t="shared" si="7"/>
        <v>0001000001000</v>
      </c>
      <c r="AF22" s="15" t="str">
        <f t="shared" si="7"/>
        <v>0000010000100</v>
      </c>
      <c r="AG22" s="41" t="str">
        <f t="shared" si="7"/>
        <v>0000010000100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127</v>
      </c>
      <c r="D23" s="30" t="s">
        <v>129</v>
      </c>
      <c r="E23" s="30" t="s">
        <v>129</v>
      </c>
      <c r="F23" s="30" t="s">
        <v>137</v>
      </c>
      <c r="G23" s="30" t="s">
        <v>132</v>
      </c>
      <c r="H23" s="35" t="s">
        <v>136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68</v>
      </c>
      <c r="S23" s="37">
        <f t="shared" ref="S23:W23" si="14">SUM(S10:S22)</f>
        <v>90</v>
      </c>
      <c r="T23" s="37">
        <f t="shared" si="14"/>
        <v>62</v>
      </c>
      <c r="U23" s="37">
        <f t="shared" si="14"/>
        <v>55</v>
      </c>
      <c r="V23" s="37">
        <f t="shared" si="14"/>
        <v>66</v>
      </c>
      <c r="W23" s="38">
        <f t="shared" si="14"/>
        <v>98</v>
      </c>
      <c r="Y23" s="21"/>
      <c r="Z23" s="21"/>
      <c r="AA23" s="21"/>
      <c r="AB23" s="40" t="str">
        <f t="shared" si="11"/>
        <v>0020000000000</v>
      </c>
      <c r="AC23" s="15" t="str">
        <f t="shared" si="7"/>
        <v>0000000101000</v>
      </c>
      <c r="AD23" s="15" t="str">
        <f t="shared" si="7"/>
        <v>0000000101000</v>
      </c>
      <c r="AE23" s="15" t="str">
        <f t="shared" si="7"/>
        <v>0000010001000</v>
      </c>
      <c r="AF23" s="15" t="str">
        <f t="shared" si="7"/>
        <v>0000000000200</v>
      </c>
      <c r="AG23" s="41" t="str">
        <f t="shared" si="7"/>
        <v>0000110000000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3</v>
      </c>
      <c r="AL23" s="39" cm="1">
        <f t="array" ref="AL23">SUMPRODUCT(--(MID(AC$10:AC$135, SUMIF($Z$9:$Z$21, LEFT($AJ23,2), $Y$9:$Y$21), 1) = RIGHT($AJ23, 1)), K$10:K$135)</f>
        <v>2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3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68</v>
      </c>
      <c r="AT23" s="30">
        <f t="shared" si="16"/>
        <v>90</v>
      </c>
      <c r="AU23" s="30">
        <f t="shared" si="16"/>
        <v>62</v>
      </c>
      <c r="AV23" s="30">
        <f t="shared" si="16"/>
        <v>55</v>
      </c>
      <c r="AW23" s="30">
        <f t="shared" si="16"/>
        <v>66</v>
      </c>
      <c r="AX23" s="35">
        <f t="shared" si="16"/>
        <v>98</v>
      </c>
    </row>
    <row r="24" spans="2:64">
      <c r="B24" s="34">
        <f t="shared" si="9"/>
        <v>14</v>
      </c>
      <c r="C24" s="30" t="s">
        <v>127</v>
      </c>
      <c r="D24" s="30" t="s">
        <v>127</v>
      </c>
      <c r="E24" s="30" t="s">
        <v>129</v>
      </c>
      <c r="F24" s="30" t="s">
        <v>127</v>
      </c>
      <c r="G24" s="30" t="s">
        <v>132</v>
      </c>
      <c r="H24" s="35" t="s">
        <v>136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0020000000000</v>
      </c>
      <c r="AC24" s="15" t="str">
        <f t="shared" si="7"/>
        <v>0010000001000</v>
      </c>
      <c r="AD24" s="15" t="str">
        <f t="shared" si="7"/>
        <v>0000000002000</v>
      </c>
      <c r="AE24" s="15" t="str">
        <f t="shared" si="7"/>
        <v>0010010000000</v>
      </c>
      <c r="AF24" s="15" t="str">
        <f t="shared" si="7"/>
        <v>0000000000200</v>
      </c>
      <c r="AG24" s="41" t="str">
        <f t="shared" si="7"/>
        <v>0000200000000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4</v>
      </c>
      <c r="AL24" s="39" cm="1">
        <f t="array" ref="AL24">SUMPRODUCT(--(MID(AC$10:AC$135, SUMIF($Z$9:$Z$21, LEFT($AJ24,2), $Y$9:$Y$21), 1) = RIGHT($AJ24, 1)), K$10:K$135)</f>
        <v>20</v>
      </c>
      <c r="AM24" s="39" cm="1">
        <f t="array" ref="AM24">SUMPRODUCT(--(MID(AD$10:AD$135, SUMIF($Z$9:$Z$21, LEFT($AJ24,2), $Y$9:$Y$21), 1) = RIGHT($AJ24, 1)), L$10:L$135)</f>
        <v>10</v>
      </c>
      <c r="AN24" s="39" cm="1">
        <f t="array" ref="AN24">SUMPRODUCT(--(MID(AE$10:AE$135, SUMIF($Z$9:$Z$21, LEFT($AJ24,2), $Y$9:$Y$21), 1) = RIGHT($AJ24, 1)), M$10:M$135)</f>
        <v>10</v>
      </c>
      <c r="AO24" s="39" cm="1">
        <f t="array" ref="AO24">SUMPRODUCT(--(MID(AF$10:AF$135, SUMIF($Z$9:$Z$21, LEFT($AJ24,2), $Y$9:$Y$21), 1) = RIGHT($AJ24, 1)), N$10:N$135)</f>
        <v>10</v>
      </c>
      <c r="AP24" s="19" cm="1">
        <f t="array" ref="AP24">SUMPRODUCT(--(MID(AG$10:AG$135, SUMIF($Z$9:$Z$21, LEFT($AJ24,2), $Y$9:$Y$21), 1) = RIGHT($AJ24, 1)), O$10:O$135)</f>
        <v>22</v>
      </c>
      <c r="AR24" s="34" t="str">
        <f t="shared" si="15"/>
        <v>AA-0</v>
      </c>
      <c r="AS24" s="30">
        <f t="shared" si="16"/>
        <v>60</v>
      </c>
      <c r="AT24" s="30">
        <f t="shared" si="16"/>
        <v>65</v>
      </c>
      <c r="AU24" s="30">
        <f t="shared" si="16"/>
        <v>48</v>
      </c>
      <c r="AV24" s="30">
        <f t="shared" si="16"/>
        <v>39</v>
      </c>
      <c r="AW24" s="30">
        <f t="shared" si="16"/>
        <v>58</v>
      </c>
      <c r="AX24" s="35">
        <f t="shared" si="16"/>
        <v>85</v>
      </c>
    </row>
    <row r="25" spans="2:64">
      <c r="B25" s="34">
        <f t="shared" si="9"/>
        <v>15</v>
      </c>
      <c r="C25" s="30" t="s">
        <v>138</v>
      </c>
      <c r="D25" s="30" t="s">
        <v>138</v>
      </c>
      <c r="E25" s="30" t="s">
        <v>129</v>
      </c>
      <c r="F25" s="30" t="s">
        <v>127</v>
      </c>
      <c r="G25" s="30" t="s">
        <v>131</v>
      </c>
      <c r="H25" s="35" t="s">
        <v>136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0010000000010</v>
      </c>
      <c r="AC25" s="15" t="str">
        <f t="shared" si="7"/>
        <v>0010000000010</v>
      </c>
      <c r="AD25" s="15" t="str">
        <f t="shared" si="7"/>
        <v>0000000002000</v>
      </c>
      <c r="AE25" s="15" t="str">
        <f t="shared" si="7"/>
        <v>0020000000000</v>
      </c>
      <c r="AF25" s="15" t="str">
        <f t="shared" si="7"/>
        <v>0100000000100</v>
      </c>
      <c r="AG25" s="41" t="str">
        <f t="shared" si="7"/>
        <v>0000200000000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61</v>
      </c>
      <c r="AL25" s="39" cm="1">
        <f t="array" ref="AL25">SUMPRODUCT(--(MID(AC$10:AC$135, SUMIF($Z$9:$Z$21, LEFT($AJ25,2), $Y$9:$Y$21), 1) = RIGHT($AJ25, 1)), K$10:K$135)</f>
        <v>68</v>
      </c>
      <c r="AM25" s="39" cm="1">
        <f t="array" ref="AM25">SUMPRODUCT(--(MID(AD$10:AD$135, SUMIF($Z$9:$Z$21, LEFT($AJ25,2), $Y$9:$Y$21), 1) = RIGHT($AJ25, 1)), L$10:L$135)</f>
        <v>50</v>
      </c>
      <c r="AN25" s="39" cm="1">
        <f t="array" ref="AN25">SUMPRODUCT(--(MID(AE$10:AE$135, SUMIF($Z$9:$Z$21, LEFT($AJ25,2), $Y$9:$Y$21), 1) = RIGHT($AJ25, 1)), M$10:M$135)</f>
        <v>43</v>
      </c>
      <c r="AO25" s="39" cm="1">
        <f t="array" ref="AO25">SUMPRODUCT(--(MID(AF$10:AF$135, SUMIF($Z$9:$Z$21, LEFT($AJ25,2), $Y$9:$Y$21), 1) = RIGHT($AJ25, 1)), N$10:N$135)</f>
        <v>53</v>
      </c>
      <c r="AP25" s="19" cm="1">
        <f t="array" ref="AP25">SUMPRODUCT(--(MID(AG$10:AG$135, SUMIF($Z$9:$Z$21, LEFT($AJ25,2), $Y$9:$Y$21), 1) = RIGHT($AJ25, 1)), O$10:O$135)</f>
        <v>74</v>
      </c>
      <c r="AR25" s="34" t="str">
        <f t="shared" si="15"/>
        <v>BB-0</v>
      </c>
      <c r="AS25" s="30">
        <f t="shared" si="16"/>
        <v>61</v>
      </c>
      <c r="AT25" s="30">
        <f t="shared" si="16"/>
        <v>68</v>
      </c>
      <c r="AU25" s="30">
        <f t="shared" si="16"/>
        <v>50</v>
      </c>
      <c r="AV25" s="30">
        <f t="shared" si="16"/>
        <v>43</v>
      </c>
      <c r="AW25" s="30">
        <f t="shared" si="16"/>
        <v>53</v>
      </c>
      <c r="AX25" s="35">
        <f t="shared" si="16"/>
        <v>74</v>
      </c>
    </row>
    <row r="26" spans="2:64">
      <c r="B26" s="34">
        <f t="shared" si="9"/>
        <v>16</v>
      </c>
      <c r="C26" s="30" t="s">
        <v>133</v>
      </c>
      <c r="D26" s="30" t="s">
        <v>134</v>
      </c>
      <c r="E26" s="30" t="s">
        <v>129</v>
      </c>
      <c r="F26" s="30" t="s">
        <v>127</v>
      </c>
      <c r="G26" s="30" t="s">
        <v>132</v>
      </c>
      <c r="H26" s="35" t="s">
        <v>128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0000000100010</v>
      </c>
      <c r="AC26" s="15" t="str">
        <f t="shared" si="11"/>
        <v>0001000000010</v>
      </c>
      <c r="AD26" s="15" t="str">
        <f t="shared" si="11"/>
        <v>0000000002000</v>
      </c>
      <c r="AE26" s="15" t="str">
        <f t="shared" si="11"/>
        <v>0020000000000</v>
      </c>
      <c r="AF26" s="15" t="str">
        <f t="shared" si="11"/>
        <v>0100000000100</v>
      </c>
      <c r="AG26" s="41" t="str">
        <f t="shared" si="11"/>
        <v>0000101000000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50</v>
      </c>
      <c r="AT26" s="30">
        <f t="shared" si="16"/>
        <v>73</v>
      </c>
      <c r="AU26" s="30">
        <f t="shared" si="16"/>
        <v>56</v>
      </c>
      <c r="AV26" s="30">
        <f t="shared" si="16"/>
        <v>49</v>
      </c>
      <c r="AW26" s="30">
        <f t="shared" si="16"/>
        <v>46</v>
      </c>
      <c r="AX26" s="35">
        <f t="shared" si="16"/>
        <v>78</v>
      </c>
    </row>
    <row r="27" spans="2:64">
      <c r="B27" s="34">
        <f t="shared" si="9"/>
        <v>17</v>
      </c>
      <c r="C27" s="30" t="s">
        <v>134</v>
      </c>
      <c r="D27" s="30" t="s">
        <v>134</v>
      </c>
      <c r="E27" s="30" t="s">
        <v>127</v>
      </c>
      <c r="F27" s="30" t="s">
        <v>133</v>
      </c>
      <c r="G27" s="30" t="s">
        <v>138</v>
      </c>
      <c r="H27" s="35" t="s">
        <v>136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0001000100000</v>
      </c>
      <c r="AC27" s="15" t="str">
        <f t="shared" si="11"/>
        <v>0002000000000</v>
      </c>
      <c r="AD27" s="15" t="str">
        <f t="shared" si="11"/>
        <v>0010000001000</v>
      </c>
      <c r="AE27" s="15" t="str">
        <f t="shared" si="11"/>
        <v>0010000100000</v>
      </c>
      <c r="AF27" s="15" t="str">
        <f t="shared" si="11"/>
        <v>0000000000110</v>
      </c>
      <c r="AG27" s="41" t="str">
        <f t="shared" si="11"/>
        <v>0000101000000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60</v>
      </c>
      <c r="AT27" s="30">
        <f t="shared" si="16"/>
        <v>86</v>
      </c>
      <c r="AU27" s="30">
        <f t="shared" si="16"/>
        <v>60</v>
      </c>
      <c r="AV27" s="30">
        <f t="shared" si="16"/>
        <v>53</v>
      </c>
      <c r="AW27" s="30">
        <f t="shared" si="16"/>
        <v>62</v>
      </c>
      <c r="AX27" s="35">
        <f t="shared" si="16"/>
        <v>82</v>
      </c>
    </row>
    <row r="28" spans="2:64">
      <c r="B28" s="34">
        <f t="shared" si="9"/>
        <v>18</v>
      </c>
      <c r="C28" s="30" t="s">
        <v>134</v>
      </c>
      <c r="D28" s="30" t="s">
        <v>134</v>
      </c>
      <c r="E28" s="30" t="s">
        <v>127</v>
      </c>
      <c r="F28" s="30" t="s">
        <v>136</v>
      </c>
      <c r="G28" s="30" t="s">
        <v>131</v>
      </c>
      <c r="H28" s="35" t="s">
        <v>134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0002000000000</v>
      </c>
      <c r="AC28" s="15" t="str">
        <f t="shared" si="11"/>
        <v>0002000000000</v>
      </c>
      <c r="AD28" s="15" t="str">
        <f t="shared" si="11"/>
        <v>0020000000000</v>
      </c>
      <c r="AE28" s="15" t="str">
        <f t="shared" si="11"/>
        <v>0000100100000</v>
      </c>
      <c r="AF28" s="15" t="str">
        <f t="shared" si="11"/>
        <v>0100000000010</v>
      </c>
      <c r="AG28" s="41" t="str">
        <f t="shared" si="11"/>
        <v>0001100000000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66</v>
      </c>
      <c r="AT28" s="30">
        <f t="shared" si="16"/>
        <v>86</v>
      </c>
      <c r="AU28" s="30">
        <f t="shared" si="16"/>
        <v>56</v>
      </c>
      <c r="AV28" s="30">
        <f t="shared" si="16"/>
        <v>53</v>
      </c>
      <c r="AW28" s="30">
        <f t="shared" si="16"/>
        <v>62</v>
      </c>
      <c r="AX28" s="35">
        <f t="shared" si="16"/>
        <v>92</v>
      </c>
    </row>
    <row r="29" spans="2:64">
      <c r="B29" s="34">
        <f t="shared" si="9"/>
        <v>19</v>
      </c>
      <c r="C29" s="30" t="s">
        <v>134</v>
      </c>
      <c r="D29" s="30" t="s">
        <v>134</v>
      </c>
      <c r="E29" s="30" t="s">
        <v>127</v>
      </c>
      <c r="F29" s="30" t="s">
        <v>129</v>
      </c>
      <c r="G29" s="30" t="s">
        <v>131</v>
      </c>
      <c r="H29" s="35" t="s">
        <v>133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0002000000000</v>
      </c>
      <c r="AC29" s="15" t="str">
        <f t="shared" si="11"/>
        <v>0002000000000</v>
      </c>
      <c r="AD29" s="15" t="str">
        <f t="shared" si="11"/>
        <v>0020000000000</v>
      </c>
      <c r="AE29" s="15" t="str">
        <f t="shared" si="11"/>
        <v>0000100001000</v>
      </c>
      <c r="AF29" s="15" t="str">
        <f t="shared" si="11"/>
        <v>0200000000000</v>
      </c>
      <c r="AG29" s="41" t="str">
        <f t="shared" si="11"/>
        <v>0001000100000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58</v>
      </c>
      <c r="AT29" s="30">
        <f t="shared" si="16"/>
        <v>76</v>
      </c>
      <c r="AU29" s="30">
        <f t="shared" si="16"/>
        <v>54</v>
      </c>
      <c r="AV29" s="30">
        <f t="shared" si="16"/>
        <v>53</v>
      </c>
      <c r="AW29" s="30">
        <f t="shared" si="16"/>
        <v>54</v>
      </c>
      <c r="AX29" s="35">
        <f t="shared" si="16"/>
        <v>76</v>
      </c>
    </row>
    <row r="30" spans="2:64">
      <c r="B30" s="34">
        <f t="shared" si="9"/>
        <v>20</v>
      </c>
      <c r="C30" s="30" t="s">
        <v>128</v>
      </c>
      <c r="D30" s="30" t="s">
        <v>137</v>
      </c>
      <c r="E30" s="30" t="s">
        <v>134</v>
      </c>
      <c r="F30" s="30" t="s">
        <v>129</v>
      </c>
      <c r="G30" s="30" t="s">
        <v>131</v>
      </c>
      <c r="H30" s="35" t="s">
        <v>127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0001001000000</v>
      </c>
      <c r="AC30" s="15" t="str">
        <f t="shared" si="11"/>
        <v>0001010000000</v>
      </c>
      <c r="AD30" s="15" t="str">
        <f t="shared" si="11"/>
        <v>0011000000000</v>
      </c>
      <c r="AE30" s="15" t="str">
        <f t="shared" si="11"/>
        <v>0000000002000</v>
      </c>
      <c r="AF30" s="15" t="str">
        <f t="shared" si="11"/>
        <v>0200000000000</v>
      </c>
      <c r="AG30" s="41" t="str">
        <f t="shared" si="11"/>
        <v>0010000100000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54</v>
      </c>
      <c r="AT30" s="30">
        <f t="shared" si="16"/>
        <v>84</v>
      </c>
      <c r="AU30" s="30">
        <f t="shared" si="16"/>
        <v>54</v>
      </c>
      <c r="AV30" s="30">
        <f t="shared" si="16"/>
        <v>41</v>
      </c>
      <c r="AW30" s="30">
        <f t="shared" si="16"/>
        <v>60</v>
      </c>
      <c r="AX30" s="35">
        <f t="shared" si="16"/>
        <v>92</v>
      </c>
    </row>
    <row r="31" spans="2:64">
      <c r="B31" s="34">
        <f t="shared" si="9"/>
        <v>21</v>
      </c>
      <c r="C31" s="30" t="s">
        <v>128</v>
      </c>
      <c r="D31" s="30" t="s">
        <v>130</v>
      </c>
      <c r="E31" s="30" t="s">
        <v>134</v>
      </c>
      <c r="F31" s="30" t="s">
        <v>129</v>
      </c>
      <c r="G31" s="30" t="s">
        <v>130</v>
      </c>
      <c r="H31" s="35" t="s">
        <v>130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0000002000000</v>
      </c>
      <c r="AC31" s="15" t="str">
        <f t="shared" si="11"/>
        <v>0000010010000</v>
      </c>
      <c r="AD31" s="15" t="str">
        <f t="shared" si="11"/>
        <v>0002000000000</v>
      </c>
      <c r="AE31" s="15" t="str">
        <f t="shared" si="11"/>
        <v>0000000002000</v>
      </c>
      <c r="AF31" s="15" t="str">
        <f t="shared" si="11"/>
        <v>0100000010000</v>
      </c>
      <c r="AG31" s="41" t="str">
        <f t="shared" si="11"/>
        <v>0010000010000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2</v>
      </c>
      <c r="AL31" s="39" cm="1">
        <f t="array" ref="AL31">SUMPRODUCT(--(MID(AC$10:AC$135, SUMIF($Z$9:$Z$21, LEFT($AJ31,2), $Y$9:$Y$21), 1) = RIGHT($AJ31, 1)), K$10:K$135)</f>
        <v>3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2</v>
      </c>
      <c r="AR31" s="34" t="str">
        <f t="shared" si="15"/>
        <v>HH-0</v>
      </c>
      <c r="AS31" s="30">
        <f t="shared" si="16"/>
        <v>64</v>
      </c>
      <c r="AT31" s="30">
        <f t="shared" si="16"/>
        <v>80</v>
      </c>
      <c r="AU31" s="30">
        <f t="shared" si="16"/>
        <v>48</v>
      </c>
      <c r="AV31" s="30">
        <f t="shared" si="16"/>
        <v>51</v>
      </c>
      <c r="AW31" s="30">
        <f t="shared" si="16"/>
        <v>64</v>
      </c>
      <c r="AX31" s="35">
        <f t="shared" si="16"/>
        <v>94</v>
      </c>
    </row>
    <row r="32" spans="2:64">
      <c r="B32" s="34">
        <f t="shared" si="9"/>
        <v>22</v>
      </c>
      <c r="C32" s="30" t="s">
        <v>128</v>
      </c>
      <c r="D32" s="30" t="s">
        <v>128</v>
      </c>
      <c r="E32" s="30" t="s">
        <v>134</v>
      </c>
      <c r="F32" s="30" t="s">
        <v>138</v>
      </c>
      <c r="G32" s="30" t="s">
        <v>129</v>
      </c>
      <c r="H32" s="35" t="s">
        <v>129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0000002000000</v>
      </c>
      <c r="AC32" s="15" t="str">
        <f t="shared" si="11"/>
        <v>0000001010000</v>
      </c>
      <c r="AD32" s="15" t="str">
        <f t="shared" si="11"/>
        <v>0002000000000</v>
      </c>
      <c r="AE32" s="15" t="str">
        <f t="shared" si="11"/>
        <v>0000000001010</v>
      </c>
      <c r="AF32" s="15" t="str">
        <f t="shared" si="11"/>
        <v>0000000011000</v>
      </c>
      <c r="AG32" s="41" t="str">
        <f t="shared" si="11"/>
        <v>0000000011000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16</v>
      </c>
      <c r="AL32" s="39" cm="1">
        <f t="array" ref="AL32">SUMPRODUCT(--(MID(AC$10:AC$135, SUMIF($Z$9:$Z$21, LEFT($AJ32,2), $Y$9:$Y$21), 1) = RIGHT($AJ32, 1)), K$10:K$135)</f>
        <v>14</v>
      </c>
      <c r="AM32" s="39" cm="1">
        <f t="array" ref="AM32">SUMPRODUCT(--(MID(AD$10:AD$135, SUMIF($Z$9:$Z$21, LEFT($AJ32,2), $Y$9:$Y$21), 1) = RIGHT($AJ32, 1)), L$10:L$135)</f>
        <v>4</v>
      </c>
      <c r="AN32" s="39" cm="1">
        <f t="array" ref="AN32">SUMPRODUCT(--(MID(AE$10:AE$135, SUMIF($Z$9:$Z$21, LEFT($AJ32,2), $Y$9:$Y$21), 1) = RIGHT($AJ32, 1)), M$10:M$135)</f>
        <v>4</v>
      </c>
      <c r="AO32" s="39" cm="1">
        <f t="array" ref="AO32">SUMPRODUCT(--(MID(AF$10:AF$135, SUMIF($Z$9:$Z$21, LEFT($AJ32,2), $Y$9:$Y$21), 1) = RIGHT($AJ32, 1)), N$10:N$135)</f>
        <v>18</v>
      </c>
      <c r="AP32" s="19" cm="1">
        <f t="array" ref="AP32">SUMPRODUCT(--(MID(AG$10:AG$135, SUMIF($Z$9:$Z$21, LEFT($AJ32,2), $Y$9:$Y$21), 1) = RIGHT($AJ32, 1)), O$10:O$135)</f>
        <v>18</v>
      </c>
      <c r="AR32" s="34" t="str">
        <f t="shared" si="15"/>
        <v>JJ-0</v>
      </c>
      <c r="AS32" s="30">
        <f t="shared" si="16"/>
        <v>56</v>
      </c>
      <c r="AT32" s="30">
        <f t="shared" si="16"/>
        <v>72</v>
      </c>
      <c r="AU32" s="30">
        <f t="shared" si="16"/>
        <v>47</v>
      </c>
      <c r="AV32" s="30">
        <f t="shared" si="16"/>
        <v>37</v>
      </c>
      <c r="AW32" s="30">
        <f t="shared" si="16"/>
        <v>36</v>
      </c>
      <c r="AX32" s="35">
        <f t="shared" si="16"/>
        <v>82</v>
      </c>
    </row>
    <row r="33" spans="2:50">
      <c r="B33" s="34">
        <f t="shared" si="9"/>
        <v>23</v>
      </c>
      <c r="C33" s="30" t="s">
        <v>132</v>
      </c>
      <c r="D33" s="30" t="s">
        <v>128</v>
      </c>
      <c r="E33" s="30" t="s">
        <v>131</v>
      </c>
      <c r="F33" s="30" t="s">
        <v>138</v>
      </c>
      <c r="G33" s="30" t="s">
        <v>138</v>
      </c>
      <c r="H33" s="35" t="s">
        <v>129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0000001000100</v>
      </c>
      <c r="AC33" s="15" t="str">
        <f t="shared" si="11"/>
        <v>0000002000000</v>
      </c>
      <c r="AD33" s="15" t="str">
        <f t="shared" si="11"/>
        <v>0101000000000</v>
      </c>
      <c r="AE33" s="15" t="str">
        <f t="shared" si="11"/>
        <v>0000000000020</v>
      </c>
      <c r="AF33" s="15" t="str">
        <f t="shared" si="11"/>
        <v>0000000001010</v>
      </c>
      <c r="AG33" s="41" t="str">
        <f t="shared" si="11"/>
        <v>0000000002000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50</v>
      </c>
      <c r="AL33" s="39" cm="1">
        <f t="array" ref="AL33">SUMPRODUCT(--(MID(AC$10:AC$135, SUMIF($Z$9:$Z$21, LEFT($AJ33,2), $Y$9:$Y$21), 1) = RIGHT($AJ33, 1)), K$10:K$135)</f>
        <v>73</v>
      </c>
      <c r="AM33" s="39" cm="1">
        <f t="array" ref="AM33">SUMPRODUCT(--(MID(AD$10:AD$135, SUMIF($Z$9:$Z$21, LEFT($AJ33,2), $Y$9:$Y$21), 1) = RIGHT($AJ33, 1)), L$10:L$135)</f>
        <v>56</v>
      </c>
      <c r="AN33" s="39" cm="1">
        <f t="array" ref="AN33">SUMPRODUCT(--(MID(AE$10:AE$135, SUMIF($Z$9:$Z$21, LEFT($AJ33,2), $Y$9:$Y$21), 1) = RIGHT($AJ33, 1)), M$10:M$135)</f>
        <v>49</v>
      </c>
      <c r="AO33" s="39" cm="1">
        <f t="array" ref="AO33">SUMPRODUCT(--(MID(AF$10:AF$135, SUMIF($Z$9:$Z$21, LEFT($AJ33,2), $Y$9:$Y$21), 1) = RIGHT($AJ33, 1)), N$10:N$135)</f>
        <v>46</v>
      </c>
      <c r="AP33" s="19" cm="1">
        <f t="array" ref="AP33">SUMPRODUCT(--(MID(AG$10:AG$135, SUMIF($Z$9:$Z$21, LEFT($AJ33,2), $Y$9:$Y$21), 1) = RIGHT($AJ33, 1)), O$10:O$135)</f>
        <v>78</v>
      </c>
      <c r="AR33" s="34" t="str">
        <f t="shared" si="15"/>
        <v>KK-0</v>
      </c>
      <c r="AS33" s="30">
        <f t="shared" si="16"/>
        <v>54</v>
      </c>
      <c r="AT33" s="30">
        <f t="shared" si="16"/>
        <v>68</v>
      </c>
      <c r="AU33" s="30">
        <f t="shared" si="16"/>
        <v>46</v>
      </c>
      <c r="AV33" s="30">
        <f t="shared" si="16"/>
        <v>47</v>
      </c>
      <c r="AW33" s="30">
        <f t="shared" si="16"/>
        <v>58</v>
      </c>
      <c r="AX33" s="35">
        <f t="shared" si="16"/>
        <v>80</v>
      </c>
    </row>
    <row r="34" spans="2:50">
      <c r="B34" s="34">
        <f t="shared" si="9"/>
        <v>24</v>
      </c>
      <c r="C34" s="30" t="s">
        <v>132</v>
      </c>
      <c r="D34" s="30" t="s">
        <v>128</v>
      </c>
      <c r="E34" s="30" t="s">
        <v>131</v>
      </c>
      <c r="F34" s="30" t="s">
        <v>138</v>
      </c>
      <c r="G34" s="30" t="s">
        <v>138</v>
      </c>
      <c r="H34" s="35" t="s">
        <v>129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0000000000200</v>
      </c>
      <c r="AC34" s="15" t="str">
        <f t="shared" si="11"/>
        <v>0000002000000</v>
      </c>
      <c r="AD34" s="15" t="str">
        <f t="shared" si="11"/>
        <v>0200000000000</v>
      </c>
      <c r="AE34" s="15" t="str">
        <f t="shared" si="11"/>
        <v>0000000000020</v>
      </c>
      <c r="AF34" s="15" t="str">
        <f t="shared" si="11"/>
        <v>0000000000020</v>
      </c>
      <c r="AG34" s="41" t="str">
        <f t="shared" si="11"/>
        <v>0000000002000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48</v>
      </c>
      <c r="AT34" s="30">
        <f t="shared" si="16"/>
        <v>70</v>
      </c>
      <c r="AU34" s="30">
        <f t="shared" si="16"/>
        <v>56</v>
      </c>
      <c r="AV34" s="30">
        <f t="shared" si="16"/>
        <v>44</v>
      </c>
      <c r="AW34" s="30">
        <f t="shared" si="16"/>
        <v>56</v>
      </c>
      <c r="AX34" s="35">
        <f t="shared" si="16"/>
        <v>66</v>
      </c>
    </row>
    <row r="35" spans="2:50">
      <c r="B35" s="34">
        <f t="shared" si="9"/>
        <v>25</v>
      </c>
      <c r="C35" s="30" t="s">
        <v>132</v>
      </c>
      <c r="D35" s="30" t="s">
        <v>132</v>
      </c>
      <c r="E35" s="30" t="s">
        <v>131</v>
      </c>
      <c r="F35" s="30" t="s">
        <v>138</v>
      </c>
      <c r="G35" s="30" t="s">
        <v>138</v>
      </c>
      <c r="H35" s="35" t="s">
        <v>131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0000000000200</v>
      </c>
      <c r="AC35" s="15" t="str">
        <f t="shared" si="11"/>
        <v>0000001000100</v>
      </c>
      <c r="AD35" s="15" t="str">
        <f t="shared" si="11"/>
        <v>0200000000000</v>
      </c>
      <c r="AE35" s="15" t="str">
        <f t="shared" si="11"/>
        <v>0000000000020</v>
      </c>
      <c r="AF35" s="15" t="str">
        <f t="shared" si="11"/>
        <v>0000000000020</v>
      </c>
      <c r="AG35" s="41" t="str">
        <f t="shared" si="11"/>
        <v>0100000001000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68</v>
      </c>
      <c r="AT35" s="37">
        <f t="shared" si="16"/>
        <v>90</v>
      </c>
      <c r="AU35" s="37">
        <f t="shared" si="16"/>
        <v>62</v>
      </c>
      <c r="AV35" s="37">
        <f t="shared" si="16"/>
        <v>55</v>
      </c>
      <c r="AW35" s="37">
        <f t="shared" si="16"/>
        <v>66</v>
      </c>
      <c r="AX35" s="38">
        <f t="shared" si="16"/>
        <v>98</v>
      </c>
    </row>
    <row r="36" spans="2:50">
      <c r="B36" s="34">
        <f t="shared" si="9"/>
        <v>26</v>
      </c>
      <c r="C36" s="30" t="s">
        <v>138</v>
      </c>
      <c r="D36" s="30" t="s">
        <v>129</v>
      </c>
      <c r="E36" s="30" t="s">
        <v>138</v>
      </c>
      <c r="F36" s="30" t="s">
        <v>131</v>
      </c>
      <c r="G36" s="30" t="s">
        <v>134</v>
      </c>
      <c r="H36" s="35" t="s">
        <v>131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0000000000110</v>
      </c>
      <c r="AC36" s="15" t="str">
        <f t="shared" si="11"/>
        <v>0000000001100</v>
      </c>
      <c r="AD36" s="15" t="str">
        <f t="shared" si="11"/>
        <v>0100000000010</v>
      </c>
      <c r="AE36" s="15" t="str">
        <f t="shared" si="11"/>
        <v>0100000000010</v>
      </c>
      <c r="AF36" s="15" t="str">
        <f t="shared" si="11"/>
        <v>0001000000010</v>
      </c>
      <c r="AG36" s="41" t="str">
        <f t="shared" si="11"/>
        <v>0200000000000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138</v>
      </c>
      <c r="D37" s="30" t="s">
        <v>129</v>
      </c>
      <c r="E37" s="30" t="s">
        <v>138</v>
      </c>
      <c r="F37" s="30" t="s">
        <v>131</v>
      </c>
      <c r="G37" s="30" t="s">
        <v>134</v>
      </c>
      <c r="H37" s="35" t="s">
        <v>131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0000000000020</v>
      </c>
      <c r="AC37" s="15" t="str">
        <f t="shared" si="11"/>
        <v>0000000002000</v>
      </c>
      <c r="AD37" s="15" t="str">
        <f t="shared" si="11"/>
        <v>0000000000020</v>
      </c>
      <c r="AE37" s="15" t="str">
        <f t="shared" si="11"/>
        <v>0200000000000</v>
      </c>
      <c r="AF37" s="15" t="str">
        <f t="shared" si="11"/>
        <v>0002000000000</v>
      </c>
      <c r="AG37" s="41" t="str">
        <f t="shared" si="11"/>
        <v>0200000000000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138</v>
      </c>
      <c r="D38" s="30" t="s">
        <v>129</v>
      </c>
      <c r="E38" s="30" t="s">
        <v>138</v>
      </c>
      <c r="F38" s="30" t="s">
        <v>131</v>
      </c>
      <c r="G38" s="30" t="s">
        <v>134</v>
      </c>
      <c r="H38" s="35" t="s">
        <v>131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0000000000020</v>
      </c>
      <c r="AC38" s="15" t="str">
        <f t="shared" si="11"/>
        <v>0000000002000</v>
      </c>
      <c r="AD38" s="15" t="str">
        <f t="shared" si="11"/>
        <v>0000000000020</v>
      </c>
      <c r="AE38" s="15" t="str">
        <f t="shared" si="11"/>
        <v>0200000000000</v>
      </c>
      <c r="AF38" s="15" t="str">
        <f t="shared" si="11"/>
        <v>0002000000000</v>
      </c>
      <c r="AG38" s="41" t="str">
        <f t="shared" si="11"/>
        <v>0200000000000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131</v>
      </c>
      <c r="D39" s="30" t="s">
        <v>127</v>
      </c>
      <c r="E39" s="30" t="s">
        <v>132</v>
      </c>
      <c r="F39" s="30" t="s">
        <v>134</v>
      </c>
      <c r="G39" s="30" t="s">
        <v>133</v>
      </c>
      <c r="H39" s="35" t="s">
        <v>127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0100000000010</v>
      </c>
      <c r="AC39" s="15" t="str">
        <f t="shared" si="11"/>
        <v>0010000001000</v>
      </c>
      <c r="AD39" s="15" t="str">
        <f t="shared" si="11"/>
        <v>0000000000110</v>
      </c>
      <c r="AE39" s="15" t="str">
        <f t="shared" si="11"/>
        <v>0101000000000</v>
      </c>
      <c r="AF39" s="15" t="str">
        <f t="shared" si="11"/>
        <v>0001000100000</v>
      </c>
      <c r="AG39" s="41" t="str">
        <f t="shared" si="11"/>
        <v>0110000000000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2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0</v>
      </c>
      <c r="AO39" s="39" cm="1">
        <f t="array" ref="AO39">SUMPRODUCT(--(MID(AF$10:AF$135, SUMIF($Z$9:$Z$21, LEFT($AJ39,2), $Y$9:$Y$21), 1) = RIGHT($AJ39, 1)), N$10:N$135)</f>
        <v>0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131</v>
      </c>
      <c r="D40" s="30" t="s">
        <v>127</v>
      </c>
      <c r="E40" s="30" t="s">
        <v>132</v>
      </c>
      <c r="F40" s="30" t="s">
        <v>134</v>
      </c>
      <c r="G40" s="30" t="s">
        <v>133</v>
      </c>
      <c r="H40" s="35" t="s">
        <v>127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0200000000000</v>
      </c>
      <c r="AC40" s="15" t="str">
        <f t="shared" si="11"/>
        <v>0020000000000</v>
      </c>
      <c r="AD40" s="15" t="str">
        <f t="shared" si="11"/>
        <v>0000000000200</v>
      </c>
      <c r="AE40" s="15" t="str">
        <f t="shared" si="11"/>
        <v>0002000000000</v>
      </c>
      <c r="AF40" s="15" t="str">
        <f t="shared" si="11"/>
        <v>0000000200000</v>
      </c>
      <c r="AG40" s="41" t="str">
        <f t="shared" si="11"/>
        <v>0020000000000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6</v>
      </c>
      <c r="AL40" s="39" cm="1">
        <f t="array" ref="AL40">SUMPRODUCT(--(MID(AC$10:AC$135, SUMIF($Z$9:$Z$21, LEFT($AJ40,2), $Y$9:$Y$21), 1) = RIGHT($AJ40, 1)), K$10:K$135)</f>
        <v>4</v>
      </c>
      <c r="AM40" s="39" cm="1">
        <f t="array" ref="AM40">SUMPRODUCT(--(MID(AD$10:AD$135, SUMIF($Z$9:$Z$21, LEFT($AJ40,2), $Y$9:$Y$21), 1) = RIGHT($AJ40, 1)), L$10:L$135)</f>
        <v>2</v>
      </c>
      <c r="AN40" s="39" cm="1">
        <f t="array" ref="AN40">SUMPRODUCT(--(MID(AE$10:AE$135, SUMIF($Z$9:$Z$21, LEFT($AJ40,2), $Y$9:$Y$21), 1) = RIGHT($AJ40, 1)), M$10:M$135)</f>
        <v>2</v>
      </c>
      <c r="AO40" s="39" cm="1">
        <f t="array" ref="AO40">SUMPRODUCT(--(MID(AF$10:AF$135, SUMIF($Z$9:$Z$21, LEFT($AJ40,2), $Y$9:$Y$21), 1) = RIGHT($AJ40, 1)), N$10:N$135)</f>
        <v>4</v>
      </c>
      <c r="AP40" s="19" cm="1">
        <f t="array" ref="AP40">SUMPRODUCT(--(MID(AG$10:AG$135, SUMIF($Z$9:$Z$21, LEFT($AJ40,2), $Y$9:$Y$21), 1) = RIGHT($AJ40, 1)), O$10:O$135)</f>
        <v>14</v>
      </c>
    </row>
    <row r="41" spans="2:50">
      <c r="B41" s="34">
        <f t="shared" si="9"/>
        <v>31</v>
      </c>
      <c r="C41" s="30" t="s">
        <v>131</v>
      </c>
      <c r="D41" s="30" t="s">
        <v>127</v>
      </c>
      <c r="E41" s="30" t="s">
        <v>132</v>
      </c>
      <c r="F41" s="30" t="s">
        <v>134</v>
      </c>
      <c r="G41" s="30" t="s">
        <v>133</v>
      </c>
      <c r="H41" s="35" t="s">
        <v>127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0200000000000</v>
      </c>
      <c r="AC41" s="15" t="str">
        <f t="shared" si="11"/>
        <v>0020000000000</v>
      </c>
      <c r="AD41" s="15" t="str">
        <f t="shared" si="11"/>
        <v>0000000000200</v>
      </c>
      <c r="AE41" s="15" t="str">
        <f t="shared" si="11"/>
        <v>0002000000000</v>
      </c>
      <c r="AF41" s="15" t="str">
        <f t="shared" si="11"/>
        <v>0000000200000</v>
      </c>
      <c r="AG41" s="41" t="str">
        <f t="shared" si="11"/>
        <v>0020000000000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60</v>
      </c>
      <c r="AL41" s="39" cm="1">
        <f t="array" ref="AL41">SUMPRODUCT(--(MID(AC$10:AC$135, SUMIF($Z$9:$Z$21, LEFT($AJ41,2), $Y$9:$Y$21), 1) = RIGHT($AJ41, 1)), K$10:K$135)</f>
        <v>86</v>
      </c>
      <c r="AM41" s="39" cm="1">
        <f t="array" ref="AM41">SUMPRODUCT(--(MID(AD$10:AD$135, SUMIF($Z$9:$Z$21, LEFT($AJ41,2), $Y$9:$Y$21), 1) = RIGHT($AJ41, 1)), L$10:L$135)</f>
        <v>60</v>
      </c>
      <c r="AN41" s="39" cm="1">
        <f t="array" ref="AN41">SUMPRODUCT(--(MID(AE$10:AE$135, SUMIF($Z$9:$Z$21, LEFT($AJ41,2), $Y$9:$Y$21), 1) = RIGHT($AJ41, 1)), M$10:M$135)</f>
        <v>53</v>
      </c>
      <c r="AO41" s="39" cm="1">
        <f t="array" ref="AO41">SUMPRODUCT(--(MID(AF$10:AF$135, SUMIF($Z$9:$Z$21, LEFT($AJ41,2), $Y$9:$Y$21), 1) = RIGHT($AJ41, 1)), N$10:N$135)</f>
        <v>62</v>
      </c>
      <c r="AP41" s="19" cm="1">
        <f t="array" ref="AP41">SUMPRODUCT(--(MID(AG$10:AG$135, SUMIF($Z$9:$Z$21, LEFT($AJ41,2), $Y$9:$Y$21), 1) = RIGHT($AJ41, 1)), O$10:O$135)</f>
        <v>82</v>
      </c>
    </row>
    <row r="42" spans="2:50">
      <c r="B42" s="34">
        <f t="shared" si="9"/>
        <v>32</v>
      </c>
      <c r="C42" s="30" t="s">
        <v>129</v>
      </c>
      <c r="D42" s="30" t="s">
        <v>132</v>
      </c>
      <c r="E42" s="30" t="s">
        <v>133</v>
      </c>
      <c r="F42" s="30" t="s">
        <v>127</v>
      </c>
      <c r="G42" s="30" t="s">
        <v>128</v>
      </c>
      <c r="H42" s="35" t="s">
        <v>138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0100000001000</v>
      </c>
      <c r="AC42" s="15" t="str">
        <f t="shared" si="11"/>
        <v>0010000000100</v>
      </c>
      <c r="AD42" s="15" t="str">
        <f t="shared" si="11"/>
        <v>0000000100100</v>
      </c>
      <c r="AE42" s="15" t="str">
        <f t="shared" si="11"/>
        <v>0011000000000</v>
      </c>
      <c r="AF42" s="15" t="str">
        <f t="shared" si="11"/>
        <v>0000001100000</v>
      </c>
      <c r="AG42" s="41" t="str">
        <f t="shared" si="11"/>
        <v>0010000000010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129</v>
      </c>
      <c r="D43" s="30" t="s">
        <v>132</v>
      </c>
      <c r="E43" s="30" t="s">
        <v>133</v>
      </c>
      <c r="F43" s="30" t="s">
        <v>138</v>
      </c>
      <c r="G43" s="30" t="s">
        <v>134</v>
      </c>
      <c r="H43" s="35" t="s">
        <v>138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0000000002000</v>
      </c>
      <c r="AC43" s="15" t="str">
        <f t="shared" si="11"/>
        <v>0000000000200</v>
      </c>
      <c r="AD43" s="15" t="str">
        <f t="shared" si="11"/>
        <v>0000000200000</v>
      </c>
      <c r="AE43" s="15" t="str">
        <f t="shared" si="11"/>
        <v>0010000000010</v>
      </c>
      <c r="AF43" s="15" t="str">
        <f t="shared" si="11"/>
        <v>0001001000000</v>
      </c>
      <c r="AG43" s="41" t="str">
        <f t="shared" si="11"/>
        <v>0000000000020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129</v>
      </c>
      <c r="D44" s="30" t="s">
        <v>132</v>
      </c>
      <c r="E44" s="30" t="s">
        <v>133</v>
      </c>
      <c r="F44" s="30" t="s">
        <v>129</v>
      </c>
      <c r="G44" s="30" t="s">
        <v>128</v>
      </c>
      <c r="H44" s="35" t="s">
        <v>138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0000000002000</v>
      </c>
      <c r="AC44" s="15" t="str">
        <f t="shared" si="11"/>
        <v>0000000000200</v>
      </c>
      <c r="AD44" s="15" t="str">
        <f t="shared" si="11"/>
        <v>0000000200000</v>
      </c>
      <c r="AE44" s="15" t="str">
        <f t="shared" si="11"/>
        <v>0000000001010</v>
      </c>
      <c r="AF44" s="15" t="str">
        <f t="shared" si="11"/>
        <v>0001001000000</v>
      </c>
      <c r="AG44" s="41" t="str">
        <f t="shared" si="11"/>
        <v>0000000000020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136</v>
      </c>
      <c r="D45" s="30" t="s">
        <v>128</v>
      </c>
      <c r="E45" s="30" t="s">
        <v>130</v>
      </c>
      <c r="F45" s="30" t="s">
        <v>127</v>
      </c>
      <c r="G45" s="30" t="s">
        <v>131</v>
      </c>
      <c r="H45" s="35" t="s">
        <v>128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0000100001000</v>
      </c>
      <c r="AC45" s="15" t="str">
        <f t="shared" si="11"/>
        <v>0000001000100</v>
      </c>
      <c r="AD45" s="15" t="str">
        <f t="shared" si="11"/>
        <v>0000000110000</v>
      </c>
      <c r="AE45" s="15" t="str">
        <f t="shared" si="11"/>
        <v>0010000001000</v>
      </c>
      <c r="AF45" s="15" t="str">
        <f t="shared" si="11"/>
        <v>0100001000000</v>
      </c>
      <c r="AG45" s="41" t="str">
        <f t="shared" si="11"/>
        <v>0000001000010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136</v>
      </c>
      <c r="D46" s="30" t="s">
        <v>131</v>
      </c>
      <c r="E46" s="30" t="s">
        <v>132</v>
      </c>
      <c r="F46" s="30" t="s">
        <v>131</v>
      </c>
      <c r="G46" s="30" t="s">
        <v>129</v>
      </c>
      <c r="H46" s="35" t="s">
        <v>128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0000200000000</v>
      </c>
      <c r="AC46" s="15" t="str">
        <f t="shared" si="11"/>
        <v>0100001000000</v>
      </c>
      <c r="AD46" s="15" t="str">
        <f t="shared" si="11"/>
        <v>0000000010100</v>
      </c>
      <c r="AE46" s="15" t="str">
        <f t="shared" si="11"/>
        <v>0110000000000</v>
      </c>
      <c r="AF46" s="15" t="str">
        <f t="shared" si="11"/>
        <v>0100000001000</v>
      </c>
      <c r="AG46" s="41" t="str">
        <f t="shared" si="11"/>
        <v>0000002000000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136</v>
      </c>
      <c r="D47" s="30" t="s">
        <v>134</v>
      </c>
      <c r="E47" s="30" t="s">
        <v>131</v>
      </c>
      <c r="F47" s="30" t="s">
        <v>129</v>
      </c>
      <c r="G47" s="30" t="s">
        <v>138</v>
      </c>
      <c r="H47" s="35" t="s">
        <v>128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0000200000000</v>
      </c>
      <c r="AC47" s="15" t="str">
        <f t="shared" si="11"/>
        <v>0101000000000</v>
      </c>
      <c r="AD47" s="15" t="str">
        <f t="shared" si="11"/>
        <v>0100000000100</v>
      </c>
      <c r="AE47" s="15" t="str">
        <f t="shared" si="11"/>
        <v>0100000001000</v>
      </c>
      <c r="AF47" s="15" t="str">
        <f t="shared" si="11"/>
        <v>0000000001010</v>
      </c>
      <c r="AG47" s="41" t="str">
        <f t="shared" si="11"/>
        <v>0000002000000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0</v>
      </c>
      <c r="AL47" s="39" cm="1">
        <f t="array" ref="AL47">SUMPRODUCT(--(MID(AC$10:AC$135, SUMIF($Z$9:$Z$21, LEFT($AJ47,2), $Y$9:$Y$21), 1) = RIGHT($AJ47, 1)), K$10:K$135)</f>
        <v>0</v>
      </c>
      <c r="AM47" s="39" cm="1">
        <f t="array" ref="AM47">SUMPRODUCT(--(MID(AD$10:AD$135, SUMIF($Z$9:$Z$21, LEFT($AJ47,2), $Y$9:$Y$21), 1) = RIGHT($AJ47, 1)), L$10:L$135)</f>
        <v>0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133</v>
      </c>
      <c r="D48" s="30" t="s">
        <v>127</v>
      </c>
      <c r="E48" s="30" t="s">
        <v>130</v>
      </c>
      <c r="F48" s="30" t="s">
        <v>130</v>
      </c>
      <c r="G48" s="30" t="s">
        <v>127</v>
      </c>
      <c r="H48" s="35" t="s">
        <v>138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0000100100000</v>
      </c>
      <c r="AC48" s="15" t="str">
        <f t="shared" si="11"/>
        <v>0011000000000</v>
      </c>
      <c r="AD48" s="15" t="str">
        <f t="shared" si="11"/>
        <v>0100000010000</v>
      </c>
      <c r="AE48" s="15" t="str">
        <f t="shared" si="11"/>
        <v>0000000011000</v>
      </c>
      <c r="AF48" s="15" t="str">
        <f t="shared" si="11"/>
        <v>0010000000010</v>
      </c>
      <c r="AG48" s="41" t="str">
        <f t="shared" si="11"/>
        <v>0000001000010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2</v>
      </c>
      <c r="AL48" s="39" cm="1">
        <f t="array" ref="AL48">SUMPRODUCT(--(MID(AC$10:AC$135, SUMIF($Z$9:$Z$21, LEFT($AJ48,2), $Y$9:$Y$21), 1) = RIGHT($AJ48, 1)), K$10:K$135)</f>
        <v>4</v>
      </c>
      <c r="AM48" s="39" cm="1">
        <f t="array" ref="AM48">SUMPRODUCT(--(MID(AD$10:AD$135, SUMIF($Z$9:$Z$21, LEFT($AJ48,2), $Y$9:$Y$21), 1) = RIGHT($AJ48, 1)), L$10:L$135)</f>
        <v>6</v>
      </c>
      <c r="AN48" s="39" cm="1">
        <f t="array" ref="AN48">SUMPRODUCT(--(MID(AE$10:AE$135, SUMIF($Z$9:$Z$21, LEFT($AJ48,2), $Y$9:$Y$21), 1) = RIGHT($AJ48, 1)), M$10:M$135)</f>
        <v>2</v>
      </c>
      <c r="AO48" s="39" cm="1">
        <f t="array" ref="AO48">SUMPRODUCT(--(MID(AF$10:AF$135, SUMIF($Z$9:$Z$21, LEFT($AJ48,2), $Y$9:$Y$21), 1) = RIGHT($AJ48, 1)), N$10:N$135)</f>
        <v>4</v>
      </c>
      <c r="AP48" s="19" cm="1">
        <f t="array" ref="AP48">SUMPRODUCT(--(MID(AG$10:AG$135, SUMIF($Z$9:$Z$21, LEFT($AJ48,2), $Y$9:$Y$21), 1) = RIGHT($AJ48, 1)), O$10:O$135)</f>
        <v>6</v>
      </c>
    </row>
    <row r="49" spans="2:42">
      <c r="B49" s="34">
        <f t="shared" si="9"/>
        <v>39</v>
      </c>
      <c r="C49" s="30" t="s">
        <v>138</v>
      </c>
      <c r="D49" s="30" t="s">
        <v>132</v>
      </c>
      <c r="E49" s="30" t="s">
        <v>127</v>
      </c>
      <c r="F49" s="30" t="s">
        <v>133</v>
      </c>
      <c r="G49" s="30" t="s">
        <v>129</v>
      </c>
      <c r="H49" s="35" t="s">
        <v>128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0000000100010</v>
      </c>
      <c r="AC49" s="15" t="str">
        <f t="shared" si="11"/>
        <v>0010000000100</v>
      </c>
      <c r="AD49" s="15" t="str">
        <f t="shared" si="11"/>
        <v>0010000010000</v>
      </c>
      <c r="AE49" s="15" t="str">
        <f t="shared" si="11"/>
        <v>0000000110000</v>
      </c>
      <c r="AF49" s="15" t="str">
        <f t="shared" si="11"/>
        <v>0010000001000</v>
      </c>
      <c r="AG49" s="41" t="str">
        <f t="shared" si="11"/>
        <v>0000001000010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66</v>
      </c>
      <c r="AL49" s="39" cm="1">
        <f t="array" ref="AL49">SUMPRODUCT(--(MID(AC$10:AC$135, SUMIF($Z$9:$Z$21, LEFT($AJ49,2), $Y$9:$Y$21), 1) = RIGHT($AJ49, 1)), K$10:K$135)</f>
        <v>86</v>
      </c>
      <c r="AM49" s="39" cm="1">
        <f t="array" ref="AM49">SUMPRODUCT(--(MID(AD$10:AD$135, SUMIF($Z$9:$Z$21, LEFT($AJ49,2), $Y$9:$Y$21), 1) = RIGHT($AJ49, 1)), L$10:L$135)</f>
        <v>56</v>
      </c>
      <c r="AN49" s="39" cm="1">
        <f t="array" ref="AN49">SUMPRODUCT(--(MID(AE$10:AE$135, SUMIF($Z$9:$Z$21, LEFT($AJ49,2), $Y$9:$Y$21), 1) = RIGHT($AJ49, 1)), M$10:M$135)</f>
        <v>53</v>
      </c>
      <c r="AO49" s="39" cm="1">
        <f t="array" ref="AO49">SUMPRODUCT(--(MID(AF$10:AF$135, SUMIF($Z$9:$Z$21, LEFT($AJ49,2), $Y$9:$Y$21), 1) = RIGHT($AJ49, 1)), N$10:N$135)</f>
        <v>62</v>
      </c>
      <c r="AP49" s="19" cm="1">
        <f t="array" ref="AP49">SUMPRODUCT(--(MID(AG$10:AG$135, SUMIF($Z$9:$Z$21, LEFT($AJ49,2), $Y$9:$Y$21), 1) = RIGHT($AJ49, 1)), O$10:O$135)</f>
        <v>92</v>
      </c>
    </row>
    <row r="50" spans="2:42">
      <c r="B50" s="34">
        <f t="shared" si="9"/>
        <v>40</v>
      </c>
      <c r="C50" s="30" t="s">
        <v>133</v>
      </c>
      <c r="D50" s="30" t="s">
        <v>131</v>
      </c>
      <c r="E50" s="30" t="s">
        <v>129</v>
      </c>
      <c r="F50" s="30" t="s">
        <v>129</v>
      </c>
      <c r="G50" s="30" t="s">
        <v>134</v>
      </c>
      <c r="H50" s="35" t="s">
        <v>138</v>
      </c>
      <c r="J50" s="34">
        <f t="shared" si="3"/>
        <v>1</v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>0000000100010</v>
      </c>
      <c r="AC50" s="15" t="str">
        <f t="shared" si="11"/>
        <v>0100000000100</v>
      </c>
      <c r="AD50" s="15" t="str">
        <f t="shared" si="11"/>
        <v>0010000001000</v>
      </c>
      <c r="AE50" s="15" t="str">
        <f t="shared" si="11"/>
        <v>0000000101000</v>
      </c>
      <c r="AF50" s="15" t="str">
        <f t="shared" si="11"/>
        <v>0001000001000</v>
      </c>
      <c r="AG50" s="41" t="str">
        <f t="shared" si="11"/>
        <v>0000001000010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 t="s">
        <v>129</v>
      </c>
      <c r="D51" s="30" t="s">
        <v>132</v>
      </c>
      <c r="E51" s="30" t="s">
        <v>130</v>
      </c>
      <c r="F51" s="30" t="s">
        <v>133</v>
      </c>
      <c r="G51" s="30" t="s">
        <v>129</v>
      </c>
      <c r="H51" s="35" t="s">
        <v>128</v>
      </c>
      <c r="J51" s="34">
        <f t="shared" si="3"/>
        <v>1</v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>0000000101000</v>
      </c>
      <c r="AC51" s="15" t="str">
        <f t="shared" si="11"/>
        <v>0100000000100</v>
      </c>
      <c r="AD51" s="15" t="str">
        <f t="shared" si="11"/>
        <v>0000000011000</v>
      </c>
      <c r="AE51" s="15" t="str">
        <f t="shared" si="11"/>
        <v>0000000101000</v>
      </c>
      <c r="AF51" s="15" t="str">
        <f t="shared" si="11"/>
        <v>0001000001000</v>
      </c>
      <c r="AG51" s="41" t="str">
        <f t="shared" si="11"/>
        <v>0000001000010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 t="s">
        <v>128</v>
      </c>
      <c r="D52" s="30" t="s">
        <v>129</v>
      </c>
      <c r="E52" s="30" t="s">
        <v>137</v>
      </c>
      <c r="F52" s="30" t="s">
        <v>129</v>
      </c>
      <c r="G52" s="30" t="s">
        <v>128</v>
      </c>
      <c r="H52" s="35" t="s">
        <v>131</v>
      </c>
      <c r="J52" s="34">
        <f t="shared" si="3"/>
        <v>1</v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>0000001001000</v>
      </c>
      <c r="AC52" s="15" t="str">
        <f t="shared" si="11"/>
        <v>0000000001100</v>
      </c>
      <c r="AD52" s="15" t="str">
        <f t="shared" si="11"/>
        <v>0000010010000</v>
      </c>
      <c r="AE52" s="15" t="str">
        <f t="shared" si="11"/>
        <v>0000000101000</v>
      </c>
      <c r="AF52" s="15" t="str">
        <f t="shared" si="11"/>
        <v>0000001001000</v>
      </c>
      <c r="AG52" s="41" t="str">
        <f t="shared" si="11"/>
        <v>0100001000000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 t="s">
        <v>136</v>
      </c>
      <c r="D53" s="30" t="s">
        <v>132</v>
      </c>
      <c r="E53" s="30" t="s">
        <v>127</v>
      </c>
      <c r="F53" s="30" t="s">
        <v>127</v>
      </c>
      <c r="G53" s="30" t="s">
        <v>129</v>
      </c>
      <c r="H53" s="35" t="s">
        <v>138</v>
      </c>
      <c r="J53" s="34">
        <f t="shared" si="3"/>
        <v>1</v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>0000101000000</v>
      </c>
      <c r="AC53" s="15" t="str">
        <f t="shared" si="11"/>
        <v>0000000001100</v>
      </c>
      <c r="AD53" s="15" t="str">
        <f t="shared" si="11"/>
        <v>0010010000000</v>
      </c>
      <c r="AE53" s="15" t="str">
        <f t="shared" si="11"/>
        <v>0010000001000</v>
      </c>
      <c r="AF53" s="15" t="str">
        <f t="shared" si="11"/>
        <v>0000001001000</v>
      </c>
      <c r="AG53" s="41" t="str">
        <f t="shared" si="11"/>
        <v>0100000000010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 t="s">
        <v>134</v>
      </c>
      <c r="D54" s="30" t="s">
        <v>131</v>
      </c>
      <c r="E54" s="30" t="s">
        <v>129</v>
      </c>
      <c r="F54" s="30" t="s">
        <v>131</v>
      </c>
      <c r="G54" s="30" t="s">
        <v>127</v>
      </c>
      <c r="H54" s="35" t="s">
        <v>131</v>
      </c>
      <c r="J54" s="34">
        <f t="shared" si="3"/>
        <v>1</v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>0001100000000</v>
      </c>
      <c r="AC54" s="15" t="str">
        <f t="shared" si="11"/>
        <v>0100000000100</v>
      </c>
      <c r="AD54" s="15" t="str">
        <f t="shared" si="11"/>
        <v>0010000001000</v>
      </c>
      <c r="AE54" s="15" t="str">
        <f t="shared" si="11"/>
        <v>0110000000000</v>
      </c>
      <c r="AF54" s="15" t="str">
        <f t="shared" si="11"/>
        <v>0010000001000</v>
      </c>
      <c r="AG54" s="41" t="str">
        <f t="shared" si="11"/>
        <v>0100000000010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 t="s">
        <v>131</v>
      </c>
      <c r="D55" s="30" t="s">
        <v>132</v>
      </c>
      <c r="E55" s="30" t="s">
        <v>132</v>
      </c>
      <c r="F55" s="30" t="s">
        <v>138</v>
      </c>
      <c r="G55" s="30" t="s">
        <v>134</v>
      </c>
      <c r="H55" s="35" t="s">
        <v>134</v>
      </c>
      <c r="J55" s="34">
        <f t="shared" si="3"/>
        <v>1</v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>0101000000000</v>
      </c>
      <c r="AC55" s="15" t="str">
        <f t="shared" si="11"/>
        <v>0100000000100</v>
      </c>
      <c r="AD55" s="15" t="str">
        <f t="shared" si="11"/>
        <v>0000000001100</v>
      </c>
      <c r="AE55" s="15" t="str">
        <f t="shared" si="11"/>
        <v>0100000000010</v>
      </c>
      <c r="AF55" s="15" t="str">
        <f t="shared" si="11"/>
        <v>0011000000000</v>
      </c>
      <c r="AG55" s="41" t="str">
        <f t="shared" si="11"/>
        <v>0101000000000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0</v>
      </c>
      <c r="AO55" s="39" cm="1">
        <f t="array" ref="AO55">SUMPRODUCT(--(MID(AF$10:AF$135, SUMIF($Z$9:$Z$21, LEFT($AJ55,2), $Y$9:$Y$21), 1) = RIGHT($AJ55, 1)), N$10:N$135)</f>
        <v>0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 t="s">
        <v>134</v>
      </c>
      <c r="D56" s="30" t="s">
        <v>129</v>
      </c>
      <c r="E56" s="30" t="s">
        <v>127</v>
      </c>
      <c r="F56" s="30" t="s">
        <v>131</v>
      </c>
      <c r="G56" s="30" t="s">
        <v>127</v>
      </c>
      <c r="H56" s="35" t="s">
        <v>129</v>
      </c>
      <c r="J56" s="34">
        <f t="shared" si="3"/>
        <v>1</v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>0101000000000</v>
      </c>
      <c r="AC56" s="15" t="str">
        <f t="shared" si="11"/>
        <v>0000000001100</v>
      </c>
      <c r="AD56" s="15" t="str">
        <f t="shared" si="11"/>
        <v>0010000000100</v>
      </c>
      <c r="AE56" s="15" t="str">
        <f t="shared" si="11"/>
        <v>0100000000010</v>
      </c>
      <c r="AF56" s="15" t="str">
        <f t="shared" si="11"/>
        <v>0011000000000</v>
      </c>
      <c r="AG56" s="41" t="str">
        <f t="shared" si="11"/>
        <v>0001000001000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8</v>
      </c>
      <c r="AL56" s="39" cm="1">
        <f t="array" ref="AL56">SUMPRODUCT(--(MID(AC$10:AC$135, SUMIF($Z$9:$Z$21, LEFT($AJ56,2), $Y$9:$Y$21), 1) = RIGHT($AJ56, 1)), K$10:K$135)</f>
        <v>12</v>
      </c>
      <c r="AM56" s="39" cm="1">
        <f t="array" ref="AM56">SUMPRODUCT(--(MID(AD$10:AD$135, SUMIF($Z$9:$Z$21, LEFT($AJ56,2), $Y$9:$Y$21), 1) = RIGHT($AJ56, 1)), L$10:L$135)</f>
        <v>6</v>
      </c>
      <c r="AN56" s="39" cm="1">
        <f t="array" ref="AN56">SUMPRODUCT(--(MID(AE$10:AE$135, SUMIF($Z$9:$Z$21, LEFT($AJ56,2), $Y$9:$Y$21), 1) = RIGHT($AJ56, 1)), M$10:M$135)</f>
        <v>2</v>
      </c>
      <c r="AO56" s="39" cm="1">
        <f t="array" ref="AO56">SUMPRODUCT(--(MID(AF$10:AF$135, SUMIF($Z$9:$Z$21, LEFT($AJ56,2), $Y$9:$Y$21), 1) = RIGHT($AJ56, 1)), N$10:N$135)</f>
        <v>12</v>
      </c>
      <c r="AP56" s="19" cm="1">
        <f t="array" ref="AP56">SUMPRODUCT(--(MID(AG$10:AG$135, SUMIF($Z$9:$Z$21, LEFT($AJ56,2), $Y$9:$Y$21), 1) = RIGHT($AJ56, 1)), O$10:O$135)</f>
        <v>20</v>
      </c>
    </row>
    <row r="57" spans="2:42">
      <c r="B57" s="34">
        <f t="shared" si="9"/>
        <v>47</v>
      </c>
      <c r="C57" s="30" t="s">
        <v>138</v>
      </c>
      <c r="D57" s="30" t="s">
        <v>127</v>
      </c>
      <c r="E57" s="30" t="s">
        <v>129</v>
      </c>
      <c r="F57" s="30" t="s">
        <v>133</v>
      </c>
      <c r="G57" s="30" t="s">
        <v>129</v>
      </c>
      <c r="H57" s="35" t="s">
        <v>136</v>
      </c>
      <c r="J57" s="34">
        <f t="shared" si="3"/>
        <v>1</v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>0001000000010</v>
      </c>
      <c r="AC57" s="15" t="str">
        <f t="shared" si="11"/>
        <v>0010000001000</v>
      </c>
      <c r="AD57" s="15" t="str">
        <f t="shared" si="11"/>
        <v>0010000001000</v>
      </c>
      <c r="AE57" s="15" t="str">
        <f t="shared" si="11"/>
        <v>0100000100000</v>
      </c>
      <c r="AF57" s="15" t="str">
        <f t="shared" si="11"/>
        <v>0010000001000</v>
      </c>
      <c r="AG57" s="41" t="str">
        <f t="shared" si="11"/>
        <v>0000100001000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58</v>
      </c>
      <c r="AL57" s="39" cm="1">
        <f t="array" ref="AL57">SUMPRODUCT(--(MID(AC$10:AC$135, SUMIF($Z$9:$Z$21, LEFT($AJ57,2), $Y$9:$Y$21), 1) = RIGHT($AJ57, 1)), K$10:K$135)</f>
        <v>76</v>
      </c>
      <c r="AM57" s="39" cm="1">
        <f t="array" ref="AM57">SUMPRODUCT(--(MID(AD$10:AD$135, SUMIF($Z$9:$Z$21, LEFT($AJ57,2), $Y$9:$Y$21), 1) = RIGHT($AJ57, 1)), L$10:L$135)</f>
        <v>54</v>
      </c>
      <c r="AN57" s="39" cm="1">
        <f t="array" ref="AN57">SUMPRODUCT(--(MID(AE$10:AE$135, SUMIF($Z$9:$Z$21, LEFT($AJ57,2), $Y$9:$Y$21), 1) = RIGHT($AJ57, 1)), M$10:M$135)</f>
        <v>53</v>
      </c>
      <c r="AO57" s="39" cm="1">
        <f t="array" ref="AO57">SUMPRODUCT(--(MID(AF$10:AF$135, SUMIF($Z$9:$Z$21, LEFT($AJ57,2), $Y$9:$Y$21), 1) = RIGHT($AJ57, 1)), N$10:N$135)</f>
        <v>54</v>
      </c>
      <c r="AP57" s="19" cm="1">
        <f t="array" ref="AP57">SUMPRODUCT(--(MID(AG$10:AG$135, SUMIF($Z$9:$Z$21, LEFT($AJ57,2), $Y$9:$Y$21), 1) = RIGHT($AJ57, 1)), O$10:O$135)</f>
        <v>76</v>
      </c>
    </row>
    <row r="58" spans="2:42">
      <c r="B58" s="34">
        <f t="shared" si="9"/>
        <v>48</v>
      </c>
      <c r="C58" s="30" t="s">
        <v>132</v>
      </c>
      <c r="D58" s="30" t="s">
        <v>138</v>
      </c>
      <c r="E58" s="30" t="s">
        <v>132</v>
      </c>
      <c r="F58" s="30" t="s">
        <v>129</v>
      </c>
      <c r="G58" s="30" t="s">
        <v>138</v>
      </c>
      <c r="H58" s="35" t="s">
        <v>138</v>
      </c>
      <c r="J58" s="34">
        <f t="shared" si="3"/>
        <v>1</v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>0000000000110</v>
      </c>
      <c r="AC58" s="15" t="str">
        <f t="shared" si="11"/>
        <v>0010000000010</v>
      </c>
      <c r="AD58" s="15" t="str">
        <f t="shared" si="11"/>
        <v>0000000001100</v>
      </c>
      <c r="AE58" s="15" t="str">
        <f t="shared" si="11"/>
        <v>0000000101000</v>
      </c>
      <c r="AF58" s="15" t="str">
        <f t="shared" si="11"/>
        <v>0000000001010</v>
      </c>
      <c r="AG58" s="41" t="str">
        <f t="shared" si="11"/>
        <v>0000100000010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 t="s">
        <v>134</v>
      </c>
      <c r="D59" s="30" t="s">
        <v>136</v>
      </c>
      <c r="E59" s="30" t="s">
        <v>130</v>
      </c>
      <c r="F59" s="30" t="s">
        <v>132</v>
      </c>
      <c r="G59" s="30" t="s">
        <v>129</v>
      </c>
      <c r="H59" s="35" t="s">
        <v>127</v>
      </c>
      <c r="J59" s="34">
        <f t="shared" si="3"/>
        <v>1</v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>0001000000100</v>
      </c>
      <c r="AC59" s="15" t="str">
        <f t="shared" si="11"/>
        <v>0000100000010</v>
      </c>
      <c r="AD59" s="15" t="str">
        <f t="shared" si="11"/>
        <v>0000000010100</v>
      </c>
      <c r="AE59" s="15" t="str">
        <f t="shared" si="11"/>
        <v>0000000001100</v>
      </c>
      <c r="AF59" s="15" t="str">
        <f t="shared" si="11"/>
        <v>0000000001010</v>
      </c>
      <c r="AG59" s="41" t="str">
        <f t="shared" si="11"/>
        <v>0010000000010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 t="s">
        <v>138</v>
      </c>
      <c r="D60" s="30" t="s">
        <v>129</v>
      </c>
      <c r="E60" s="30" t="s">
        <v>131</v>
      </c>
      <c r="F60" s="30" t="s">
        <v>131</v>
      </c>
      <c r="G60" s="30" t="s">
        <v>128</v>
      </c>
      <c r="H60" s="35" t="s">
        <v>128</v>
      </c>
      <c r="J60" s="34">
        <f t="shared" ref="J60:O102" si="21">IF(C60="","",1)</f>
        <v>1</v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>
        <f t="shared" si="21"/>
        <v>1</v>
      </c>
      <c r="AA60" s="15"/>
      <c r="AB60" s="40" t="str">
        <f t="shared" si="11"/>
        <v>0001000000010</v>
      </c>
      <c r="AC60" s="15" t="str">
        <f t="shared" si="11"/>
        <v>0000100001000</v>
      </c>
      <c r="AD60" s="15" t="str">
        <f t="shared" si="11"/>
        <v>0100000010000</v>
      </c>
      <c r="AE60" s="15" t="str">
        <f t="shared" si="11"/>
        <v>0100000000100</v>
      </c>
      <c r="AF60" s="15" t="str">
        <f t="shared" si="11"/>
        <v>0000001001000</v>
      </c>
      <c r="AG60" s="41" t="str">
        <f t="shared" si="11"/>
        <v>0010001000000</v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 t="s">
        <v>130</v>
      </c>
      <c r="D61" s="30" t="s">
        <v>138</v>
      </c>
      <c r="E61" s="30" t="s">
        <v>130</v>
      </c>
      <c r="F61" s="30" t="s">
        <v>138</v>
      </c>
      <c r="G61" s="30" t="s">
        <v>129</v>
      </c>
      <c r="H61" s="35" t="s">
        <v>127</v>
      </c>
      <c r="J61" s="34">
        <f t="shared" si="21"/>
        <v>1</v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>
        <f t="shared" si="21"/>
        <v>1</v>
      </c>
      <c r="AA61" s="15"/>
      <c r="AB61" s="40" t="str">
        <f t="shared" si="11"/>
        <v>0000000010010</v>
      </c>
      <c r="AC61" s="15" t="str">
        <f t="shared" si="11"/>
        <v>0000000001010</v>
      </c>
      <c r="AD61" s="15" t="str">
        <f t="shared" si="11"/>
        <v>0100000010000</v>
      </c>
      <c r="AE61" s="15" t="str">
        <f t="shared" si="11"/>
        <v>0100000000010</v>
      </c>
      <c r="AF61" s="15" t="str">
        <f t="shared" si="11"/>
        <v>0000001001000</v>
      </c>
      <c r="AG61" s="41" t="str">
        <f t="shared" si="11"/>
        <v>0010001000000</v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 t="s">
        <v>138</v>
      </c>
      <c r="D62" s="30" t="s">
        <v>132</v>
      </c>
      <c r="E62" s="30" t="s">
        <v>128</v>
      </c>
      <c r="F62" s="30" t="s">
        <v>133</v>
      </c>
      <c r="G62" s="30" t="s">
        <v>134</v>
      </c>
      <c r="H62" s="35" t="s">
        <v>128</v>
      </c>
      <c r="J62" s="34">
        <f t="shared" si="21"/>
        <v>1</v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>
        <f t="shared" si="21"/>
        <v>1</v>
      </c>
      <c r="AA62" s="15"/>
      <c r="AB62" s="40" t="str">
        <f t="shared" si="11"/>
        <v>0000000010010</v>
      </c>
      <c r="AC62" s="15" t="str">
        <f t="shared" si="11"/>
        <v>0000000000110</v>
      </c>
      <c r="AD62" s="15" t="str">
        <f t="shared" si="11"/>
        <v>0000001010000</v>
      </c>
      <c r="AE62" s="15" t="str">
        <f t="shared" si="11"/>
        <v>0000000100010</v>
      </c>
      <c r="AF62" s="15" t="str">
        <f t="shared" si="11"/>
        <v>0001000001000</v>
      </c>
      <c r="AG62" s="41" t="str">
        <f t="shared" si="11"/>
        <v>0010001000000</v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 t="s">
        <v>134</v>
      </c>
      <c r="D63" s="30" t="s">
        <v>134</v>
      </c>
      <c r="E63" s="30" t="s">
        <v>132</v>
      </c>
      <c r="F63" s="30" t="s">
        <v>131</v>
      </c>
      <c r="G63" s="30" t="s">
        <v>137</v>
      </c>
      <c r="H63" s="35" t="s">
        <v>138</v>
      </c>
      <c r="J63" s="34">
        <f t="shared" si="21"/>
        <v>1</v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>
        <f t="shared" si="21"/>
        <v>1</v>
      </c>
      <c r="AA63" s="15"/>
      <c r="AB63" s="40" t="str">
        <f t="shared" si="11"/>
        <v>0001000000010</v>
      </c>
      <c r="AC63" s="15" t="str">
        <f t="shared" si="11"/>
        <v>0001000000100</v>
      </c>
      <c r="AD63" s="15" t="str">
        <f t="shared" si="11"/>
        <v>0000001000100</v>
      </c>
      <c r="AE63" s="15" t="str">
        <f t="shared" si="11"/>
        <v>0100000100000</v>
      </c>
      <c r="AF63" s="15" t="str">
        <f t="shared" si="11"/>
        <v>0001010000000</v>
      </c>
      <c r="AG63" s="41" t="str">
        <f t="shared" si="11"/>
        <v>0000001000010</v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2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 t="s">
        <v>133</v>
      </c>
      <c r="D64" s="30" t="s">
        <v>127</v>
      </c>
      <c r="E64" s="30" t="s">
        <v>133</v>
      </c>
      <c r="F64" s="30" t="s">
        <v>129</v>
      </c>
      <c r="G64" s="30" t="s">
        <v>129</v>
      </c>
      <c r="H64" s="35" t="s">
        <v>127</v>
      </c>
      <c r="J64" s="34">
        <f t="shared" si="21"/>
        <v>1</v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>
        <f t="shared" si="21"/>
        <v>1</v>
      </c>
      <c r="AB64" s="40" t="str">
        <f t="shared" si="11"/>
        <v>0001000100000</v>
      </c>
      <c r="AC64" s="15" t="str">
        <f t="shared" si="11"/>
        <v>0011000000000</v>
      </c>
      <c r="AD64" s="15" t="str">
        <f t="shared" si="11"/>
        <v>0000000100100</v>
      </c>
      <c r="AE64" s="15" t="str">
        <f t="shared" si="11"/>
        <v>0100000001000</v>
      </c>
      <c r="AF64" s="15" t="str">
        <f t="shared" si="11"/>
        <v>0000010001000</v>
      </c>
      <c r="AG64" s="41" t="str">
        <f t="shared" si="11"/>
        <v>0010000000010</v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12</v>
      </c>
      <c r="AL64" s="39" cm="1">
        <f t="array" ref="AL64">SUMPRODUCT(--(MID(AC$10:AC$135, SUMIF($Z$9:$Z$21, LEFT($AJ64,2), $Y$9:$Y$21), 1) = RIGHT($AJ64, 1)), K$10:K$135)</f>
        <v>4</v>
      </c>
      <c r="AM64" s="39" cm="1">
        <f t="array" ref="AM64">SUMPRODUCT(--(MID(AD$10:AD$135, SUMIF($Z$9:$Z$21, LEFT($AJ64,2), $Y$9:$Y$21), 1) = RIGHT($AJ64, 1)), L$10:L$135)</f>
        <v>6</v>
      </c>
      <c r="AN64" s="39" cm="1">
        <f t="array" ref="AN64">SUMPRODUCT(--(MID(AE$10:AE$135, SUMIF($Z$9:$Z$21, LEFT($AJ64,2), $Y$9:$Y$21), 1) = RIGHT($AJ64, 1)), M$10:M$135)</f>
        <v>12</v>
      </c>
      <c r="AO64" s="39" cm="1">
        <f t="array" ref="AO64">SUMPRODUCT(--(MID(AF$10:AF$135, SUMIF($Z$9:$Z$21, LEFT($AJ64,2), $Y$9:$Y$21), 1) = RIGHT($AJ64, 1)), N$10:N$135)</f>
        <v>4</v>
      </c>
      <c r="AP64" s="19" cm="1">
        <f t="array" ref="AP64">SUMPRODUCT(--(MID(AG$10:AG$135, SUMIF($Z$9:$Z$21, LEFT($AJ64,2), $Y$9:$Y$21), 1) = RIGHT($AJ64, 1)), O$10:O$135)</f>
        <v>4</v>
      </c>
    </row>
    <row r="65" spans="2:42">
      <c r="B65" s="34">
        <f t="shared" si="9"/>
        <v>55</v>
      </c>
      <c r="C65" s="30" t="s">
        <v>134</v>
      </c>
      <c r="D65" s="30" t="s">
        <v>134</v>
      </c>
      <c r="E65" s="30" t="s">
        <v>137</v>
      </c>
      <c r="F65" s="30"/>
      <c r="G65" s="30" t="s">
        <v>134</v>
      </c>
      <c r="H65" s="35" t="s">
        <v>136</v>
      </c>
      <c r="J65" s="34">
        <f t="shared" si="21"/>
        <v>1</v>
      </c>
      <c r="K65" s="30">
        <f t="shared" si="21"/>
        <v>1</v>
      </c>
      <c r="L65" s="30">
        <f t="shared" si="21"/>
        <v>1</v>
      </c>
      <c r="M65" s="30" t="str">
        <f t="shared" si="21"/>
        <v/>
      </c>
      <c r="N65" s="30">
        <f t="shared" si="21"/>
        <v>1</v>
      </c>
      <c r="O65" s="35">
        <f t="shared" si="21"/>
        <v>1</v>
      </c>
      <c r="AB65" s="40" t="str">
        <f t="shared" si="11"/>
        <v>0001000100000</v>
      </c>
      <c r="AC65" s="15" t="str">
        <f t="shared" si="11"/>
        <v>0011000000000</v>
      </c>
      <c r="AD65" s="15" t="str">
        <f t="shared" si="11"/>
        <v>0000010100000</v>
      </c>
      <c r="AE65" s="15" t="str">
        <f t="shared" si="11"/>
        <v/>
      </c>
      <c r="AF65" s="15" t="str">
        <f t="shared" si="11"/>
        <v>0001000001000</v>
      </c>
      <c r="AG65" s="41" t="str">
        <f t="shared" si="11"/>
        <v>0010100000000</v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54</v>
      </c>
      <c r="AL65" s="39" cm="1">
        <f t="array" ref="AL65">SUMPRODUCT(--(MID(AC$10:AC$135, SUMIF($Z$9:$Z$21, LEFT($AJ65,2), $Y$9:$Y$21), 1) = RIGHT($AJ65, 1)), K$10:K$135)</f>
        <v>84</v>
      </c>
      <c r="AM65" s="39" cm="1">
        <f t="array" ref="AM65">SUMPRODUCT(--(MID(AD$10:AD$135, SUMIF($Z$9:$Z$21, LEFT($AJ65,2), $Y$9:$Y$21), 1) = RIGHT($AJ65, 1)), L$10:L$135)</f>
        <v>54</v>
      </c>
      <c r="AN65" s="39" cm="1">
        <f t="array" ref="AN65">SUMPRODUCT(--(MID(AE$10:AE$135, SUMIF($Z$9:$Z$21, LEFT($AJ65,2), $Y$9:$Y$21), 1) = RIGHT($AJ65, 1)), M$10:M$135)</f>
        <v>41</v>
      </c>
      <c r="AO65" s="39" cm="1">
        <f t="array" ref="AO65">SUMPRODUCT(--(MID(AF$10:AF$135, SUMIF($Z$9:$Z$21, LEFT($AJ65,2), $Y$9:$Y$21), 1) = RIGHT($AJ65, 1)), N$10:N$135)</f>
        <v>60</v>
      </c>
      <c r="AP65" s="19" cm="1">
        <f t="array" ref="AP65">SUMPRODUCT(--(MID(AG$10:AG$135, SUMIF($Z$9:$Z$21, LEFT($AJ65,2), $Y$9:$Y$21), 1) = RIGHT($AJ65, 1)), O$10:O$135)</f>
        <v>92</v>
      </c>
    </row>
    <row r="66" spans="2:42">
      <c r="B66" s="34">
        <f t="shared" si="9"/>
        <v>56</v>
      </c>
      <c r="C66" s="30" t="s">
        <v>138</v>
      </c>
      <c r="D66" s="30" t="s">
        <v>128</v>
      </c>
      <c r="E66" s="30" t="s">
        <v>129</v>
      </c>
      <c r="F66" s="30"/>
      <c r="G66" s="30" t="s">
        <v>129</v>
      </c>
      <c r="H66" s="35" t="s">
        <v>128</v>
      </c>
      <c r="J66" s="34">
        <f t="shared" si="21"/>
        <v>1</v>
      </c>
      <c r="K66" s="30">
        <f t="shared" si="21"/>
        <v>1</v>
      </c>
      <c r="L66" s="30">
        <f t="shared" si="21"/>
        <v>1</v>
      </c>
      <c r="M66" s="30" t="str">
        <f t="shared" si="21"/>
        <v/>
      </c>
      <c r="N66" s="30">
        <f t="shared" si="21"/>
        <v>1</v>
      </c>
      <c r="O66" s="35">
        <f t="shared" si="21"/>
        <v>1</v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>0001000000010</v>
      </c>
      <c r="AC66" s="15" t="str">
        <f t="shared" si="23"/>
        <v>0001001000000</v>
      </c>
      <c r="AD66" s="15" t="str">
        <f t="shared" si="23"/>
        <v>0000010001000</v>
      </c>
      <c r="AE66" s="15" t="str">
        <f t="shared" si="23"/>
        <v/>
      </c>
      <c r="AF66" s="15" t="str">
        <f t="shared" si="23"/>
        <v>0001000001000</v>
      </c>
      <c r="AG66" s="41" t="str">
        <f t="shared" si="23"/>
        <v>0000101000000</v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 t="s">
        <v>132</v>
      </c>
      <c r="D67" s="30" t="s">
        <v>138</v>
      </c>
      <c r="E67" s="30" t="s">
        <v>131</v>
      </c>
      <c r="F67" s="30"/>
      <c r="G67" s="30" t="s">
        <v>136</v>
      </c>
      <c r="H67" s="35" t="s">
        <v>137</v>
      </c>
      <c r="J67" s="34">
        <f t="shared" si="21"/>
        <v>1</v>
      </c>
      <c r="K67" s="30">
        <f t="shared" si="21"/>
        <v>1</v>
      </c>
      <c r="L67" s="30">
        <f t="shared" si="21"/>
        <v>1</v>
      </c>
      <c r="M67" s="30" t="str">
        <f t="shared" si="21"/>
        <v/>
      </c>
      <c r="N67" s="30">
        <f t="shared" si="21"/>
        <v>1</v>
      </c>
      <c r="O67" s="35">
        <f t="shared" si="21"/>
        <v>1</v>
      </c>
      <c r="AB67" s="40" t="str">
        <f t="shared" si="23"/>
        <v>0000000000110</v>
      </c>
      <c r="AC67" s="15" t="str">
        <f t="shared" si="23"/>
        <v>0000001000010</v>
      </c>
      <c r="AD67" s="15" t="str">
        <f t="shared" si="23"/>
        <v>0100000001000</v>
      </c>
      <c r="AE67" s="15" t="str">
        <f t="shared" si="23"/>
        <v/>
      </c>
      <c r="AF67" s="15" t="str">
        <f t="shared" si="23"/>
        <v>0000100001000</v>
      </c>
      <c r="AG67" s="41" t="str">
        <f t="shared" si="23"/>
        <v>0000011000000</v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 t="s">
        <v>134</v>
      </c>
      <c r="D68" s="30" t="s">
        <v>134</v>
      </c>
      <c r="E68" s="30" t="s">
        <v>130</v>
      </c>
      <c r="F68" s="30"/>
      <c r="G68" s="30" t="s">
        <v>129</v>
      </c>
      <c r="H68" s="35" t="s">
        <v>134</v>
      </c>
      <c r="J68" s="34">
        <f t="shared" si="21"/>
        <v>1</v>
      </c>
      <c r="K68" s="30">
        <f t="shared" si="21"/>
        <v>1</v>
      </c>
      <c r="L68" s="30">
        <f t="shared" si="21"/>
        <v>1</v>
      </c>
      <c r="M68" s="30" t="str">
        <f t="shared" si="21"/>
        <v/>
      </c>
      <c r="N68" s="30">
        <f t="shared" si="21"/>
        <v>1</v>
      </c>
      <c r="O68" s="35">
        <f t="shared" si="21"/>
        <v>1</v>
      </c>
      <c r="AB68" s="40" t="str">
        <f t="shared" si="23"/>
        <v>0001000000100</v>
      </c>
      <c r="AC68" s="15" t="str">
        <f t="shared" si="23"/>
        <v>0001000000010</v>
      </c>
      <c r="AD68" s="15" t="str">
        <f t="shared" si="23"/>
        <v>0100000010000</v>
      </c>
      <c r="AE68" s="15" t="str">
        <f t="shared" si="23"/>
        <v/>
      </c>
      <c r="AF68" s="15" t="str">
        <f t="shared" si="23"/>
        <v>0000100001000</v>
      </c>
      <c r="AG68" s="41" t="str">
        <f t="shared" si="23"/>
        <v>0001010000000</v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 t="s">
        <v>129</v>
      </c>
      <c r="D69" s="30" t="s">
        <v>131</v>
      </c>
      <c r="E69" s="30" t="s">
        <v>132</v>
      </c>
      <c r="F69" s="30"/>
      <c r="G69" s="30" t="s">
        <v>127</v>
      </c>
      <c r="H69" s="35" t="s">
        <v>128</v>
      </c>
      <c r="J69" s="34">
        <f t="shared" si="21"/>
        <v>1</v>
      </c>
      <c r="K69" s="30">
        <f t="shared" si="21"/>
        <v>1</v>
      </c>
      <c r="L69" s="30">
        <f t="shared" si="21"/>
        <v>1</v>
      </c>
      <c r="M69" s="30" t="str">
        <f t="shared" si="21"/>
        <v/>
      </c>
      <c r="N69" s="30">
        <f t="shared" si="21"/>
        <v>1</v>
      </c>
      <c r="O69" s="35">
        <f t="shared" si="21"/>
        <v>1</v>
      </c>
      <c r="AB69" s="40" t="str">
        <f t="shared" si="23"/>
        <v>0001000001000</v>
      </c>
      <c r="AC69" s="15" t="str">
        <f t="shared" si="23"/>
        <v>0101000000000</v>
      </c>
      <c r="AD69" s="15" t="str">
        <f t="shared" si="23"/>
        <v>0000000010100</v>
      </c>
      <c r="AE69" s="15" t="str">
        <f t="shared" si="23"/>
        <v/>
      </c>
      <c r="AF69" s="15" t="str">
        <f t="shared" si="23"/>
        <v>0010000001000</v>
      </c>
      <c r="AG69" s="41" t="str">
        <f t="shared" si="23"/>
        <v>0001001000000</v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 t="s">
        <v>127</v>
      </c>
      <c r="D70" s="30" t="s">
        <v>127</v>
      </c>
      <c r="E70" s="30" t="s">
        <v>129</v>
      </c>
      <c r="F70" s="30"/>
      <c r="G70" s="30" t="s">
        <v>132</v>
      </c>
      <c r="H70" s="35" t="s">
        <v>129</v>
      </c>
      <c r="J70" s="34">
        <f t="shared" si="21"/>
        <v>1</v>
      </c>
      <c r="K70" s="30">
        <f t="shared" si="21"/>
        <v>1</v>
      </c>
      <c r="L70" s="30">
        <f t="shared" si="21"/>
        <v>1</v>
      </c>
      <c r="M70" s="30" t="str">
        <f t="shared" si="21"/>
        <v/>
      </c>
      <c r="N70" s="30">
        <f t="shared" si="21"/>
        <v>1</v>
      </c>
      <c r="O70" s="35">
        <f t="shared" si="21"/>
        <v>1</v>
      </c>
      <c r="AB70" s="40" t="str">
        <f t="shared" si="23"/>
        <v>0010000001000</v>
      </c>
      <c r="AC70" s="15" t="str">
        <f t="shared" si="23"/>
        <v>0110000000000</v>
      </c>
      <c r="AD70" s="15" t="str">
        <f t="shared" si="23"/>
        <v>0000000001100</v>
      </c>
      <c r="AE70" s="15" t="str">
        <f t="shared" si="23"/>
        <v/>
      </c>
      <c r="AF70" s="15" t="str">
        <f t="shared" si="23"/>
        <v>0010000000100</v>
      </c>
      <c r="AG70" s="41" t="str">
        <f t="shared" si="23"/>
        <v>0000001001000</v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 t="s">
        <v>132</v>
      </c>
      <c r="D71" s="30" t="s">
        <v>130</v>
      </c>
      <c r="E71" s="30" t="s">
        <v>131</v>
      </c>
      <c r="F71" s="30"/>
      <c r="G71" s="30" t="s">
        <v>129</v>
      </c>
      <c r="H71" s="35" t="s">
        <v>138</v>
      </c>
      <c r="J71" s="34">
        <f t="shared" si="21"/>
        <v>1</v>
      </c>
      <c r="K71" s="30">
        <f t="shared" si="21"/>
        <v>1</v>
      </c>
      <c r="L71" s="30">
        <f t="shared" si="21"/>
        <v>1</v>
      </c>
      <c r="M71" s="30" t="str">
        <f t="shared" si="21"/>
        <v/>
      </c>
      <c r="N71" s="30">
        <f t="shared" si="21"/>
        <v>1</v>
      </c>
      <c r="O71" s="35">
        <f t="shared" si="21"/>
        <v>1</v>
      </c>
      <c r="AB71" s="40" t="str">
        <f t="shared" si="23"/>
        <v>0010000000100</v>
      </c>
      <c r="AC71" s="15" t="str">
        <f t="shared" si="23"/>
        <v>0010000010000</v>
      </c>
      <c r="AD71" s="15" t="str">
        <f t="shared" si="23"/>
        <v>0100000001000</v>
      </c>
      <c r="AE71" s="15" t="str">
        <f t="shared" si="23"/>
        <v/>
      </c>
      <c r="AF71" s="15" t="str">
        <f t="shared" si="23"/>
        <v>0000000001100</v>
      </c>
      <c r="AG71" s="41" t="str">
        <f t="shared" si="23"/>
        <v>0000000001010</v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0</v>
      </c>
      <c r="AL71" s="39" cm="1">
        <f t="array" ref="AL71">SUMPRODUCT(--(MID(AC$10:AC$135, SUMIF($Z$9:$Z$21, LEFT($AJ71,2), $Y$9:$Y$21), 1) = RIGHT($AJ71, 1)), K$10:K$135)</f>
        <v>0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 t="s">
        <v>138</v>
      </c>
      <c r="D72" s="30" t="s">
        <v>131</v>
      </c>
      <c r="E72" s="30"/>
      <c r="F72" s="30"/>
      <c r="G72" s="30" t="s">
        <v>134</v>
      </c>
      <c r="H72" s="35" t="s">
        <v>132</v>
      </c>
      <c r="J72" s="34">
        <f t="shared" si="21"/>
        <v>1</v>
      </c>
      <c r="K72" s="30">
        <f t="shared" si="21"/>
        <v>1</v>
      </c>
      <c r="L72" s="30" t="str">
        <f t="shared" si="21"/>
        <v/>
      </c>
      <c r="M72" s="30" t="str">
        <f t="shared" si="21"/>
        <v/>
      </c>
      <c r="N72" s="30">
        <f t="shared" si="21"/>
        <v>1</v>
      </c>
      <c r="O72" s="35">
        <f t="shared" si="21"/>
        <v>1</v>
      </c>
      <c r="AB72" s="40" t="str">
        <f t="shared" si="23"/>
        <v>0000000000110</v>
      </c>
      <c r="AC72" s="15" t="str">
        <f t="shared" si="23"/>
        <v>0100000010000</v>
      </c>
      <c r="AD72" s="15" t="str">
        <f t="shared" si="23"/>
        <v/>
      </c>
      <c r="AE72" s="15" t="str">
        <f t="shared" si="23"/>
        <v/>
      </c>
      <c r="AF72" s="15" t="str">
        <f t="shared" si="23"/>
        <v>0001000001000</v>
      </c>
      <c r="AG72" s="41" t="str">
        <f t="shared" si="23"/>
        <v>0000000000110</v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4</v>
      </c>
      <c r="AL72" s="39" cm="1">
        <f t="array" ref="AL72">SUMPRODUCT(--(MID(AC$10:AC$135, SUMIF($Z$9:$Z$21, LEFT($AJ72,2), $Y$9:$Y$21), 1) = RIGHT($AJ72, 1)), K$10:K$135)</f>
        <v>10</v>
      </c>
      <c r="AM72" s="39" cm="1">
        <f t="array" ref="AM72">SUMPRODUCT(--(MID(AD$10:AD$135, SUMIF($Z$9:$Z$21, LEFT($AJ72,2), $Y$9:$Y$21), 1) = RIGHT($AJ72, 1)), L$10:L$135)</f>
        <v>14</v>
      </c>
      <c r="AN72" s="39" cm="1">
        <f t="array" ref="AN72">SUMPRODUCT(--(MID(AE$10:AE$135, SUMIF($Z$9:$Z$21, LEFT($AJ72,2), $Y$9:$Y$21), 1) = RIGHT($AJ72, 1)), M$10:M$135)</f>
        <v>4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4</v>
      </c>
    </row>
    <row r="73" spans="2:42">
      <c r="B73" s="34">
        <f t="shared" si="9"/>
        <v>63</v>
      </c>
      <c r="C73" s="30" t="s">
        <v>129</v>
      </c>
      <c r="D73" s="30" t="s">
        <v>128</v>
      </c>
      <c r="E73" s="30"/>
      <c r="F73" s="30"/>
      <c r="G73" s="30" t="s">
        <v>129</v>
      </c>
      <c r="H73" s="35" t="s">
        <v>136</v>
      </c>
      <c r="J73" s="34">
        <f t="shared" si="21"/>
        <v>1</v>
      </c>
      <c r="K73" s="30">
        <f t="shared" si="21"/>
        <v>1</v>
      </c>
      <c r="L73" s="30" t="str">
        <f t="shared" si="21"/>
        <v/>
      </c>
      <c r="M73" s="30" t="str">
        <f t="shared" si="21"/>
        <v/>
      </c>
      <c r="N73" s="30">
        <f t="shared" si="21"/>
        <v>1</v>
      </c>
      <c r="O73" s="35">
        <f t="shared" si="21"/>
        <v>1</v>
      </c>
      <c r="AB73" s="40" t="str">
        <f t="shared" si="23"/>
        <v>0000000001010</v>
      </c>
      <c r="AC73" s="15" t="str">
        <f t="shared" si="23"/>
        <v>0100001000000</v>
      </c>
      <c r="AD73" s="15" t="str">
        <f t="shared" si="23"/>
        <v/>
      </c>
      <c r="AE73" s="15" t="str">
        <f t="shared" si="23"/>
        <v/>
      </c>
      <c r="AF73" s="15" t="str">
        <f t="shared" si="23"/>
        <v>0001000001000</v>
      </c>
      <c r="AG73" s="41" t="str">
        <f t="shared" si="23"/>
        <v>0000100000100</v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64</v>
      </c>
      <c r="AL73" s="39" cm="1">
        <f t="array" ref="AL73">SUMPRODUCT(--(MID(AC$10:AC$135, SUMIF($Z$9:$Z$21, LEFT($AJ73,2), $Y$9:$Y$21), 1) = RIGHT($AJ73, 1)), K$10:K$135)</f>
        <v>80</v>
      </c>
      <c r="AM73" s="39" cm="1">
        <f t="array" ref="AM73">SUMPRODUCT(--(MID(AD$10:AD$135, SUMIF($Z$9:$Z$21, LEFT($AJ73,2), $Y$9:$Y$21), 1) = RIGHT($AJ73, 1)), L$10:L$135)</f>
        <v>48</v>
      </c>
      <c r="AN73" s="39" cm="1">
        <f t="array" ref="AN73">SUMPRODUCT(--(MID(AE$10:AE$135, SUMIF($Z$9:$Z$21, LEFT($AJ73,2), $Y$9:$Y$21), 1) = RIGHT($AJ73, 1)), M$10:M$135)</f>
        <v>51</v>
      </c>
      <c r="AO73" s="39" cm="1">
        <f t="array" ref="AO73">SUMPRODUCT(--(MID(AF$10:AF$135, SUMIF($Z$9:$Z$21, LEFT($AJ73,2), $Y$9:$Y$21), 1) = RIGHT($AJ73, 1)), N$10:N$135)</f>
        <v>64</v>
      </c>
      <c r="AP73" s="19" cm="1">
        <f t="array" ref="AP73">SUMPRODUCT(--(MID(AG$10:AG$135, SUMIF($Z$9:$Z$21, LEFT($AJ73,2), $Y$9:$Y$21), 1) = RIGHT($AJ73, 1)), O$10:O$135)</f>
        <v>94</v>
      </c>
    </row>
    <row r="74" spans="2:42">
      <c r="B74" s="34">
        <f t="shared" si="9"/>
        <v>64</v>
      </c>
      <c r="C74" s="30" t="s">
        <v>133</v>
      </c>
      <c r="D74" s="30" t="s">
        <v>129</v>
      </c>
      <c r="E74" s="30"/>
      <c r="F74" s="30"/>
      <c r="G74" s="30" t="s">
        <v>128</v>
      </c>
      <c r="H74" s="35" t="s">
        <v>129</v>
      </c>
      <c r="J74" s="34">
        <f t="shared" si="21"/>
        <v>1</v>
      </c>
      <c r="K74" s="30">
        <f t="shared" si="21"/>
        <v>1</v>
      </c>
      <c r="L74" s="30" t="str">
        <f t="shared" si="21"/>
        <v/>
      </c>
      <c r="M74" s="30" t="str">
        <f t="shared" si="21"/>
        <v/>
      </c>
      <c r="N74" s="30">
        <f t="shared" si="21"/>
        <v>1</v>
      </c>
      <c r="O74" s="35">
        <f t="shared" si="21"/>
        <v>1</v>
      </c>
      <c r="AB74" s="40" t="str">
        <f t="shared" si="23"/>
        <v>0000000101000</v>
      </c>
      <c r="AC74" s="15" t="str">
        <f t="shared" si="23"/>
        <v>0000001001000</v>
      </c>
      <c r="AD74" s="15" t="str">
        <f t="shared" si="23"/>
        <v/>
      </c>
      <c r="AE74" s="15" t="str">
        <f t="shared" si="23"/>
        <v/>
      </c>
      <c r="AF74" s="15" t="str">
        <f t="shared" si="23"/>
        <v>0000001001000</v>
      </c>
      <c r="AG74" s="41" t="str">
        <f t="shared" si="23"/>
        <v>0000100001000</v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 t="s">
        <v>138</v>
      </c>
      <c r="D75" s="30" t="s">
        <v>130</v>
      </c>
      <c r="E75" s="30"/>
      <c r="F75" s="30"/>
      <c r="G75" s="30" t="s">
        <v>134</v>
      </c>
      <c r="H75" s="35" t="s">
        <v>138</v>
      </c>
      <c r="J75" s="34">
        <f t="shared" si="21"/>
        <v>1</v>
      </c>
      <c r="K75" s="30">
        <f t="shared" si="21"/>
        <v>1</v>
      </c>
      <c r="L75" s="30" t="str">
        <f t="shared" si="21"/>
        <v/>
      </c>
      <c r="M75" s="30" t="str">
        <f t="shared" si="21"/>
        <v/>
      </c>
      <c r="N75" s="30">
        <f t="shared" si="21"/>
        <v>1</v>
      </c>
      <c r="O75" s="35">
        <f t="shared" si="21"/>
        <v>1</v>
      </c>
      <c r="AB75" s="40" t="str">
        <f t="shared" si="23"/>
        <v>0000000100010</v>
      </c>
      <c r="AC75" s="15" t="str">
        <f t="shared" si="23"/>
        <v>0000000011000</v>
      </c>
      <c r="AD75" s="15" t="str">
        <f t="shared" si="23"/>
        <v/>
      </c>
      <c r="AE75" s="15" t="str">
        <f t="shared" si="23"/>
        <v/>
      </c>
      <c r="AF75" s="15" t="str">
        <f t="shared" si="23"/>
        <v>0001001000000</v>
      </c>
      <c r="AG75" s="41" t="str">
        <f t="shared" si="23"/>
        <v>0000000001010</v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 t="s">
        <v>132</v>
      </c>
      <c r="D76" s="30" t="s">
        <v>134</v>
      </c>
      <c r="E76" s="30"/>
      <c r="F76" s="30"/>
      <c r="G76" s="30"/>
      <c r="H76" s="35" t="s">
        <v>131</v>
      </c>
      <c r="J76" s="34">
        <f t="shared" si="21"/>
        <v>1</v>
      </c>
      <c r="K76" s="30">
        <f t="shared" si="21"/>
        <v>1</v>
      </c>
      <c r="L76" s="30" t="str">
        <f t="shared" si="21"/>
        <v/>
      </c>
      <c r="M76" s="30" t="str">
        <f t="shared" si="21"/>
        <v/>
      </c>
      <c r="N76" s="30" t="str">
        <f t="shared" si="21"/>
        <v/>
      </c>
      <c r="O76" s="35">
        <f t="shared" si="21"/>
        <v>1</v>
      </c>
      <c r="AB76" s="40" t="str">
        <f t="shared" si="23"/>
        <v>0000000000110</v>
      </c>
      <c r="AC76" s="15" t="str">
        <f t="shared" si="23"/>
        <v>0001000010000</v>
      </c>
      <c r="AD76" s="15" t="str">
        <f t="shared" si="23"/>
        <v/>
      </c>
      <c r="AE76" s="15" t="str">
        <f t="shared" si="23"/>
        <v/>
      </c>
      <c r="AF76" s="15" t="str">
        <f t="shared" si="23"/>
        <v/>
      </c>
      <c r="AG76" s="41" t="str">
        <f t="shared" si="23"/>
        <v>0100000000010</v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 t="s">
        <v>128</v>
      </c>
      <c r="D77" s="30" t="s">
        <v>132</v>
      </c>
      <c r="E77" s="30"/>
      <c r="F77" s="30"/>
      <c r="G77" s="30"/>
      <c r="H77" s="35" t="s">
        <v>127</v>
      </c>
      <c r="J77" s="34">
        <f t="shared" si="21"/>
        <v>1</v>
      </c>
      <c r="K77" s="30">
        <f t="shared" si="21"/>
        <v>1</v>
      </c>
      <c r="L77" s="30" t="str">
        <f t="shared" si="21"/>
        <v/>
      </c>
      <c r="M77" s="30" t="str">
        <f t="shared" si="21"/>
        <v/>
      </c>
      <c r="N77" s="30" t="str">
        <f t="shared" si="21"/>
        <v/>
      </c>
      <c r="O77" s="35">
        <f t="shared" si="21"/>
        <v>1</v>
      </c>
      <c r="AB77" s="40" t="str">
        <f t="shared" si="23"/>
        <v>0000001000100</v>
      </c>
      <c r="AC77" s="15" t="str">
        <f t="shared" si="23"/>
        <v>0001000000100</v>
      </c>
      <c r="AD77" s="15" t="str">
        <f t="shared" si="23"/>
        <v/>
      </c>
      <c r="AE77" s="15" t="str">
        <f t="shared" si="23"/>
        <v/>
      </c>
      <c r="AF77" s="15" t="str">
        <f t="shared" si="23"/>
        <v/>
      </c>
      <c r="AG77" s="41" t="str">
        <f t="shared" si="23"/>
        <v>0110000000000</v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 t="s">
        <v>129</v>
      </c>
      <c r="E78" s="30"/>
      <c r="F78" s="30"/>
      <c r="G78" s="30"/>
      <c r="H78" s="35" t="s">
        <v>138</v>
      </c>
      <c r="J78" s="34" t="str">
        <f t="shared" si="21"/>
        <v/>
      </c>
      <c r="K78" s="30">
        <f t="shared" si="21"/>
        <v>1</v>
      </c>
      <c r="L78" s="30" t="str">
        <f t="shared" si="21"/>
        <v/>
      </c>
      <c r="M78" s="30" t="str">
        <f t="shared" si="21"/>
        <v/>
      </c>
      <c r="N78" s="30" t="str">
        <f t="shared" si="21"/>
        <v/>
      </c>
      <c r="O78" s="35">
        <f t="shared" si="21"/>
        <v>1</v>
      </c>
      <c r="AB78" s="40" t="str">
        <f t="shared" si="23"/>
        <v/>
      </c>
      <c r="AC78" s="15" t="str">
        <f t="shared" si="23"/>
        <v>0000000001100</v>
      </c>
      <c r="AD78" s="15" t="str">
        <f t="shared" si="23"/>
        <v/>
      </c>
      <c r="AE78" s="15" t="str">
        <f t="shared" si="23"/>
        <v/>
      </c>
      <c r="AF78" s="15" t="str">
        <f t="shared" si="23"/>
        <v/>
      </c>
      <c r="AG78" s="41" t="str">
        <f t="shared" si="23"/>
        <v>0010000000010</v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 t="s">
        <v>131</v>
      </c>
      <c r="E79" s="30"/>
      <c r="F79" s="30"/>
      <c r="G79" s="30"/>
      <c r="H79" s="35" t="s">
        <v>134</v>
      </c>
      <c r="J79" s="34" t="str">
        <f t="shared" si="21"/>
        <v/>
      </c>
      <c r="K79" s="30">
        <f t="shared" si="21"/>
        <v>1</v>
      </c>
      <c r="L79" s="30" t="str">
        <f t="shared" si="21"/>
        <v/>
      </c>
      <c r="M79" s="30" t="str">
        <f t="shared" si="21"/>
        <v/>
      </c>
      <c r="N79" s="30" t="str">
        <f t="shared" si="21"/>
        <v/>
      </c>
      <c r="O79" s="35">
        <f t="shared" si="21"/>
        <v>1</v>
      </c>
      <c r="AB79" s="40" t="str">
        <f t="shared" si="23"/>
        <v/>
      </c>
      <c r="AC79" s="15" t="str">
        <f t="shared" si="23"/>
        <v>0100000001000</v>
      </c>
      <c r="AD79" s="15" t="str">
        <f t="shared" si="23"/>
        <v/>
      </c>
      <c r="AE79" s="15" t="str">
        <f t="shared" si="23"/>
        <v/>
      </c>
      <c r="AF79" s="15" t="str">
        <f t="shared" si="23"/>
        <v/>
      </c>
      <c r="AG79" s="41" t="str">
        <f t="shared" si="23"/>
        <v>0001000000010</v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2</v>
      </c>
      <c r="AM79" s="39" cm="1">
        <f t="array" ref="AM79">SUMPRODUCT(--(MID(AD$10:AD$135, SUMIF($Z$9:$Z$21, LEFT($AJ79,2), $Y$9:$Y$21), 1) = RIGHT($AJ79, 1)), L$10:L$135)</f>
        <v>3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 t="s">
        <v>127</v>
      </c>
      <c r="E80" s="30"/>
      <c r="F80" s="30"/>
      <c r="G80" s="30"/>
      <c r="H80" s="35" t="s">
        <v>132</v>
      </c>
      <c r="J80" s="34" t="str">
        <f t="shared" si="21"/>
        <v/>
      </c>
      <c r="K80" s="30">
        <f t="shared" si="21"/>
        <v>1</v>
      </c>
      <c r="L80" s="30" t="str">
        <f t="shared" si="21"/>
        <v/>
      </c>
      <c r="M80" s="30" t="str">
        <f t="shared" si="21"/>
        <v/>
      </c>
      <c r="N80" s="30" t="str">
        <f t="shared" si="21"/>
        <v/>
      </c>
      <c r="O80" s="35">
        <f t="shared" si="21"/>
        <v>1</v>
      </c>
      <c r="AB80" s="40" t="str">
        <f t="shared" si="23"/>
        <v/>
      </c>
      <c r="AC80" s="15" t="str">
        <f t="shared" si="23"/>
        <v>0110000000000</v>
      </c>
      <c r="AD80" s="15" t="str">
        <f t="shared" si="23"/>
        <v/>
      </c>
      <c r="AE80" s="15" t="str">
        <f t="shared" si="23"/>
        <v/>
      </c>
      <c r="AF80" s="15" t="str">
        <f t="shared" si="23"/>
        <v/>
      </c>
      <c r="AG80" s="41" t="str">
        <f t="shared" si="23"/>
        <v>0001000000100</v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10</v>
      </c>
      <c r="AL80" s="39" cm="1">
        <f t="array" ref="AL80">SUMPRODUCT(--(MID(AC$10:AC$135, SUMIF($Z$9:$Z$21, LEFT($AJ80,2), $Y$9:$Y$21), 1) = RIGHT($AJ80, 1)), K$10:K$135)</f>
        <v>16</v>
      </c>
      <c r="AM80" s="39" cm="1">
        <f t="array" ref="AM80">SUMPRODUCT(--(MID(AD$10:AD$135, SUMIF($Z$9:$Z$21, LEFT($AJ80,2), $Y$9:$Y$21), 1) = RIGHT($AJ80, 1)), L$10:L$135)</f>
        <v>12</v>
      </c>
      <c r="AN80" s="39" cm="1">
        <f t="array" ref="AN80">SUMPRODUCT(--(MID(AE$10:AE$135, SUMIF($Z$9:$Z$21, LEFT($AJ80,2), $Y$9:$Y$21), 1) = RIGHT($AJ80, 1)), M$10:M$135)</f>
        <v>16</v>
      </c>
      <c r="AO80" s="39" cm="1">
        <f t="array" ref="AO80">SUMPRODUCT(--(MID(AF$10:AF$135, SUMIF($Z$9:$Z$21, LEFT($AJ80,2), $Y$9:$Y$21), 1) = RIGHT($AJ80, 1)), N$10:N$135)</f>
        <v>28</v>
      </c>
      <c r="AP80" s="19" cm="1">
        <f t="array" ref="AP80">SUMPRODUCT(--(MID(AG$10:AG$135, SUMIF($Z$9:$Z$21, LEFT($AJ80,2), $Y$9:$Y$21), 1) = RIGHT($AJ80, 1)), O$10:O$135)</f>
        <v>14</v>
      </c>
    </row>
    <row r="81" spans="2:42">
      <c r="B81" s="34">
        <f t="shared" si="25"/>
        <v>71</v>
      </c>
      <c r="C81" s="30"/>
      <c r="D81" s="30" t="s">
        <v>131</v>
      </c>
      <c r="E81" s="30"/>
      <c r="F81" s="30"/>
      <c r="G81" s="30"/>
      <c r="H81" s="35" t="s">
        <v>127</v>
      </c>
      <c r="J81" s="34" t="str">
        <f t="shared" si="21"/>
        <v/>
      </c>
      <c r="K81" s="30">
        <f t="shared" si="21"/>
        <v>1</v>
      </c>
      <c r="L81" s="30" t="str">
        <f t="shared" si="21"/>
        <v/>
      </c>
      <c r="M81" s="30" t="str">
        <f t="shared" si="21"/>
        <v/>
      </c>
      <c r="N81" s="30" t="str">
        <f t="shared" si="21"/>
        <v/>
      </c>
      <c r="O81" s="35">
        <f t="shared" si="21"/>
        <v>1</v>
      </c>
      <c r="AB81" s="40" t="str">
        <f t="shared" si="23"/>
        <v/>
      </c>
      <c r="AC81" s="15" t="str">
        <f t="shared" si="23"/>
        <v>0110000000000</v>
      </c>
      <c r="AD81" s="15" t="str">
        <f t="shared" si="23"/>
        <v/>
      </c>
      <c r="AE81" s="15" t="str">
        <f t="shared" si="23"/>
        <v/>
      </c>
      <c r="AF81" s="15" t="str">
        <f t="shared" si="23"/>
        <v/>
      </c>
      <c r="AG81" s="41" t="str">
        <f t="shared" si="23"/>
        <v>0010000000100</v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56</v>
      </c>
      <c r="AL81" s="39" cm="1">
        <f t="array" ref="AL81">SUMPRODUCT(--(MID(AC$10:AC$135, SUMIF($Z$9:$Z$21, LEFT($AJ81,2), $Y$9:$Y$21), 1) = RIGHT($AJ81, 1)), K$10:K$135)</f>
        <v>72</v>
      </c>
      <c r="AM81" s="39" cm="1">
        <f t="array" ref="AM81">SUMPRODUCT(--(MID(AD$10:AD$135, SUMIF($Z$9:$Z$21, LEFT($AJ81,2), $Y$9:$Y$21), 1) = RIGHT($AJ81, 1)), L$10:L$135)</f>
        <v>47</v>
      </c>
      <c r="AN81" s="39" cm="1">
        <f t="array" ref="AN81">SUMPRODUCT(--(MID(AE$10:AE$135, SUMIF($Z$9:$Z$21, LEFT($AJ81,2), $Y$9:$Y$21), 1) = RIGHT($AJ81, 1)), M$10:M$135)</f>
        <v>37</v>
      </c>
      <c r="AO81" s="39" cm="1">
        <f t="array" ref="AO81">SUMPRODUCT(--(MID(AF$10:AF$135, SUMIF($Z$9:$Z$21, LEFT($AJ81,2), $Y$9:$Y$21), 1) = RIGHT($AJ81, 1)), N$10:N$135)</f>
        <v>36</v>
      </c>
      <c r="AP81" s="19" cm="1">
        <f t="array" ref="AP81">SUMPRODUCT(--(MID(AG$10:AG$135, SUMIF($Z$9:$Z$21, LEFT($AJ81,2), $Y$9:$Y$21), 1) = RIGHT($AJ81, 1)), O$10:O$135)</f>
        <v>82</v>
      </c>
    </row>
    <row r="82" spans="2:42">
      <c r="B82" s="34">
        <f t="shared" si="25"/>
        <v>72</v>
      </c>
      <c r="C82" s="30"/>
      <c r="D82" s="30" t="s">
        <v>134</v>
      </c>
      <c r="E82" s="30"/>
      <c r="F82" s="30"/>
      <c r="G82" s="30"/>
      <c r="H82" s="35" t="s">
        <v>136</v>
      </c>
      <c r="J82" s="34" t="str">
        <f t="shared" si="21"/>
        <v/>
      </c>
      <c r="K82" s="30">
        <f t="shared" si="21"/>
        <v>1</v>
      </c>
      <c r="L82" s="30" t="str">
        <f t="shared" si="21"/>
        <v/>
      </c>
      <c r="M82" s="30" t="str">
        <f t="shared" si="21"/>
        <v/>
      </c>
      <c r="N82" s="30" t="str">
        <f t="shared" si="21"/>
        <v/>
      </c>
      <c r="O82" s="35">
        <f t="shared" si="21"/>
        <v>1</v>
      </c>
      <c r="AB82" s="40" t="str">
        <f t="shared" si="23"/>
        <v/>
      </c>
      <c r="AC82" s="15" t="str">
        <f t="shared" si="23"/>
        <v>0101000000000</v>
      </c>
      <c r="AD82" s="15" t="str">
        <f t="shared" si="23"/>
        <v/>
      </c>
      <c r="AE82" s="15" t="str">
        <f t="shared" si="23"/>
        <v/>
      </c>
      <c r="AF82" s="15" t="str">
        <f t="shared" si="23"/>
        <v/>
      </c>
      <c r="AG82" s="41" t="str">
        <f t="shared" si="23"/>
        <v>0010100000000</v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 t="s">
        <v>131</v>
      </c>
      <c r="E83" s="30"/>
      <c r="F83" s="30"/>
      <c r="G83" s="30"/>
      <c r="H83" s="35" t="s">
        <v>131</v>
      </c>
      <c r="J83" s="34" t="str">
        <f t="shared" si="21"/>
        <v/>
      </c>
      <c r="K83" s="30">
        <f t="shared" si="21"/>
        <v>1</v>
      </c>
      <c r="L83" s="30" t="str">
        <f t="shared" si="21"/>
        <v/>
      </c>
      <c r="M83" s="30" t="str">
        <f t="shared" si="21"/>
        <v/>
      </c>
      <c r="N83" s="30" t="str">
        <f t="shared" si="21"/>
        <v/>
      </c>
      <c r="O83" s="35">
        <f t="shared" si="21"/>
        <v>1</v>
      </c>
      <c r="AB83" s="40" t="str">
        <f t="shared" si="23"/>
        <v/>
      </c>
      <c r="AC83" s="15" t="str">
        <f t="shared" si="23"/>
        <v>0101000000000</v>
      </c>
      <c r="AD83" s="15" t="str">
        <f t="shared" si="23"/>
        <v/>
      </c>
      <c r="AE83" s="15" t="str">
        <f t="shared" si="23"/>
        <v/>
      </c>
      <c r="AF83" s="15" t="str">
        <f t="shared" si="23"/>
        <v/>
      </c>
      <c r="AG83" s="41" t="str">
        <f t="shared" si="23"/>
        <v>0100100000000</v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 t="s">
        <v>130</v>
      </c>
      <c r="E84" s="30"/>
      <c r="F84" s="30"/>
      <c r="G84" s="30"/>
      <c r="H84" s="35" t="s">
        <v>127</v>
      </c>
      <c r="J84" s="34" t="str">
        <f t="shared" si="21"/>
        <v/>
      </c>
      <c r="K84" s="30">
        <f t="shared" si="21"/>
        <v>1</v>
      </c>
      <c r="L84" s="30" t="str">
        <f t="shared" si="21"/>
        <v/>
      </c>
      <c r="M84" s="30" t="str">
        <f t="shared" si="21"/>
        <v/>
      </c>
      <c r="N84" s="30" t="str">
        <f t="shared" si="21"/>
        <v/>
      </c>
      <c r="O84" s="35">
        <f t="shared" si="21"/>
        <v>1</v>
      </c>
      <c r="AB84" s="40" t="str">
        <f t="shared" si="23"/>
        <v/>
      </c>
      <c r="AC84" s="15" t="str">
        <f t="shared" si="23"/>
        <v>0100000010000</v>
      </c>
      <c r="AD84" s="15" t="str">
        <f t="shared" si="23"/>
        <v/>
      </c>
      <c r="AE84" s="15" t="str">
        <f t="shared" si="23"/>
        <v/>
      </c>
      <c r="AF84" s="15" t="str">
        <f t="shared" si="23"/>
        <v/>
      </c>
      <c r="AG84" s="41" t="str">
        <f t="shared" si="23"/>
        <v>0110000000000</v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 t="s">
        <v>138</v>
      </c>
      <c r="E85" s="30"/>
      <c r="F85" s="30"/>
      <c r="G85" s="30"/>
      <c r="H85" s="35" t="s">
        <v>128</v>
      </c>
      <c r="J85" s="34" t="str">
        <f t="shared" si="21"/>
        <v/>
      </c>
      <c r="K85" s="30">
        <f t="shared" si="21"/>
        <v>1</v>
      </c>
      <c r="L85" s="30" t="str">
        <f t="shared" si="21"/>
        <v/>
      </c>
      <c r="M85" s="30" t="str">
        <f t="shared" si="21"/>
        <v/>
      </c>
      <c r="N85" s="30" t="str">
        <f t="shared" si="21"/>
        <v/>
      </c>
      <c r="O85" s="35">
        <f t="shared" si="21"/>
        <v>1</v>
      </c>
      <c r="AB85" s="40" t="str">
        <f t="shared" si="23"/>
        <v/>
      </c>
      <c r="AC85" s="15" t="str">
        <f t="shared" si="23"/>
        <v>0000000010010</v>
      </c>
      <c r="AD85" s="15" t="str">
        <f t="shared" si="23"/>
        <v/>
      </c>
      <c r="AE85" s="15" t="str">
        <f t="shared" si="23"/>
        <v/>
      </c>
      <c r="AF85" s="15" t="str">
        <f t="shared" si="23"/>
        <v/>
      </c>
      <c r="AG85" s="41" t="str">
        <f t="shared" si="23"/>
        <v>0010001000000</v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 t="s">
        <v>128</v>
      </c>
      <c r="E86" s="30"/>
      <c r="F86" s="30"/>
      <c r="G86" s="30"/>
      <c r="H86" s="35" t="s">
        <v>127</v>
      </c>
      <c r="J86" s="34" t="str">
        <f t="shared" si="21"/>
        <v/>
      </c>
      <c r="K86" s="30">
        <f t="shared" si="21"/>
        <v>1</v>
      </c>
      <c r="L86" s="30" t="str">
        <f t="shared" si="21"/>
        <v/>
      </c>
      <c r="M86" s="30" t="str">
        <f t="shared" si="21"/>
        <v/>
      </c>
      <c r="N86" s="30" t="str">
        <f t="shared" si="21"/>
        <v/>
      </c>
      <c r="O86" s="35">
        <f t="shared" si="21"/>
        <v>1</v>
      </c>
      <c r="AB86" s="40" t="str">
        <f t="shared" si="23"/>
        <v/>
      </c>
      <c r="AC86" s="15" t="str">
        <f t="shared" si="23"/>
        <v>0000001000010</v>
      </c>
      <c r="AD86" s="15" t="str">
        <f t="shared" si="23"/>
        <v/>
      </c>
      <c r="AE86" s="15" t="str">
        <f t="shared" si="23"/>
        <v/>
      </c>
      <c r="AF86" s="15" t="str">
        <f t="shared" si="23"/>
        <v/>
      </c>
      <c r="AG86" s="41" t="str">
        <f t="shared" si="23"/>
        <v>0010001000000</v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 t="s">
        <v>131</v>
      </c>
      <c r="E87" s="30"/>
      <c r="F87" s="30"/>
      <c r="G87" s="30"/>
      <c r="H87" s="35" t="s">
        <v>129</v>
      </c>
      <c r="J87" s="34" t="str">
        <f t="shared" si="21"/>
        <v/>
      </c>
      <c r="K87" s="30">
        <f t="shared" si="21"/>
        <v>1</v>
      </c>
      <c r="L87" s="30" t="str">
        <f t="shared" si="21"/>
        <v/>
      </c>
      <c r="M87" s="30" t="str">
        <f t="shared" si="21"/>
        <v/>
      </c>
      <c r="N87" s="30" t="str">
        <f t="shared" si="21"/>
        <v/>
      </c>
      <c r="O87" s="35">
        <f t="shared" si="21"/>
        <v>1</v>
      </c>
      <c r="AB87" s="40" t="str">
        <f t="shared" si="23"/>
        <v/>
      </c>
      <c r="AC87" s="15" t="str">
        <f t="shared" si="23"/>
        <v>0100001000000</v>
      </c>
      <c r="AD87" s="15" t="str">
        <f t="shared" si="23"/>
        <v/>
      </c>
      <c r="AE87" s="15" t="str">
        <f t="shared" si="23"/>
        <v/>
      </c>
      <c r="AF87" s="15" t="str">
        <f t="shared" si="23"/>
        <v/>
      </c>
      <c r="AG87" s="41" t="str">
        <f t="shared" si="23"/>
        <v>0010000001000</v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 t="s">
        <v>127</v>
      </c>
      <c r="E88" s="30"/>
      <c r="F88" s="30"/>
      <c r="G88" s="30"/>
      <c r="H88" s="35" t="s">
        <v>134</v>
      </c>
      <c r="J88" s="34" t="str">
        <f t="shared" si="21"/>
        <v/>
      </c>
      <c r="K88" s="30">
        <f t="shared" si="21"/>
        <v>1</v>
      </c>
      <c r="L88" s="30" t="str">
        <f t="shared" si="21"/>
        <v/>
      </c>
      <c r="M88" s="30" t="str">
        <f t="shared" si="21"/>
        <v/>
      </c>
      <c r="N88" s="30" t="str">
        <f t="shared" si="21"/>
        <v/>
      </c>
      <c r="O88" s="35">
        <f t="shared" si="21"/>
        <v>1</v>
      </c>
      <c r="AB88" s="40" t="str">
        <f t="shared" si="23"/>
        <v/>
      </c>
      <c r="AC88" s="15" t="str">
        <f t="shared" si="23"/>
        <v>0110000000000</v>
      </c>
      <c r="AD88" s="15" t="str">
        <f t="shared" si="23"/>
        <v/>
      </c>
      <c r="AE88" s="15" t="str">
        <f t="shared" si="23"/>
        <v/>
      </c>
      <c r="AF88" s="15" t="str">
        <f t="shared" si="23"/>
        <v/>
      </c>
      <c r="AG88" s="41" t="str">
        <f t="shared" si="23"/>
        <v>0001000001000</v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12</v>
      </c>
      <c r="AL88" s="39" cm="1">
        <f t="array" ref="AL88">SUMPRODUCT(--(MID(AC$10:AC$135, SUMIF($Z$9:$Z$21, LEFT($AJ88,2), $Y$9:$Y$21), 1) = RIGHT($AJ88, 1)), K$10:K$135)</f>
        <v>20</v>
      </c>
      <c r="AM88" s="39" cm="1">
        <f t="array" ref="AM88">SUMPRODUCT(--(MID(AD$10:AD$135, SUMIF($Z$9:$Z$21, LEFT($AJ88,2), $Y$9:$Y$21), 1) = RIGHT($AJ88, 1)), L$10:L$135)</f>
        <v>14</v>
      </c>
      <c r="AN88" s="39" cm="1">
        <f t="array" ref="AN88">SUMPRODUCT(--(MID(AE$10:AE$135, SUMIF($Z$9:$Z$21, LEFT($AJ88,2), $Y$9:$Y$21), 1) = RIGHT($AJ88, 1)), M$10:M$135)</f>
        <v>6</v>
      </c>
      <c r="AO88" s="39" cm="1">
        <f t="array" ref="AO88">SUMPRODUCT(--(MID(AF$10:AF$135, SUMIF($Z$9:$Z$21, LEFT($AJ88,2), $Y$9:$Y$21), 1) = RIGHT($AJ88, 1)), N$10:N$135)</f>
        <v>6</v>
      </c>
      <c r="AP88" s="19" cm="1">
        <f t="array" ref="AP88">SUMPRODUCT(--(MID(AG$10:AG$135, SUMIF($Z$9:$Z$21, LEFT($AJ88,2), $Y$9:$Y$21), 1) = RIGHT($AJ88, 1)), O$10:O$135)</f>
        <v>16</v>
      </c>
    </row>
    <row r="89" spans="2:42">
      <c r="B89" s="34">
        <f t="shared" si="25"/>
        <v>79</v>
      </c>
      <c r="C89" s="30"/>
      <c r="D89" s="30" t="s">
        <v>138</v>
      </c>
      <c r="E89" s="30"/>
      <c r="F89" s="30"/>
      <c r="G89" s="30"/>
      <c r="H89" s="35" t="s">
        <v>129</v>
      </c>
      <c r="J89" s="34" t="str">
        <f t="shared" si="21"/>
        <v/>
      </c>
      <c r="K89" s="30">
        <f t="shared" si="21"/>
        <v>1</v>
      </c>
      <c r="L89" s="30" t="str">
        <f t="shared" si="21"/>
        <v/>
      </c>
      <c r="M89" s="30" t="str">
        <f t="shared" si="21"/>
        <v/>
      </c>
      <c r="N89" s="30" t="str">
        <f t="shared" si="21"/>
        <v/>
      </c>
      <c r="O89" s="35">
        <f t="shared" si="21"/>
        <v>1</v>
      </c>
      <c r="AB89" s="40" t="str">
        <f t="shared" si="23"/>
        <v/>
      </c>
      <c r="AC89" s="15" t="str">
        <f t="shared" si="23"/>
        <v>0010000000010</v>
      </c>
      <c r="AD89" s="15" t="str">
        <f t="shared" si="23"/>
        <v/>
      </c>
      <c r="AE89" s="15" t="str">
        <f t="shared" si="23"/>
        <v/>
      </c>
      <c r="AF89" s="15" t="str">
        <f t="shared" si="23"/>
        <v/>
      </c>
      <c r="AG89" s="41" t="str">
        <f t="shared" si="23"/>
        <v>0001000001000</v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54</v>
      </c>
      <c r="AL89" s="39" cm="1">
        <f t="array" ref="AL89">SUMPRODUCT(--(MID(AC$10:AC$135, SUMIF($Z$9:$Z$21, LEFT($AJ89,2), $Y$9:$Y$21), 1) = RIGHT($AJ89, 1)), K$10:K$135)</f>
        <v>68</v>
      </c>
      <c r="AM89" s="39" cm="1">
        <f t="array" ref="AM89">SUMPRODUCT(--(MID(AD$10:AD$135, SUMIF($Z$9:$Z$21, LEFT($AJ89,2), $Y$9:$Y$21), 1) = RIGHT($AJ89, 1)), L$10:L$135)</f>
        <v>46</v>
      </c>
      <c r="AN89" s="39" cm="1">
        <f t="array" ref="AN89">SUMPRODUCT(--(MID(AE$10:AE$135, SUMIF($Z$9:$Z$21, LEFT($AJ89,2), $Y$9:$Y$21), 1) = RIGHT($AJ89, 1)), M$10:M$135)</f>
        <v>47</v>
      </c>
      <c r="AO89" s="39" cm="1">
        <f t="array" ref="AO89">SUMPRODUCT(--(MID(AF$10:AF$135, SUMIF($Z$9:$Z$21, LEFT($AJ89,2), $Y$9:$Y$21), 1) = RIGHT($AJ89, 1)), N$10:N$135)</f>
        <v>58</v>
      </c>
      <c r="AP89" s="19" cm="1">
        <f t="array" ref="AP89">SUMPRODUCT(--(MID(AG$10:AG$135, SUMIF($Z$9:$Z$21, LEFT($AJ89,2), $Y$9:$Y$21), 1) = RIGHT($AJ89, 1)), O$10:O$135)</f>
        <v>80</v>
      </c>
    </row>
    <row r="90" spans="2:42">
      <c r="B90" s="34">
        <f t="shared" si="25"/>
        <v>80</v>
      </c>
      <c r="C90" s="30"/>
      <c r="D90" s="30" t="s">
        <v>137</v>
      </c>
      <c r="E90" s="30"/>
      <c r="F90" s="30"/>
      <c r="G90" s="30"/>
      <c r="H90" s="35" t="s">
        <v>132</v>
      </c>
      <c r="J90" s="34" t="str">
        <f t="shared" si="21"/>
        <v/>
      </c>
      <c r="K90" s="30">
        <f t="shared" si="21"/>
        <v>1</v>
      </c>
      <c r="L90" s="30" t="str">
        <f t="shared" si="21"/>
        <v/>
      </c>
      <c r="M90" s="30" t="str">
        <f t="shared" si="21"/>
        <v/>
      </c>
      <c r="N90" s="30" t="str">
        <f t="shared" si="21"/>
        <v/>
      </c>
      <c r="O90" s="35">
        <f t="shared" si="21"/>
        <v>1</v>
      </c>
      <c r="AB90" s="40" t="str">
        <f t="shared" si="23"/>
        <v/>
      </c>
      <c r="AC90" s="15" t="str">
        <f t="shared" si="23"/>
        <v>0000010000010</v>
      </c>
      <c r="AD90" s="15" t="str">
        <f t="shared" si="23"/>
        <v/>
      </c>
      <c r="AE90" s="15" t="str">
        <f t="shared" si="23"/>
        <v/>
      </c>
      <c r="AF90" s="15" t="str">
        <f t="shared" si="23"/>
        <v/>
      </c>
      <c r="AG90" s="41" t="str">
        <f t="shared" si="23"/>
        <v>0000000001100</v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 t="s">
        <v>127</v>
      </c>
      <c r="E91" s="30"/>
      <c r="F91" s="30"/>
      <c r="G91" s="30"/>
      <c r="H91" s="35" t="s">
        <v>137</v>
      </c>
      <c r="J91" s="34" t="str">
        <f t="shared" si="21"/>
        <v/>
      </c>
      <c r="K91" s="30">
        <f t="shared" si="21"/>
        <v>1</v>
      </c>
      <c r="L91" s="30" t="str">
        <f t="shared" si="21"/>
        <v/>
      </c>
      <c r="M91" s="30" t="str">
        <f t="shared" si="21"/>
        <v/>
      </c>
      <c r="N91" s="30" t="str">
        <f t="shared" si="21"/>
        <v/>
      </c>
      <c r="O91" s="35">
        <f t="shared" si="21"/>
        <v>1</v>
      </c>
      <c r="AB91" s="40" t="str">
        <f t="shared" si="23"/>
        <v/>
      </c>
      <c r="AC91" s="15" t="str">
        <f t="shared" si="23"/>
        <v>0010010000000</v>
      </c>
      <c r="AD91" s="15" t="str">
        <f t="shared" si="23"/>
        <v/>
      </c>
      <c r="AE91" s="15" t="str">
        <f t="shared" si="23"/>
        <v/>
      </c>
      <c r="AF91" s="15" t="str">
        <f t="shared" si="23"/>
        <v/>
      </c>
      <c r="AG91" s="41" t="str">
        <f t="shared" si="23"/>
        <v>0000010000100</v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 t="s">
        <v>132</v>
      </c>
      <c r="E92" s="30"/>
      <c r="F92" s="30"/>
      <c r="G92" s="30"/>
      <c r="H92" s="35" t="s">
        <v>138</v>
      </c>
      <c r="J92" s="34" t="str">
        <f t="shared" si="21"/>
        <v/>
      </c>
      <c r="K92" s="30">
        <f t="shared" si="21"/>
        <v>1</v>
      </c>
      <c r="L92" s="30" t="str">
        <f t="shared" si="21"/>
        <v/>
      </c>
      <c r="M92" s="30" t="str">
        <f t="shared" si="21"/>
        <v/>
      </c>
      <c r="N92" s="30" t="str">
        <f t="shared" si="21"/>
        <v/>
      </c>
      <c r="O92" s="35">
        <f t="shared" si="21"/>
        <v>1</v>
      </c>
      <c r="AB92" s="40" t="str">
        <f t="shared" si="23"/>
        <v/>
      </c>
      <c r="AC92" s="15" t="str">
        <f t="shared" si="23"/>
        <v>0010000000100</v>
      </c>
      <c r="AD92" s="15" t="str">
        <f t="shared" si="23"/>
        <v/>
      </c>
      <c r="AE92" s="15" t="str">
        <f t="shared" si="23"/>
        <v/>
      </c>
      <c r="AF92" s="15" t="str">
        <f t="shared" si="23"/>
        <v/>
      </c>
      <c r="AG92" s="41" t="str">
        <f t="shared" si="23"/>
        <v>0000010000010</v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 t="s">
        <v>138</v>
      </c>
      <c r="E93" s="30"/>
      <c r="F93" s="30"/>
      <c r="G93" s="30"/>
      <c r="H93" s="35" t="s">
        <v>132</v>
      </c>
      <c r="J93" s="34" t="str">
        <f t="shared" si="21"/>
        <v/>
      </c>
      <c r="K93" s="30">
        <f t="shared" si="21"/>
        <v>1</v>
      </c>
      <c r="L93" s="30" t="str">
        <f t="shared" si="21"/>
        <v/>
      </c>
      <c r="M93" s="30" t="str">
        <f t="shared" si="21"/>
        <v/>
      </c>
      <c r="N93" s="30" t="str">
        <f t="shared" si="21"/>
        <v/>
      </c>
      <c r="O93" s="35">
        <f t="shared" si="21"/>
        <v>1</v>
      </c>
      <c r="AB93" s="40" t="str">
        <f t="shared" si="23"/>
        <v/>
      </c>
      <c r="AC93" s="15" t="str">
        <f t="shared" si="23"/>
        <v>0000000000110</v>
      </c>
      <c r="AD93" s="15" t="str">
        <f t="shared" si="23"/>
        <v/>
      </c>
      <c r="AE93" s="15" t="str">
        <f t="shared" si="23"/>
        <v/>
      </c>
      <c r="AF93" s="15" t="str">
        <f t="shared" si="23"/>
        <v/>
      </c>
      <c r="AG93" s="41" t="str">
        <f t="shared" si="23"/>
        <v>0000000000110</v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 t="s">
        <v>132</v>
      </c>
      <c r="E94" s="30"/>
      <c r="F94" s="30"/>
      <c r="G94" s="30"/>
      <c r="H94" s="35" t="s">
        <v>138</v>
      </c>
      <c r="J94" s="34" t="str">
        <f t="shared" si="21"/>
        <v/>
      </c>
      <c r="K94" s="30">
        <f t="shared" si="21"/>
        <v>1</v>
      </c>
      <c r="L94" s="30" t="str">
        <f t="shared" si="21"/>
        <v/>
      </c>
      <c r="M94" s="30" t="str">
        <f t="shared" si="21"/>
        <v/>
      </c>
      <c r="N94" s="30" t="str">
        <f t="shared" si="21"/>
        <v/>
      </c>
      <c r="O94" s="35">
        <f t="shared" si="21"/>
        <v>1</v>
      </c>
      <c r="AB94" s="40" t="str">
        <f t="shared" si="23"/>
        <v/>
      </c>
      <c r="AC94" s="15" t="str">
        <f t="shared" si="23"/>
        <v>0000000000110</v>
      </c>
      <c r="AD94" s="15" t="str">
        <f t="shared" si="23"/>
        <v/>
      </c>
      <c r="AE94" s="15" t="str">
        <f t="shared" si="23"/>
        <v/>
      </c>
      <c r="AF94" s="15" t="str">
        <f t="shared" si="23"/>
        <v/>
      </c>
      <c r="AG94" s="41" t="str">
        <f t="shared" si="23"/>
        <v>0000000000110</v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 t="s">
        <v>130</v>
      </c>
      <c r="E95" s="30"/>
      <c r="F95" s="30"/>
      <c r="G95" s="30"/>
      <c r="H95" s="35" t="s">
        <v>134</v>
      </c>
      <c r="J95" s="34" t="str">
        <f t="shared" si="21"/>
        <v/>
      </c>
      <c r="K95" s="30">
        <f t="shared" si="21"/>
        <v>1</v>
      </c>
      <c r="L95" s="30" t="str">
        <f t="shared" si="21"/>
        <v/>
      </c>
      <c r="M95" s="30" t="str">
        <f t="shared" si="21"/>
        <v/>
      </c>
      <c r="N95" s="30" t="str">
        <f t="shared" si="21"/>
        <v/>
      </c>
      <c r="O95" s="35">
        <f t="shared" si="21"/>
        <v>1</v>
      </c>
      <c r="AB95" s="40" t="str">
        <f t="shared" si="23"/>
        <v/>
      </c>
      <c r="AC95" s="15" t="str">
        <f t="shared" si="23"/>
        <v>0000000010100</v>
      </c>
      <c r="AD95" s="15" t="str">
        <f t="shared" si="23"/>
        <v/>
      </c>
      <c r="AE95" s="15" t="str">
        <f t="shared" si="23"/>
        <v/>
      </c>
      <c r="AF95" s="15" t="str">
        <f t="shared" si="23"/>
        <v/>
      </c>
      <c r="AG95" s="41" t="str">
        <f t="shared" si="23"/>
        <v>0001000000010</v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3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/>
      <c r="D96" s="30" t="s">
        <v>138</v>
      </c>
      <c r="E96" s="30"/>
      <c r="F96" s="30"/>
      <c r="G96" s="30"/>
      <c r="H96" s="35" t="s">
        <v>128</v>
      </c>
      <c r="J96" s="34" t="str">
        <f t="shared" si="21"/>
        <v/>
      </c>
      <c r="K96" s="30">
        <f t="shared" si="21"/>
        <v>1</v>
      </c>
      <c r="L96" s="30" t="str">
        <f t="shared" si="21"/>
        <v/>
      </c>
      <c r="M96" s="30" t="str">
        <f t="shared" si="21"/>
        <v/>
      </c>
      <c r="N96" s="30" t="str">
        <f t="shared" si="21"/>
        <v/>
      </c>
      <c r="O96" s="35">
        <f t="shared" si="21"/>
        <v>1</v>
      </c>
      <c r="AB96" s="40" t="str">
        <f t="shared" si="23"/>
        <v/>
      </c>
      <c r="AC96" s="15" t="str">
        <f t="shared" si="23"/>
        <v>0000000010010</v>
      </c>
      <c r="AD96" s="15" t="str">
        <f t="shared" si="23"/>
        <v/>
      </c>
      <c r="AE96" s="15" t="str">
        <f t="shared" si="23"/>
        <v/>
      </c>
      <c r="AF96" s="15" t="str">
        <f t="shared" si="23"/>
        <v/>
      </c>
      <c r="AG96" s="41" t="str">
        <f t="shared" si="23"/>
        <v>0001001000000</v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18</v>
      </c>
      <c r="AL96" s="39" cm="1">
        <f t="array" ref="AL96">SUMPRODUCT(--(MID(AC$10:AC$135, SUMIF($Z$9:$Z$21, LEFT($AJ96,2), $Y$9:$Y$21), 1) = RIGHT($AJ96, 1)), K$10:K$135)</f>
        <v>18</v>
      </c>
      <c r="AM96" s="39" cm="1">
        <f t="array" ref="AM96">SUMPRODUCT(--(MID(AD$10:AD$135, SUMIF($Z$9:$Z$21, LEFT($AJ96,2), $Y$9:$Y$21), 1) = RIGHT($AJ96, 1)), L$10:L$135)</f>
        <v>4</v>
      </c>
      <c r="AN96" s="39" cm="1">
        <f t="array" ref="AN96">SUMPRODUCT(--(MID(AE$10:AE$135, SUMIF($Z$9:$Z$21, LEFT($AJ96,2), $Y$9:$Y$21), 1) = RIGHT($AJ96, 1)), M$10:M$135)</f>
        <v>8</v>
      </c>
      <c r="AO96" s="39" cm="1">
        <f t="array" ref="AO96">SUMPRODUCT(--(MID(AF$10:AF$135, SUMIF($Z$9:$Z$21, LEFT($AJ96,2), $Y$9:$Y$21), 1) = RIGHT($AJ96, 1)), N$10:N$135)</f>
        <v>8</v>
      </c>
      <c r="AP96" s="19" cm="1">
        <f t="array" ref="AP96">SUMPRODUCT(--(MID(AG$10:AG$135, SUMIF($Z$9:$Z$21, LEFT($AJ96,2), $Y$9:$Y$21), 1) = RIGHT($AJ96, 1)), O$10:O$135)</f>
        <v>30</v>
      </c>
    </row>
    <row r="97" spans="2:44">
      <c r="B97" s="34">
        <f t="shared" si="25"/>
        <v>87</v>
      </c>
      <c r="C97" s="30"/>
      <c r="D97" s="30" t="s">
        <v>129</v>
      </c>
      <c r="E97" s="30"/>
      <c r="F97" s="30"/>
      <c r="G97" s="30"/>
      <c r="H97" s="35" t="s">
        <v>127</v>
      </c>
      <c r="J97" s="34" t="str">
        <f t="shared" si="21"/>
        <v/>
      </c>
      <c r="K97" s="30">
        <f t="shared" si="21"/>
        <v>1</v>
      </c>
      <c r="L97" s="30" t="str">
        <f t="shared" si="21"/>
        <v/>
      </c>
      <c r="M97" s="30" t="str">
        <f t="shared" si="21"/>
        <v/>
      </c>
      <c r="N97" s="30" t="str">
        <f t="shared" si="21"/>
        <v/>
      </c>
      <c r="O97" s="35">
        <f t="shared" si="21"/>
        <v>1</v>
      </c>
      <c r="AB97" s="40" t="str">
        <f t="shared" si="23"/>
        <v/>
      </c>
      <c r="AC97" s="15" t="str">
        <f t="shared" si="23"/>
        <v>0000000001010</v>
      </c>
      <c r="AD97" s="15" t="str">
        <f t="shared" si="23"/>
        <v/>
      </c>
      <c r="AE97" s="15" t="str">
        <f t="shared" si="23"/>
        <v/>
      </c>
      <c r="AF97" s="15" t="str">
        <f t="shared" si="23"/>
        <v/>
      </c>
      <c r="AG97" s="41" t="str">
        <f t="shared" si="23"/>
        <v>0010001000000</v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48</v>
      </c>
      <c r="AL97" s="39" cm="1">
        <f t="array" ref="AL97">SUMPRODUCT(--(MID(AC$10:AC$135, SUMIF($Z$9:$Z$21, LEFT($AJ97,2), $Y$9:$Y$21), 1) = RIGHT($AJ97, 1)), K$10:K$135)</f>
        <v>70</v>
      </c>
      <c r="AM97" s="39" cm="1">
        <f t="array" ref="AM97">SUMPRODUCT(--(MID(AD$10:AD$135, SUMIF($Z$9:$Z$21, LEFT($AJ97,2), $Y$9:$Y$21), 1) = RIGHT($AJ97, 1)), L$10:L$135)</f>
        <v>56</v>
      </c>
      <c r="AN97" s="39" cm="1">
        <f t="array" ref="AN97">SUMPRODUCT(--(MID(AE$10:AE$135, SUMIF($Z$9:$Z$21, LEFT($AJ97,2), $Y$9:$Y$21), 1) = RIGHT($AJ97, 1)), M$10:M$135)</f>
        <v>44</v>
      </c>
      <c r="AO97" s="39" cm="1">
        <f t="array" ref="AO97">SUMPRODUCT(--(MID(AF$10:AF$135, SUMIF($Z$9:$Z$21, LEFT($AJ97,2), $Y$9:$Y$21), 1) = RIGHT($AJ97, 1)), N$10:N$135)</f>
        <v>56</v>
      </c>
      <c r="AP97" s="19" cm="1">
        <f t="array" ref="AP97">SUMPRODUCT(--(MID(AG$10:AG$135, SUMIF($Z$9:$Z$21, LEFT($AJ97,2), $Y$9:$Y$21), 1) = RIGHT($AJ97, 1)), O$10:O$135)</f>
        <v>66</v>
      </c>
    </row>
    <row r="98" spans="2:44">
      <c r="B98" s="34">
        <f t="shared" si="25"/>
        <v>88</v>
      </c>
      <c r="C98" s="30"/>
      <c r="D98" s="30" t="s">
        <v>131</v>
      </c>
      <c r="E98" s="30"/>
      <c r="F98" s="30"/>
      <c r="G98" s="30"/>
      <c r="H98" s="35" t="s">
        <v>138</v>
      </c>
      <c r="J98" s="34" t="str">
        <f t="shared" si="21"/>
        <v/>
      </c>
      <c r="K98" s="30">
        <f t="shared" si="21"/>
        <v>1</v>
      </c>
      <c r="L98" s="30" t="str">
        <f t="shared" si="21"/>
        <v/>
      </c>
      <c r="M98" s="30" t="str">
        <f t="shared" si="21"/>
        <v/>
      </c>
      <c r="N98" s="30" t="str">
        <f t="shared" si="21"/>
        <v/>
      </c>
      <c r="O98" s="35">
        <f t="shared" si="21"/>
        <v>1</v>
      </c>
      <c r="AB98" s="40" t="str">
        <f t="shared" si="23"/>
        <v/>
      </c>
      <c r="AC98" s="15" t="str">
        <f t="shared" si="23"/>
        <v>0100000001000</v>
      </c>
      <c r="AD98" s="15" t="str">
        <f t="shared" si="23"/>
        <v/>
      </c>
      <c r="AE98" s="15" t="str">
        <f t="shared" si="23"/>
        <v/>
      </c>
      <c r="AF98" s="15" t="str">
        <f t="shared" si="23"/>
        <v/>
      </c>
      <c r="AG98" s="41" t="str">
        <f t="shared" si="23"/>
        <v>0010000000010</v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 t="s">
        <v>127</v>
      </c>
      <c r="E99" s="30"/>
      <c r="F99" s="30"/>
      <c r="G99" s="30"/>
      <c r="H99" s="35" t="s">
        <v>130</v>
      </c>
      <c r="J99" s="34" t="str">
        <f t="shared" si="21"/>
        <v/>
      </c>
      <c r="K99" s="30">
        <f t="shared" si="21"/>
        <v>1</v>
      </c>
      <c r="L99" s="30" t="str">
        <f t="shared" si="21"/>
        <v/>
      </c>
      <c r="M99" s="30" t="str">
        <f t="shared" si="21"/>
        <v/>
      </c>
      <c r="N99" s="30" t="str">
        <f t="shared" si="21"/>
        <v/>
      </c>
      <c r="O99" s="35">
        <f t="shared" si="21"/>
        <v>1</v>
      </c>
      <c r="AB99" s="40" t="str">
        <f t="shared" si="23"/>
        <v/>
      </c>
      <c r="AC99" s="15" t="str">
        <f t="shared" si="23"/>
        <v>0110000000000</v>
      </c>
      <c r="AD99" s="15" t="str">
        <f t="shared" si="23"/>
        <v/>
      </c>
      <c r="AE99" s="15" t="str">
        <f t="shared" si="23"/>
        <v/>
      </c>
      <c r="AF99" s="15" t="str">
        <f t="shared" si="23"/>
        <v/>
      </c>
      <c r="AG99" s="41" t="str">
        <f t="shared" si="23"/>
        <v>0000000010010</v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/>
      <c r="H100" s="35" t="s">
        <v>138</v>
      </c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 t="str">
        <f t="shared" si="21"/>
        <v/>
      </c>
      <c r="O100" s="35">
        <f t="shared" si="21"/>
        <v>1</v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/>
      </c>
      <c r="AG100" s="41" t="str">
        <f t="shared" si="23"/>
        <v>0000000010010</v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 t="s">
        <v>132</v>
      </c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>
        <f t="shared" si="21"/>
        <v>1</v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>0000000000110</v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 t="s">
        <v>127</v>
      </c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>
        <f t="shared" si="30"/>
        <v>1</v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>0010000000100</v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 t="s">
        <v>132</v>
      </c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>
        <f t="shared" si="30"/>
        <v>1</v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>0010000000100</v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 t="s">
        <v>134</v>
      </c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>
        <f t="shared" si="30"/>
        <v>1</v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>0001000000100</v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 t="s">
        <v>138</v>
      </c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>
        <f t="shared" si="30"/>
        <v>1</v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>0001000000010</v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68</v>
      </c>
      <c r="AL105" s="39" cm="1">
        <f t="array" ref="AL105">SUMPRODUCT(--(MID(AC$10:AC$135, SUMIF($Z$9:$Z$21, LEFT($AJ105,2), $Y$9:$Y$21), 1) = RIGHT($AJ105, 1)), K$10:K$135)</f>
        <v>90</v>
      </c>
      <c r="AM105" s="39" cm="1">
        <f t="array" ref="AM105">SUMPRODUCT(--(MID(AD$10:AD$135, SUMIF($Z$9:$Z$21, LEFT($AJ105,2), $Y$9:$Y$21), 1) = RIGHT($AJ105, 1)), L$10:L$135)</f>
        <v>62</v>
      </c>
      <c r="AN105" s="39" cm="1">
        <f t="array" ref="AN105">SUMPRODUCT(--(MID(AE$10:AE$135, SUMIF($Z$9:$Z$21, LEFT($AJ105,2), $Y$9:$Y$21), 1) = RIGHT($AJ105, 1)), M$10:M$135)</f>
        <v>55</v>
      </c>
      <c r="AO105" s="39" cm="1">
        <f t="array" ref="AO105">SUMPRODUCT(--(MID(AF$10:AF$135, SUMIF($Z$9:$Z$21, LEFT($AJ105,2), $Y$9:$Y$21), 1) = RIGHT($AJ105, 1)), N$10:N$135)</f>
        <v>66</v>
      </c>
      <c r="AP105" s="19" cm="1">
        <f t="array" ref="AP105">SUMPRODUCT(--(MID(AG$10:AG$135, SUMIF($Z$9:$Z$21, LEFT($AJ105,2), $Y$9:$Y$21), 1) = RIGHT($AJ105, 1)), O$10:O$135)</f>
        <v>98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 t="s">
        <v>136</v>
      </c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>
        <f t="shared" si="30"/>
        <v>1</v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>0000100000010</v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 t="s">
        <v>134</v>
      </c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>
        <f t="shared" si="30"/>
        <v>1</v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>0001100000000</v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68</v>
      </c>
      <c r="AL113" s="17" cm="1">
        <f t="array" ref="AL113">SUMPRODUCT(--(MID(AC$10:AC$135, SUMIF($Z$9:$Z$21, LEFT($AJ113,2), $Y$9:$Y$21), 1) = RIGHT($AJ113, 1)), K$10:K$135)</f>
        <v>90</v>
      </c>
      <c r="AM113" s="17" cm="1">
        <f t="array" ref="AM113">SUMPRODUCT(--(MID(AD$10:AD$135, SUMIF($Z$9:$Z$21, LEFT($AJ113,2), $Y$9:$Y$21), 1) = RIGHT($AJ113, 1)), L$10:L$135)</f>
        <v>62</v>
      </c>
      <c r="AN113" s="17" cm="1">
        <f t="array" ref="AN113">SUMPRODUCT(--(MID(AE$10:AE$135, SUMIF($Z$9:$Z$21, LEFT($AJ113,2), $Y$9:$Y$21), 1) = RIGHT($AJ113, 1)), M$10:M$135)</f>
        <v>55</v>
      </c>
      <c r="AO113" s="17" cm="1">
        <f t="array" ref="AO113">SUMPRODUCT(--(MID(AF$10:AF$135, SUMIF($Z$9:$Z$21, LEFT($AJ113,2), $Y$9:$Y$21), 1) = RIGHT($AJ113, 1)), N$10:N$135)</f>
        <v>66</v>
      </c>
      <c r="AP113" s="16" cm="1">
        <f t="array" ref="AP113">SUMPRODUCT(--(MID(AG$10:AG$135, SUMIF($Z$9:$Z$21, LEFT($AJ113,2), $Y$9:$Y$21), 1) = RIGHT($AJ113, 1)), O$10:O$135)</f>
        <v>98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8" priority="1" operator="equal">
      <formula>"WC"</formula>
    </cfRule>
    <cfRule type="cellIs" dxfId="7" priority="2" operator="equal">
      <formula>"FG"</formula>
    </cfRule>
  </conditionalFormatting>
  <conditionalFormatting sqref="J3:O3">
    <cfRule type="cellIs" dxfId="6" priority="3" operator="equal">
      <formula>$E$24</formula>
    </cfRule>
    <cfRule type="cellIs" dxfId="5" priority="4" operator="equal">
      <formula>$C$20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E35FD-0541-40A8-905C-5910F7BD450E}">
  <dimension ref="B1:BL132"/>
  <sheetViews>
    <sheetView topLeftCell="V4" zoomScale="75" zoomScaleNormal="124" workbookViewId="0">
      <selection activeCell="AJ4" sqref="AJ4"/>
    </sheetView>
  </sheetViews>
  <sheetFormatPr defaultRowHeight="14.25"/>
  <cols>
    <col min="3" max="6" width="9.28515625" bestFit="1" customWidth="1"/>
    <col min="7" max="9" width="9.42578125" bestFit="1" customWidth="1"/>
    <col min="10" max="10" width="12.7109375" bestFit="1" customWidth="1"/>
    <col min="11" max="11" width="12.28515625" bestFit="1" customWidth="1"/>
    <col min="12" max="12" width="10" bestFit="1" customWidth="1"/>
    <col min="13" max="13" width="9.7109375" bestFit="1" customWidth="1"/>
    <col min="14" max="14" width="12" bestFit="1" customWidth="1"/>
    <col min="15" max="15" width="9.42578125" bestFit="1" customWidth="1"/>
    <col min="16" max="16" width="12.140625" bestFit="1" customWidth="1"/>
    <col min="17" max="17" width="9.28515625" bestFit="1" customWidth="1"/>
    <col min="18" max="18" width="11.85546875" bestFit="1" customWidth="1"/>
    <col min="19" max="22" width="9.28515625" bestFit="1" customWidth="1"/>
    <col min="26" max="26" width="12.42578125" bestFit="1" customWidth="1"/>
    <col min="30" max="30" width="16.5703125" bestFit="1" customWidth="1"/>
    <col min="31" max="31" width="14.5703125" bestFit="1" customWidth="1"/>
    <col min="35" max="35" width="14.5703125" bestFit="1" customWidth="1"/>
  </cols>
  <sheetData>
    <row r="1" spans="2:64">
      <c r="R1" s="8"/>
      <c r="S1" s="7"/>
      <c r="T1" s="7"/>
      <c r="U1" s="7"/>
      <c r="V1" s="6"/>
    </row>
    <row r="2" spans="2:64">
      <c r="B2" s="29"/>
      <c r="C2" s="28" t="str">
        <f>'Buy FG2 Reel'!AS9</f>
        <v>R1</v>
      </c>
      <c r="D2" s="28" t="str">
        <f>'Buy FG2 Reel'!AT9</f>
        <v>R2</v>
      </c>
      <c r="E2" s="28" t="str">
        <f>'Buy FG2 Reel'!AU9</f>
        <v>R3</v>
      </c>
      <c r="F2" s="28" t="str">
        <f>'Buy FG2 Reel'!AV9</f>
        <v>R4</v>
      </c>
      <c r="G2" s="28" t="str">
        <f>'Buy FG2 Reel'!AW9</f>
        <v>R5</v>
      </c>
      <c r="H2" s="27" t="str">
        <f>'Buy FG2 Reel'!AX9</f>
        <v>R6</v>
      </c>
      <c r="J2" s="29"/>
      <c r="K2" s="28" t="str">
        <f>'Buy FG2 Reel'!R9</f>
        <v>R1</v>
      </c>
      <c r="L2" s="28" t="str">
        <f>'Buy FG2 Reel'!S9</f>
        <v>R2</v>
      </c>
      <c r="M2" s="28" t="str">
        <f>'Buy FG2 Reel'!T9</f>
        <v>R3</v>
      </c>
      <c r="N2" s="28" t="str">
        <f>'Buy FG2 Reel'!U9</f>
        <v>R4</v>
      </c>
      <c r="O2" s="28" t="str">
        <f>'Buy FG2 Reel'!V9</f>
        <v>R5</v>
      </c>
      <c r="P2" s="27" t="str">
        <f>'Buy FG2 Reel'!W9</f>
        <v>R6</v>
      </c>
      <c r="R2" s="29"/>
      <c r="S2" s="28">
        <v>6</v>
      </c>
      <c r="T2" s="28">
        <v>5</v>
      </c>
      <c r="U2" s="28">
        <v>4</v>
      </c>
      <c r="V2" s="27">
        <v>3</v>
      </c>
      <c r="Z2" s="29" t="s">
        <v>84</v>
      </c>
      <c r="AA2" s="27" t="s">
        <v>85</v>
      </c>
      <c r="AD2" s="29" t="s">
        <v>139</v>
      </c>
      <c r="AE2" s="27" t="s">
        <v>140</v>
      </c>
      <c r="AI2" s="29" t="s">
        <v>141</v>
      </c>
      <c r="AJ2" s="27" t="s">
        <v>85</v>
      </c>
      <c r="AL2" s="11" t="s">
        <v>142</v>
      </c>
      <c r="AM2" s="9" t="s">
        <v>85</v>
      </c>
    </row>
    <row r="3" spans="2:64">
      <c r="B3" s="34" t="str">
        <f>'Buy FG2 Reel'!AR10</f>
        <v>WC</v>
      </c>
      <c r="C3" s="30">
        <f>'Buy FG2 Reel'!AS10</f>
        <v>0</v>
      </c>
      <c r="D3" s="30">
        <f>'Buy FG2 Reel'!AT10</f>
        <v>0</v>
      </c>
      <c r="E3" s="30">
        <f>'Buy FG2 Reel'!AU10</f>
        <v>0</v>
      </c>
      <c r="F3" s="30">
        <f>'Buy FG2 Reel'!AV10</f>
        <v>0</v>
      </c>
      <c r="G3" s="30">
        <f>'Buy FG2 Reel'!AW10</f>
        <v>0</v>
      </c>
      <c r="H3" s="35">
        <f>'Buy FG2 Reel'!AX10</f>
        <v>0</v>
      </c>
      <c r="J3" s="31" t="str">
        <f>'Buy FG2 Reel'!Q10</f>
        <v>WC</v>
      </c>
      <c r="K3" s="32">
        <f>'Buy FG2 Reel'!R10</f>
        <v>0</v>
      </c>
      <c r="L3" s="32">
        <f>'Buy FG2 Reel'!S10</f>
        <v>0</v>
      </c>
      <c r="M3" s="32">
        <f>'Buy FG2 Reel'!T10</f>
        <v>0</v>
      </c>
      <c r="N3" s="32">
        <f>'Buy FG2 Reel'!U10</f>
        <v>0</v>
      </c>
      <c r="O3" s="32">
        <f>'Buy FG2 Reel'!V10</f>
        <v>0</v>
      </c>
      <c r="P3" s="33">
        <f>'Buy FG2 Reel'!W10</f>
        <v>0</v>
      </c>
      <c r="R3" s="34" t="str">
        <f>'Buy FG2 Reel'!Q10</f>
        <v>WC</v>
      </c>
      <c r="S3" s="30">
        <f>'BG Calc'!S3</f>
        <v>0</v>
      </c>
      <c r="T3" s="30">
        <f>'BG Calc'!T3</f>
        <v>0</v>
      </c>
      <c r="U3" s="30">
        <f>'BG Calc'!U3</f>
        <v>0</v>
      </c>
      <c r="V3" s="35">
        <f>'BG Calc'!V3</f>
        <v>0</v>
      </c>
      <c r="Z3" s="34">
        <v>1</v>
      </c>
      <c r="AA3" s="35">
        <v>875</v>
      </c>
      <c r="AD3" s="34">
        <v>3</v>
      </c>
      <c r="AE3" s="35">
        <v>7</v>
      </c>
      <c r="AI3" s="34">
        <v>0</v>
      </c>
      <c r="AJ3" s="35">
        <v>424</v>
      </c>
      <c r="AL3" s="5" t="s">
        <v>109</v>
      </c>
      <c r="AM3" s="4">
        <v>1</v>
      </c>
      <c r="AQ3" s="50"/>
      <c r="AR3" s="12"/>
      <c r="AX3" t="s">
        <v>145</v>
      </c>
      <c r="AZ3" s="51"/>
      <c r="BA3" s="11"/>
      <c r="BB3" s="51" t="s">
        <v>126</v>
      </c>
      <c r="BC3" s="51"/>
      <c r="BD3" s="11"/>
      <c r="BE3" s="51"/>
      <c r="BG3" t="s">
        <v>146</v>
      </c>
    </row>
    <row r="4" spans="2:64">
      <c r="B4" s="34" t="str">
        <f>'Buy FG2 Reel'!AR11</f>
        <v>AA</v>
      </c>
      <c r="C4" s="30">
        <f>'Buy FG2 Reel'!AS11</f>
        <v>2</v>
      </c>
      <c r="D4" s="30">
        <f>'Buy FG2 Reel'!AT11</f>
        <v>8</v>
      </c>
      <c r="E4" s="30">
        <f>'Buy FG2 Reel'!AU11</f>
        <v>8</v>
      </c>
      <c r="F4" s="30">
        <f>'Buy FG2 Reel'!AV11</f>
        <v>10</v>
      </c>
      <c r="G4" s="30">
        <f>'Buy FG2 Reel'!AW11</f>
        <v>26</v>
      </c>
      <c r="H4" s="35">
        <f>'Buy FG2 Reel'!AX11</f>
        <v>14</v>
      </c>
      <c r="J4" s="34" t="str">
        <f>'Buy FG2 Reel'!Q11</f>
        <v>AA</v>
      </c>
      <c r="K4" s="30">
        <f>'Buy FG2 Reel'!R11</f>
        <v>1</v>
      </c>
      <c r="L4" s="30">
        <f>'Buy FG2 Reel'!S11</f>
        <v>4</v>
      </c>
      <c r="M4" s="30">
        <f>'Buy FG2 Reel'!T11</f>
        <v>4</v>
      </c>
      <c r="N4" s="30">
        <f>'Buy FG2 Reel'!U11</f>
        <v>5</v>
      </c>
      <c r="O4" s="30">
        <f>'Buy FG2 Reel'!V11</f>
        <v>13</v>
      </c>
      <c r="P4" s="35">
        <f>'Buy FG2 Reel'!W11</f>
        <v>7</v>
      </c>
      <c r="R4" s="34" t="str">
        <f>'Buy FG2 Reel'!Q11</f>
        <v>AA</v>
      </c>
      <c r="S4" s="30">
        <f>'BG Calc'!S4</f>
        <v>150</v>
      </c>
      <c r="T4" s="30">
        <f>'BG Calc'!T4</f>
        <v>60</v>
      </c>
      <c r="U4" s="30">
        <f>'BG Calc'!U4</f>
        <v>40</v>
      </c>
      <c r="V4" s="35">
        <f>'BG Calc'!V4</f>
        <v>15</v>
      </c>
      <c r="Z4" s="34">
        <v>2</v>
      </c>
      <c r="AA4" s="35">
        <v>200</v>
      </c>
      <c r="AD4" s="34">
        <v>4</v>
      </c>
      <c r="AE4" s="35">
        <v>12</v>
      </c>
      <c r="AI4" s="34">
        <v>1</v>
      </c>
      <c r="AJ4" s="35">
        <v>126</v>
      </c>
      <c r="AL4" s="5" t="s">
        <v>110</v>
      </c>
      <c r="AM4" s="4">
        <v>1</v>
      </c>
      <c r="AZ4" s="51"/>
      <c r="BA4" s="11"/>
      <c r="BB4" s="51"/>
      <c r="BC4" s="51"/>
      <c r="BD4" s="11"/>
      <c r="BE4" s="51"/>
    </row>
    <row r="5" spans="2:64">
      <c r="B5" s="34" t="str">
        <f>'Buy FG2 Reel'!AR12</f>
        <v>BB</v>
      </c>
      <c r="C5" s="30">
        <f>'Buy FG2 Reel'!AS12</f>
        <v>2</v>
      </c>
      <c r="D5" s="30">
        <f>'Buy FG2 Reel'!AT12</f>
        <v>8</v>
      </c>
      <c r="E5" s="30">
        <f>'Buy FG2 Reel'!AU12</f>
        <v>18</v>
      </c>
      <c r="F5" s="30">
        <f>'Buy FG2 Reel'!AV12</f>
        <v>14</v>
      </c>
      <c r="G5" s="30">
        <f>'Buy FG2 Reel'!AW12</f>
        <v>20</v>
      </c>
      <c r="H5" s="35">
        <f>'Buy FG2 Reel'!AX12</f>
        <v>10</v>
      </c>
      <c r="J5" s="34" t="str">
        <f>'Buy FG2 Reel'!Q12</f>
        <v>BB</v>
      </c>
      <c r="K5" s="30">
        <f>'Buy FG2 Reel'!R12</f>
        <v>1</v>
      </c>
      <c r="L5" s="30">
        <f>'Buy FG2 Reel'!S12</f>
        <v>4</v>
      </c>
      <c r="M5" s="30">
        <f>'Buy FG2 Reel'!T12</f>
        <v>9</v>
      </c>
      <c r="N5" s="30">
        <f>'Buy FG2 Reel'!U12</f>
        <v>7</v>
      </c>
      <c r="O5" s="30">
        <f>'Buy FG2 Reel'!V12</f>
        <v>10</v>
      </c>
      <c r="P5" s="35">
        <f>'Buy FG2 Reel'!W12</f>
        <v>5</v>
      </c>
      <c r="R5" s="34" t="str">
        <f>'Buy FG2 Reel'!Q12</f>
        <v>BB</v>
      </c>
      <c r="S5" s="30">
        <f>'BG Calc'!S5</f>
        <v>60</v>
      </c>
      <c r="T5" s="30">
        <f>'BG Calc'!T5</f>
        <v>30</v>
      </c>
      <c r="U5" s="30">
        <f>'BG Calc'!U5</f>
        <v>20</v>
      </c>
      <c r="V5" s="35">
        <f>'BG Calc'!V5</f>
        <v>10</v>
      </c>
      <c r="Z5" s="36">
        <v>3</v>
      </c>
      <c r="AA5" s="38">
        <v>100</v>
      </c>
      <c r="AD5" s="34">
        <v>5</v>
      </c>
      <c r="AE5" s="35">
        <v>15</v>
      </c>
      <c r="AI5" s="34">
        <v>2</v>
      </c>
      <c r="AJ5" s="35">
        <v>50</v>
      </c>
      <c r="AL5" s="5" t="s">
        <v>111</v>
      </c>
      <c r="AM5" s="4">
        <v>1</v>
      </c>
      <c r="AZ5" s="51"/>
      <c r="BB5" s="51"/>
      <c r="BC5" s="51"/>
      <c r="BE5" s="51"/>
    </row>
    <row r="6" spans="2:64">
      <c r="B6" s="34" t="str">
        <f>'Buy FG2 Reel'!AR13</f>
        <v>CC</v>
      </c>
      <c r="C6" s="30">
        <f>'Buy FG2 Reel'!AS13</f>
        <v>4</v>
      </c>
      <c r="D6" s="30">
        <f>'Buy FG2 Reel'!AT13</f>
        <v>8</v>
      </c>
      <c r="E6" s="30">
        <f>'Buy FG2 Reel'!AU13</f>
        <v>16</v>
      </c>
      <c r="F6" s="30">
        <f>'Buy FG2 Reel'!AV13</f>
        <v>12</v>
      </c>
      <c r="G6" s="30">
        <f>'Buy FG2 Reel'!AW13</f>
        <v>16</v>
      </c>
      <c r="H6" s="35">
        <f>'Buy FG2 Reel'!AX13</f>
        <v>10</v>
      </c>
      <c r="J6" s="34" t="str">
        <f>'Buy FG2 Reel'!Q13</f>
        <v>CC</v>
      </c>
      <c r="K6" s="30">
        <f>'Buy FG2 Reel'!R13</f>
        <v>2</v>
      </c>
      <c r="L6" s="30">
        <f>'Buy FG2 Reel'!S13</f>
        <v>4</v>
      </c>
      <c r="M6" s="30">
        <f>'Buy FG2 Reel'!T13</f>
        <v>8</v>
      </c>
      <c r="N6" s="30">
        <f>'Buy FG2 Reel'!U13</f>
        <v>6</v>
      </c>
      <c r="O6" s="30">
        <f>'Buy FG2 Reel'!V13</f>
        <v>8</v>
      </c>
      <c r="P6" s="35">
        <f>'Buy FG2 Reel'!W13</f>
        <v>5</v>
      </c>
      <c r="R6" s="34" t="str">
        <f>'Buy FG2 Reel'!Q13</f>
        <v>CC</v>
      </c>
      <c r="S6" s="30">
        <f>'BG Calc'!S6</f>
        <v>40</v>
      </c>
      <c r="T6" s="30">
        <f>'BG Calc'!T6</f>
        <v>20</v>
      </c>
      <c r="U6" s="30">
        <f>'BG Calc'!U6</f>
        <v>15</v>
      </c>
      <c r="V6" s="35">
        <f>'BG Calc'!V6</f>
        <v>7</v>
      </c>
      <c r="AD6" s="36">
        <v>6</v>
      </c>
      <c r="AE6" s="38">
        <v>20</v>
      </c>
      <c r="AI6" s="34">
        <v>3</v>
      </c>
      <c r="AJ6" s="35">
        <v>10</v>
      </c>
      <c r="AL6" s="3" t="s">
        <v>112</v>
      </c>
      <c r="AM6" s="1">
        <v>1</v>
      </c>
      <c r="BB6" s="51"/>
      <c r="BE6" s="51"/>
    </row>
    <row r="7" spans="2:64">
      <c r="B7" s="34" t="str">
        <f>'Buy FG2 Reel'!AR14</f>
        <v>DD</v>
      </c>
      <c r="C7" s="30">
        <f>'Buy FG2 Reel'!AS14</f>
        <v>4</v>
      </c>
      <c r="D7" s="30">
        <f>'Buy FG2 Reel'!AT14</f>
        <v>8</v>
      </c>
      <c r="E7" s="30">
        <f>'Buy FG2 Reel'!AU14</f>
        <v>8</v>
      </c>
      <c r="F7" s="30">
        <f>'Buy FG2 Reel'!AV14</f>
        <v>20</v>
      </c>
      <c r="G7" s="30">
        <f>'Buy FG2 Reel'!AW14</f>
        <v>20</v>
      </c>
      <c r="H7" s="35">
        <f>'Buy FG2 Reel'!AX14</f>
        <v>14</v>
      </c>
      <c r="J7" s="34" t="str">
        <f>'Buy FG2 Reel'!Q14</f>
        <v>DD</v>
      </c>
      <c r="K7" s="30">
        <f>'Buy FG2 Reel'!R14</f>
        <v>2</v>
      </c>
      <c r="L7" s="30">
        <f>'Buy FG2 Reel'!S14</f>
        <v>4</v>
      </c>
      <c r="M7" s="30">
        <f>'Buy FG2 Reel'!T14</f>
        <v>4</v>
      </c>
      <c r="N7" s="30">
        <f>'Buy FG2 Reel'!U14</f>
        <v>10</v>
      </c>
      <c r="O7" s="30">
        <f>'Buy FG2 Reel'!V14</f>
        <v>10</v>
      </c>
      <c r="P7" s="35">
        <f>'Buy FG2 Reel'!W14</f>
        <v>7</v>
      </c>
      <c r="R7" s="34" t="str">
        <f>'Buy FG2 Reel'!Q14</f>
        <v>DD</v>
      </c>
      <c r="S7" s="30">
        <f>'BG Calc'!S7</f>
        <v>30</v>
      </c>
      <c r="T7" s="30">
        <f>'BG Calc'!T7</f>
        <v>15</v>
      </c>
      <c r="U7" s="30">
        <f>'BG Calc'!U7</f>
        <v>10</v>
      </c>
      <c r="V7" s="35">
        <f>'BG Calc'!V7</f>
        <v>4</v>
      </c>
      <c r="AI7" s="34"/>
      <c r="AJ7" s="35"/>
    </row>
    <row r="8" spans="2:64">
      <c r="B8" s="34" t="str">
        <f>'Buy FG2 Reel'!AR15</f>
        <v>EE</v>
      </c>
      <c r="C8" s="30">
        <f>'Buy FG2 Reel'!AS15</f>
        <v>6</v>
      </c>
      <c r="D8" s="30">
        <f>'Buy FG2 Reel'!AT15</f>
        <v>14</v>
      </c>
      <c r="E8" s="30">
        <f>'Buy FG2 Reel'!AU15</f>
        <v>16</v>
      </c>
      <c r="F8" s="30">
        <f>'Buy FG2 Reel'!AV15</f>
        <v>4</v>
      </c>
      <c r="G8" s="30">
        <f>'Buy FG2 Reel'!AW15</f>
        <v>2</v>
      </c>
      <c r="H8" s="35">
        <f>'Buy FG2 Reel'!AX15</f>
        <v>2</v>
      </c>
      <c r="J8" s="34" t="str">
        <f>'Buy FG2 Reel'!Q15</f>
        <v>EE</v>
      </c>
      <c r="K8" s="30">
        <f>'Buy FG2 Reel'!R15</f>
        <v>3</v>
      </c>
      <c r="L8" s="30">
        <f>'Buy FG2 Reel'!S15</f>
        <v>7</v>
      </c>
      <c r="M8" s="30">
        <f>'Buy FG2 Reel'!T15</f>
        <v>8</v>
      </c>
      <c r="N8" s="30">
        <f>'Buy FG2 Reel'!U15</f>
        <v>2</v>
      </c>
      <c r="O8" s="30">
        <f>'Buy FG2 Reel'!V15</f>
        <v>1</v>
      </c>
      <c r="P8" s="35">
        <f>'Buy FG2 Reel'!W15</f>
        <v>1</v>
      </c>
      <c r="R8" s="34" t="str">
        <f>'Buy FG2 Reel'!Q15</f>
        <v>EE</v>
      </c>
      <c r="S8" s="30">
        <f>'BG Calc'!S8</f>
        <v>30</v>
      </c>
      <c r="T8" s="30">
        <f>'BG Calc'!T8</f>
        <v>10</v>
      </c>
      <c r="U8" s="30">
        <f>'BG Calc'!U8</f>
        <v>8</v>
      </c>
      <c r="V8" s="35">
        <f>'BG Calc'!V8</f>
        <v>3</v>
      </c>
      <c r="AI8" s="34"/>
      <c r="AJ8" s="35"/>
      <c r="AL8" t="s">
        <v>143</v>
      </c>
    </row>
    <row r="9" spans="2:64">
      <c r="B9" s="34" t="str">
        <f>'Buy FG2 Reel'!AR16</f>
        <v>FF</v>
      </c>
      <c r="C9" s="30">
        <f>'Buy FG2 Reel'!AS16</f>
        <v>8</v>
      </c>
      <c r="D9" s="30">
        <f>'Buy FG2 Reel'!AT16</f>
        <v>10</v>
      </c>
      <c r="E9" s="30">
        <f>'Buy FG2 Reel'!AU16</f>
        <v>8</v>
      </c>
      <c r="F9" s="30">
        <f>'Buy FG2 Reel'!AV16</f>
        <v>18</v>
      </c>
      <c r="G9" s="30">
        <f>'Buy FG2 Reel'!AW16</f>
        <v>18</v>
      </c>
      <c r="H9" s="35">
        <f>'Buy FG2 Reel'!AX16</f>
        <v>8</v>
      </c>
      <c r="J9" s="34" t="str">
        <f>'Buy FG2 Reel'!Q16</f>
        <v>FF</v>
      </c>
      <c r="K9" s="30">
        <f>'Buy FG2 Reel'!R16</f>
        <v>4</v>
      </c>
      <c r="L9" s="30">
        <f>'Buy FG2 Reel'!S16</f>
        <v>5</v>
      </c>
      <c r="M9" s="30">
        <f>'Buy FG2 Reel'!T16</f>
        <v>4</v>
      </c>
      <c r="N9" s="30">
        <f>'Buy FG2 Reel'!U16</f>
        <v>9</v>
      </c>
      <c r="O9" s="30">
        <f>'Buy FG2 Reel'!V16</f>
        <v>9</v>
      </c>
      <c r="P9" s="35">
        <f>'Buy FG2 Reel'!W16</f>
        <v>4</v>
      </c>
      <c r="R9" s="34" t="str">
        <f>'Buy FG2 Reel'!Q16</f>
        <v>FF</v>
      </c>
      <c r="S9" s="30">
        <f>'BG Calc'!S9</f>
        <v>30</v>
      </c>
      <c r="T9" s="30">
        <f>'BG Calc'!T9</f>
        <v>10</v>
      </c>
      <c r="U9" s="30">
        <f>'BG Calc'!U9</f>
        <v>8</v>
      </c>
      <c r="V9" s="35">
        <f>'BG Calc'!V9</f>
        <v>3</v>
      </c>
      <c r="AI9" s="36"/>
      <c r="AJ9" s="38"/>
      <c r="AX9" t="s">
        <v>147</v>
      </c>
      <c r="AZ9" s="51"/>
      <c r="BA9" s="51" t="s">
        <v>126</v>
      </c>
      <c r="BB9" s="51" t="s">
        <v>126</v>
      </c>
      <c r="BC9" s="51"/>
      <c r="BD9" s="51" t="s">
        <v>126</v>
      </c>
      <c r="BE9" s="51"/>
      <c r="BG9" t="s">
        <v>148</v>
      </c>
    </row>
    <row r="10" spans="2:64">
      <c r="B10" s="34" t="str">
        <f>'Buy FG2 Reel'!AR17</f>
        <v>GG</v>
      </c>
      <c r="C10" s="30">
        <f>'Buy FG2 Reel'!AS17</f>
        <v>12</v>
      </c>
      <c r="D10" s="30">
        <f>'Buy FG2 Reel'!AT17</f>
        <v>26</v>
      </c>
      <c r="E10" s="30">
        <f>'Buy FG2 Reel'!AU17</f>
        <v>22</v>
      </c>
      <c r="F10" s="30">
        <f>'Buy FG2 Reel'!AV17</f>
        <v>24</v>
      </c>
      <c r="G10" s="30">
        <f>'Buy FG2 Reel'!AW17</f>
        <v>28</v>
      </c>
      <c r="H10" s="35">
        <f>'Buy FG2 Reel'!AX17</f>
        <v>10</v>
      </c>
      <c r="J10" s="34" t="str">
        <f>'Buy FG2 Reel'!Q17</f>
        <v>GG</v>
      </c>
      <c r="K10" s="30">
        <f>'Buy FG2 Reel'!R17</f>
        <v>6</v>
      </c>
      <c r="L10" s="30">
        <f>'Buy FG2 Reel'!S17</f>
        <v>13</v>
      </c>
      <c r="M10" s="30">
        <f>'Buy FG2 Reel'!T17</f>
        <v>11</v>
      </c>
      <c r="N10" s="30">
        <f>'Buy FG2 Reel'!U17</f>
        <v>12</v>
      </c>
      <c r="O10" s="30">
        <f>'Buy FG2 Reel'!V17</f>
        <v>14</v>
      </c>
      <c r="P10" s="35">
        <f>'Buy FG2 Reel'!W17</f>
        <v>5</v>
      </c>
      <c r="R10" s="34" t="str">
        <f>'Buy FG2 Reel'!Q17</f>
        <v>GG</v>
      </c>
      <c r="S10" s="30">
        <f>'BG Calc'!S10</f>
        <v>20</v>
      </c>
      <c r="T10" s="30">
        <f>'BG Calc'!T10</f>
        <v>6</v>
      </c>
      <c r="U10" s="30">
        <f>'BG Calc'!U10</f>
        <v>4</v>
      </c>
      <c r="V10" s="35">
        <f>'BG Calc'!V10</f>
        <v>2</v>
      </c>
      <c r="AZ10" s="51"/>
      <c r="BA10" s="51"/>
      <c r="BB10" s="51"/>
      <c r="BC10" s="51"/>
      <c r="BD10" s="51"/>
      <c r="BE10" s="51"/>
    </row>
    <row r="11" spans="2:64">
      <c r="B11" s="34" t="str">
        <f>'Buy FG2 Reel'!AR18</f>
        <v>HH</v>
      </c>
      <c r="C11" s="30">
        <f>'Buy FG2 Reel'!AS18</f>
        <v>12</v>
      </c>
      <c r="D11" s="30">
        <f>'Buy FG2 Reel'!AT18</f>
        <v>14</v>
      </c>
      <c r="E11" s="30">
        <f>'Buy FG2 Reel'!AU18</f>
        <v>6</v>
      </c>
      <c r="F11" s="30">
        <f>'Buy FG2 Reel'!AV18</f>
        <v>2</v>
      </c>
      <c r="G11" s="30">
        <f>'Buy FG2 Reel'!AW18</f>
        <v>2</v>
      </c>
      <c r="H11" s="35">
        <f>'Buy FG2 Reel'!AX18</f>
        <v>2</v>
      </c>
      <c r="J11" s="34" t="str">
        <f>'Buy FG2 Reel'!Q18</f>
        <v>HH</v>
      </c>
      <c r="K11" s="30">
        <f>'Buy FG2 Reel'!R18</f>
        <v>6</v>
      </c>
      <c r="L11" s="30">
        <f>'Buy FG2 Reel'!S18</f>
        <v>7</v>
      </c>
      <c r="M11" s="30">
        <f>'Buy FG2 Reel'!T18</f>
        <v>3</v>
      </c>
      <c r="N11" s="30">
        <f>'Buy FG2 Reel'!U18</f>
        <v>1</v>
      </c>
      <c r="O11" s="30">
        <f>'Buy FG2 Reel'!V18</f>
        <v>1</v>
      </c>
      <c r="P11" s="35">
        <f>'Buy FG2 Reel'!W18</f>
        <v>1</v>
      </c>
      <c r="R11" s="34" t="str">
        <f>'Buy FG2 Reel'!Q18</f>
        <v>HH</v>
      </c>
      <c r="S11" s="30">
        <f>'BG Calc'!S11</f>
        <v>20</v>
      </c>
      <c r="T11" s="30">
        <f>'BG Calc'!T11</f>
        <v>6</v>
      </c>
      <c r="U11" s="30">
        <f>'BG Calc'!U11</f>
        <v>4</v>
      </c>
      <c r="V11" s="35">
        <f>'BG Calc'!V11</f>
        <v>2</v>
      </c>
      <c r="AZ11" s="51"/>
      <c r="BA11" s="51"/>
      <c r="BB11" s="51" t="s">
        <v>126</v>
      </c>
      <c r="BC11" s="51"/>
      <c r="BD11" s="51" t="s">
        <v>126</v>
      </c>
    </row>
    <row r="12" spans="2:64">
      <c r="B12" s="34" t="str">
        <f>'Buy FG2 Reel'!AR19</f>
        <v>JJ</v>
      </c>
      <c r="C12" s="30">
        <f>'Buy FG2 Reel'!AS19</f>
        <v>12</v>
      </c>
      <c r="D12" s="30">
        <f>'Buy FG2 Reel'!AT19</f>
        <v>18</v>
      </c>
      <c r="E12" s="30">
        <f>'Buy FG2 Reel'!AU19</f>
        <v>24</v>
      </c>
      <c r="F12" s="30">
        <f>'Buy FG2 Reel'!AV19</f>
        <v>10</v>
      </c>
      <c r="G12" s="30">
        <f>'Buy FG2 Reel'!AW19</f>
        <v>18</v>
      </c>
      <c r="H12" s="35">
        <f>'Buy FG2 Reel'!AX19</f>
        <v>10</v>
      </c>
      <c r="J12" s="34" t="str">
        <f>'Buy FG2 Reel'!Q19</f>
        <v>JJ</v>
      </c>
      <c r="K12" s="30">
        <f>'Buy FG2 Reel'!R19</f>
        <v>6</v>
      </c>
      <c r="L12" s="30">
        <f>'Buy FG2 Reel'!S19</f>
        <v>9</v>
      </c>
      <c r="M12" s="30">
        <f>'Buy FG2 Reel'!T19</f>
        <v>12</v>
      </c>
      <c r="N12" s="30">
        <f>'Buy FG2 Reel'!U19</f>
        <v>5</v>
      </c>
      <c r="O12" s="30">
        <f>'Buy FG2 Reel'!V19</f>
        <v>9</v>
      </c>
      <c r="P12" s="35">
        <f>'Buy FG2 Reel'!W19</f>
        <v>5</v>
      </c>
      <c r="R12" s="34" t="str">
        <f>'Buy FG2 Reel'!Q19</f>
        <v>JJ</v>
      </c>
      <c r="S12" s="30">
        <f>'BG Calc'!S12</f>
        <v>20</v>
      </c>
      <c r="T12" s="30">
        <f>'BG Calc'!T12</f>
        <v>6</v>
      </c>
      <c r="U12" s="30">
        <f>'BG Calc'!U12</f>
        <v>4</v>
      </c>
      <c r="V12" s="35">
        <f>'BG Calc'!V12</f>
        <v>2</v>
      </c>
      <c r="AZ12" s="51"/>
      <c r="BA12" s="51"/>
      <c r="BC12" s="51"/>
    </row>
    <row r="13" spans="2:64">
      <c r="B13" s="34" t="str">
        <f>'Buy FG2 Reel'!AR20</f>
        <v>KK</v>
      </c>
      <c r="C13" s="30">
        <f>'Buy FG2 Reel'!AS20</f>
        <v>10</v>
      </c>
      <c r="D13" s="30">
        <f>'Buy FG2 Reel'!AT20</f>
        <v>14</v>
      </c>
      <c r="E13" s="30">
        <f>'Buy FG2 Reel'!AU20</f>
        <v>24</v>
      </c>
      <c r="F13" s="30">
        <f>'Buy FG2 Reel'!AV20</f>
        <v>8</v>
      </c>
      <c r="G13" s="30">
        <f>'Buy FG2 Reel'!AW20</f>
        <v>24</v>
      </c>
      <c r="H13" s="35">
        <f>'Buy FG2 Reel'!AX20</f>
        <v>8</v>
      </c>
      <c r="J13" s="34" t="str">
        <f>'Buy FG2 Reel'!Q20</f>
        <v>KK</v>
      </c>
      <c r="K13" s="30">
        <f>'Buy FG2 Reel'!R20</f>
        <v>5</v>
      </c>
      <c r="L13" s="30">
        <f>'Buy FG2 Reel'!S20</f>
        <v>7</v>
      </c>
      <c r="M13" s="30">
        <f>'Buy FG2 Reel'!T20</f>
        <v>12</v>
      </c>
      <c r="N13" s="30">
        <f>'Buy FG2 Reel'!U20</f>
        <v>4</v>
      </c>
      <c r="O13" s="30">
        <f>'Buy FG2 Reel'!V20</f>
        <v>12</v>
      </c>
      <c r="P13" s="35">
        <f>'Buy FG2 Reel'!W20</f>
        <v>4</v>
      </c>
      <c r="R13" s="34" t="str">
        <f>'Buy FG2 Reel'!Q20</f>
        <v>KK</v>
      </c>
      <c r="S13" s="30">
        <f>'BG Calc'!S13</f>
        <v>10</v>
      </c>
      <c r="T13" s="30">
        <f>'BG Calc'!T13</f>
        <v>4</v>
      </c>
      <c r="U13" s="30">
        <f>'BG Calc'!U13</f>
        <v>2</v>
      </c>
      <c r="V13" s="35">
        <f>'BG Calc'!V13</f>
        <v>1</v>
      </c>
      <c r="BA13" s="51"/>
      <c r="BC13" s="51"/>
    </row>
    <row r="14" spans="2:64">
      <c r="B14" s="34" t="str">
        <f>'Buy FG2 Reel'!AR21</f>
        <v>LL</v>
      </c>
      <c r="C14" s="30">
        <f>'Buy FG2 Reel'!AS21</f>
        <v>8</v>
      </c>
      <c r="D14" s="30">
        <f>'Buy FG2 Reel'!AT21</f>
        <v>18</v>
      </c>
      <c r="E14" s="30">
        <f>'Buy FG2 Reel'!AU21</f>
        <v>18</v>
      </c>
      <c r="F14" s="30">
        <f>'Buy FG2 Reel'!AV21</f>
        <v>12</v>
      </c>
      <c r="G14" s="30">
        <f>'Buy FG2 Reel'!AW21</f>
        <v>8</v>
      </c>
      <c r="H14" s="35">
        <f>'Buy FG2 Reel'!AX21</f>
        <v>12</v>
      </c>
      <c r="J14" s="34" t="str">
        <f>'Buy FG2 Reel'!Q21</f>
        <v>LL</v>
      </c>
      <c r="K14" s="30">
        <f>'Buy FG2 Reel'!R21</f>
        <v>4</v>
      </c>
      <c r="L14" s="30">
        <f>'Buy FG2 Reel'!S21</f>
        <v>9</v>
      </c>
      <c r="M14" s="30">
        <f>'Buy FG2 Reel'!T21</f>
        <v>9</v>
      </c>
      <c r="N14" s="30">
        <f>'Buy FG2 Reel'!U21</f>
        <v>6</v>
      </c>
      <c r="O14" s="30">
        <f>'Buy FG2 Reel'!V21</f>
        <v>4</v>
      </c>
      <c r="P14" s="35">
        <f>'Buy FG2 Reel'!W21</f>
        <v>6</v>
      </c>
      <c r="R14" s="34" t="str">
        <f>'Buy FG2 Reel'!Q21</f>
        <v>LL</v>
      </c>
      <c r="S14" s="30">
        <f>'BG Calc'!S14</f>
        <v>10</v>
      </c>
      <c r="T14" s="30">
        <f>'BG Calc'!T14</f>
        <v>4</v>
      </c>
      <c r="U14" s="30">
        <f>'BG Calc'!U14</f>
        <v>2</v>
      </c>
      <c r="V14" s="35">
        <f>'BG Calc'!V14</f>
        <v>1</v>
      </c>
    </row>
    <row r="15" spans="2:64">
      <c r="B15" s="34" t="str">
        <f>'Buy FG2 Reel'!AR22</f>
        <v>BN</v>
      </c>
      <c r="C15" s="30">
        <f>'Buy FG2 Reel'!AS22</f>
        <v>0</v>
      </c>
      <c r="D15" s="30">
        <f>'Buy FG2 Reel'!AT22</f>
        <v>0</v>
      </c>
      <c r="E15" s="30">
        <f>'Buy FG2 Reel'!AU22</f>
        <v>0</v>
      </c>
      <c r="F15" s="30">
        <f>'Buy FG2 Reel'!AV22</f>
        <v>0</v>
      </c>
      <c r="G15" s="30">
        <f>'Buy FG2 Reel'!AW22</f>
        <v>0</v>
      </c>
      <c r="H15" s="35">
        <f>'Buy FG2 Reel'!AX22</f>
        <v>0</v>
      </c>
      <c r="J15" s="34" t="str">
        <f>'Buy FG2 Reel'!Q22</f>
        <v>BN</v>
      </c>
      <c r="K15" s="30">
        <f>'Buy FG2 Reel'!R22</f>
        <v>0</v>
      </c>
      <c r="L15" s="30">
        <f>'Buy FG2 Reel'!S22</f>
        <v>0</v>
      </c>
      <c r="M15" s="30">
        <f>'Buy FG2 Reel'!T22</f>
        <v>0</v>
      </c>
      <c r="N15" s="30">
        <f>'Buy FG2 Reel'!U22</f>
        <v>0</v>
      </c>
      <c r="O15" s="30">
        <f>'Buy FG2 Reel'!V22</f>
        <v>0</v>
      </c>
      <c r="P15" s="35">
        <f>'Buy FG2 Reel'!W22</f>
        <v>0</v>
      </c>
      <c r="R15" s="36" t="str">
        <f>'Buy FG2 Reel'!Q22</f>
        <v>BN</v>
      </c>
      <c r="S15" s="37">
        <f>'BG Calc'!S15</f>
        <v>0</v>
      </c>
      <c r="T15" s="37">
        <f>'BG Calc'!T15</f>
        <v>0</v>
      </c>
      <c r="U15" s="37">
        <f>'BG Calc'!U15</f>
        <v>0</v>
      </c>
      <c r="V15" s="38">
        <f>'BG Calc'!V15</f>
        <v>0</v>
      </c>
      <c r="AX15" t="s">
        <v>149</v>
      </c>
      <c r="AZ15" s="51"/>
      <c r="BA15" s="51"/>
      <c r="BB15" s="51" t="s">
        <v>126</v>
      </c>
      <c r="BC15" s="51"/>
      <c r="BD15" s="51"/>
      <c r="BE15" s="51"/>
      <c r="BG15" s="51"/>
      <c r="BH15" s="51"/>
      <c r="BI15" s="51" t="s">
        <v>126</v>
      </c>
      <c r="BJ15" s="51"/>
      <c r="BK15" s="51"/>
      <c r="BL15" s="51"/>
    </row>
    <row r="16" spans="2:64">
      <c r="B16" s="34" t="str">
        <f>'Buy FG2 Reel'!AR23</f>
        <v>WC-0</v>
      </c>
      <c r="C16" s="30">
        <f>'Buy FG2 Reel'!AS23</f>
        <v>40</v>
      </c>
      <c r="D16" s="30">
        <f>'Buy FG2 Reel'!AT23</f>
        <v>73</v>
      </c>
      <c r="E16" s="30">
        <f>'Buy FG2 Reel'!AU23</f>
        <v>84</v>
      </c>
      <c r="F16" s="30">
        <f>'Buy FG2 Reel'!AV23</f>
        <v>67</v>
      </c>
      <c r="G16" s="30">
        <f>'Buy FG2 Reel'!AW23</f>
        <v>91</v>
      </c>
      <c r="H16" s="35">
        <f>'Buy FG2 Reel'!AX23</f>
        <v>50</v>
      </c>
      <c r="J16" s="48" t="s">
        <v>14</v>
      </c>
      <c r="K16" s="28">
        <f>SUM(K3:K15)</f>
        <v>40</v>
      </c>
      <c r="L16" s="28">
        <f t="shared" ref="L16:P16" si="0">SUM(L3:L15)</f>
        <v>73</v>
      </c>
      <c r="M16" s="28">
        <f t="shared" si="0"/>
        <v>84</v>
      </c>
      <c r="N16" s="28">
        <f t="shared" si="0"/>
        <v>67</v>
      </c>
      <c r="O16" s="28">
        <f t="shared" si="0"/>
        <v>91</v>
      </c>
      <c r="P16" s="27">
        <f t="shared" si="0"/>
        <v>50</v>
      </c>
      <c r="AZ16" s="51"/>
      <c r="BA16" s="51"/>
      <c r="BB16" s="51" t="s">
        <v>126</v>
      </c>
      <c r="BC16" s="51"/>
      <c r="BD16" s="51"/>
      <c r="BE16" s="51"/>
      <c r="BG16" s="51"/>
      <c r="BH16" s="51"/>
      <c r="BI16" s="51" t="s">
        <v>126</v>
      </c>
      <c r="BJ16" s="51"/>
      <c r="BK16" s="51"/>
      <c r="BL16" s="51"/>
    </row>
    <row r="17" spans="2:64">
      <c r="B17" s="34" t="str">
        <f>'Buy FG2 Reel'!AR24</f>
        <v>AA-0</v>
      </c>
      <c r="C17" s="30">
        <f>'Buy FG2 Reel'!AS24</f>
        <v>38</v>
      </c>
      <c r="D17" s="30">
        <f>'Buy FG2 Reel'!AT24</f>
        <v>65</v>
      </c>
      <c r="E17" s="30">
        <f>'Buy FG2 Reel'!AU24</f>
        <v>76</v>
      </c>
      <c r="F17" s="30">
        <f>'Buy FG2 Reel'!AV24</f>
        <v>60</v>
      </c>
      <c r="G17" s="30">
        <f>'Buy FG2 Reel'!AW24</f>
        <v>67</v>
      </c>
      <c r="H17" s="35">
        <f>'Buy FG2 Reel'!AX24</f>
        <v>38</v>
      </c>
      <c r="J17" s="36" t="s">
        <v>96</v>
      </c>
      <c r="K17" s="79">
        <f>PRODUCT(K16:P16)</f>
        <v>74773608000</v>
      </c>
      <c r="L17" s="79"/>
      <c r="M17" s="79"/>
      <c r="N17" s="79"/>
      <c r="O17" s="79"/>
      <c r="P17" s="80"/>
      <c r="AZ17" s="51"/>
      <c r="BA17" s="51"/>
      <c r="BC17" s="51"/>
      <c r="BD17" s="51"/>
      <c r="BG17" s="51"/>
      <c r="BH17" s="51"/>
      <c r="BI17" s="51" t="s">
        <v>126</v>
      </c>
      <c r="BJ17" s="51"/>
      <c r="BK17" s="51"/>
    </row>
    <row r="18" spans="2:64">
      <c r="B18" s="34" t="str">
        <f>'Buy FG2 Reel'!AR25</f>
        <v>BB-0</v>
      </c>
      <c r="C18" s="30">
        <f>'Buy FG2 Reel'!AS25</f>
        <v>38</v>
      </c>
      <c r="D18" s="30">
        <f>'Buy FG2 Reel'!AT25</f>
        <v>65</v>
      </c>
      <c r="E18" s="30">
        <f>'Buy FG2 Reel'!AU25</f>
        <v>68</v>
      </c>
      <c r="F18" s="30">
        <f>'Buy FG2 Reel'!AV25</f>
        <v>55</v>
      </c>
      <c r="G18" s="30">
        <f>'Buy FG2 Reel'!AW25</f>
        <v>73</v>
      </c>
      <c r="H18" s="35">
        <f>'Buy FG2 Reel'!AX25</f>
        <v>42</v>
      </c>
      <c r="Z18" t="s">
        <v>150</v>
      </c>
      <c r="AC18" t="s">
        <v>151</v>
      </c>
      <c r="AF18" t="s">
        <v>152</v>
      </c>
      <c r="AI18" t="s">
        <v>153</v>
      </c>
      <c r="AL18" t="s">
        <v>154</v>
      </c>
      <c r="AZ18" s="51"/>
      <c r="BA18" s="51"/>
      <c r="BC18" s="51"/>
      <c r="BG18" s="51"/>
      <c r="BH18" s="51"/>
      <c r="BI18" s="51"/>
      <c r="BJ18" s="51"/>
    </row>
    <row r="19" spans="2:64">
      <c r="B19" s="34" t="str">
        <f>'Buy FG2 Reel'!AR26</f>
        <v>CC-0</v>
      </c>
      <c r="C19" s="30">
        <f>'Buy FG2 Reel'!AS26</f>
        <v>36</v>
      </c>
      <c r="D19" s="30">
        <f>'Buy FG2 Reel'!AT26</f>
        <v>67</v>
      </c>
      <c r="E19" s="30">
        <f>'Buy FG2 Reel'!AU26</f>
        <v>70</v>
      </c>
      <c r="F19" s="30">
        <f>'Buy FG2 Reel'!AV26</f>
        <v>57</v>
      </c>
      <c r="G19" s="30">
        <f>'Buy FG2 Reel'!AW26</f>
        <v>77</v>
      </c>
      <c r="H19" s="35">
        <f>'Buy FG2 Reel'!AX26</f>
        <v>43</v>
      </c>
      <c r="J19" s="8" t="s">
        <v>102</v>
      </c>
      <c r="K19" s="6">
        <v>20</v>
      </c>
      <c r="Z19" s="29" t="s">
        <v>114</v>
      </c>
      <c r="AA19" s="27" t="s">
        <v>85</v>
      </c>
      <c r="AC19" s="29" t="s">
        <v>114</v>
      </c>
      <c r="AD19" s="27" t="s">
        <v>85</v>
      </c>
      <c r="AF19" s="29" t="s">
        <v>114</v>
      </c>
      <c r="AG19" s="27" t="s">
        <v>85</v>
      </c>
      <c r="AI19" s="29" t="s">
        <v>114</v>
      </c>
      <c r="AJ19" s="27" t="s">
        <v>85</v>
      </c>
      <c r="AL19" s="29" t="s">
        <v>114</v>
      </c>
      <c r="AM19" s="27" t="s">
        <v>85</v>
      </c>
      <c r="BA19" s="51"/>
      <c r="BC19" s="51"/>
      <c r="BH19" s="51"/>
      <c r="BI19" s="51"/>
      <c r="BJ19" s="51"/>
    </row>
    <row r="20" spans="2:64">
      <c r="B20" s="34" t="str">
        <f>'Buy FG2 Reel'!AR27</f>
        <v>DD-0</v>
      </c>
      <c r="C20" s="30">
        <f>'Buy FG2 Reel'!AS27</f>
        <v>36</v>
      </c>
      <c r="D20" s="30">
        <f>'Buy FG2 Reel'!AT27</f>
        <v>65</v>
      </c>
      <c r="E20" s="30">
        <f>'Buy FG2 Reel'!AU27</f>
        <v>76</v>
      </c>
      <c r="F20" s="30">
        <f>'Buy FG2 Reel'!AV27</f>
        <v>49</v>
      </c>
      <c r="G20" s="30">
        <f>'Buy FG2 Reel'!AW27</f>
        <v>73</v>
      </c>
      <c r="H20" s="35">
        <f>'Buy FG2 Reel'!AX27</f>
        <v>38</v>
      </c>
      <c r="J20" s="5" t="s">
        <v>6</v>
      </c>
      <c r="K20" s="14">
        <f>R86/(K19*K17)</f>
        <v>3.279462424228613E-2</v>
      </c>
      <c r="Z20" s="34">
        <v>2</v>
      </c>
      <c r="AA20" s="35">
        <v>200</v>
      </c>
      <c r="AC20" s="34">
        <v>2</v>
      </c>
      <c r="AD20" s="35">
        <v>0</v>
      </c>
      <c r="AF20" s="34">
        <v>2</v>
      </c>
      <c r="AG20" s="35">
        <v>0</v>
      </c>
      <c r="AI20" s="34">
        <v>2</v>
      </c>
      <c r="AJ20" s="35">
        <v>0</v>
      </c>
      <c r="AL20" s="34">
        <v>2</v>
      </c>
      <c r="AM20" s="35">
        <v>0</v>
      </c>
    </row>
    <row r="21" spans="2:64">
      <c r="B21" s="34" t="str">
        <f>'Buy FG2 Reel'!AR28</f>
        <v>EE-0</v>
      </c>
      <c r="C21" s="30">
        <f>'Buy FG2 Reel'!AS28</f>
        <v>35</v>
      </c>
      <c r="D21" s="30">
        <f>'Buy FG2 Reel'!AT28</f>
        <v>61</v>
      </c>
      <c r="E21" s="30">
        <f>'Buy FG2 Reel'!AU28</f>
        <v>70</v>
      </c>
      <c r="F21" s="30">
        <f>'Buy FG2 Reel'!AV28</f>
        <v>63</v>
      </c>
      <c r="G21" s="30">
        <f>'Buy FG2 Reel'!AW28</f>
        <v>89</v>
      </c>
      <c r="H21" s="35">
        <f>'Buy FG2 Reel'!AX28</f>
        <v>48</v>
      </c>
      <c r="J21" s="3" t="s">
        <v>106</v>
      </c>
      <c r="K21" s="13" t="e">
        <f>K17/SUM(N88:N132)</f>
        <v>#DIV/0!</v>
      </c>
      <c r="Z21" s="34">
        <v>3</v>
      </c>
      <c r="AA21" s="35">
        <v>50</v>
      </c>
      <c r="AC21" s="34">
        <v>3</v>
      </c>
      <c r="AD21" s="35">
        <v>200</v>
      </c>
      <c r="AF21" s="34">
        <v>3</v>
      </c>
      <c r="AG21" s="35">
        <v>0</v>
      </c>
      <c r="AI21" s="34">
        <v>3</v>
      </c>
      <c r="AJ21" s="35">
        <v>0</v>
      </c>
      <c r="AL21" s="34">
        <v>3</v>
      </c>
      <c r="AM21" s="35">
        <v>0</v>
      </c>
      <c r="AP21">
        <v>0</v>
      </c>
      <c r="AQ21">
        <f>AP21+1</f>
        <v>1</v>
      </c>
      <c r="AR21">
        <f t="shared" ref="AR21:AU21" si="1">AQ21+1</f>
        <v>2</v>
      </c>
      <c r="AS21">
        <f t="shared" si="1"/>
        <v>3</v>
      </c>
      <c r="AT21">
        <f t="shared" si="1"/>
        <v>4</v>
      </c>
      <c r="AU21">
        <f t="shared" si="1"/>
        <v>5</v>
      </c>
      <c r="AX21" t="s">
        <v>155</v>
      </c>
      <c r="AZ21" s="51"/>
      <c r="BA21" s="51"/>
      <c r="BB21" s="51" t="s">
        <v>126</v>
      </c>
      <c r="BC21" s="51"/>
      <c r="BD21" s="51"/>
      <c r="BE21" s="51"/>
      <c r="BG21" s="51"/>
      <c r="BH21" s="51"/>
      <c r="BI21" s="51" t="s">
        <v>126</v>
      </c>
      <c r="BJ21" s="51"/>
      <c r="BK21" s="51"/>
      <c r="BL21" s="51"/>
    </row>
    <row r="22" spans="2:64">
      <c r="B22" s="34" t="str">
        <f>'Buy FG2 Reel'!AR29</f>
        <v>FF-0</v>
      </c>
      <c r="C22" s="30">
        <f>'Buy FG2 Reel'!AS29</f>
        <v>34</v>
      </c>
      <c r="D22" s="30">
        <f>'Buy FG2 Reel'!AT29</f>
        <v>65</v>
      </c>
      <c r="E22" s="30">
        <f>'Buy FG2 Reel'!AU29</f>
        <v>78</v>
      </c>
      <c r="F22" s="30">
        <f>'Buy FG2 Reel'!AV29</f>
        <v>52</v>
      </c>
      <c r="G22" s="30">
        <f>'Buy FG2 Reel'!AW29</f>
        <v>75</v>
      </c>
      <c r="H22" s="35">
        <f>'Buy FG2 Reel'!AX29</f>
        <v>44</v>
      </c>
      <c r="M22" s="12"/>
      <c r="Z22" s="34">
        <v>4</v>
      </c>
      <c r="AA22" s="35">
        <v>20</v>
      </c>
      <c r="AC22" s="34">
        <v>4</v>
      </c>
      <c r="AD22" s="35">
        <v>30</v>
      </c>
      <c r="AF22" s="34">
        <v>4</v>
      </c>
      <c r="AG22" s="35">
        <v>100</v>
      </c>
      <c r="AI22" s="34">
        <v>4</v>
      </c>
      <c r="AJ22" s="35">
        <v>0</v>
      </c>
      <c r="AL22" s="34">
        <v>4</v>
      </c>
      <c r="AM22" s="35">
        <v>0</v>
      </c>
      <c r="AP22">
        <f>AP21+6</f>
        <v>6</v>
      </c>
      <c r="AQ22">
        <f t="shared" ref="AQ22:AU22" si="2">AQ21+6</f>
        <v>7</v>
      </c>
      <c r="AR22">
        <f t="shared" si="2"/>
        <v>8</v>
      </c>
      <c r="AS22">
        <f t="shared" si="2"/>
        <v>9</v>
      </c>
      <c r="AT22">
        <f t="shared" si="2"/>
        <v>10</v>
      </c>
      <c r="AU22">
        <f t="shared" si="2"/>
        <v>11</v>
      </c>
      <c r="AZ22" s="51"/>
      <c r="BA22" s="51"/>
      <c r="BB22" s="51" t="s">
        <v>126</v>
      </c>
      <c r="BC22" s="51"/>
      <c r="BD22" s="51"/>
      <c r="BE22" s="51"/>
      <c r="BG22" s="51"/>
      <c r="BH22" s="51"/>
      <c r="BI22" s="51" t="s">
        <v>126</v>
      </c>
      <c r="BJ22" s="51"/>
      <c r="BK22" s="51"/>
      <c r="BL22" s="51"/>
    </row>
    <row r="23" spans="2:64">
      <c r="B23" s="34" t="str">
        <f>'Buy FG2 Reel'!AR30</f>
        <v>GG-0</v>
      </c>
      <c r="C23" s="30">
        <f>'Buy FG2 Reel'!AS30</f>
        <v>30</v>
      </c>
      <c r="D23" s="30">
        <f>'Buy FG2 Reel'!AT30</f>
        <v>49</v>
      </c>
      <c r="E23" s="30">
        <f>'Buy FG2 Reel'!AU30</f>
        <v>64</v>
      </c>
      <c r="F23" s="30">
        <f>'Buy FG2 Reel'!AV30</f>
        <v>45</v>
      </c>
      <c r="G23" s="30">
        <f>'Buy FG2 Reel'!AW30</f>
        <v>66</v>
      </c>
      <c r="H23" s="35">
        <f>'Buy FG2 Reel'!AX30</f>
        <v>42</v>
      </c>
      <c r="J23" s="11" t="s">
        <v>107</v>
      </c>
      <c r="K23" s="49">
        <v>222222</v>
      </c>
      <c r="Z23" s="34">
        <v>5</v>
      </c>
      <c r="AA23" s="35">
        <v>10</v>
      </c>
      <c r="AC23" s="34">
        <v>5</v>
      </c>
      <c r="AD23" s="35">
        <v>10</v>
      </c>
      <c r="AF23" s="34">
        <v>5</v>
      </c>
      <c r="AG23" s="35">
        <v>10</v>
      </c>
      <c r="AI23" s="34">
        <v>5</v>
      </c>
      <c r="AJ23" s="35">
        <v>50</v>
      </c>
      <c r="AL23" s="34">
        <v>5</v>
      </c>
      <c r="AM23" s="35">
        <v>0</v>
      </c>
      <c r="AP23">
        <f t="shared" ref="AP23:AP27" si="3">AP22+6</f>
        <v>12</v>
      </c>
      <c r="AQ23">
        <f t="shared" ref="AQ23:AQ27" si="4">AQ22+6</f>
        <v>13</v>
      </c>
      <c r="AR23">
        <f t="shared" ref="AR23:AR27" si="5">AR22+6</f>
        <v>14</v>
      </c>
      <c r="AS23">
        <f t="shared" ref="AS23:AS27" si="6">AS22+6</f>
        <v>15</v>
      </c>
      <c r="AT23">
        <f t="shared" ref="AT23:AT27" si="7">AT22+6</f>
        <v>16</v>
      </c>
      <c r="AU23">
        <f t="shared" ref="AU23:AU27" si="8">AU22+6</f>
        <v>17</v>
      </c>
      <c r="AZ23" s="51"/>
      <c r="BA23" s="51"/>
      <c r="BB23" s="51"/>
      <c r="BC23" s="51"/>
      <c r="BD23" s="51"/>
      <c r="BG23" s="51"/>
      <c r="BH23" s="51"/>
      <c r="BJ23" s="51"/>
      <c r="BK23" s="51"/>
    </row>
    <row r="24" spans="2:64">
      <c r="B24" s="34" t="str">
        <f>'Buy FG2 Reel'!AR31</f>
        <v>HH-0</v>
      </c>
      <c r="C24" s="30">
        <f>'Buy FG2 Reel'!AS31</f>
        <v>30</v>
      </c>
      <c r="D24" s="30">
        <f>'Buy FG2 Reel'!AT31</f>
        <v>62</v>
      </c>
      <c r="E24" s="30">
        <f>'Buy FG2 Reel'!AU31</f>
        <v>78</v>
      </c>
      <c r="F24" s="30">
        <f>'Buy FG2 Reel'!AV31</f>
        <v>65</v>
      </c>
      <c r="G24" s="30">
        <f>'Buy FG2 Reel'!AW31</f>
        <v>89</v>
      </c>
      <c r="H24" s="35">
        <f>'Buy FG2 Reel'!AX31</f>
        <v>48</v>
      </c>
      <c r="Z24" s="34">
        <v>6</v>
      </c>
      <c r="AA24" s="35">
        <v>5</v>
      </c>
      <c r="AC24" s="34">
        <v>6</v>
      </c>
      <c r="AD24" s="35">
        <v>5</v>
      </c>
      <c r="AF24" s="34">
        <v>6</v>
      </c>
      <c r="AG24" s="35">
        <v>5</v>
      </c>
      <c r="AI24" s="34">
        <v>6</v>
      </c>
      <c r="AJ24" s="35">
        <v>5</v>
      </c>
      <c r="AL24" s="34">
        <v>6</v>
      </c>
      <c r="AM24" s="35">
        <v>10</v>
      </c>
      <c r="AP24">
        <f t="shared" si="3"/>
        <v>18</v>
      </c>
      <c r="AQ24">
        <f t="shared" si="4"/>
        <v>19</v>
      </c>
      <c r="AR24">
        <f t="shared" si="5"/>
        <v>20</v>
      </c>
      <c r="AS24">
        <f t="shared" si="6"/>
        <v>21</v>
      </c>
      <c r="AT24">
        <f t="shared" si="7"/>
        <v>22</v>
      </c>
      <c r="AU24">
        <f t="shared" si="8"/>
        <v>23</v>
      </c>
      <c r="AZ24" s="51"/>
      <c r="BA24" s="51"/>
      <c r="BB24" s="51"/>
      <c r="BC24" s="51"/>
      <c r="BG24" s="51"/>
      <c r="BH24" s="51"/>
      <c r="BJ24" s="51"/>
    </row>
    <row r="25" spans="2:64">
      <c r="B25" s="34" t="str">
        <f>'Buy FG2 Reel'!AR32</f>
        <v>JJ-0</v>
      </c>
      <c r="C25" s="30">
        <f>'Buy FG2 Reel'!AS32</f>
        <v>30</v>
      </c>
      <c r="D25" s="30">
        <f>'Buy FG2 Reel'!AT32</f>
        <v>60</v>
      </c>
      <c r="E25" s="30">
        <f>'Buy FG2 Reel'!AU32</f>
        <v>64</v>
      </c>
      <c r="F25" s="30">
        <f>'Buy FG2 Reel'!AV32</f>
        <v>59</v>
      </c>
      <c r="G25" s="30">
        <f>'Buy FG2 Reel'!AW32</f>
        <v>75</v>
      </c>
      <c r="H25" s="35">
        <f>'Buy FG2 Reel'!AX32</f>
        <v>42</v>
      </c>
      <c r="J25" s="11"/>
      <c r="K25" s="28" t="s">
        <v>108</v>
      </c>
      <c r="L25" s="28" t="s">
        <v>109</v>
      </c>
      <c r="M25" s="28" t="s">
        <v>110</v>
      </c>
      <c r="N25" s="28" t="s">
        <v>111</v>
      </c>
      <c r="O25" s="28" t="s">
        <v>112</v>
      </c>
      <c r="P25" s="27" t="s">
        <v>113</v>
      </c>
      <c r="Z25" s="36">
        <v>7</v>
      </c>
      <c r="AA25" s="38">
        <v>1</v>
      </c>
      <c r="AC25" s="36">
        <v>7</v>
      </c>
      <c r="AD25" s="38">
        <v>1</v>
      </c>
      <c r="AF25" s="36">
        <v>7</v>
      </c>
      <c r="AG25" s="38">
        <v>1</v>
      </c>
      <c r="AI25" s="36">
        <v>7</v>
      </c>
      <c r="AJ25" s="38">
        <v>1</v>
      </c>
      <c r="AL25" s="36">
        <v>7</v>
      </c>
      <c r="AM25" s="38">
        <v>1</v>
      </c>
      <c r="AP25">
        <f t="shared" si="3"/>
        <v>24</v>
      </c>
      <c r="AQ25">
        <f t="shared" si="4"/>
        <v>25</v>
      </c>
      <c r="AR25">
        <f t="shared" si="5"/>
        <v>26</v>
      </c>
      <c r="AS25">
        <f t="shared" si="6"/>
        <v>27</v>
      </c>
      <c r="AT25">
        <f t="shared" si="7"/>
        <v>28</v>
      </c>
      <c r="AU25">
        <f t="shared" si="8"/>
        <v>29</v>
      </c>
      <c r="BA25" s="51"/>
      <c r="BB25" s="51"/>
      <c r="BC25" s="51"/>
      <c r="BH25" s="51"/>
      <c r="BJ25" s="51"/>
    </row>
    <row r="26" spans="2:64">
      <c r="B26" s="34" t="str">
        <f>'Buy FG2 Reel'!AR33</f>
        <v>KK-0</v>
      </c>
      <c r="C26" s="30">
        <f>'Buy FG2 Reel'!AS33</f>
        <v>32</v>
      </c>
      <c r="D26" s="30">
        <f>'Buy FG2 Reel'!AT33</f>
        <v>61</v>
      </c>
      <c r="E26" s="30">
        <f>'Buy FG2 Reel'!AU33</f>
        <v>62</v>
      </c>
      <c r="F26" s="30">
        <f>'Buy FG2 Reel'!AV33</f>
        <v>61</v>
      </c>
      <c r="G26" s="30">
        <f>'Buy FG2 Reel'!AW33</f>
        <v>69</v>
      </c>
      <c r="H26" s="35">
        <f>'Buy FG2 Reel'!AX33</f>
        <v>44</v>
      </c>
      <c r="J26" s="36" t="s">
        <v>114</v>
      </c>
      <c r="K26" s="37">
        <f t="shared" ref="K26:P26" si="9">VALUE(MID($K$23,RIGHT(K25,1),1))</f>
        <v>2</v>
      </c>
      <c r="L26" s="37">
        <f t="shared" si="9"/>
        <v>2</v>
      </c>
      <c r="M26" s="37">
        <f t="shared" si="9"/>
        <v>2</v>
      </c>
      <c r="N26" s="37">
        <f t="shared" si="9"/>
        <v>2</v>
      </c>
      <c r="O26" s="37">
        <f t="shared" si="9"/>
        <v>2</v>
      </c>
      <c r="P26" s="38">
        <f t="shared" si="9"/>
        <v>2</v>
      </c>
      <c r="AP26">
        <f t="shared" si="3"/>
        <v>30</v>
      </c>
      <c r="AQ26">
        <f t="shared" si="4"/>
        <v>31</v>
      </c>
      <c r="AR26">
        <f t="shared" si="5"/>
        <v>32</v>
      </c>
      <c r="AS26">
        <f t="shared" si="6"/>
        <v>33</v>
      </c>
      <c r="AT26">
        <f t="shared" si="7"/>
        <v>34</v>
      </c>
      <c r="AU26">
        <f t="shared" si="8"/>
        <v>35</v>
      </c>
    </row>
    <row r="27" spans="2:64">
      <c r="B27" s="34" t="str">
        <f>'Buy FG2 Reel'!AR34</f>
        <v>LL-0</v>
      </c>
      <c r="C27" s="30">
        <f>'Buy FG2 Reel'!AS34</f>
        <v>34</v>
      </c>
      <c r="D27" s="30">
        <f>'Buy FG2 Reel'!AT34</f>
        <v>57</v>
      </c>
      <c r="E27" s="30">
        <f>'Buy FG2 Reel'!AU34</f>
        <v>68</v>
      </c>
      <c r="F27" s="30">
        <f>'Buy FG2 Reel'!AV34</f>
        <v>57</v>
      </c>
      <c r="G27" s="30">
        <f>'Buy FG2 Reel'!AW34</f>
        <v>85</v>
      </c>
      <c r="H27" s="35">
        <f>'Buy FG2 Reel'!AX34</f>
        <v>40</v>
      </c>
      <c r="AP27">
        <f t="shared" si="3"/>
        <v>36</v>
      </c>
      <c r="AQ27">
        <f t="shared" si="4"/>
        <v>37</v>
      </c>
      <c r="AR27">
        <f t="shared" si="5"/>
        <v>38</v>
      </c>
      <c r="AS27">
        <f t="shared" si="6"/>
        <v>39</v>
      </c>
      <c r="AT27">
        <f t="shared" si="7"/>
        <v>40</v>
      </c>
      <c r="AU27">
        <f t="shared" si="8"/>
        <v>41</v>
      </c>
    </row>
    <row r="28" spans="2:64">
      <c r="B28" s="34" t="str">
        <f>'Buy FG2 Reel'!AR35</f>
        <v>BN-0</v>
      </c>
      <c r="C28" s="30">
        <f>'Buy FG2 Reel'!AS35</f>
        <v>40</v>
      </c>
      <c r="D28" s="30">
        <f>'Buy FG2 Reel'!AT35</f>
        <v>73</v>
      </c>
      <c r="E28" s="30">
        <f>'Buy FG2 Reel'!AU35</f>
        <v>84</v>
      </c>
      <c r="F28" s="30">
        <f>'Buy FG2 Reel'!AV35</f>
        <v>67</v>
      </c>
      <c r="G28" s="30">
        <f>'Buy FG2 Reel'!AW35</f>
        <v>91</v>
      </c>
      <c r="H28" s="35">
        <f>'Buy FG2 Reel'!AX35</f>
        <v>50</v>
      </c>
    </row>
    <row r="29" spans="2:64">
      <c r="B29" s="48" t="s">
        <v>115</v>
      </c>
      <c r="C29" s="28">
        <f t="shared" ref="C29:H29" si="10">K16</f>
        <v>40</v>
      </c>
      <c r="D29" s="28">
        <f t="shared" si="10"/>
        <v>73</v>
      </c>
      <c r="E29" s="28">
        <f t="shared" si="10"/>
        <v>84</v>
      </c>
      <c r="F29" s="28">
        <f t="shared" si="10"/>
        <v>67</v>
      </c>
      <c r="G29" s="28">
        <f t="shared" si="10"/>
        <v>91</v>
      </c>
      <c r="H29" s="27">
        <f t="shared" si="10"/>
        <v>50</v>
      </c>
    </row>
    <row r="30" spans="2:64">
      <c r="Z30" s="52" t="s">
        <v>97</v>
      </c>
      <c r="AA30" s="81" t="s">
        <v>98</v>
      </c>
      <c r="AB30" s="81"/>
      <c r="AC30" s="81"/>
      <c r="AD30" s="81"/>
      <c r="AE30" s="81"/>
      <c r="AF30" s="81"/>
      <c r="AG30" s="52" t="s">
        <v>156</v>
      </c>
      <c r="AJ30" s="53"/>
      <c r="AK30" s="81" t="s">
        <v>32</v>
      </c>
      <c r="AL30" s="81"/>
    </row>
    <row r="31" spans="2:64">
      <c r="B31" s="11" t="s">
        <v>108</v>
      </c>
      <c r="C31" s="10" t="s">
        <v>109</v>
      </c>
      <c r="D31" s="10" t="s">
        <v>110</v>
      </c>
      <c r="E31" s="10" t="s">
        <v>111</v>
      </c>
      <c r="F31" s="10" t="s">
        <v>112</v>
      </c>
      <c r="G31" s="10" t="s">
        <v>113</v>
      </c>
      <c r="H31" s="10" t="s">
        <v>108</v>
      </c>
      <c r="I31" s="10" t="s">
        <v>109</v>
      </c>
      <c r="J31" s="10" t="s">
        <v>110</v>
      </c>
      <c r="K31" s="10" t="s">
        <v>111</v>
      </c>
      <c r="L31" s="10" t="s">
        <v>112</v>
      </c>
      <c r="M31" s="10" t="s">
        <v>113</v>
      </c>
      <c r="N31" s="10" t="s">
        <v>116</v>
      </c>
      <c r="O31" s="10"/>
      <c r="P31" s="10"/>
      <c r="Q31" s="10" t="s">
        <v>117</v>
      </c>
      <c r="R31" s="9" t="s">
        <v>118</v>
      </c>
      <c r="Z31" s="53">
        <v>1</v>
      </c>
      <c r="AA31" s="53">
        <v>0</v>
      </c>
      <c r="AB31" s="53">
        <v>0</v>
      </c>
      <c r="AC31" s="53">
        <v>0</v>
      </c>
      <c r="AD31" s="53">
        <v>0</v>
      </c>
      <c r="AE31" s="53">
        <v>1</v>
      </c>
      <c r="AF31" s="53">
        <v>1</v>
      </c>
      <c r="AG31" s="53">
        <v>10000</v>
      </c>
      <c r="AJ31" s="53"/>
      <c r="AK31" s="81" t="s">
        <v>101</v>
      </c>
      <c r="AL31" s="81"/>
    </row>
    <row r="32" spans="2:64">
      <c r="B32" s="8" t="str">
        <f>$B$4</f>
        <v>AA</v>
      </c>
      <c r="C32" s="7" t="str">
        <f>$B32</f>
        <v>AA</v>
      </c>
      <c r="D32" s="7" t="str">
        <f>$B32</f>
        <v>AA</v>
      </c>
      <c r="E32" s="7" t="str">
        <f>$B32</f>
        <v>AA</v>
      </c>
      <c r="F32" s="7" t="str">
        <f>$B32</f>
        <v>AA</v>
      </c>
      <c r="G32" s="7" t="str">
        <f>$B32</f>
        <v>AA</v>
      </c>
      <c r="H32" s="7">
        <f>SUMIF($B$3:$B$29,B32,C$3:C$29)</f>
        <v>2</v>
      </c>
      <c r="I32" s="7">
        <f t="shared" ref="I32:M35" si="11">SUMIF($B$3:$B$29,C32,D$3:D$29)</f>
        <v>8</v>
      </c>
      <c r="J32" s="7">
        <f t="shared" si="11"/>
        <v>8</v>
      </c>
      <c r="K32" s="7">
        <f t="shared" si="11"/>
        <v>10</v>
      </c>
      <c r="L32" s="7">
        <f t="shared" si="11"/>
        <v>26</v>
      </c>
      <c r="M32" s="7">
        <f t="shared" si="11"/>
        <v>14</v>
      </c>
      <c r="N32" s="7">
        <f>PRODUCT(H32:M32)</f>
        <v>465920</v>
      </c>
      <c r="O32" s="7">
        <v>6</v>
      </c>
      <c r="P32" s="7" t="str">
        <f>B32</f>
        <v>AA</v>
      </c>
      <c r="Q32" s="7">
        <f>INDEX($S$3:$V$15,MATCH(P32,$R$3:$R$15,0),MATCH(O32,$S$2:$V$2,0))</f>
        <v>150</v>
      </c>
      <c r="R32" s="6">
        <f>Q32*N32</f>
        <v>69888000</v>
      </c>
      <c r="Z32" s="53">
        <v>2</v>
      </c>
      <c r="AA32" s="53">
        <v>0</v>
      </c>
      <c r="AB32" s="53">
        <v>0</v>
      </c>
      <c r="AC32" s="53">
        <v>0</v>
      </c>
      <c r="AD32" s="53">
        <v>1</v>
      </c>
      <c r="AE32" s="53">
        <v>0</v>
      </c>
      <c r="AF32" s="53">
        <v>1</v>
      </c>
      <c r="AG32" s="53">
        <v>10000</v>
      </c>
      <c r="AJ32" s="52" t="s">
        <v>103</v>
      </c>
      <c r="AK32" s="52" t="s">
        <v>104</v>
      </c>
      <c r="AL32" s="52" t="s">
        <v>105</v>
      </c>
    </row>
    <row r="33" spans="2:38">
      <c r="B33" s="5" t="str">
        <f>$B32</f>
        <v>AA</v>
      </c>
      <c r="C33" t="str">
        <f>$B32</f>
        <v>AA</v>
      </c>
      <c r="D33" t="str">
        <f>$B32</f>
        <v>AA</v>
      </c>
      <c r="E33" t="str">
        <f>$B32</f>
        <v>AA</v>
      </c>
      <c r="F33" t="str">
        <f>$B32</f>
        <v>AA</v>
      </c>
      <c r="G33" t="str">
        <f>F33&amp;"-0"</f>
        <v>AA-0</v>
      </c>
      <c r="H33">
        <f>SUMIF($B$3:$B$29,B33,C$3:C$29)</f>
        <v>2</v>
      </c>
      <c r="I33">
        <f t="shared" si="11"/>
        <v>8</v>
      </c>
      <c r="J33">
        <f t="shared" si="11"/>
        <v>8</v>
      </c>
      <c r="K33">
        <f t="shared" si="11"/>
        <v>10</v>
      </c>
      <c r="L33">
        <f t="shared" si="11"/>
        <v>26</v>
      </c>
      <c r="M33">
        <f t="shared" si="11"/>
        <v>38</v>
      </c>
      <c r="N33">
        <f>PRODUCT(H33:M33)</f>
        <v>1264640</v>
      </c>
      <c r="O33">
        <v>5</v>
      </c>
      <c r="P33" t="str">
        <f>B33</f>
        <v>AA</v>
      </c>
      <c r="Q33">
        <f>INDEX($S$3:$V$15,MATCH(P33,$R$3:$R$15,0),MATCH(O33,$S$2:$V$2,0))</f>
        <v>60</v>
      </c>
      <c r="R33" s="4">
        <f>Q33*N33</f>
        <v>75878400</v>
      </c>
      <c r="Z33" s="53">
        <v>3</v>
      </c>
      <c r="AA33" s="53">
        <v>0</v>
      </c>
      <c r="AB33" s="53">
        <v>0</v>
      </c>
      <c r="AC33" s="53">
        <v>1</v>
      </c>
      <c r="AD33" s="53">
        <v>0</v>
      </c>
      <c r="AE33" s="53">
        <v>0</v>
      </c>
      <c r="AF33" s="53">
        <v>1</v>
      </c>
      <c r="AG33" s="53">
        <v>10000</v>
      </c>
      <c r="AJ33" s="53">
        <v>2</v>
      </c>
      <c r="AK33" s="53">
        <v>100</v>
      </c>
      <c r="AL33" s="53">
        <v>25</v>
      </c>
    </row>
    <row r="34" spans="2:38">
      <c r="B34" s="5" t="str">
        <f>$B32</f>
        <v>AA</v>
      </c>
      <c r="C34" t="str">
        <f>$B32</f>
        <v>AA</v>
      </c>
      <c r="D34" t="str">
        <f>$B32</f>
        <v>AA</v>
      </c>
      <c r="E34" t="str">
        <f>$B32</f>
        <v>AA</v>
      </c>
      <c r="F34" t="str">
        <f>E34&amp;"-0"</f>
        <v>AA-0</v>
      </c>
      <c r="G34" t="str">
        <f>$B$29</f>
        <v>---</v>
      </c>
      <c r="H34">
        <f t="shared" ref="H34:H35" si="12">SUMIF($B$3:$B$29,B34,C$3:C$29)</f>
        <v>2</v>
      </c>
      <c r="I34">
        <f t="shared" si="11"/>
        <v>8</v>
      </c>
      <c r="J34">
        <f t="shared" si="11"/>
        <v>8</v>
      </c>
      <c r="K34">
        <f t="shared" si="11"/>
        <v>10</v>
      </c>
      <c r="L34">
        <f t="shared" si="11"/>
        <v>67</v>
      </c>
      <c r="M34">
        <f t="shared" si="11"/>
        <v>50</v>
      </c>
      <c r="N34">
        <f t="shared" ref="N34:N35" si="13">PRODUCT(H34:M34)</f>
        <v>4288000</v>
      </c>
      <c r="O34">
        <v>5</v>
      </c>
      <c r="P34" t="str">
        <f t="shared" ref="P34:P35" si="14">B34</f>
        <v>AA</v>
      </c>
      <c r="Q34">
        <f t="shared" ref="Q34:Q35" si="15">INDEX($S$3:$V$15,MATCH(P34,$R$3:$R$15,0),MATCH(O34,$S$2:$V$2,0))</f>
        <v>60</v>
      </c>
      <c r="R34" s="4">
        <f t="shared" ref="R34:R35" si="16">Q34*N34</f>
        <v>257280000</v>
      </c>
      <c r="Z34" s="53">
        <v>4</v>
      </c>
      <c r="AA34" s="53">
        <v>0</v>
      </c>
      <c r="AB34" s="53">
        <v>1</v>
      </c>
      <c r="AC34" s="53">
        <v>0</v>
      </c>
      <c r="AD34" s="53">
        <v>0</v>
      </c>
      <c r="AE34" s="53">
        <v>0</v>
      </c>
      <c r="AF34" s="53">
        <v>1</v>
      </c>
      <c r="AG34" s="53">
        <v>1000</v>
      </c>
      <c r="AJ34" s="53">
        <v>3</v>
      </c>
      <c r="AK34" s="53">
        <v>200</v>
      </c>
      <c r="AL34" s="53">
        <v>75</v>
      </c>
    </row>
    <row r="35" spans="2:38">
      <c r="B35" s="5" t="str">
        <f>$B33</f>
        <v>AA</v>
      </c>
      <c r="C35" t="str">
        <f>$B32</f>
        <v>AA</v>
      </c>
      <c r="D35" t="str">
        <f>$B32</f>
        <v>AA</v>
      </c>
      <c r="E35" t="str">
        <f>D35&amp;"-0"</f>
        <v>AA-0</v>
      </c>
      <c r="F35" t="str">
        <f>$B$29</f>
        <v>---</v>
      </c>
      <c r="G35" t="str">
        <f>$B$29</f>
        <v>---</v>
      </c>
      <c r="H35">
        <f t="shared" si="12"/>
        <v>2</v>
      </c>
      <c r="I35">
        <f t="shared" si="11"/>
        <v>8</v>
      </c>
      <c r="J35">
        <f t="shared" si="11"/>
        <v>8</v>
      </c>
      <c r="K35">
        <f t="shared" si="11"/>
        <v>60</v>
      </c>
      <c r="L35">
        <f t="shared" si="11"/>
        <v>91</v>
      </c>
      <c r="M35">
        <f t="shared" si="11"/>
        <v>50</v>
      </c>
      <c r="N35">
        <f t="shared" si="13"/>
        <v>34944000</v>
      </c>
      <c r="O35">
        <v>5</v>
      </c>
      <c r="P35" t="str">
        <f t="shared" si="14"/>
        <v>AA</v>
      </c>
      <c r="Q35">
        <f t="shared" si="15"/>
        <v>60</v>
      </c>
      <c r="R35" s="4">
        <f t="shared" si="16"/>
        <v>2096640000</v>
      </c>
      <c r="Z35" s="53">
        <v>5</v>
      </c>
      <c r="AA35" s="53">
        <v>1</v>
      </c>
      <c r="AB35" s="53">
        <v>0</v>
      </c>
      <c r="AC35" s="53">
        <v>0</v>
      </c>
      <c r="AD35" s="53">
        <v>0</v>
      </c>
      <c r="AE35" s="53">
        <v>0</v>
      </c>
      <c r="AF35" s="53">
        <v>1</v>
      </c>
      <c r="AG35" s="53">
        <v>1000</v>
      </c>
      <c r="AJ35" s="53">
        <v>4</v>
      </c>
      <c r="AK35" s="53">
        <v>75</v>
      </c>
      <c r="AL35" s="53">
        <v>75</v>
      </c>
    </row>
    <row r="36" spans="2:38">
      <c r="B36" s="5"/>
      <c r="R36" s="4"/>
      <c r="Z36" s="53">
        <v>6</v>
      </c>
      <c r="AA36" s="53">
        <v>0</v>
      </c>
      <c r="AB36" s="53">
        <v>0</v>
      </c>
      <c r="AC36" s="53">
        <v>0</v>
      </c>
      <c r="AD36" s="53">
        <v>1</v>
      </c>
      <c r="AE36" s="53">
        <v>1</v>
      </c>
      <c r="AF36" s="53">
        <v>0</v>
      </c>
      <c r="AG36" s="53">
        <v>10000</v>
      </c>
      <c r="AJ36" s="53">
        <v>5</v>
      </c>
      <c r="AK36" s="53">
        <v>50</v>
      </c>
      <c r="AL36" s="53">
        <v>75</v>
      </c>
    </row>
    <row r="37" spans="2:38">
      <c r="B37" s="8" t="str">
        <f>$B$5</f>
        <v>BB</v>
      </c>
      <c r="C37" s="7" t="str">
        <f>$B37</f>
        <v>BB</v>
      </c>
      <c r="D37" s="7" t="str">
        <f>$B37</f>
        <v>BB</v>
      </c>
      <c r="E37" s="7" t="str">
        <f>$B37</f>
        <v>BB</v>
      </c>
      <c r="F37" s="7" t="str">
        <f>$B37</f>
        <v>BB</v>
      </c>
      <c r="G37" s="7" t="str">
        <f>$B37</f>
        <v>BB</v>
      </c>
      <c r="H37" s="7">
        <f>SUMIF($B$3:$B$29,B37,C$3:C$29)</f>
        <v>2</v>
      </c>
      <c r="I37" s="7">
        <f t="shared" ref="I37:M40" si="17">SUMIF($B$3:$B$29,C37,D$3:D$29)</f>
        <v>8</v>
      </c>
      <c r="J37" s="7">
        <f t="shared" si="17"/>
        <v>18</v>
      </c>
      <c r="K37" s="7">
        <f t="shared" si="17"/>
        <v>14</v>
      </c>
      <c r="L37" s="7">
        <f t="shared" si="17"/>
        <v>20</v>
      </c>
      <c r="M37" s="7">
        <f t="shared" si="17"/>
        <v>10</v>
      </c>
      <c r="N37" s="7">
        <f>PRODUCT(H37:M37)</f>
        <v>806400</v>
      </c>
      <c r="O37" s="7">
        <v>6</v>
      </c>
      <c r="P37" s="7" t="str">
        <f>B37</f>
        <v>BB</v>
      </c>
      <c r="Q37" s="7">
        <f>INDEX($S$3:$V$15,MATCH(P37,$R$3:$R$15,0),MATCH(O37,$S$2:$V$2,0))</f>
        <v>60</v>
      </c>
      <c r="R37" s="6">
        <f>Q37*N37</f>
        <v>48384000</v>
      </c>
      <c r="Z37" s="53">
        <v>7</v>
      </c>
      <c r="AA37" s="53">
        <v>0</v>
      </c>
      <c r="AB37" s="53">
        <v>0</v>
      </c>
      <c r="AC37" s="53">
        <v>1</v>
      </c>
      <c r="AD37" s="53">
        <v>0</v>
      </c>
      <c r="AE37" s="53">
        <v>1</v>
      </c>
      <c r="AF37" s="53">
        <v>0</v>
      </c>
      <c r="AG37" s="53">
        <v>10000</v>
      </c>
      <c r="AJ37" s="53">
        <v>6</v>
      </c>
      <c r="AK37" s="53">
        <v>15</v>
      </c>
      <c r="AL37" s="53">
        <v>75</v>
      </c>
    </row>
    <row r="38" spans="2:38">
      <c r="B38" s="5" t="str">
        <f>$B37</f>
        <v>BB</v>
      </c>
      <c r="C38" t="str">
        <f>$B37</f>
        <v>BB</v>
      </c>
      <c r="D38" t="str">
        <f>$B37</f>
        <v>BB</v>
      </c>
      <c r="E38" t="str">
        <f>$B37</f>
        <v>BB</v>
      </c>
      <c r="F38" t="str">
        <f>$B37</f>
        <v>BB</v>
      </c>
      <c r="G38" t="str">
        <f>F38&amp;"-0"</f>
        <v>BB-0</v>
      </c>
      <c r="H38">
        <f>SUMIF($B$3:$B$29,B38,C$3:C$29)</f>
        <v>2</v>
      </c>
      <c r="I38">
        <f t="shared" si="17"/>
        <v>8</v>
      </c>
      <c r="J38">
        <f t="shared" si="17"/>
        <v>18</v>
      </c>
      <c r="K38">
        <f t="shared" si="17"/>
        <v>14</v>
      </c>
      <c r="L38">
        <f t="shared" si="17"/>
        <v>20</v>
      </c>
      <c r="M38">
        <f t="shared" si="17"/>
        <v>42</v>
      </c>
      <c r="N38">
        <f>PRODUCT(H38:M38)</f>
        <v>3386880</v>
      </c>
      <c r="O38">
        <v>5</v>
      </c>
      <c r="P38" t="str">
        <f>B38</f>
        <v>BB</v>
      </c>
      <c r="Q38">
        <f>INDEX($S$3:$V$15,MATCH(P38,$R$3:$R$15,0),MATCH(O38,$S$2:$V$2,0))</f>
        <v>30</v>
      </c>
      <c r="R38" s="4">
        <f>Q38*N38</f>
        <v>101606400</v>
      </c>
      <c r="Z38" s="53">
        <v>8</v>
      </c>
      <c r="AA38" s="53">
        <v>0</v>
      </c>
      <c r="AB38" s="53">
        <v>1</v>
      </c>
      <c r="AC38" s="53">
        <v>0</v>
      </c>
      <c r="AD38" s="53">
        <v>0</v>
      </c>
      <c r="AE38" s="53">
        <v>1</v>
      </c>
      <c r="AF38" s="53">
        <v>0</v>
      </c>
      <c r="AG38" s="53">
        <v>1000</v>
      </c>
      <c r="AJ38" s="53">
        <v>7</v>
      </c>
      <c r="AK38" s="53">
        <v>10</v>
      </c>
      <c r="AL38" s="53">
        <v>75</v>
      </c>
    </row>
    <row r="39" spans="2:38">
      <c r="B39" s="5" t="str">
        <f>$B37</f>
        <v>BB</v>
      </c>
      <c r="C39" t="str">
        <f>$B37</f>
        <v>BB</v>
      </c>
      <c r="D39" t="str">
        <f>$B37</f>
        <v>BB</v>
      </c>
      <c r="E39" t="str">
        <f>$B37</f>
        <v>BB</v>
      </c>
      <c r="F39" t="str">
        <f>E39&amp;"-0"</f>
        <v>BB-0</v>
      </c>
      <c r="G39" t="str">
        <f>$B$29</f>
        <v>---</v>
      </c>
      <c r="H39">
        <f t="shared" ref="H39:H40" si="18">SUMIF($B$3:$B$29,B39,C$3:C$29)</f>
        <v>2</v>
      </c>
      <c r="I39">
        <f t="shared" si="17"/>
        <v>8</v>
      </c>
      <c r="J39">
        <f t="shared" si="17"/>
        <v>18</v>
      </c>
      <c r="K39">
        <f t="shared" si="17"/>
        <v>14</v>
      </c>
      <c r="L39">
        <f t="shared" si="17"/>
        <v>73</v>
      </c>
      <c r="M39">
        <f t="shared" si="17"/>
        <v>50</v>
      </c>
      <c r="N39">
        <f t="shared" ref="N39:N40" si="19">PRODUCT(H39:M39)</f>
        <v>14716800</v>
      </c>
      <c r="O39">
        <v>5</v>
      </c>
      <c r="P39" t="str">
        <f t="shared" ref="P39:P40" si="20">B39</f>
        <v>BB</v>
      </c>
      <c r="Q39">
        <f t="shared" ref="Q39:Q40" si="21">INDEX($S$3:$V$15,MATCH(P39,$R$3:$R$15,0),MATCH(O39,$S$2:$V$2,0))</f>
        <v>30</v>
      </c>
      <c r="R39" s="4">
        <f t="shared" ref="R39:R40" si="22">Q39*N39</f>
        <v>441504000</v>
      </c>
      <c r="Z39" s="53">
        <v>9</v>
      </c>
      <c r="AA39" s="53">
        <v>1</v>
      </c>
      <c r="AB39" s="53">
        <v>0</v>
      </c>
      <c r="AC39" s="53">
        <v>0</v>
      </c>
      <c r="AD39" s="53">
        <v>0</v>
      </c>
      <c r="AE39" s="53">
        <v>1</v>
      </c>
      <c r="AF39" s="53">
        <v>0</v>
      </c>
      <c r="AG39" s="53">
        <v>1000</v>
      </c>
    </row>
    <row r="40" spans="2:38">
      <c r="B40" s="5" t="str">
        <f>$B38</f>
        <v>BB</v>
      </c>
      <c r="C40" t="str">
        <f>$B37</f>
        <v>BB</v>
      </c>
      <c r="D40" t="str">
        <f>$B37</f>
        <v>BB</v>
      </c>
      <c r="E40" t="str">
        <f>D40&amp;"-0"</f>
        <v>BB-0</v>
      </c>
      <c r="F40" t="str">
        <f>$B$29</f>
        <v>---</v>
      </c>
      <c r="G40" t="str">
        <f>$B$29</f>
        <v>---</v>
      </c>
      <c r="H40">
        <f t="shared" si="18"/>
        <v>2</v>
      </c>
      <c r="I40">
        <f t="shared" si="17"/>
        <v>8</v>
      </c>
      <c r="J40">
        <f t="shared" si="17"/>
        <v>18</v>
      </c>
      <c r="K40">
        <f t="shared" si="17"/>
        <v>55</v>
      </c>
      <c r="L40">
        <f t="shared" si="17"/>
        <v>91</v>
      </c>
      <c r="M40">
        <f t="shared" si="17"/>
        <v>50</v>
      </c>
      <c r="N40">
        <f t="shared" si="19"/>
        <v>72072000</v>
      </c>
      <c r="O40">
        <v>5</v>
      </c>
      <c r="P40" t="str">
        <f t="shared" si="20"/>
        <v>BB</v>
      </c>
      <c r="Q40">
        <f t="shared" si="21"/>
        <v>30</v>
      </c>
      <c r="R40" s="4">
        <f t="shared" si="22"/>
        <v>2162160000</v>
      </c>
      <c r="Z40" s="53">
        <v>10</v>
      </c>
      <c r="AA40" s="53">
        <v>0</v>
      </c>
      <c r="AB40" s="53">
        <v>0</v>
      </c>
      <c r="AC40" s="53">
        <v>1</v>
      </c>
      <c r="AD40" s="53">
        <v>1</v>
      </c>
      <c r="AE40" s="53">
        <v>0</v>
      </c>
      <c r="AF40" s="53">
        <v>0</v>
      </c>
      <c r="AG40" s="53">
        <v>10000</v>
      </c>
    </row>
    <row r="41" spans="2:38">
      <c r="B41" s="5"/>
      <c r="R41" s="4"/>
      <c r="Z41" s="53">
        <v>11</v>
      </c>
      <c r="AA41" s="53">
        <v>0</v>
      </c>
      <c r="AB41" s="53">
        <v>1</v>
      </c>
      <c r="AC41" s="53">
        <v>0</v>
      </c>
      <c r="AD41" s="53">
        <v>1</v>
      </c>
      <c r="AE41" s="53">
        <v>0</v>
      </c>
      <c r="AF41" s="53">
        <v>0</v>
      </c>
      <c r="AG41" s="53">
        <v>1000</v>
      </c>
    </row>
    <row r="42" spans="2:38">
      <c r="B42" s="8" t="str">
        <f>$B$6</f>
        <v>CC</v>
      </c>
      <c r="C42" s="7" t="str">
        <f>$B42</f>
        <v>CC</v>
      </c>
      <c r="D42" s="7" t="str">
        <f>$B42</f>
        <v>CC</v>
      </c>
      <c r="E42" s="7" t="str">
        <f>$B42</f>
        <v>CC</v>
      </c>
      <c r="F42" s="7" t="str">
        <f>$B42</f>
        <v>CC</v>
      </c>
      <c r="G42" s="7" t="str">
        <f>$B42</f>
        <v>CC</v>
      </c>
      <c r="H42" s="7">
        <f>SUMIF($B$3:$B$29,B42,C$3:C$29)</f>
        <v>4</v>
      </c>
      <c r="I42" s="7">
        <f t="shared" ref="I42:M45" si="23">SUMIF($B$3:$B$29,C42,D$3:D$29)</f>
        <v>8</v>
      </c>
      <c r="J42" s="7">
        <f t="shared" si="23"/>
        <v>16</v>
      </c>
      <c r="K42" s="7">
        <f t="shared" si="23"/>
        <v>12</v>
      </c>
      <c r="L42" s="7">
        <f t="shared" si="23"/>
        <v>16</v>
      </c>
      <c r="M42" s="7">
        <f t="shared" si="23"/>
        <v>10</v>
      </c>
      <c r="N42" s="7">
        <f>PRODUCT(H42:M42)</f>
        <v>983040</v>
      </c>
      <c r="O42" s="7">
        <v>6</v>
      </c>
      <c r="P42" s="7" t="str">
        <f>B42</f>
        <v>CC</v>
      </c>
      <c r="Q42" s="7">
        <f>INDEX($S$3:$V$15,MATCH(P42,$R$3:$R$15,0),MATCH(O42,$S$2:$V$2,0))</f>
        <v>40</v>
      </c>
      <c r="R42" s="6">
        <f>Q42*N42</f>
        <v>39321600</v>
      </c>
      <c r="Z42" s="53">
        <v>12</v>
      </c>
      <c r="AA42" s="53">
        <v>1</v>
      </c>
      <c r="AB42" s="53">
        <v>0</v>
      </c>
      <c r="AC42" s="53">
        <v>0</v>
      </c>
      <c r="AD42" s="53">
        <v>1</v>
      </c>
      <c r="AE42" s="53">
        <v>0</v>
      </c>
      <c r="AF42" s="53">
        <v>0</v>
      </c>
      <c r="AG42" s="53">
        <v>1000</v>
      </c>
    </row>
    <row r="43" spans="2:38">
      <c r="B43" s="5" t="str">
        <f>$B42</f>
        <v>CC</v>
      </c>
      <c r="C43" t="str">
        <f>$B42</f>
        <v>CC</v>
      </c>
      <c r="D43" t="str">
        <f>$B42</f>
        <v>CC</v>
      </c>
      <c r="E43" t="str">
        <f>$B42</f>
        <v>CC</v>
      </c>
      <c r="F43" t="str">
        <f>$B42</f>
        <v>CC</v>
      </c>
      <c r="G43" t="str">
        <f>F43&amp;"-0"</f>
        <v>CC-0</v>
      </c>
      <c r="H43">
        <f>SUMIF($B$3:$B$29,B43,C$3:C$29)</f>
        <v>4</v>
      </c>
      <c r="I43">
        <f t="shared" si="23"/>
        <v>8</v>
      </c>
      <c r="J43">
        <f t="shared" si="23"/>
        <v>16</v>
      </c>
      <c r="K43">
        <f t="shared" si="23"/>
        <v>12</v>
      </c>
      <c r="L43">
        <f t="shared" si="23"/>
        <v>16</v>
      </c>
      <c r="M43">
        <f t="shared" si="23"/>
        <v>43</v>
      </c>
      <c r="N43">
        <f>PRODUCT(H43:M43)</f>
        <v>4227072</v>
      </c>
      <c r="O43">
        <v>5</v>
      </c>
      <c r="P43" t="str">
        <f>B43</f>
        <v>CC</v>
      </c>
      <c r="Q43">
        <f>INDEX($S$3:$V$15,MATCH(P43,$R$3:$R$15,0),MATCH(O43,$S$2:$V$2,0))</f>
        <v>20</v>
      </c>
      <c r="R43" s="4">
        <f>Q43*N43</f>
        <v>84541440</v>
      </c>
      <c r="Z43" s="53">
        <v>13</v>
      </c>
      <c r="AA43" s="53">
        <v>0</v>
      </c>
      <c r="AB43" s="53">
        <v>1</v>
      </c>
      <c r="AC43" s="53">
        <v>1</v>
      </c>
      <c r="AD43" s="53">
        <v>0</v>
      </c>
      <c r="AE43" s="53">
        <v>0</v>
      </c>
      <c r="AF43" s="53">
        <v>0</v>
      </c>
      <c r="AG43" s="53">
        <v>1000</v>
      </c>
    </row>
    <row r="44" spans="2:38">
      <c r="B44" s="5" t="str">
        <f>$B42</f>
        <v>CC</v>
      </c>
      <c r="C44" t="str">
        <f>$B42</f>
        <v>CC</v>
      </c>
      <c r="D44" t="str">
        <f>$B42</f>
        <v>CC</v>
      </c>
      <c r="E44" t="str">
        <f>$B42</f>
        <v>CC</v>
      </c>
      <c r="F44" t="str">
        <f>E44&amp;"-0"</f>
        <v>CC-0</v>
      </c>
      <c r="G44" t="str">
        <f>$B$29</f>
        <v>---</v>
      </c>
      <c r="H44">
        <f t="shared" ref="H44:H45" si="24">SUMIF($B$3:$B$29,B44,C$3:C$29)</f>
        <v>4</v>
      </c>
      <c r="I44">
        <f t="shared" si="23"/>
        <v>8</v>
      </c>
      <c r="J44">
        <f t="shared" si="23"/>
        <v>16</v>
      </c>
      <c r="K44">
        <f t="shared" si="23"/>
        <v>12</v>
      </c>
      <c r="L44">
        <f t="shared" si="23"/>
        <v>77</v>
      </c>
      <c r="M44">
        <f t="shared" si="23"/>
        <v>50</v>
      </c>
      <c r="N44">
        <f t="shared" ref="N44:N45" si="25">PRODUCT(H44:M44)</f>
        <v>23654400</v>
      </c>
      <c r="O44">
        <v>5</v>
      </c>
      <c r="P44" t="str">
        <f t="shared" ref="P44:P45" si="26">B44</f>
        <v>CC</v>
      </c>
      <c r="Q44">
        <f t="shared" ref="Q44:Q45" si="27">INDEX($S$3:$V$15,MATCH(P44,$R$3:$R$15,0),MATCH(O44,$S$2:$V$2,0))</f>
        <v>20</v>
      </c>
      <c r="R44" s="4">
        <f t="shared" ref="R44:R45" si="28">Q44*N44</f>
        <v>473088000</v>
      </c>
      <c r="Z44" s="53">
        <v>14</v>
      </c>
      <c r="AA44" s="53">
        <v>1</v>
      </c>
      <c r="AB44" s="53">
        <v>0</v>
      </c>
      <c r="AC44" s="53">
        <v>1</v>
      </c>
      <c r="AD44" s="53">
        <v>0</v>
      </c>
      <c r="AE44" s="53">
        <v>0</v>
      </c>
      <c r="AF44" s="53">
        <v>0</v>
      </c>
      <c r="AG44" s="53">
        <v>1000</v>
      </c>
    </row>
    <row r="45" spans="2:38">
      <c r="B45" s="5" t="str">
        <f>$B43</f>
        <v>CC</v>
      </c>
      <c r="C45" t="str">
        <f>$B42</f>
        <v>CC</v>
      </c>
      <c r="D45" t="str">
        <f>$B42</f>
        <v>CC</v>
      </c>
      <c r="E45" t="str">
        <f>D45&amp;"-0"</f>
        <v>CC-0</v>
      </c>
      <c r="F45" t="str">
        <f>$B$29</f>
        <v>---</v>
      </c>
      <c r="G45" t="str">
        <f>$B$29</f>
        <v>---</v>
      </c>
      <c r="H45">
        <f t="shared" si="24"/>
        <v>4</v>
      </c>
      <c r="I45">
        <f t="shared" si="23"/>
        <v>8</v>
      </c>
      <c r="J45">
        <f t="shared" si="23"/>
        <v>16</v>
      </c>
      <c r="K45">
        <f t="shared" si="23"/>
        <v>57</v>
      </c>
      <c r="L45">
        <f t="shared" si="23"/>
        <v>91</v>
      </c>
      <c r="M45">
        <f t="shared" si="23"/>
        <v>50</v>
      </c>
      <c r="N45">
        <f t="shared" si="25"/>
        <v>132787200</v>
      </c>
      <c r="O45">
        <v>5</v>
      </c>
      <c r="P45" t="str">
        <f t="shared" si="26"/>
        <v>CC</v>
      </c>
      <c r="Q45">
        <f t="shared" si="27"/>
        <v>20</v>
      </c>
      <c r="R45" s="4">
        <f t="shared" si="28"/>
        <v>2655744000</v>
      </c>
      <c r="Z45" s="53">
        <v>15</v>
      </c>
      <c r="AA45" s="53">
        <v>1</v>
      </c>
      <c r="AB45" s="53">
        <v>1</v>
      </c>
      <c r="AC45" s="53">
        <v>0</v>
      </c>
      <c r="AD45" s="53">
        <v>0</v>
      </c>
      <c r="AE45" s="53">
        <v>0</v>
      </c>
      <c r="AF45" s="53">
        <v>0</v>
      </c>
      <c r="AG45" s="53">
        <v>1000</v>
      </c>
    </row>
    <row r="46" spans="2:38">
      <c r="B46" s="5"/>
      <c r="R46" s="4"/>
      <c r="Z46" s="53">
        <v>16</v>
      </c>
      <c r="AA46" s="53">
        <v>0</v>
      </c>
      <c r="AB46" s="53">
        <v>0</v>
      </c>
      <c r="AC46" s="53">
        <v>0</v>
      </c>
      <c r="AD46" s="53">
        <v>1</v>
      </c>
      <c r="AE46" s="53">
        <v>1</v>
      </c>
      <c r="AF46" s="53">
        <v>1</v>
      </c>
      <c r="AG46" s="53">
        <v>500</v>
      </c>
    </row>
    <row r="47" spans="2:38">
      <c r="B47" s="8" t="str">
        <f>$B$7</f>
        <v>DD</v>
      </c>
      <c r="C47" s="7" t="str">
        <f>$B47</f>
        <v>DD</v>
      </c>
      <c r="D47" s="7" t="str">
        <f>$B47</f>
        <v>DD</v>
      </c>
      <c r="E47" s="7" t="str">
        <f>$B47</f>
        <v>DD</v>
      </c>
      <c r="F47" s="7" t="str">
        <f>$B47</f>
        <v>DD</v>
      </c>
      <c r="G47" s="7" t="str">
        <f>$B47</f>
        <v>DD</v>
      </c>
      <c r="H47" s="7">
        <f>SUMIF($B$3:$B$29,B47,C$3:C$29)</f>
        <v>4</v>
      </c>
      <c r="I47" s="7">
        <f t="shared" ref="I47:M50" si="29">SUMIF($B$3:$B$29,C47,D$3:D$29)</f>
        <v>8</v>
      </c>
      <c r="J47" s="7">
        <f t="shared" si="29"/>
        <v>8</v>
      </c>
      <c r="K47" s="7">
        <f t="shared" si="29"/>
        <v>20</v>
      </c>
      <c r="L47" s="7">
        <f t="shared" si="29"/>
        <v>20</v>
      </c>
      <c r="M47" s="7">
        <f t="shared" si="29"/>
        <v>14</v>
      </c>
      <c r="N47" s="7">
        <f>PRODUCT(H47:M47)</f>
        <v>1433600</v>
      </c>
      <c r="O47" s="7">
        <v>6</v>
      </c>
      <c r="P47" s="7" t="str">
        <f>B47</f>
        <v>DD</v>
      </c>
      <c r="Q47" s="7">
        <f>INDEX($S$3:$V$15,MATCH(P47,$R$3:$R$15,0),MATCH(O47,$S$2:$V$2,0))</f>
        <v>30</v>
      </c>
      <c r="R47" s="6">
        <f>Q47*N47</f>
        <v>43008000</v>
      </c>
      <c r="Z47" s="53">
        <v>17</v>
      </c>
      <c r="AA47" s="53">
        <v>0</v>
      </c>
      <c r="AB47" s="53">
        <v>0</v>
      </c>
      <c r="AC47" s="53">
        <v>1</v>
      </c>
      <c r="AD47" s="53">
        <v>0</v>
      </c>
      <c r="AE47" s="53">
        <v>1</v>
      </c>
      <c r="AF47" s="53">
        <v>1</v>
      </c>
      <c r="AG47" s="53">
        <v>500</v>
      </c>
    </row>
    <row r="48" spans="2:38">
      <c r="B48" s="5" t="str">
        <f>$B47</f>
        <v>DD</v>
      </c>
      <c r="C48" t="str">
        <f>$B47</f>
        <v>DD</v>
      </c>
      <c r="D48" t="str">
        <f>$B47</f>
        <v>DD</v>
      </c>
      <c r="E48" t="str">
        <f>$B47</f>
        <v>DD</v>
      </c>
      <c r="F48" t="str">
        <f>$B47</f>
        <v>DD</v>
      </c>
      <c r="G48" t="str">
        <f>F48&amp;"-0"</f>
        <v>DD-0</v>
      </c>
      <c r="H48">
        <f>SUMIF($B$3:$B$29,B48,C$3:C$29)</f>
        <v>4</v>
      </c>
      <c r="I48">
        <f t="shared" si="29"/>
        <v>8</v>
      </c>
      <c r="J48">
        <f t="shared" si="29"/>
        <v>8</v>
      </c>
      <c r="K48">
        <f t="shared" si="29"/>
        <v>20</v>
      </c>
      <c r="L48">
        <f t="shared" si="29"/>
        <v>20</v>
      </c>
      <c r="M48">
        <f t="shared" si="29"/>
        <v>38</v>
      </c>
      <c r="N48">
        <f>PRODUCT(H48:M48)</f>
        <v>3891200</v>
      </c>
      <c r="O48">
        <v>5</v>
      </c>
      <c r="P48" t="str">
        <f>B48</f>
        <v>DD</v>
      </c>
      <c r="Q48">
        <f>INDEX($S$3:$V$15,MATCH(P48,$R$3:$R$15,0),MATCH(O48,$S$2:$V$2,0))</f>
        <v>15</v>
      </c>
      <c r="R48" s="4">
        <f>Q48*N48</f>
        <v>58368000</v>
      </c>
      <c r="Z48" s="53">
        <v>18</v>
      </c>
      <c r="AA48" s="53">
        <v>0</v>
      </c>
      <c r="AB48" s="53">
        <v>1</v>
      </c>
      <c r="AC48" s="53">
        <v>0</v>
      </c>
      <c r="AD48" s="53">
        <v>0</v>
      </c>
      <c r="AE48" s="53">
        <v>1</v>
      </c>
      <c r="AF48" s="53">
        <v>1</v>
      </c>
      <c r="AG48" s="53">
        <v>500</v>
      </c>
    </row>
    <row r="49" spans="2:33">
      <c r="B49" s="5" t="str">
        <f>$B47</f>
        <v>DD</v>
      </c>
      <c r="C49" t="str">
        <f>$B47</f>
        <v>DD</v>
      </c>
      <c r="D49" t="str">
        <f>$B47</f>
        <v>DD</v>
      </c>
      <c r="E49" t="str">
        <f>$B47</f>
        <v>DD</v>
      </c>
      <c r="F49" t="str">
        <f>E49&amp;"-0"</f>
        <v>DD-0</v>
      </c>
      <c r="G49" t="str">
        <f>$B$29</f>
        <v>---</v>
      </c>
      <c r="H49">
        <f t="shared" ref="H49:H50" si="30">SUMIF($B$3:$B$29,B49,C$3:C$29)</f>
        <v>4</v>
      </c>
      <c r="I49">
        <f t="shared" si="29"/>
        <v>8</v>
      </c>
      <c r="J49">
        <f t="shared" si="29"/>
        <v>8</v>
      </c>
      <c r="K49">
        <f t="shared" si="29"/>
        <v>20</v>
      </c>
      <c r="L49">
        <f t="shared" si="29"/>
        <v>73</v>
      </c>
      <c r="M49">
        <f t="shared" si="29"/>
        <v>50</v>
      </c>
      <c r="N49">
        <f t="shared" ref="N49:N50" si="31">PRODUCT(H49:M49)</f>
        <v>18688000</v>
      </c>
      <c r="O49">
        <v>5</v>
      </c>
      <c r="P49" t="str">
        <f t="shared" ref="P49:P50" si="32">B49</f>
        <v>DD</v>
      </c>
      <c r="Q49">
        <f t="shared" ref="Q49:Q50" si="33">INDEX($S$3:$V$15,MATCH(P49,$R$3:$R$15,0),MATCH(O49,$S$2:$V$2,0))</f>
        <v>15</v>
      </c>
      <c r="R49" s="4">
        <f t="shared" ref="R49:R50" si="34">Q49*N49</f>
        <v>280320000</v>
      </c>
      <c r="Z49" s="53">
        <v>19</v>
      </c>
      <c r="AA49" s="53">
        <v>1</v>
      </c>
      <c r="AB49" s="53">
        <v>0</v>
      </c>
      <c r="AC49" s="53">
        <v>0</v>
      </c>
      <c r="AD49" s="53">
        <v>0</v>
      </c>
      <c r="AE49" s="53">
        <v>1</v>
      </c>
      <c r="AF49" s="53">
        <v>1</v>
      </c>
      <c r="AG49" s="53">
        <v>500</v>
      </c>
    </row>
    <row r="50" spans="2:33">
      <c r="B50" s="5" t="str">
        <f>$B48</f>
        <v>DD</v>
      </c>
      <c r="C50" t="str">
        <f>$B47</f>
        <v>DD</v>
      </c>
      <c r="D50" t="str">
        <f>$B47</f>
        <v>DD</v>
      </c>
      <c r="E50" t="str">
        <f>D50&amp;"-0"</f>
        <v>DD-0</v>
      </c>
      <c r="F50" t="str">
        <f>$B$29</f>
        <v>---</v>
      </c>
      <c r="G50" t="str">
        <f>$B$29</f>
        <v>---</v>
      </c>
      <c r="H50">
        <f t="shared" si="30"/>
        <v>4</v>
      </c>
      <c r="I50">
        <f t="shared" si="29"/>
        <v>8</v>
      </c>
      <c r="J50">
        <f t="shared" si="29"/>
        <v>8</v>
      </c>
      <c r="K50">
        <f t="shared" si="29"/>
        <v>49</v>
      </c>
      <c r="L50">
        <f t="shared" si="29"/>
        <v>91</v>
      </c>
      <c r="M50">
        <f t="shared" si="29"/>
        <v>50</v>
      </c>
      <c r="N50">
        <f t="shared" si="31"/>
        <v>57075200</v>
      </c>
      <c r="O50">
        <v>5</v>
      </c>
      <c r="P50" t="str">
        <f t="shared" si="32"/>
        <v>DD</v>
      </c>
      <c r="Q50">
        <f t="shared" si="33"/>
        <v>15</v>
      </c>
      <c r="R50" s="4">
        <f t="shared" si="34"/>
        <v>856128000</v>
      </c>
      <c r="Z50" s="53">
        <v>20</v>
      </c>
      <c r="AA50" s="53">
        <v>0</v>
      </c>
      <c r="AB50" s="53">
        <v>0</v>
      </c>
      <c r="AC50" s="53">
        <v>1</v>
      </c>
      <c r="AD50" s="53">
        <v>1</v>
      </c>
      <c r="AE50" s="53">
        <v>0</v>
      </c>
      <c r="AF50" s="53">
        <v>1</v>
      </c>
      <c r="AG50" s="53">
        <v>500</v>
      </c>
    </row>
    <row r="51" spans="2:33">
      <c r="B51" s="5"/>
      <c r="R51" s="4"/>
      <c r="Z51" s="53">
        <v>21</v>
      </c>
      <c r="AA51" s="53">
        <v>0</v>
      </c>
      <c r="AB51" s="53">
        <v>1</v>
      </c>
      <c r="AC51" s="53">
        <v>0</v>
      </c>
      <c r="AD51" s="53">
        <v>1</v>
      </c>
      <c r="AE51" s="53">
        <v>0</v>
      </c>
      <c r="AF51" s="53">
        <v>1</v>
      </c>
      <c r="AG51" s="53">
        <v>500</v>
      </c>
    </row>
    <row r="52" spans="2:33">
      <c r="B52" s="8" t="str">
        <f>$B$8</f>
        <v>EE</v>
      </c>
      <c r="C52" s="7" t="str">
        <f>$B52</f>
        <v>EE</v>
      </c>
      <c r="D52" s="7" t="str">
        <f>$B52</f>
        <v>EE</v>
      </c>
      <c r="E52" s="7" t="str">
        <f>$B52</f>
        <v>EE</v>
      </c>
      <c r="F52" s="7" t="str">
        <f>$B52</f>
        <v>EE</v>
      </c>
      <c r="G52" s="7" t="str">
        <f>$B52</f>
        <v>EE</v>
      </c>
      <c r="H52" s="7">
        <f>SUMIF($B$3:$B$29,B52,C$3:C$29)</f>
        <v>6</v>
      </c>
      <c r="I52" s="7">
        <f t="shared" ref="I52:M55" si="35">SUMIF($B$3:$B$29,C52,D$3:D$29)</f>
        <v>14</v>
      </c>
      <c r="J52" s="7">
        <f t="shared" si="35"/>
        <v>16</v>
      </c>
      <c r="K52" s="7">
        <f t="shared" si="35"/>
        <v>4</v>
      </c>
      <c r="L52" s="7">
        <f t="shared" si="35"/>
        <v>2</v>
      </c>
      <c r="M52" s="7">
        <f t="shared" si="35"/>
        <v>2</v>
      </c>
      <c r="N52" s="7">
        <f>PRODUCT(H52:M52)</f>
        <v>21504</v>
      </c>
      <c r="O52" s="7">
        <v>6</v>
      </c>
      <c r="P52" s="7" t="str">
        <f>B52</f>
        <v>EE</v>
      </c>
      <c r="Q52" s="7">
        <f>INDEX($S$3:$V$15,MATCH(P52,$R$3:$R$15,0),MATCH(O52,$S$2:$V$2,0))</f>
        <v>30</v>
      </c>
      <c r="R52" s="6">
        <f>Q52*N52</f>
        <v>645120</v>
      </c>
      <c r="Z52" s="53">
        <v>22</v>
      </c>
      <c r="AA52" s="53">
        <v>1</v>
      </c>
      <c r="AB52" s="53">
        <v>0</v>
      </c>
      <c r="AC52" s="53">
        <v>0</v>
      </c>
      <c r="AD52" s="53">
        <v>1</v>
      </c>
      <c r="AE52" s="53">
        <v>0</v>
      </c>
      <c r="AF52" s="53">
        <v>1</v>
      </c>
      <c r="AG52" s="53">
        <v>500</v>
      </c>
    </row>
    <row r="53" spans="2:33">
      <c r="B53" s="5" t="str">
        <f>$B52</f>
        <v>EE</v>
      </c>
      <c r="C53" t="str">
        <f>$B52</f>
        <v>EE</v>
      </c>
      <c r="D53" t="str">
        <f>$B52</f>
        <v>EE</v>
      </c>
      <c r="E53" t="str">
        <f>$B52</f>
        <v>EE</v>
      </c>
      <c r="F53" t="str">
        <f>$B52</f>
        <v>EE</v>
      </c>
      <c r="G53" t="str">
        <f>F53&amp;"-0"</f>
        <v>EE-0</v>
      </c>
      <c r="H53">
        <f>SUMIF($B$3:$B$29,B53,C$3:C$29)</f>
        <v>6</v>
      </c>
      <c r="I53">
        <f t="shared" si="35"/>
        <v>14</v>
      </c>
      <c r="J53">
        <f t="shared" si="35"/>
        <v>16</v>
      </c>
      <c r="K53">
        <f t="shared" si="35"/>
        <v>4</v>
      </c>
      <c r="L53">
        <f t="shared" si="35"/>
        <v>2</v>
      </c>
      <c r="M53">
        <f t="shared" si="35"/>
        <v>48</v>
      </c>
      <c r="N53">
        <f>PRODUCT(H53:M53)</f>
        <v>516096</v>
      </c>
      <c r="O53">
        <v>5</v>
      </c>
      <c r="P53" t="str">
        <f>B53</f>
        <v>EE</v>
      </c>
      <c r="Q53">
        <f>INDEX($S$3:$V$15,MATCH(P53,$R$3:$R$15,0),MATCH(O53,$S$2:$V$2,0))</f>
        <v>10</v>
      </c>
      <c r="R53" s="4">
        <f>Q53*N53</f>
        <v>5160960</v>
      </c>
      <c r="Z53" s="53">
        <v>23</v>
      </c>
      <c r="AA53" s="53">
        <v>0</v>
      </c>
      <c r="AB53" s="53">
        <v>1</v>
      </c>
      <c r="AC53" s="53">
        <v>1</v>
      </c>
      <c r="AD53" s="53">
        <v>0</v>
      </c>
      <c r="AE53" s="53">
        <v>0</v>
      </c>
      <c r="AF53" s="53">
        <v>1</v>
      </c>
      <c r="AG53" s="53">
        <v>500</v>
      </c>
    </row>
    <row r="54" spans="2:33">
      <c r="B54" s="5" t="str">
        <f>$B52</f>
        <v>EE</v>
      </c>
      <c r="C54" t="str">
        <f>$B52</f>
        <v>EE</v>
      </c>
      <c r="D54" t="str">
        <f>$B52</f>
        <v>EE</v>
      </c>
      <c r="E54" t="str">
        <f>$B52</f>
        <v>EE</v>
      </c>
      <c r="F54" t="str">
        <f>E54&amp;"-0"</f>
        <v>EE-0</v>
      </c>
      <c r="G54" t="str">
        <f>$B$29</f>
        <v>---</v>
      </c>
      <c r="H54">
        <f t="shared" ref="H54:H55" si="36">SUMIF($B$3:$B$29,B54,C$3:C$29)</f>
        <v>6</v>
      </c>
      <c r="I54">
        <f t="shared" si="35"/>
        <v>14</v>
      </c>
      <c r="J54">
        <f t="shared" si="35"/>
        <v>16</v>
      </c>
      <c r="K54">
        <f t="shared" si="35"/>
        <v>4</v>
      </c>
      <c r="L54">
        <f t="shared" si="35"/>
        <v>89</v>
      </c>
      <c r="M54">
        <f t="shared" si="35"/>
        <v>50</v>
      </c>
      <c r="N54">
        <f t="shared" ref="N54:N55" si="37">PRODUCT(H54:M54)</f>
        <v>23923200</v>
      </c>
      <c r="O54">
        <v>5</v>
      </c>
      <c r="P54" t="str">
        <f t="shared" ref="P54:P55" si="38">B54</f>
        <v>EE</v>
      </c>
      <c r="Q54">
        <f t="shared" ref="Q54:Q55" si="39">INDEX($S$3:$V$15,MATCH(P54,$R$3:$R$15,0),MATCH(O54,$S$2:$V$2,0))</f>
        <v>10</v>
      </c>
      <c r="R54" s="4">
        <f t="shared" ref="R54:R55" si="40">Q54*N54</f>
        <v>239232000</v>
      </c>
      <c r="Z54" s="53">
        <v>24</v>
      </c>
      <c r="AA54" s="53">
        <v>1</v>
      </c>
      <c r="AB54" s="53">
        <v>0</v>
      </c>
      <c r="AC54" s="53">
        <v>1</v>
      </c>
      <c r="AD54" s="53">
        <v>0</v>
      </c>
      <c r="AE54" s="53">
        <v>0</v>
      </c>
      <c r="AF54" s="53">
        <v>1</v>
      </c>
      <c r="AG54" s="53">
        <v>500</v>
      </c>
    </row>
    <row r="55" spans="2:33">
      <c r="B55" s="5" t="str">
        <f>$B53</f>
        <v>EE</v>
      </c>
      <c r="C55" t="str">
        <f>$B52</f>
        <v>EE</v>
      </c>
      <c r="D55" t="str">
        <f>$B52</f>
        <v>EE</v>
      </c>
      <c r="E55" t="str">
        <f>D55&amp;"-0"</f>
        <v>EE-0</v>
      </c>
      <c r="F55" t="str">
        <f>$B$29</f>
        <v>---</v>
      </c>
      <c r="G55" t="str">
        <f>$B$29</f>
        <v>---</v>
      </c>
      <c r="H55">
        <f t="shared" si="36"/>
        <v>6</v>
      </c>
      <c r="I55">
        <f t="shared" si="35"/>
        <v>14</v>
      </c>
      <c r="J55">
        <f t="shared" si="35"/>
        <v>16</v>
      </c>
      <c r="K55">
        <f t="shared" si="35"/>
        <v>63</v>
      </c>
      <c r="L55">
        <f t="shared" si="35"/>
        <v>91</v>
      </c>
      <c r="M55">
        <f t="shared" si="35"/>
        <v>50</v>
      </c>
      <c r="N55">
        <f t="shared" si="37"/>
        <v>385257600</v>
      </c>
      <c r="O55">
        <v>5</v>
      </c>
      <c r="P55" t="str">
        <f t="shared" si="38"/>
        <v>EE</v>
      </c>
      <c r="Q55">
        <f t="shared" si="39"/>
        <v>10</v>
      </c>
      <c r="R55" s="4">
        <f t="shared" si="40"/>
        <v>3852576000</v>
      </c>
      <c r="Z55" s="53">
        <v>25</v>
      </c>
      <c r="AA55" s="53">
        <v>1</v>
      </c>
      <c r="AB55" s="53">
        <v>1</v>
      </c>
      <c r="AC55" s="53">
        <v>0</v>
      </c>
      <c r="AD55" s="53">
        <v>0</v>
      </c>
      <c r="AE55" s="53">
        <v>0</v>
      </c>
      <c r="AF55" s="53">
        <v>1</v>
      </c>
      <c r="AG55" s="53">
        <v>500</v>
      </c>
    </row>
    <row r="56" spans="2:33">
      <c r="B56" s="5"/>
      <c r="R56" s="4"/>
      <c r="Z56" s="53">
        <v>26</v>
      </c>
      <c r="AA56" s="53">
        <v>0</v>
      </c>
      <c r="AB56" s="53">
        <v>0</v>
      </c>
      <c r="AC56" s="53">
        <v>1</v>
      </c>
      <c r="AD56" s="53">
        <v>1</v>
      </c>
      <c r="AE56" s="53">
        <v>1</v>
      </c>
      <c r="AF56" s="53">
        <v>0</v>
      </c>
      <c r="AG56" s="53">
        <v>500</v>
      </c>
    </row>
    <row r="57" spans="2:33">
      <c r="B57" s="8" t="str">
        <f>$B$9</f>
        <v>FF</v>
      </c>
      <c r="C57" s="7" t="str">
        <f>$B57</f>
        <v>FF</v>
      </c>
      <c r="D57" s="7" t="str">
        <f>$B57</f>
        <v>FF</v>
      </c>
      <c r="E57" s="7" t="str">
        <f>$B57</f>
        <v>FF</v>
      </c>
      <c r="F57" s="7" t="str">
        <f>$B57</f>
        <v>FF</v>
      </c>
      <c r="G57" s="7" t="str">
        <f>$B57</f>
        <v>FF</v>
      </c>
      <c r="H57" s="7">
        <f>SUMIF($B$3:$B$29,B57,C$3:C$29)</f>
        <v>8</v>
      </c>
      <c r="I57" s="7">
        <f t="shared" ref="I57:M60" si="41">SUMIF($B$3:$B$29,C57,D$3:D$29)</f>
        <v>10</v>
      </c>
      <c r="J57" s="7">
        <f t="shared" si="41"/>
        <v>8</v>
      </c>
      <c r="K57" s="7">
        <f t="shared" si="41"/>
        <v>18</v>
      </c>
      <c r="L57" s="7">
        <f t="shared" si="41"/>
        <v>18</v>
      </c>
      <c r="M57" s="7">
        <f t="shared" si="41"/>
        <v>8</v>
      </c>
      <c r="N57" s="7">
        <f>PRODUCT(H57:M57)</f>
        <v>1658880</v>
      </c>
      <c r="O57" s="7">
        <v>6</v>
      </c>
      <c r="P57" s="7" t="str">
        <f>B57</f>
        <v>FF</v>
      </c>
      <c r="Q57" s="7">
        <f>INDEX($S$3:$V$15,MATCH(P57,$R$3:$R$15,0),MATCH(O57,$S$2:$V$2,0))</f>
        <v>30</v>
      </c>
      <c r="R57" s="6">
        <f>Q57*N57</f>
        <v>49766400</v>
      </c>
      <c r="Z57" s="53">
        <v>27</v>
      </c>
      <c r="AA57" s="53">
        <v>0</v>
      </c>
      <c r="AB57" s="53">
        <v>1</v>
      </c>
      <c r="AC57" s="53">
        <v>0</v>
      </c>
      <c r="AD57" s="53">
        <v>1</v>
      </c>
      <c r="AE57" s="53">
        <v>1</v>
      </c>
      <c r="AF57" s="53">
        <v>0</v>
      </c>
      <c r="AG57" s="53">
        <v>500</v>
      </c>
    </row>
    <row r="58" spans="2:33">
      <c r="B58" s="5" t="str">
        <f>$B57</f>
        <v>FF</v>
      </c>
      <c r="C58" t="str">
        <f>$B57</f>
        <v>FF</v>
      </c>
      <c r="D58" t="str">
        <f>$B57</f>
        <v>FF</v>
      </c>
      <c r="E58" t="str">
        <f>$B57</f>
        <v>FF</v>
      </c>
      <c r="F58" t="str">
        <f>$B57</f>
        <v>FF</v>
      </c>
      <c r="G58" t="str">
        <f>F58&amp;"-0"</f>
        <v>FF-0</v>
      </c>
      <c r="H58">
        <f>SUMIF($B$3:$B$29,B58,C$3:C$29)</f>
        <v>8</v>
      </c>
      <c r="I58">
        <f t="shared" si="41"/>
        <v>10</v>
      </c>
      <c r="J58">
        <f t="shared" si="41"/>
        <v>8</v>
      </c>
      <c r="K58">
        <f t="shared" si="41"/>
        <v>18</v>
      </c>
      <c r="L58">
        <f t="shared" si="41"/>
        <v>18</v>
      </c>
      <c r="M58">
        <f t="shared" si="41"/>
        <v>44</v>
      </c>
      <c r="N58">
        <f>PRODUCT(H58:M58)</f>
        <v>9123840</v>
      </c>
      <c r="O58">
        <v>5</v>
      </c>
      <c r="P58" t="str">
        <f>B58</f>
        <v>FF</v>
      </c>
      <c r="Q58">
        <f>INDEX($S$3:$V$15,MATCH(P58,$R$3:$R$15,0),MATCH(O58,$S$2:$V$2,0))</f>
        <v>10</v>
      </c>
      <c r="R58" s="4">
        <f>Q58*N58</f>
        <v>91238400</v>
      </c>
      <c r="Z58" s="53">
        <v>28</v>
      </c>
      <c r="AA58" s="53">
        <v>1</v>
      </c>
      <c r="AB58" s="53">
        <v>0</v>
      </c>
      <c r="AC58" s="53">
        <v>0</v>
      </c>
      <c r="AD58" s="53">
        <v>1</v>
      </c>
      <c r="AE58" s="53">
        <v>1</v>
      </c>
      <c r="AF58" s="53">
        <v>0</v>
      </c>
      <c r="AG58" s="53">
        <v>500</v>
      </c>
    </row>
    <row r="59" spans="2:33">
      <c r="B59" s="5" t="str">
        <f>$B57</f>
        <v>FF</v>
      </c>
      <c r="C59" t="str">
        <f>$B57</f>
        <v>FF</v>
      </c>
      <c r="D59" t="str">
        <f>$B57</f>
        <v>FF</v>
      </c>
      <c r="E59" t="str">
        <f>$B57</f>
        <v>FF</v>
      </c>
      <c r="F59" t="str">
        <f>E59&amp;"-0"</f>
        <v>FF-0</v>
      </c>
      <c r="G59" t="str">
        <f>$B$29</f>
        <v>---</v>
      </c>
      <c r="H59">
        <f t="shared" ref="H59:H60" si="42">SUMIF($B$3:$B$29,B59,C$3:C$29)</f>
        <v>8</v>
      </c>
      <c r="I59">
        <f t="shared" si="41"/>
        <v>10</v>
      </c>
      <c r="J59">
        <f t="shared" si="41"/>
        <v>8</v>
      </c>
      <c r="K59">
        <f t="shared" si="41"/>
        <v>18</v>
      </c>
      <c r="L59">
        <f t="shared" si="41"/>
        <v>75</v>
      </c>
      <c r="M59">
        <f t="shared" si="41"/>
        <v>50</v>
      </c>
      <c r="N59">
        <f t="shared" ref="N59:N60" si="43">PRODUCT(H59:M59)</f>
        <v>43200000</v>
      </c>
      <c r="O59">
        <v>5</v>
      </c>
      <c r="P59" t="str">
        <f t="shared" ref="P59:P60" si="44">B59</f>
        <v>FF</v>
      </c>
      <c r="Q59">
        <f t="shared" ref="Q59:Q60" si="45">INDEX($S$3:$V$15,MATCH(P59,$R$3:$R$15,0),MATCH(O59,$S$2:$V$2,0))</f>
        <v>10</v>
      </c>
      <c r="R59" s="4">
        <f t="shared" ref="R59:R60" si="46">Q59*N59</f>
        <v>432000000</v>
      </c>
      <c r="Z59" s="53">
        <v>29</v>
      </c>
      <c r="AA59" s="53">
        <v>0</v>
      </c>
      <c r="AB59" s="53">
        <v>1</v>
      </c>
      <c r="AC59" s="53">
        <v>1</v>
      </c>
      <c r="AD59" s="53">
        <v>0</v>
      </c>
      <c r="AE59" s="53">
        <v>1</v>
      </c>
      <c r="AF59" s="53">
        <v>0</v>
      </c>
      <c r="AG59" s="53">
        <v>500</v>
      </c>
    </row>
    <row r="60" spans="2:33">
      <c r="B60" s="5" t="str">
        <f>$B58</f>
        <v>FF</v>
      </c>
      <c r="C60" t="str">
        <f>$B57</f>
        <v>FF</v>
      </c>
      <c r="D60" t="str">
        <f>$B57</f>
        <v>FF</v>
      </c>
      <c r="E60" t="str">
        <f>D60&amp;"-0"</f>
        <v>FF-0</v>
      </c>
      <c r="F60" t="str">
        <f>$B$29</f>
        <v>---</v>
      </c>
      <c r="G60" t="str">
        <f>$B$29</f>
        <v>---</v>
      </c>
      <c r="H60">
        <f t="shared" si="42"/>
        <v>8</v>
      </c>
      <c r="I60">
        <f t="shared" si="41"/>
        <v>10</v>
      </c>
      <c r="J60">
        <f t="shared" si="41"/>
        <v>8</v>
      </c>
      <c r="K60">
        <f t="shared" si="41"/>
        <v>52</v>
      </c>
      <c r="L60">
        <f t="shared" si="41"/>
        <v>91</v>
      </c>
      <c r="M60">
        <f t="shared" si="41"/>
        <v>50</v>
      </c>
      <c r="N60">
        <f t="shared" si="43"/>
        <v>151424000</v>
      </c>
      <c r="O60">
        <v>5</v>
      </c>
      <c r="P60" t="str">
        <f t="shared" si="44"/>
        <v>FF</v>
      </c>
      <c r="Q60">
        <f t="shared" si="45"/>
        <v>10</v>
      </c>
      <c r="R60" s="4">
        <f t="shared" si="46"/>
        <v>1514240000</v>
      </c>
      <c r="Z60" s="53">
        <v>30</v>
      </c>
      <c r="AA60" s="53">
        <v>1</v>
      </c>
      <c r="AB60" s="53">
        <v>0</v>
      </c>
      <c r="AC60" s="53">
        <v>1</v>
      </c>
      <c r="AD60" s="53">
        <v>0</v>
      </c>
      <c r="AE60" s="53">
        <v>1</v>
      </c>
      <c r="AF60" s="53">
        <v>0</v>
      </c>
      <c r="AG60" s="53">
        <v>500</v>
      </c>
    </row>
    <row r="61" spans="2:33">
      <c r="B61" s="5"/>
      <c r="R61" s="4"/>
      <c r="Z61" s="53">
        <v>31</v>
      </c>
      <c r="AA61" s="53">
        <v>1</v>
      </c>
      <c r="AB61" s="53">
        <v>1</v>
      </c>
      <c r="AC61" s="53">
        <v>0</v>
      </c>
      <c r="AD61" s="53">
        <v>0</v>
      </c>
      <c r="AE61" s="53">
        <v>1</v>
      </c>
      <c r="AF61" s="53">
        <v>0</v>
      </c>
      <c r="AG61" s="53">
        <v>500</v>
      </c>
    </row>
    <row r="62" spans="2:33">
      <c r="B62" s="8" t="str">
        <f>$B$10</f>
        <v>GG</v>
      </c>
      <c r="C62" s="7" t="str">
        <f>$B62</f>
        <v>GG</v>
      </c>
      <c r="D62" s="7" t="str">
        <f>$B62</f>
        <v>GG</v>
      </c>
      <c r="E62" s="7" t="str">
        <f>$B62</f>
        <v>GG</v>
      </c>
      <c r="F62" s="7" t="str">
        <f>$B62</f>
        <v>GG</v>
      </c>
      <c r="G62" s="7" t="str">
        <f>$B62</f>
        <v>GG</v>
      </c>
      <c r="H62" s="7">
        <f>SUMIF($B$3:$B$29,B62,C$3:C$29)</f>
        <v>12</v>
      </c>
      <c r="I62" s="7">
        <f t="shared" ref="I62:M65" si="47">SUMIF($B$3:$B$29,C62,D$3:D$29)</f>
        <v>26</v>
      </c>
      <c r="J62" s="7">
        <f t="shared" si="47"/>
        <v>22</v>
      </c>
      <c r="K62" s="7">
        <f t="shared" si="47"/>
        <v>24</v>
      </c>
      <c r="L62" s="7">
        <f t="shared" si="47"/>
        <v>28</v>
      </c>
      <c r="M62" s="7">
        <f t="shared" si="47"/>
        <v>10</v>
      </c>
      <c r="N62" s="7">
        <f>PRODUCT(H62:M62)</f>
        <v>46126080</v>
      </c>
      <c r="O62" s="7">
        <v>6</v>
      </c>
      <c r="P62" s="7" t="str">
        <f>B62</f>
        <v>GG</v>
      </c>
      <c r="Q62" s="7">
        <f>INDEX($S$3:$V$15,MATCH(P62,$R$3:$R$15,0),MATCH(O62,$S$2:$V$2,0))</f>
        <v>20</v>
      </c>
      <c r="R62" s="6">
        <f>Q62*N62</f>
        <v>922521600</v>
      </c>
      <c r="Z62" s="53">
        <v>32</v>
      </c>
      <c r="AA62" s="53">
        <v>0</v>
      </c>
      <c r="AB62" s="53">
        <v>1</v>
      </c>
      <c r="AC62" s="53">
        <v>1</v>
      </c>
      <c r="AD62" s="53">
        <v>1</v>
      </c>
      <c r="AE62" s="53">
        <v>0</v>
      </c>
      <c r="AF62" s="53">
        <v>0</v>
      </c>
      <c r="AG62" s="53">
        <v>500</v>
      </c>
    </row>
    <row r="63" spans="2:33">
      <c r="B63" s="5" t="str">
        <f>$B62</f>
        <v>GG</v>
      </c>
      <c r="C63" t="str">
        <f>$B62</f>
        <v>GG</v>
      </c>
      <c r="D63" t="str">
        <f>$B62</f>
        <v>GG</v>
      </c>
      <c r="E63" t="str">
        <f>$B62</f>
        <v>GG</v>
      </c>
      <c r="F63" t="str">
        <f>$B62</f>
        <v>GG</v>
      </c>
      <c r="G63" t="str">
        <f>F63&amp;"-0"</f>
        <v>GG-0</v>
      </c>
      <c r="H63">
        <f>SUMIF($B$3:$B$29,B63,C$3:C$29)</f>
        <v>12</v>
      </c>
      <c r="I63">
        <f t="shared" si="47"/>
        <v>26</v>
      </c>
      <c r="J63">
        <f t="shared" si="47"/>
        <v>22</v>
      </c>
      <c r="K63">
        <f t="shared" si="47"/>
        <v>24</v>
      </c>
      <c r="L63">
        <f t="shared" si="47"/>
        <v>28</v>
      </c>
      <c r="M63">
        <f t="shared" si="47"/>
        <v>42</v>
      </c>
      <c r="N63">
        <f>PRODUCT(H63:M63)</f>
        <v>193729536</v>
      </c>
      <c r="O63">
        <v>5</v>
      </c>
      <c r="P63" t="str">
        <f>B63</f>
        <v>GG</v>
      </c>
      <c r="Q63">
        <f>INDEX($S$3:$V$15,MATCH(P63,$R$3:$R$15,0),MATCH(O63,$S$2:$V$2,0))</f>
        <v>6</v>
      </c>
      <c r="R63" s="4">
        <f>Q63*N63</f>
        <v>1162377216</v>
      </c>
      <c r="Z63" s="53">
        <v>33</v>
      </c>
      <c r="AA63" s="53">
        <v>1</v>
      </c>
      <c r="AB63" s="53">
        <v>0</v>
      </c>
      <c r="AC63" s="53">
        <v>1</v>
      </c>
      <c r="AD63" s="53">
        <v>1</v>
      </c>
      <c r="AE63" s="53">
        <v>0</v>
      </c>
      <c r="AF63" s="53">
        <v>0</v>
      </c>
      <c r="AG63" s="53">
        <v>500</v>
      </c>
    </row>
    <row r="64" spans="2:33">
      <c r="B64" s="5" t="str">
        <f>$B62</f>
        <v>GG</v>
      </c>
      <c r="C64" t="str">
        <f>$B62</f>
        <v>GG</v>
      </c>
      <c r="D64" t="str">
        <f>$B62</f>
        <v>GG</v>
      </c>
      <c r="E64" t="str">
        <f>$B62</f>
        <v>GG</v>
      </c>
      <c r="F64" t="str">
        <f>E64&amp;"-0"</f>
        <v>GG-0</v>
      </c>
      <c r="G64" t="str">
        <f>$B$29</f>
        <v>---</v>
      </c>
      <c r="H64">
        <f t="shared" ref="H64:H65" si="48">SUMIF($B$3:$B$29,B64,C$3:C$29)</f>
        <v>12</v>
      </c>
      <c r="I64">
        <f t="shared" si="47"/>
        <v>26</v>
      </c>
      <c r="J64">
        <f t="shared" si="47"/>
        <v>22</v>
      </c>
      <c r="K64">
        <f t="shared" si="47"/>
        <v>24</v>
      </c>
      <c r="L64">
        <f t="shared" si="47"/>
        <v>66</v>
      </c>
      <c r="M64">
        <f t="shared" si="47"/>
        <v>50</v>
      </c>
      <c r="N64">
        <f t="shared" ref="N64:N65" si="49">PRODUCT(H64:M64)</f>
        <v>543628800</v>
      </c>
      <c r="O64">
        <v>5</v>
      </c>
      <c r="P64" t="str">
        <f t="shared" ref="P64:P65" si="50">B64</f>
        <v>GG</v>
      </c>
      <c r="Q64">
        <f t="shared" ref="Q64:Q65" si="51">INDEX($S$3:$V$15,MATCH(P64,$R$3:$R$15,0),MATCH(O64,$S$2:$V$2,0))</f>
        <v>6</v>
      </c>
      <c r="R64" s="4">
        <f t="shared" ref="R64:R65" si="52">Q64*N64</f>
        <v>3261772800</v>
      </c>
      <c r="Z64" s="53">
        <v>34</v>
      </c>
      <c r="AA64" s="53">
        <v>1</v>
      </c>
      <c r="AB64" s="53">
        <v>1</v>
      </c>
      <c r="AC64" s="53">
        <v>0</v>
      </c>
      <c r="AD64" s="53">
        <v>1</v>
      </c>
      <c r="AE64" s="53">
        <v>0</v>
      </c>
      <c r="AF64" s="53">
        <v>0</v>
      </c>
      <c r="AG64" s="53">
        <v>500</v>
      </c>
    </row>
    <row r="65" spans="2:33">
      <c r="B65" s="5" t="str">
        <f>$B63</f>
        <v>GG</v>
      </c>
      <c r="C65" t="str">
        <f>$B62</f>
        <v>GG</v>
      </c>
      <c r="D65" t="str">
        <f>$B62</f>
        <v>GG</v>
      </c>
      <c r="E65" t="str">
        <f>D65&amp;"-0"</f>
        <v>GG-0</v>
      </c>
      <c r="F65" t="str">
        <f>$B$29</f>
        <v>---</v>
      </c>
      <c r="G65" t="str">
        <f>$B$29</f>
        <v>---</v>
      </c>
      <c r="H65">
        <f t="shared" si="48"/>
        <v>12</v>
      </c>
      <c r="I65">
        <f t="shared" si="47"/>
        <v>26</v>
      </c>
      <c r="J65">
        <f t="shared" si="47"/>
        <v>22</v>
      </c>
      <c r="K65">
        <f t="shared" si="47"/>
        <v>45</v>
      </c>
      <c r="L65">
        <f t="shared" si="47"/>
        <v>91</v>
      </c>
      <c r="M65">
        <f t="shared" si="47"/>
        <v>50</v>
      </c>
      <c r="N65">
        <f t="shared" si="49"/>
        <v>1405404000</v>
      </c>
      <c r="O65">
        <v>5</v>
      </c>
      <c r="P65" t="str">
        <f t="shared" si="50"/>
        <v>GG</v>
      </c>
      <c r="Q65">
        <f t="shared" si="51"/>
        <v>6</v>
      </c>
      <c r="R65" s="4">
        <f t="shared" si="52"/>
        <v>8432424000</v>
      </c>
      <c r="Z65" s="53">
        <v>35</v>
      </c>
      <c r="AA65" s="53">
        <v>1</v>
      </c>
      <c r="AB65" s="53">
        <v>1</v>
      </c>
      <c r="AC65" s="53">
        <v>1</v>
      </c>
      <c r="AD65" s="53">
        <v>0</v>
      </c>
      <c r="AE65" s="53">
        <v>0</v>
      </c>
      <c r="AF65" s="53">
        <v>0</v>
      </c>
      <c r="AG65" s="53">
        <v>500</v>
      </c>
    </row>
    <row r="66" spans="2:33">
      <c r="B66" s="5"/>
      <c r="R66" s="4"/>
    </row>
    <row r="67" spans="2:33">
      <c r="B67" s="8" t="str">
        <f>$B$11</f>
        <v>HH</v>
      </c>
      <c r="C67" s="7" t="str">
        <f>$B67</f>
        <v>HH</v>
      </c>
      <c r="D67" s="7" t="str">
        <f>$B67</f>
        <v>HH</v>
      </c>
      <c r="E67" s="7" t="str">
        <f>$B67</f>
        <v>HH</v>
      </c>
      <c r="F67" s="7" t="str">
        <f>$B67</f>
        <v>HH</v>
      </c>
      <c r="G67" s="7" t="str">
        <f>$B67</f>
        <v>HH</v>
      </c>
      <c r="H67" s="7">
        <f>SUMIF($B$3:$B$29,B67,C$3:C$29)</f>
        <v>12</v>
      </c>
      <c r="I67" s="7">
        <f t="shared" ref="I67:M70" si="53">SUMIF($B$3:$B$29,C67,D$3:D$29)</f>
        <v>14</v>
      </c>
      <c r="J67" s="7">
        <f t="shared" si="53"/>
        <v>6</v>
      </c>
      <c r="K67" s="7">
        <f t="shared" si="53"/>
        <v>2</v>
      </c>
      <c r="L67" s="7">
        <f t="shared" si="53"/>
        <v>2</v>
      </c>
      <c r="M67" s="7">
        <f t="shared" si="53"/>
        <v>2</v>
      </c>
      <c r="N67" s="7">
        <f>PRODUCT(H67:M67)</f>
        <v>8064</v>
      </c>
      <c r="O67" s="7">
        <v>6</v>
      </c>
      <c r="P67" s="7" t="str">
        <f>B67</f>
        <v>HH</v>
      </c>
      <c r="Q67" s="7">
        <f>INDEX($S$3:$V$15,MATCH(P67,$R$3:$R$15,0),MATCH(O67,$S$2:$V$2,0))</f>
        <v>20</v>
      </c>
      <c r="R67" s="6">
        <f>Q67*N67</f>
        <v>161280</v>
      </c>
    </row>
    <row r="68" spans="2:33">
      <c r="B68" s="5" t="str">
        <f>$B67</f>
        <v>HH</v>
      </c>
      <c r="C68" t="str">
        <f>$B67</f>
        <v>HH</v>
      </c>
      <c r="D68" t="str">
        <f>$B67</f>
        <v>HH</v>
      </c>
      <c r="E68" t="str">
        <f>$B67</f>
        <v>HH</v>
      </c>
      <c r="F68" t="str">
        <f>$B67</f>
        <v>HH</v>
      </c>
      <c r="G68" t="str">
        <f>F68&amp;"-0"</f>
        <v>HH-0</v>
      </c>
      <c r="H68">
        <f>SUMIF($B$3:$B$29,B68,C$3:C$29)</f>
        <v>12</v>
      </c>
      <c r="I68">
        <f t="shared" si="53"/>
        <v>14</v>
      </c>
      <c r="J68">
        <f t="shared" si="53"/>
        <v>6</v>
      </c>
      <c r="K68">
        <f t="shared" si="53"/>
        <v>2</v>
      </c>
      <c r="L68">
        <f t="shared" si="53"/>
        <v>2</v>
      </c>
      <c r="M68">
        <f t="shared" si="53"/>
        <v>48</v>
      </c>
      <c r="N68">
        <f>PRODUCT(H68:M68)</f>
        <v>193536</v>
      </c>
      <c r="O68">
        <v>5</v>
      </c>
      <c r="P68" t="str">
        <f>B68</f>
        <v>HH</v>
      </c>
      <c r="Q68">
        <f>INDEX($S$3:$V$15,MATCH(P68,$R$3:$R$15,0),MATCH(O68,$S$2:$V$2,0))</f>
        <v>6</v>
      </c>
      <c r="R68" s="4">
        <f>Q68*N68</f>
        <v>1161216</v>
      </c>
    </row>
    <row r="69" spans="2:33">
      <c r="B69" s="5" t="str">
        <f>$B67</f>
        <v>HH</v>
      </c>
      <c r="C69" t="str">
        <f>$B67</f>
        <v>HH</v>
      </c>
      <c r="D69" t="str">
        <f>$B67</f>
        <v>HH</v>
      </c>
      <c r="E69" t="str">
        <f>$B67</f>
        <v>HH</v>
      </c>
      <c r="F69" t="str">
        <f>E69&amp;"-0"</f>
        <v>HH-0</v>
      </c>
      <c r="G69" t="str">
        <f>$B$29</f>
        <v>---</v>
      </c>
      <c r="H69">
        <f t="shared" ref="H69:H70" si="54">SUMIF($B$3:$B$29,B69,C$3:C$29)</f>
        <v>12</v>
      </c>
      <c r="I69">
        <f t="shared" si="53"/>
        <v>14</v>
      </c>
      <c r="J69">
        <f t="shared" si="53"/>
        <v>6</v>
      </c>
      <c r="K69">
        <f t="shared" si="53"/>
        <v>2</v>
      </c>
      <c r="L69">
        <f t="shared" si="53"/>
        <v>89</v>
      </c>
      <c r="M69">
        <f t="shared" si="53"/>
        <v>50</v>
      </c>
      <c r="N69">
        <f t="shared" ref="N69:N70" si="55">PRODUCT(H69:M69)</f>
        <v>8971200</v>
      </c>
      <c r="O69">
        <v>5</v>
      </c>
      <c r="P69" t="str">
        <f t="shared" ref="P69:P70" si="56">B69</f>
        <v>HH</v>
      </c>
      <c r="Q69">
        <f t="shared" ref="Q69:Q70" si="57">INDEX($S$3:$V$15,MATCH(P69,$R$3:$R$15,0),MATCH(O69,$S$2:$V$2,0))</f>
        <v>6</v>
      </c>
      <c r="R69" s="4">
        <f t="shared" ref="R69:R70" si="58">Q69*N69</f>
        <v>53827200</v>
      </c>
    </row>
    <row r="70" spans="2:33">
      <c r="B70" s="5" t="str">
        <f>$B68</f>
        <v>HH</v>
      </c>
      <c r="C70" t="str">
        <f>$B67</f>
        <v>HH</v>
      </c>
      <c r="D70" t="str">
        <f>$B67</f>
        <v>HH</v>
      </c>
      <c r="E70" t="str">
        <f>D70&amp;"-0"</f>
        <v>HH-0</v>
      </c>
      <c r="F70" t="str">
        <f>$B$29</f>
        <v>---</v>
      </c>
      <c r="G70" t="str">
        <f>$B$29</f>
        <v>---</v>
      </c>
      <c r="H70">
        <f t="shared" si="54"/>
        <v>12</v>
      </c>
      <c r="I70">
        <f t="shared" si="53"/>
        <v>14</v>
      </c>
      <c r="J70">
        <f t="shared" si="53"/>
        <v>6</v>
      </c>
      <c r="K70">
        <f t="shared" si="53"/>
        <v>65</v>
      </c>
      <c r="L70">
        <f t="shared" si="53"/>
        <v>91</v>
      </c>
      <c r="M70">
        <f t="shared" si="53"/>
        <v>50</v>
      </c>
      <c r="N70">
        <f t="shared" si="55"/>
        <v>298116000</v>
      </c>
      <c r="O70">
        <v>5</v>
      </c>
      <c r="P70" t="str">
        <f t="shared" si="56"/>
        <v>HH</v>
      </c>
      <c r="Q70">
        <f t="shared" si="57"/>
        <v>6</v>
      </c>
      <c r="R70" s="4">
        <f t="shared" si="58"/>
        <v>1788696000</v>
      </c>
    </row>
    <row r="71" spans="2:33">
      <c r="B71" s="5"/>
      <c r="R71" s="4"/>
    </row>
    <row r="72" spans="2:33">
      <c r="B72" s="8" t="str">
        <f>$B$12</f>
        <v>JJ</v>
      </c>
      <c r="C72" s="7" t="str">
        <f>$B72</f>
        <v>JJ</v>
      </c>
      <c r="D72" s="7" t="str">
        <f>$B72</f>
        <v>JJ</v>
      </c>
      <c r="E72" s="7" t="str">
        <f>$B72</f>
        <v>JJ</v>
      </c>
      <c r="F72" s="7" t="str">
        <f>$B72</f>
        <v>JJ</v>
      </c>
      <c r="G72" s="7" t="str">
        <f>$B72</f>
        <v>JJ</v>
      </c>
      <c r="H72" s="7">
        <f>SUMIF($B$3:$B$29,B72,C$3:C$29)</f>
        <v>12</v>
      </c>
      <c r="I72" s="7">
        <f t="shared" ref="I72:M75" si="59">SUMIF($B$3:$B$29,C72,D$3:D$29)</f>
        <v>18</v>
      </c>
      <c r="J72" s="7">
        <f t="shared" si="59"/>
        <v>24</v>
      </c>
      <c r="K72" s="7">
        <f t="shared" si="59"/>
        <v>10</v>
      </c>
      <c r="L72" s="7">
        <f t="shared" si="59"/>
        <v>18</v>
      </c>
      <c r="M72" s="7">
        <f t="shared" si="59"/>
        <v>10</v>
      </c>
      <c r="N72" s="7">
        <f>PRODUCT(H72:M72)</f>
        <v>9331200</v>
      </c>
      <c r="O72" s="7">
        <v>6</v>
      </c>
      <c r="P72" s="7" t="str">
        <f>B72</f>
        <v>JJ</v>
      </c>
      <c r="Q72" s="7">
        <f>INDEX($S$3:$V$15,MATCH(P72,$R$3:$R$15,0),MATCH(O72,$S$2:$V$2,0))</f>
        <v>20</v>
      </c>
      <c r="R72" s="6">
        <f>Q72*N72</f>
        <v>186624000</v>
      </c>
    </row>
    <row r="73" spans="2:33">
      <c r="B73" s="5" t="str">
        <f>$B72</f>
        <v>JJ</v>
      </c>
      <c r="C73" t="str">
        <f>$B72</f>
        <v>JJ</v>
      </c>
      <c r="D73" t="str">
        <f>$B72</f>
        <v>JJ</v>
      </c>
      <c r="E73" t="str">
        <f>$B72</f>
        <v>JJ</v>
      </c>
      <c r="F73" t="str">
        <f>$B72</f>
        <v>JJ</v>
      </c>
      <c r="G73" t="str">
        <f>F73&amp;"-0"</f>
        <v>JJ-0</v>
      </c>
      <c r="H73">
        <f>SUMIF($B$3:$B$29,B73,C$3:C$29)</f>
        <v>12</v>
      </c>
      <c r="I73">
        <f t="shared" si="59"/>
        <v>18</v>
      </c>
      <c r="J73">
        <f t="shared" si="59"/>
        <v>24</v>
      </c>
      <c r="K73">
        <f t="shared" si="59"/>
        <v>10</v>
      </c>
      <c r="L73">
        <f t="shared" si="59"/>
        <v>18</v>
      </c>
      <c r="M73">
        <f t="shared" si="59"/>
        <v>42</v>
      </c>
      <c r="N73">
        <f>PRODUCT(H73:M73)</f>
        <v>39191040</v>
      </c>
      <c r="O73">
        <v>5</v>
      </c>
      <c r="P73" t="str">
        <f>B73</f>
        <v>JJ</v>
      </c>
      <c r="Q73">
        <f>INDEX($S$3:$V$15,MATCH(P73,$R$3:$R$15,0),MATCH(O73,$S$2:$V$2,0))</f>
        <v>6</v>
      </c>
      <c r="R73" s="4">
        <f>Q73*N73</f>
        <v>235146240</v>
      </c>
    </row>
    <row r="74" spans="2:33">
      <c r="B74" s="5" t="str">
        <f>$B72</f>
        <v>JJ</v>
      </c>
      <c r="C74" t="str">
        <f>$B72</f>
        <v>JJ</v>
      </c>
      <c r="D74" t="str">
        <f>$B72</f>
        <v>JJ</v>
      </c>
      <c r="E74" t="str">
        <f>$B72</f>
        <v>JJ</v>
      </c>
      <c r="F74" t="str">
        <f>E74&amp;"-0"</f>
        <v>JJ-0</v>
      </c>
      <c r="G74" t="str">
        <f>$B$29</f>
        <v>---</v>
      </c>
      <c r="H74">
        <f t="shared" ref="H74:H75" si="60">SUMIF($B$3:$B$29,B74,C$3:C$29)</f>
        <v>12</v>
      </c>
      <c r="I74">
        <f t="shared" si="59"/>
        <v>18</v>
      </c>
      <c r="J74">
        <f t="shared" si="59"/>
        <v>24</v>
      </c>
      <c r="K74">
        <f t="shared" si="59"/>
        <v>10</v>
      </c>
      <c r="L74">
        <f t="shared" si="59"/>
        <v>75</v>
      </c>
      <c r="M74">
        <f t="shared" si="59"/>
        <v>50</v>
      </c>
      <c r="N74">
        <f t="shared" ref="N74:N75" si="61">PRODUCT(H74:M74)</f>
        <v>194400000</v>
      </c>
      <c r="O74">
        <v>5</v>
      </c>
      <c r="P74" t="str">
        <f t="shared" ref="P74:P75" si="62">B74</f>
        <v>JJ</v>
      </c>
      <c r="Q74">
        <f t="shared" ref="Q74:Q75" si="63">INDEX($S$3:$V$15,MATCH(P74,$R$3:$R$15,0),MATCH(O74,$S$2:$V$2,0))</f>
        <v>6</v>
      </c>
      <c r="R74" s="4">
        <f t="shared" ref="R74:R75" si="64">Q74*N74</f>
        <v>1166400000</v>
      </c>
    </row>
    <row r="75" spans="2:33">
      <c r="B75" s="5" t="str">
        <f>$B73</f>
        <v>JJ</v>
      </c>
      <c r="C75" t="str">
        <f>$B72</f>
        <v>JJ</v>
      </c>
      <c r="D75" t="str">
        <f>$B72</f>
        <v>JJ</v>
      </c>
      <c r="E75" t="str">
        <f>D75&amp;"-0"</f>
        <v>JJ-0</v>
      </c>
      <c r="F75" t="str">
        <f>$B$29</f>
        <v>---</v>
      </c>
      <c r="G75" t="str">
        <f>$B$29</f>
        <v>---</v>
      </c>
      <c r="H75">
        <f t="shared" si="60"/>
        <v>12</v>
      </c>
      <c r="I75">
        <f t="shared" si="59"/>
        <v>18</v>
      </c>
      <c r="J75">
        <f t="shared" si="59"/>
        <v>24</v>
      </c>
      <c r="K75">
        <f t="shared" si="59"/>
        <v>59</v>
      </c>
      <c r="L75">
        <f t="shared" si="59"/>
        <v>91</v>
      </c>
      <c r="M75">
        <f t="shared" si="59"/>
        <v>50</v>
      </c>
      <c r="N75">
        <f t="shared" si="61"/>
        <v>1391644800</v>
      </c>
      <c r="O75">
        <v>5</v>
      </c>
      <c r="P75" t="str">
        <f t="shared" si="62"/>
        <v>JJ</v>
      </c>
      <c r="Q75">
        <f t="shared" si="63"/>
        <v>6</v>
      </c>
      <c r="R75" s="4">
        <f t="shared" si="64"/>
        <v>8349868800</v>
      </c>
    </row>
    <row r="76" spans="2:33">
      <c r="B76" s="5"/>
      <c r="R76" s="4"/>
    </row>
    <row r="77" spans="2:33">
      <c r="B77" s="8" t="str">
        <f>$B$13</f>
        <v>KK</v>
      </c>
      <c r="C77" s="7" t="str">
        <f>$B77</f>
        <v>KK</v>
      </c>
      <c r="D77" s="7" t="str">
        <f>$B77</f>
        <v>KK</v>
      </c>
      <c r="E77" s="7" t="str">
        <f>$B77</f>
        <v>KK</v>
      </c>
      <c r="F77" s="7" t="str">
        <f>$B77</f>
        <v>KK</v>
      </c>
      <c r="G77" s="7" t="str">
        <f>$B77</f>
        <v>KK</v>
      </c>
      <c r="H77" s="7">
        <f>SUMIF($B$3:$B$29,B77,C$3:C$29)</f>
        <v>10</v>
      </c>
      <c r="I77" s="7">
        <f t="shared" ref="I77:M80" si="65">SUMIF($B$3:$B$29,C77,D$3:D$29)</f>
        <v>14</v>
      </c>
      <c r="J77" s="7">
        <f t="shared" si="65"/>
        <v>24</v>
      </c>
      <c r="K77" s="7">
        <f t="shared" si="65"/>
        <v>8</v>
      </c>
      <c r="L77" s="7">
        <f t="shared" si="65"/>
        <v>24</v>
      </c>
      <c r="M77" s="7">
        <f t="shared" si="65"/>
        <v>8</v>
      </c>
      <c r="N77" s="7">
        <f>PRODUCT(H77:M77)</f>
        <v>5160960</v>
      </c>
      <c r="O77" s="7">
        <v>6</v>
      </c>
      <c r="P77" s="7" t="str">
        <f>B77</f>
        <v>KK</v>
      </c>
      <c r="Q77" s="7">
        <f>INDEX($S$3:$V$15,MATCH(P77,$R$3:$R$15,0),MATCH(O77,$S$2:$V$2,0))</f>
        <v>10</v>
      </c>
      <c r="R77" s="6">
        <f>Q77*N77</f>
        <v>51609600</v>
      </c>
    </row>
    <row r="78" spans="2:33">
      <c r="B78" s="5" t="str">
        <f>$B77</f>
        <v>KK</v>
      </c>
      <c r="C78" t="str">
        <f>$B77</f>
        <v>KK</v>
      </c>
      <c r="D78" t="str">
        <f>$B77</f>
        <v>KK</v>
      </c>
      <c r="E78" t="str">
        <f>$B77</f>
        <v>KK</v>
      </c>
      <c r="F78" t="str">
        <f>$B77</f>
        <v>KK</v>
      </c>
      <c r="G78" t="str">
        <f>F78&amp;"-0"</f>
        <v>KK-0</v>
      </c>
      <c r="H78">
        <f>SUMIF($B$3:$B$29,B78,C$3:C$29)</f>
        <v>10</v>
      </c>
      <c r="I78">
        <f t="shared" si="65"/>
        <v>14</v>
      </c>
      <c r="J78">
        <f t="shared" si="65"/>
        <v>24</v>
      </c>
      <c r="K78">
        <f t="shared" si="65"/>
        <v>8</v>
      </c>
      <c r="L78">
        <f t="shared" si="65"/>
        <v>24</v>
      </c>
      <c r="M78">
        <f t="shared" si="65"/>
        <v>44</v>
      </c>
      <c r="N78">
        <f>PRODUCT(H78:M78)</f>
        <v>28385280</v>
      </c>
      <c r="O78">
        <v>5</v>
      </c>
      <c r="P78" t="str">
        <f>B78</f>
        <v>KK</v>
      </c>
      <c r="Q78">
        <f>INDEX($S$3:$V$15,MATCH(P78,$R$3:$R$15,0),MATCH(O78,$S$2:$V$2,0))</f>
        <v>4</v>
      </c>
      <c r="R78" s="4">
        <f>Q78*N78</f>
        <v>113541120</v>
      </c>
    </row>
    <row r="79" spans="2:33">
      <c r="B79" s="5" t="str">
        <f>$B77</f>
        <v>KK</v>
      </c>
      <c r="C79" t="str">
        <f>$B77</f>
        <v>KK</v>
      </c>
      <c r="D79" t="str">
        <f>$B77</f>
        <v>KK</v>
      </c>
      <c r="E79" t="str">
        <f>$B77</f>
        <v>KK</v>
      </c>
      <c r="F79" t="str">
        <f>E79&amp;"-0"</f>
        <v>KK-0</v>
      </c>
      <c r="G79" t="str">
        <f>$B$29</f>
        <v>---</v>
      </c>
      <c r="H79">
        <f t="shared" ref="H79:H80" si="66">SUMIF($B$3:$B$29,B79,C$3:C$29)</f>
        <v>10</v>
      </c>
      <c r="I79">
        <f t="shared" si="65"/>
        <v>14</v>
      </c>
      <c r="J79">
        <f t="shared" si="65"/>
        <v>24</v>
      </c>
      <c r="K79">
        <f t="shared" si="65"/>
        <v>8</v>
      </c>
      <c r="L79">
        <f t="shared" si="65"/>
        <v>69</v>
      </c>
      <c r="M79">
        <f t="shared" si="65"/>
        <v>50</v>
      </c>
      <c r="N79">
        <f t="shared" ref="N79:N80" si="67">PRODUCT(H79:M79)</f>
        <v>92736000</v>
      </c>
      <c r="O79">
        <v>5</v>
      </c>
      <c r="P79" t="str">
        <f t="shared" ref="P79:P80" si="68">B79</f>
        <v>KK</v>
      </c>
      <c r="Q79">
        <f t="shared" ref="Q79:Q80" si="69">INDEX($S$3:$V$15,MATCH(P79,$R$3:$R$15,0),MATCH(O79,$S$2:$V$2,0))</f>
        <v>4</v>
      </c>
      <c r="R79" s="4">
        <f t="shared" ref="R79:R80" si="70">Q79*N79</f>
        <v>370944000</v>
      </c>
    </row>
    <row r="80" spans="2:33">
      <c r="B80" s="5" t="str">
        <f>$B78</f>
        <v>KK</v>
      </c>
      <c r="C80" t="str">
        <f>$B77</f>
        <v>KK</v>
      </c>
      <c r="D80" t="str">
        <f>$B77</f>
        <v>KK</v>
      </c>
      <c r="E80" t="str">
        <f>D80&amp;"-0"</f>
        <v>KK-0</v>
      </c>
      <c r="F80" t="str">
        <f>$B$29</f>
        <v>---</v>
      </c>
      <c r="G80" t="str">
        <f>$B$29</f>
        <v>---</v>
      </c>
      <c r="H80">
        <f t="shared" si="66"/>
        <v>10</v>
      </c>
      <c r="I80">
        <f t="shared" si="65"/>
        <v>14</v>
      </c>
      <c r="J80">
        <f t="shared" si="65"/>
        <v>24</v>
      </c>
      <c r="K80">
        <f t="shared" si="65"/>
        <v>61</v>
      </c>
      <c r="L80">
        <f t="shared" si="65"/>
        <v>91</v>
      </c>
      <c r="M80">
        <f t="shared" si="65"/>
        <v>50</v>
      </c>
      <c r="N80">
        <f t="shared" si="67"/>
        <v>932568000</v>
      </c>
      <c r="O80">
        <v>5</v>
      </c>
      <c r="P80" t="str">
        <f t="shared" si="68"/>
        <v>KK</v>
      </c>
      <c r="Q80">
        <f t="shared" si="69"/>
        <v>4</v>
      </c>
      <c r="R80" s="4">
        <f t="shared" si="70"/>
        <v>3730272000</v>
      </c>
    </row>
    <row r="81" spans="2:18">
      <c r="B81" s="5"/>
      <c r="R81" s="4"/>
    </row>
    <row r="82" spans="2:18">
      <c r="B82" s="8" t="str">
        <f>$B$14</f>
        <v>LL</v>
      </c>
      <c r="C82" s="7" t="str">
        <f>$B82</f>
        <v>LL</v>
      </c>
      <c r="D82" s="7" t="str">
        <f>$B82</f>
        <v>LL</v>
      </c>
      <c r="E82" s="7" t="str">
        <f>$B82</f>
        <v>LL</v>
      </c>
      <c r="F82" s="7" t="str">
        <f>$B82</f>
        <v>LL</v>
      </c>
      <c r="G82" s="7" t="str">
        <f>$B82</f>
        <v>LL</v>
      </c>
      <c r="H82" s="7">
        <f>SUMIF($B$3:$B$29,B82,C$3:C$29)</f>
        <v>8</v>
      </c>
      <c r="I82" s="7">
        <f t="shared" ref="I82:M85" si="71">SUMIF($B$3:$B$29,C82,D$3:D$29)</f>
        <v>18</v>
      </c>
      <c r="J82" s="7">
        <f t="shared" si="71"/>
        <v>18</v>
      </c>
      <c r="K82" s="7">
        <f t="shared" si="71"/>
        <v>12</v>
      </c>
      <c r="L82" s="7">
        <f t="shared" si="71"/>
        <v>8</v>
      </c>
      <c r="M82" s="7">
        <f t="shared" si="71"/>
        <v>12</v>
      </c>
      <c r="N82" s="7">
        <f>PRODUCT(H82:M82)</f>
        <v>2985984</v>
      </c>
      <c r="O82" s="7">
        <v>6</v>
      </c>
      <c r="P82" s="7" t="str">
        <f>B82</f>
        <v>LL</v>
      </c>
      <c r="Q82" s="7">
        <f>INDEX($S$3:$V$15,MATCH(P82,$R$3:$R$15,0),MATCH(O82,$S$2:$V$2,0))</f>
        <v>10</v>
      </c>
      <c r="R82" s="6">
        <f>Q82*N82</f>
        <v>29859840</v>
      </c>
    </row>
    <row r="83" spans="2:18">
      <c r="B83" s="5" t="str">
        <f>$B82</f>
        <v>LL</v>
      </c>
      <c r="C83" t="str">
        <f>$B82</f>
        <v>LL</v>
      </c>
      <c r="D83" t="str">
        <f>$B82</f>
        <v>LL</v>
      </c>
      <c r="E83" t="str">
        <f>$B82</f>
        <v>LL</v>
      </c>
      <c r="F83" t="str">
        <f>$B82</f>
        <v>LL</v>
      </c>
      <c r="G83" t="str">
        <f>F83&amp;"-0"</f>
        <v>LL-0</v>
      </c>
      <c r="H83">
        <f>SUMIF($B$3:$B$29,B83,C$3:C$29)</f>
        <v>8</v>
      </c>
      <c r="I83">
        <f t="shared" si="71"/>
        <v>18</v>
      </c>
      <c r="J83">
        <f t="shared" si="71"/>
        <v>18</v>
      </c>
      <c r="K83">
        <f t="shared" si="71"/>
        <v>12</v>
      </c>
      <c r="L83">
        <f t="shared" si="71"/>
        <v>8</v>
      </c>
      <c r="M83">
        <f t="shared" si="71"/>
        <v>40</v>
      </c>
      <c r="N83">
        <f>PRODUCT(H83:M83)</f>
        <v>9953280</v>
      </c>
      <c r="O83">
        <v>5</v>
      </c>
      <c r="P83" t="str">
        <f>B83</f>
        <v>LL</v>
      </c>
      <c r="Q83">
        <f>INDEX($S$3:$V$15,MATCH(P83,$R$3:$R$15,0),MATCH(O83,$S$2:$V$2,0))</f>
        <v>4</v>
      </c>
      <c r="R83" s="4">
        <f>Q83*N83</f>
        <v>39813120</v>
      </c>
    </row>
    <row r="84" spans="2:18">
      <c r="B84" s="5" t="str">
        <f>$B82</f>
        <v>LL</v>
      </c>
      <c r="C84" t="str">
        <f>$B82</f>
        <v>LL</v>
      </c>
      <c r="D84" t="str">
        <f>$B82</f>
        <v>LL</v>
      </c>
      <c r="E84" t="str">
        <f>$B82</f>
        <v>LL</v>
      </c>
      <c r="F84" t="str">
        <f>E84&amp;"-0"</f>
        <v>LL-0</v>
      </c>
      <c r="G84" t="str">
        <f>$B$29</f>
        <v>---</v>
      </c>
      <c r="H84">
        <f t="shared" ref="H84:H85" si="72">SUMIF($B$3:$B$29,B84,C$3:C$29)</f>
        <v>8</v>
      </c>
      <c r="I84">
        <f t="shared" si="71"/>
        <v>18</v>
      </c>
      <c r="J84">
        <f t="shared" si="71"/>
        <v>18</v>
      </c>
      <c r="K84">
        <f t="shared" si="71"/>
        <v>12</v>
      </c>
      <c r="L84">
        <f t="shared" si="71"/>
        <v>85</v>
      </c>
      <c r="M84">
        <f t="shared" si="71"/>
        <v>50</v>
      </c>
      <c r="N84">
        <f t="shared" ref="N84:N85" si="73">PRODUCT(H84:M84)</f>
        <v>132192000</v>
      </c>
      <c r="O84">
        <v>5</v>
      </c>
      <c r="P84" t="str">
        <f t="shared" ref="P84:P85" si="74">B84</f>
        <v>LL</v>
      </c>
      <c r="Q84">
        <f t="shared" ref="Q84:Q85" si="75">INDEX($S$3:$V$15,MATCH(P84,$R$3:$R$15,0),MATCH(O84,$S$2:$V$2,0))</f>
        <v>4</v>
      </c>
      <c r="R84" s="4">
        <f t="shared" ref="R84:R85" si="76">Q84*N84</f>
        <v>528768000</v>
      </c>
    </row>
    <row r="85" spans="2:18">
      <c r="B85" s="5" t="str">
        <f>$B83</f>
        <v>LL</v>
      </c>
      <c r="C85" t="str">
        <f>$B82</f>
        <v>LL</v>
      </c>
      <c r="D85" t="str">
        <f>$B82</f>
        <v>LL</v>
      </c>
      <c r="E85" t="str">
        <f>D85&amp;"-0"</f>
        <v>LL-0</v>
      </c>
      <c r="F85" t="str">
        <f>$B$29</f>
        <v>---</v>
      </c>
      <c r="G85" t="str">
        <f>$B$29</f>
        <v>---</v>
      </c>
      <c r="H85">
        <f t="shared" si="72"/>
        <v>8</v>
      </c>
      <c r="I85">
        <f t="shared" si="71"/>
        <v>18</v>
      </c>
      <c r="J85">
        <f t="shared" si="71"/>
        <v>18</v>
      </c>
      <c r="K85">
        <f t="shared" si="71"/>
        <v>57</v>
      </c>
      <c r="L85">
        <f t="shared" si="71"/>
        <v>91</v>
      </c>
      <c r="M85">
        <f t="shared" si="71"/>
        <v>50</v>
      </c>
      <c r="N85">
        <f t="shared" si="73"/>
        <v>672235200</v>
      </c>
      <c r="O85">
        <v>5</v>
      </c>
      <c r="P85" t="str">
        <f t="shared" si="74"/>
        <v>LL</v>
      </c>
      <c r="Q85">
        <f t="shared" si="75"/>
        <v>4</v>
      </c>
      <c r="R85" s="4">
        <f t="shared" si="76"/>
        <v>2688940800</v>
      </c>
    </row>
    <row r="86" spans="2:18"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9">
        <f>SUM(R32:R85)</f>
        <v>49043447552</v>
      </c>
    </row>
    <row r="88" spans="2:18">
      <c r="B88" s="8" t="str">
        <f>$B$15</f>
        <v>BN</v>
      </c>
      <c r="C88" s="7" t="str">
        <f t="shared" ref="C88:G105" si="77">$B$15</f>
        <v>BN</v>
      </c>
      <c r="D88" s="7" t="str">
        <f t="shared" si="77"/>
        <v>BN</v>
      </c>
      <c r="E88" s="7" t="str">
        <f t="shared" si="77"/>
        <v>BN</v>
      </c>
      <c r="F88" s="7" t="str">
        <f t="shared" si="77"/>
        <v>BN</v>
      </c>
      <c r="G88" s="7" t="str">
        <f t="shared" si="77"/>
        <v>BN</v>
      </c>
      <c r="H88" s="7">
        <f>SUMIF($B$3:$B$28,B88,C$3:C$28)</f>
        <v>0</v>
      </c>
      <c r="I88" s="7">
        <f t="shared" ref="I88:M88" si="78">SUMIF($B$3:$B$28,C88,D$3:D$28)</f>
        <v>0</v>
      </c>
      <c r="J88" s="7">
        <f t="shared" si="78"/>
        <v>0</v>
      </c>
      <c r="K88" s="7">
        <f t="shared" si="78"/>
        <v>0</v>
      </c>
      <c r="L88" s="7">
        <f t="shared" si="78"/>
        <v>0</v>
      </c>
      <c r="M88" s="7">
        <f t="shared" si="78"/>
        <v>0</v>
      </c>
      <c r="N88" s="6">
        <f>PRODUCT(H88:M88)</f>
        <v>0</v>
      </c>
    </row>
    <row r="89" spans="2:18">
      <c r="B89" s="5"/>
      <c r="N89" s="4"/>
    </row>
    <row r="90" spans="2:18">
      <c r="B90" s="5" t="str">
        <f t="shared" ref="B90:G116" si="79">$B$15</f>
        <v>BN</v>
      </c>
      <c r="C90" t="str">
        <f t="shared" si="77"/>
        <v>BN</v>
      </c>
      <c r="D90" t="str">
        <f t="shared" si="77"/>
        <v>BN</v>
      </c>
      <c r="E90" t="str">
        <f t="shared" si="77"/>
        <v>BN</v>
      </c>
      <c r="F90" t="str">
        <f t="shared" si="77"/>
        <v>BN</v>
      </c>
      <c r="G90" t="str">
        <f>$B$28</f>
        <v>BN-0</v>
      </c>
      <c r="H90">
        <f>SUMIF($B$3:$B$28,B90,C$3:C$28)</f>
        <v>0</v>
      </c>
      <c r="I90">
        <f t="shared" ref="I90:M105" si="80">SUMIF($B$3:$B$28,C90,D$3:D$28)</f>
        <v>0</v>
      </c>
      <c r="J90">
        <f t="shared" si="80"/>
        <v>0</v>
      </c>
      <c r="K90">
        <f t="shared" si="80"/>
        <v>0</v>
      </c>
      <c r="L90">
        <f t="shared" si="80"/>
        <v>0</v>
      </c>
      <c r="M90">
        <f t="shared" si="80"/>
        <v>50</v>
      </c>
      <c r="N90" s="4">
        <f>PRODUCT(H90:M90)</f>
        <v>0</v>
      </c>
    </row>
    <row r="91" spans="2:18">
      <c r="B91" s="5" t="str">
        <f t="shared" si="79"/>
        <v>BN</v>
      </c>
      <c r="C91" t="str">
        <f t="shared" si="77"/>
        <v>BN</v>
      </c>
      <c r="D91" t="str">
        <f t="shared" si="77"/>
        <v>BN</v>
      </c>
      <c r="E91" t="str">
        <f t="shared" si="77"/>
        <v>BN</v>
      </c>
      <c r="F91" t="str">
        <f>$B$28</f>
        <v>BN-0</v>
      </c>
      <c r="G91" t="str">
        <f t="shared" si="77"/>
        <v>BN</v>
      </c>
      <c r="H91">
        <f t="shared" ref="H91:M115" si="81">SUMIF($B$3:$B$28,B91,C$3:C$28)</f>
        <v>0</v>
      </c>
      <c r="I91">
        <f t="shared" si="80"/>
        <v>0</v>
      </c>
      <c r="J91">
        <f t="shared" si="80"/>
        <v>0</v>
      </c>
      <c r="K91">
        <f t="shared" si="80"/>
        <v>0</v>
      </c>
      <c r="L91">
        <f t="shared" si="80"/>
        <v>91</v>
      </c>
      <c r="M91">
        <f t="shared" si="80"/>
        <v>0</v>
      </c>
      <c r="N91" s="4">
        <f t="shared" ref="N91:N132" si="82">PRODUCT(H91:M91)</f>
        <v>0</v>
      </c>
    </row>
    <row r="92" spans="2:18">
      <c r="B92" s="5" t="str">
        <f t="shared" si="79"/>
        <v>BN</v>
      </c>
      <c r="C92" t="str">
        <f t="shared" si="77"/>
        <v>BN</v>
      </c>
      <c r="D92" t="str">
        <f t="shared" si="77"/>
        <v>BN</v>
      </c>
      <c r="E92" t="str">
        <f>$B$28</f>
        <v>BN-0</v>
      </c>
      <c r="F92" t="str">
        <f t="shared" si="77"/>
        <v>BN</v>
      </c>
      <c r="G92" t="str">
        <f t="shared" si="77"/>
        <v>BN</v>
      </c>
      <c r="H92">
        <f t="shared" si="81"/>
        <v>0</v>
      </c>
      <c r="I92">
        <f t="shared" si="80"/>
        <v>0</v>
      </c>
      <c r="J92">
        <f t="shared" si="80"/>
        <v>0</v>
      </c>
      <c r="K92">
        <f t="shared" si="80"/>
        <v>67</v>
      </c>
      <c r="L92">
        <f t="shared" si="80"/>
        <v>0</v>
      </c>
      <c r="M92">
        <f t="shared" si="80"/>
        <v>0</v>
      </c>
      <c r="N92" s="4">
        <f t="shared" si="82"/>
        <v>0</v>
      </c>
    </row>
    <row r="93" spans="2:18">
      <c r="B93" s="5" t="str">
        <f t="shared" si="79"/>
        <v>BN</v>
      </c>
      <c r="C93" t="str">
        <f t="shared" si="77"/>
        <v>BN</v>
      </c>
      <c r="D93" t="str">
        <f>$B$28</f>
        <v>BN-0</v>
      </c>
      <c r="E93" t="str">
        <f t="shared" si="77"/>
        <v>BN</v>
      </c>
      <c r="F93" t="str">
        <f t="shared" si="77"/>
        <v>BN</v>
      </c>
      <c r="G93" t="str">
        <f t="shared" si="77"/>
        <v>BN</v>
      </c>
      <c r="H93">
        <f t="shared" si="81"/>
        <v>0</v>
      </c>
      <c r="I93">
        <f t="shared" si="80"/>
        <v>0</v>
      </c>
      <c r="J93">
        <f t="shared" si="80"/>
        <v>84</v>
      </c>
      <c r="K93">
        <f t="shared" si="80"/>
        <v>0</v>
      </c>
      <c r="L93">
        <f t="shared" si="80"/>
        <v>0</v>
      </c>
      <c r="M93">
        <f t="shared" si="80"/>
        <v>0</v>
      </c>
      <c r="N93" s="4">
        <f t="shared" si="82"/>
        <v>0</v>
      </c>
    </row>
    <row r="94" spans="2:18">
      <c r="B94" s="5" t="str">
        <f t="shared" si="79"/>
        <v>BN</v>
      </c>
      <c r="C94" t="str">
        <f>$B$28</f>
        <v>BN-0</v>
      </c>
      <c r="D94" t="str">
        <f t="shared" si="77"/>
        <v>BN</v>
      </c>
      <c r="E94" t="str">
        <f t="shared" si="77"/>
        <v>BN</v>
      </c>
      <c r="F94" t="str">
        <f t="shared" si="77"/>
        <v>BN</v>
      </c>
      <c r="G94" t="str">
        <f t="shared" si="77"/>
        <v>BN</v>
      </c>
      <c r="H94">
        <f t="shared" si="81"/>
        <v>0</v>
      </c>
      <c r="I94">
        <f t="shared" si="80"/>
        <v>73</v>
      </c>
      <c r="J94">
        <f t="shared" si="80"/>
        <v>0</v>
      </c>
      <c r="K94">
        <f t="shared" si="80"/>
        <v>0</v>
      </c>
      <c r="L94">
        <f t="shared" si="80"/>
        <v>0</v>
      </c>
      <c r="M94">
        <f t="shared" si="80"/>
        <v>0</v>
      </c>
      <c r="N94" s="4">
        <f t="shared" si="82"/>
        <v>0</v>
      </c>
    </row>
    <row r="95" spans="2:18">
      <c r="B95" s="5" t="str">
        <f>$B$28</f>
        <v>BN-0</v>
      </c>
      <c r="C95" t="str">
        <f t="shared" si="77"/>
        <v>BN</v>
      </c>
      <c r="D95" t="str">
        <f t="shared" si="77"/>
        <v>BN</v>
      </c>
      <c r="E95" t="str">
        <f t="shared" si="77"/>
        <v>BN</v>
      </c>
      <c r="F95" t="str">
        <f t="shared" si="77"/>
        <v>BN</v>
      </c>
      <c r="G95" t="str">
        <f t="shared" si="77"/>
        <v>BN</v>
      </c>
      <c r="H95">
        <f t="shared" si="81"/>
        <v>40</v>
      </c>
      <c r="I95">
        <f t="shared" si="80"/>
        <v>0</v>
      </c>
      <c r="J95">
        <f t="shared" si="80"/>
        <v>0</v>
      </c>
      <c r="K95">
        <f t="shared" si="80"/>
        <v>0</v>
      </c>
      <c r="L95">
        <f t="shared" si="80"/>
        <v>0</v>
      </c>
      <c r="M95">
        <f t="shared" si="80"/>
        <v>0</v>
      </c>
      <c r="N95" s="4">
        <f t="shared" si="82"/>
        <v>0</v>
      </c>
    </row>
    <row r="96" spans="2:18">
      <c r="B96" s="5"/>
      <c r="N96" s="4"/>
    </row>
    <row r="97" spans="2:14">
      <c r="B97" s="5" t="str">
        <f t="shared" si="79"/>
        <v>BN</v>
      </c>
      <c r="C97" t="str">
        <f t="shared" si="77"/>
        <v>BN</v>
      </c>
      <c r="D97" t="str">
        <f t="shared" si="77"/>
        <v>BN</v>
      </c>
      <c r="E97" t="str">
        <f t="shared" si="77"/>
        <v>BN</v>
      </c>
      <c r="F97" t="str">
        <f>$B$28</f>
        <v>BN-0</v>
      </c>
      <c r="G97" t="str">
        <f>$B$28</f>
        <v>BN-0</v>
      </c>
      <c r="H97">
        <f t="shared" si="81"/>
        <v>0</v>
      </c>
      <c r="I97">
        <f t="shared" si="80"/>
        <v>0</v>
      </c>
      <c r="J97">
        <f t="shared" si="80"/>
        <v>0</v>
      </c>
      <c r="K97">
        <f t="shared" si="80"/>
        <v>0</v>
      </c>
      <c r="L97">
        <f t="shared" si="80"/>
        <v>91</v>
      </c>
      <c r="M97">
        <f t="shared" si="80"/>
        <v>50</v>
      </c>
      <c r="N97" s="4">
        <f t="shared" si="82"/>
        <v>0</v>
      </c>
    </row>
    <row r="98" spans="2:14">
      <c r="B98" s="5" t="str">
        <f t="shared" si="79"/>
        <v>BN</v>
      </c>
      <c r="C98" t="str">
        <f t="shared" si="77"/>
        <v>BN</v>
      </c>
      <c r="D98" t="str">
        <f t="shared" si="77"/>
        <v>BN</v>
      </c>
      <c r="E98" t="str">
        <f>$B$28</f>
        <v>BN-0</v>
      </c>
      <c r="F98" t="str">
        <f t="shared" si="77"/>
        <v>BN</v>
      </c>
      <c r="G98" t="str">
        <f>$B$28</f>
        <v>BN-0</v>
      </c>
      <c r="H98">
        <f t="shared" si="81"/>
        <v>0</v>
      </c>
      <c r="I98">
        <f t="shared" si="80"/>
        <v>0</v>
      </c>
      <c r="J98">
        <f t="shared" si="80"/>
        <v>0</v>
      </c>
      <c r="K98">
        <f t="shared" si="80"/>
        <v>67</v>
      </c>
      <c r="L98">
        <f t="shared" si="80"/>
        <v>0</v>
      </c>
      <c r="M98">
        <f t="shared" si="80"/>
        <v>50</v>
      </c>
      <c r="N98" s="4">
        <f t="shared" si="82"/>
        <v>0</v>
      </c>
    </row>
    <row r="99" spans="2:14">
      <c r="B99" s="5" t="str">
        <f t="shared" si="79"/>
        <v>BN</v>
      </c>
      <c r="C99" t="str">
        <f t="shared" si="77"/>
        <v>BN</v>
      </c>
      <c r="D99" t="str">
        <f>$B$28</f>
        <v>BN-0</v>
      </c>
      <c r="E99" t="str">
        <f t="shared" si="77"/>
        <v>BN</v>
      </c>
      <c r="F99" t="str">
        <f t="shared" si="77"/>
        <v>BN</v>
      </c>
      <c r="G99" t="str">
        <f>$B$28</f>
        <v>BN-0</v>
      </c>
      <c r="H99">
        <f t="shared" si="81"/>
        <v>0</v>
      </c>
      <c r="I99">
        <f t="shared" si="80"/>
        <v>0</v>
      </c>
      <c r="J99">
        <f t="shared" si="80"/>
        <v>84</v>
      </c>
      <c r="K99">
        <f t="shared" si="80"/>
        <v>0</v>
      </c>
      <c r="L99">
        <f t="shared" si="80"/>
        <v>0</v>
      </c>
      <c r="M99">
        <f t="shared" si="80"/>
        <v>50</v>
      </c>
      <c r="N99" s="4">
        <f t="shared" si="82"/>
        <v>0</v>
      </c>
    </row>
    <row r="100" spans="2:14">
      <c r="B100" s="5" t="str">
        <f t="shared" si="79"/>
        <v>BN</v>
      </c>
      <c r="C100" t="str">
        <f>$B$28</f>
        <v>BN-0</v>
      </c>
      <c r="D100" t="str">
        <f t="shared" si="77"/>
        <v>BN</v>
      </c>
      <c r="E100" t="str">
        <f t="shared" si="77"/>
        <v>BN</v>
      </c>
      <c r="F100" t="str">
        <f t="shared" si="77"/>
        <v>BN</v>
      </c>
      <c r="G100" t="str">
        <f>$B$28</f>
        <v>BN-0</v>
      </c>
      <c r="H100">
        <f t="shared" si="81"/>
        <v>0</v>
      </c>
      <c r="I100">
        <f t="shared" si="80"/>
        <v>73</v>
      </c>
      <c r="J100">
        <f t="shared" si="80"/>
        <v>0</v>
      </c>
      <c r="K100">
        <f t="shared" si="80"/>
        <v>0</v>
      </c>
      <c r="L100">
        <f t="shared" si="80"/>
        <v>0</v>
      </c>
      <c r="M100">
        <f t="shared" si="80"/>
        <v>50</v>
      </c>
      <c r="N100" s="4">
        <f t="shared" si="82"/>
        <v>0</v>
      </c>
    </row>
    <row r="101" spans="2:14">
      <c r="B101" s="5" t="str">
        <f>$B$28</f>
        <v>BN-0</v>
      </c>
      <c r="C101" t="str">
        <f t="shared" si="77"/>
        <v>BN</v>
      </c>
      <c r="D101" t="str">
        <f t="shared" si="77"/>
        <v>BN</v>
      </c>
      <c r="E101" t="str">
        <f t="shared" si="77"/>
        <v>BN</v>
      </c>
      <c r="F101" t="str">
        <f t="shared" si="77"/>
        <v>BN</v>
      </c>
      <c r="G101" t="str">
        <f>$B$28</f>
        <v>BN-0</v>
      </c>
      <c r="H101">
        <f t="shared" si="81"/>
        <v>40</v>
      </c>
      <c r="I101">
        <f t="shared" si="80"/>
        <v>0</v>
      </c>
      <c r="J101">
        <f t="shared" si="80"/>
        <v>0</v>
      </c>
      <c r="K101">
        <f t="shared" si="80"/>
        <v>0</v>
      </c>
      <c r="L101">
        <f t="shared" si="80"/>
        <v>0</v>
      </c>
      <c r="M101">
        <f t="shared" si="80"/>
        <v>50</v>
      </c>
      <c r="N101" s="4">
        <f t="shared" si="82"/>
        <v>0</v>
      </c>
    </row>
    <row r="102" spans="2:14">
      <c r="B102" s="5" t="str">
        <f t="shared" si="79"/>
        <v>BN</v>
      </c>
      <c r="C102" t="str">
        <f t="shared" si="77"/>
        <v>BN</v>
      </c>
      <c r="D102" t="str">
        <f t="shared" si="77"/>
        <v>BN</v>
      </c>
      <c r="E102" t="str">
        <f>$B$28</f>
        <v>BN-0</v>
      </c>
      <c r="F102" t="str">
        <f>$B$28</f>
        <v>BN-0</v>
      </c>
      <c r="G102" t="str">
        <f t="shared" si="77"/>
        <v>BN</v>
      </c>
      <c r="H102">
        <f t="shared" si="81"/>
        <v>0</v>
      </c>
      <c r="I102">
        <f t="shared" si="80"/>
        <v>0</v>
      </c>
      <c r="J102">
        <f t="shared" si="80"/>
        <v>0</v>
      </c>
      <c r="K102">
        <f t="shared" si="80"/>
        <v>67</v>
      </c>
      <c r="L102">
        <f t="shared" si="80"/>
        <v>91</v>
      </c>
      <c r="M102">
        <f t="shared" si="80"/>
        <v>0</v>
      </c>
      <c r="N102" s="4">
        <f t="shared" si="82"/>
        <v>0</v>
      </c>
    </row>
    <row r="103" spans="2:14">
      <c r="B103" s="5" t="str">
        <f t="shared" si="79"/>
        <v>BN</v>
      </c>
      <c r="C103" t="str">
        <f t="shared" si="77"/>
        <v>BN</v>
      </c>
      <c r="D103" t="str">
        <f>$B$28</f>
        <v>BN-0</v>
      </c>
      <c r="E103" t="str">
        <f t="shared" si="77"/>
        <v>BN</v>
      </c>
      <c r="F103" t="str">
        <f>$B$28</f>
        <v>BN-0</v>
      </c>
      <c r="G103" t="str">
        <f t="shared" si="77"/>
        <v>BN</v>
      </c>
      <c r="H103">
        <f t="shared" si="81"/>
        <v>0</v>
      </c>
      <c r="I103">
        <f t="shared" si="80"/>
        <v>0</v>
      </c>
      <c r="J103">
        <f t="shared" si="80"/>
        <v>84</v>
      </c>
      <c r="K103">
        <f t="shared" si="80"/>
        <v>0</v>
      </c>
      <c r="L103">
        <f t="shared" si="80"/>
        <v>91</v>
      </c>
      <c r="M103">
        <f t="shared" si="80"/>
        <v>0</v>
      </c>
      <c r="N103" s="4">
        <f t="shared" si="82"/>
        <v>0</v>
      </c>
    </row>
    <row r="104" spans="2:14">
      <c r="B104" s="5" t="str">
        <f t="shared" si="79"/>
        <v>BN</v>
      </c>
      <c r="C104" t="str">
        <f>$B$28</f>
        <v>BN-0</v>
      </c>
      <c r="D104" t="str">
        <f t="shared" si="77"/>
        <v>BN</v>
      </c>
      <c r="E104" t="str">
        <f t="shared" si="77"/>
        <v>BN</v>
      </c>
      <c r="F104" t="str">
        <f>$B$28</f>
        <v>BN-0</v>
      </c>
      <c r="G104" t="str">
        <f t="shared" si="77"/>
        <v>BN</v>
      </c>
      <c r="H104">
        <f t="shared" si="81"/>
        <v>0</v>
      </c>
      <c r="I104">
        <f t="shared" si="80"/>
        <v>73</v>
      </c>
      <c r="J104">
        <f t="shared" si="80"/>
        <v>0</v>
      </c>
      <c r="K104">
        <f t="shared" si="80"/>
        <v>0</v>
      </c>
      <c r="L104">
        <f t="shared" si="80"/>
        <v>91</v>
      </c>
      <c r="M104">
        <f t="shared" si="80"/>
        <v>0</v>
      </c>
      <c r="N104" s="4">
        <f t="shared" si="82"/>
        <v>0</v>
      </c>
    </row>
    <row r="105" spans="2:14">
      <c r="B105" s="5" t="str">
        <f>$B$28</f>
        <v>BN-0</v>
      </c>
      <c r="C105" t="str">
        <f t="shared" si="77"/>
        <v>BN</v>
      </c>
      <c r="D105" t="str">
        <f t="shared" si="77"/>
        <v>BN</v>
      </c>
      <c r="E105" t="str">
        <f t="shared" si="77"/>
        <v>BN</v>
      </c>
      <c r="F105" t="str">
        <f>$B$28</f>
        <v>BN-0</v>
      </c>
      <c r="G105" t="str">
        <f t="shared" si="77"/>
        <v>BN</v>
      </c>
      <c r="H105">
        <f t="shared" si="81"/>
        <v>40</v>
      </c>
      <c r="I105">
        <f t="shared" si="80"/>
        <v>0</v>
      </c>
      <c r="J105">
        <f t="shared" si="80"/>
        <v>0</v>
      </c>
      <c r="K105">
        <f t="shared" si="80"/>
        <v>0</v>
      </c>
      <c r="L105">
        <f t="shared" si="80"/>
        <v>91</v>
      </c>
      <c r="M105">
        <f t="shared" si="80"/>
        <v>0</v>
      </c>
      <c r="N105" s="4">
        <f t="shared" si="82"/>
        <v>0</v>
      </c>
    </row>
    <row r="106" spans="2:14">
      <c r="B106" s="5" t="str">
        <f t="shared" si="79"/>
        <v>BN</v>
      </c>
      <c r="C106" t="str">
        <f t="shared" si="79"/>
        <v>BN</v>
      </c>
      <c r="D106" t="str">
        <f>$B$28</f>
        <v>BN-0</v>
      </c>
      <c r="E106" t="str">
        <f>$B$28</f>
        <v>BN-0</v>
      </c>
      <c r="F106" t="str">
        <f t="shared" si="79"/>
        <v>BN</v>
      </c>
      <c r="G106" t="str">
        <f t="shared" si="79"/>
        <v>BN</v>
      </c>
      <c r="H106">
        <f t="shared" si="81"/>
        <v>0</v>
      </c>
      <c r="I106">
        <f t="shared" si="81"/>
        <v>0</v>
      </c>
      <c r="J106">
        <f t="shared" si="81"/>
        <v>84</v>
      </c>
      <c r="K106">
        <f t="shared" si="81"/>
        <v>67</v>
      </c>
      <c r="L106">
        <f t="shared" si="81"/>
        <v>0</v>
      </c>
      <c r="M106">
        <f t="shared" si="81"/>
        <v>0</v>
      </c>
      <c r="N106" s="4">
        <f t="shared" si="82"/>
        <v>0</v>
      </c>
    </row>
    <row r="107" spans="2:14">
      <c r="B107" s="5" t="str">
        <f t="shared" si="79"/>
        <v>BN</v>
      </c>
      <c r="C107" t="str">
        <f>$B$28</f>
        <v>BN-0</v>
      </c>
      <c r="D107" t="str">
        <f t="shared" si="79"/>
        <v>BN</v>
      </c>
      <c r="E107" t="str">
        <f>$B$28</f>
        <v>BN-0</v>
      </c>
      <c r="F107" t="str">
        <f t="shared" si="79"/>
        <v>BN</v>
      </c>
      <c r="G107" t="str">
        <f t="shared" si="79"/>
        <v>BN</v>
      </c>
      <c r="H107">
        <f t="shared" si="81"/>
        <v>0</v>
      </c>
      <c r="I107">
        <f t="shared" si="81"/>
        <v>73</v>
      </c>
      <c r="J107">
        <f t="shared" si="81"/>
        <v>0</v>
      </c>
      <c r="K107">
        <f t="shared" si="81"/>
        <v>67</v>
      </c>
      <c r="L107">
        <f t="shared" si="81"/>
        <v>0</v>
      </c>
      <c r="M107">
        <f t="shared" si="81"/>
        <v>0</v>
      </c>
      <c r="N107" s="4">
        <f t="shared" si="82"/>
        <v>0</v>
      </c>
    </row>
    <row r="108" spans="2:14">
      <c r="B108" s="5" t="str">
        <f>$B$28</f>
        <v>BN-0</v>
      </c>
      <c r="C108" t="str">
        <f t="shared" si="79"/>
        <v>BN</v>
      </c>
      <c r="D108" t="str">
        <f t="shared" si="79"/>
        <v>BN</v>
      </c>
      <c r="E108" t="str">
        <f>$B$28</f>
        <v>BN-0</v>
      </c>
      <c r="F108" t="str">
        <f t="shared" si="79"/>
        <v>BN</v>
      </c>
      <c r="G108" t="str">
        <f t="shared" si="79"/>
        <v>BN</v>
      </c>
      <c r="H108">
        <f t="shared" si="81"/>
        <v>40</v>
      </c>
      <c r="I108">
        <f t="shared" si="81"/>
        <v>0</v>
      </c>
      <c r="J108">
        <f t="shared" si="81"/>
        <v>0</v>
      </c>
      <c r="K108">
        <f t="shared" si="81"/>
        <v>67</v>
      </c>
      <c r="L108">
        <f t="shared" si="81"/>
        <v>0</v>
      </c>
      <c r="M108">
        <f t="shared" si="81"/>
        <v>0</v>
      </c>
      <c r="N108" s="4">
        <f t="shared" si="82"/>
        <v>0</v>
      </c>
    </row>
    <row r="109" spans="2:14">
      <c r="B109" s="5" t="str">
        <f t="shared" si="79"/>
        <v>BN</v>
      </c>
      <c r="C109" t="str">
        <f>$B$28</f>
        <v>BN-0</v>
      </c>
      <c r="D109" t="str">
        <f>$B$28</f>
        <v>BN-0</v>
      </c>
      <c r="E109" t="str">
        <f t="shared" si="79"/>
        <v>BN</v>
      </c>
      <c r="F109" t="str">
        <f t="shared" si="79"/>
        <v>BN</v>
      </c>
      <c r="G109" t="str">
        <f t="shared" si="79"/>
        <v>BN</v>
      </c>
      <c r="H109">
        <f t="shared" si="81"/>
        <v>0</v>
      </c>
      <c r="I109">
        <f t="shared" si="81"/>
        <v>73</v>
      </c>
      <c r="J109">
        <f t="shared" si="81"/>
        <v>84</v>
      </c>
      <c r="K109">
        <f t="shared" si="81"/>
        <v>0</v>
      </c>
      <c r="L109">
        <f t="shared" si="81"/>
        <v>0</v>
      </c>
      <c r="M109">
        <f t="shared" si="81"/>
        <v>0</v>
      </c>
      <c r="N109" s="4">
        <f t="shared" si="82"/>
        <v>0</v>
      </c>
    </row>
    <row r="110" spans="2:14">
      <c r="B110" s="5" t="str">
        <f>$B$28</f>
        <v>BN-0</v>
      </c>
      <c r="C110" t="str">
        <f t="shared" si="79"/>
        <v>BN</v>
      </c>
      <c r="D110" t="str">
        <f>$B$28</f>
        <v>BN-0</v>
      </c>
      <c r="E110" t="str">
        <f t="shared" si="79"/>
        <v>BN</v>
      </c>
      <c r="F110" t="str">
        <f t="shared" si="79"/>
        <v>BN</v>
      </c>
      <c r="G110" t="str">
        <f t="shared" si="79"/>
        <v>BN</v>
      </c>
      <c r="H110">
        <f t="shared" si="81"/>
        <v>40</v>
      </c>
      <c r="I110">
        <f t="shared" si="81"/>
        <v>0</v>
      </c>
      <c r="J110">
        <f t="shared" si="81"/>
        <v>84</v>
      </c>
      <c r="K110">
        <f t="shared" si="81"/>
        <v>0</v>
      </c>
      <c r="L110">
        <f t="shared" si="81"/>
        <v>0</v>
      </c>
      <c r="M110">
        <f t="shared" si="81"/>
        <v>0</v>
      </c>
      <c r="N110" s="4">
        <f t="shared" si="82"/>
        <v>0</v>
      </c>
    </row>
    <row r="111" spans="2:14">
      <c r="B111" s="5" t="str">
        <f>$B$28</f>
        <v>BN-0</v>
      </c>
      <c r="C111" t="str">
        <f>$B$28</f>
        <v>BN-0</v>
      </c>
      <c r="D111" t="str">
        <f t="shared" si="79"/>
        <v>BN</v>
      </c>
      <c r="E111" t="str">
        <f t="shared" si="79"/>
        <v>BN</v>
      </c>
      <c r="F111" t="str">
        <f t="shared" si="79"/>
        <v>BN</v>
      </c>
      <c r="G111" t="str">
        <f t="shared" si="79"/>
        <v>BN</v>
      </c>
      <c r="H111">
        <f t="shared" si="81"/>
        <v>40</v>
      </c>
      <c r="I111">
        <f t="shared" si="81"/>
        <v>73</v>
      </c>
      <c r="J111">
        <f t="shared" si="81"/>
        <v>0</v>
      </c>
      <c r="K111">
        <f t="shared" si="81"/>
        <v>0</v>
      </c>
      <c r="L111">
        <f t="shared" si="81"/>
        <v>0</v>
      </c>
      <c r="M111">
        <f t="shared" si="81"/>
        <v>0</v>
      </c>
      <c r="N111" s="4">
        <f t="shared" si="82"/>
        <v>0</v>
      </c>
    </row>
    <row r="112" spans="2:14">
      <c r="B112" s="5"/>
      <c r="N112" s="4"/>
    </row>
    <row r="113" spans="2:14">
      <c r="B113" s="5" t="str">
        <f t="shared" si="79"/>
        <v>BN</v>
      </c>
      <c r="C113" t="str">
        <f t="shared" si="79"/>
        <v>BN</v>
      </c>
      <c r="D113" t="str">
        <f t="shared" si="79"/>
        <v>BN</v>
      </c>
      <c r="E113" t="str">
        <f>$B$28</f>
        <v>BN-0</v>
      </c>
      <c r="F113" t="str">
        <f>$B$28</f>
        <v>BN-0</v>
      </c>
      <c r="G113" t="str">
        <f>$B$28</f>
        <v>BN-0</v>
      </c>
      <c r="H113">
        <f t="shared" si="81"/>
        <v>0</v>
      </c>
      <c r="I113">
        <f t="shared" si="81"/>
        <v>0</v>
      </c>
      <c r="J113">
        <f t="shared" si="81"/>
        <v>0</v>
      </c>
      <c r="K113">
        <f t="shared" si="81"/>
        <v>67</v>
      </c>
      <c r="L113">
        <f t="shared" si="81"/>
        <v>91</v>
      </c>
      <c r="M113">
        <f t="shared" si="81"/>
        <v>50</v>
      </c>
      <c r="N113" s="4">
        <f t="shared" si="82"/>
        <v>0</v>
      </c>
    </row>
    <row r="114" spans="2:14">
      <c r="B114" s="5" t="str">
        <f t="shared" si="79"/>
        <v>BN</v>
      </c>
      <c r="C114" t="str">
        <f t="shared" si="79"/>
        <v>BN</v>
      </c>
      <c r="D114" t="str">
        <f>$B$28</f>
        <v>BN-0</v>
      </c>
      <c r="E114" t="str">
        <f t="shared" si="79"/>
        <v>BN</v>
      </c>
      <c r="F114" t="str">
        <f>$B$28</f>
        <v>BN-0</v>
      </c>
      <c r="G114" t="str">
        <f>$B$28</f>
        <v>BN-0</v>
      </c>
      <c r="H114">
        <f t="shared" si="81"/>
        <v>0</v>
      </c>
      <c r="I114">
        <f t="shared" si="81"/>
        <v>0</v>
      </c>
      <c r="J114">
        <f t="shared" si="81"/>
        <v>84</v>
      </c>
      <c r="K114">
        <f t="shared" si="81"/>
        <v>0</v>
      </c>
      <c r="L114">
        <f t="shared" si="81"/>
        <v>91</v>
      </c>
      <c r="M114">
        <f t="shared" si="81"/>
        <v>50</v>
      </c>
      <c r="N114" s="4">
        <f t="shared" si="82"/>
        <v>0</v>
      </c>
    </row>
    <row r="115" spans="2:14">
      <c r="B115" s="5" t="str">
        <f t="shared" si="79"/>
        <v>BN</v>
      </c>
      <c r="C115" t="str">
        <f>$B$28</f>
        <v>BN-0</v>
      </c>
      <c r="D115" t="str">
        <f t="shared" si="79"/>
        <v>BN</v>
      </c>
      <c r="E115" t="str">
        <f t="shared" si="79"/>
        <v>BN</v>
      </c>
      <c r="F115" t="str">
        <f t="shared" ref="B115:G132" si="83">$B$28</f>
        <v>BN-0</v>
      </c>
      <c r="G115" t="str">
        <f t="shared" si="83"/>
        <v>BN-0</v>
      </c>
      <c r="H115">
        <f t="shared" si="81"/>
        <v>0</v>
      </c>
      <c r="I115">
        <f t="shared" si="81"/>
        <v>73</v>
      </c>
      <c r="J115">
        <f t="shared" si="81"/>
        <v>0</v>
      </c>
      <c r="K115">
        <f t="shared" si="81"/>
        <v>0</v>
      </c>
      <c r="L115">
        <f t="shared" si="81"/>
        <v>91</v>
      </c>
      <c r="M115">
        <f t="shared" si="81"/>
        <v>50</v>
      </c>
      <c r="N115" s="4">
        <f t="shared" si="82"/>
        <v>0</v>
      </c>
    </row>
    <row r="116" spans="2:14">
      <c r="B116" s="5" t="str">
        <f>$B$28</f>
        <v>BN-0</v>
      </c>
      <c r="C116" t="str">
        <f t="shared" si="79"/>
        <v>BN</v>
      </c>
      <c r="D116" t="str">
        <f t="shared" si="79"/>
        <v>BN</v>
      </c>
      <c r="E116" t="str">
        <f t="shared" si="79"/>
        <v>BN</v>
      </c>
      <c r="F116" t="str">
        <f t="shared" si="83"/>
        <v>BN-0</v>
      </c>
      <c r="G116" t="str">
        <f t="shared" si="83"/>
        <v>BN-0</v>
      </c>
      <c r="H116">
        <f t="shared" ref="H116:M131" si="84">SUMIF($B$3:$B$28,B116,C$3:C$28)</f>
        <v>40</v>
      </c>
      <c r="I116">
        <f t="shared" si="84"/>
        <v>0</v>
      </c>
      <c r="J116">
        <f t="shared" si="84"/>
        <v>0</v>
      </c>
      <c r="K116">
        <f t="shared" si="84"/>
        <v>0</v>
      </c>
      <c r="L116">
        <f t="shared" si="84"/>
        <v>91</v>
      </c>
      <c r="M116">
        <f t="shared" si="84"/>
        <v>50</v>
      </c>
      <c r="N116" s="4">
        <f t="shared" si="82"/>
        <v>0</v>
      </c>
    </row>
    <row r="117" spans="2:14">
      <c r="B117" s="5" t="str">
        <f t="shared" ref="B117:G132" si="85">$B$15</f>
        <v>BN</v>
      </c>
      <c r="C117" t="str">
        <f t="shared" si="85"/>
        <v>BN</v>
      </c>
      <c r="D117" t="str">
        <f t="shared" si="83"/>
        <v>BN-0</v>
      </c>
      <c r="E117" t="str">
        <f t="shared" si="83"/>
        <v>BN-0</v>
      </c>
      <c r="F117" t="str">
        <f t="shared" si="85"/>
        <v>BN</v>
      </c>
      <c r="G117" t="str">
        <f t="shared" si="83"/>
        <v>BN-0</v>
      </c>
      <c r="H117">
        <f t="shared" si="84"/>
        <v>0</v>
      </c>
      <c r="I117">
        <f t="shared" si="84"/>
        <v>0</v>
      </c>
      <c r="J117">
        <f t="shared" si="84"/>
        <v>84</v>
      </c>
      <c r="K117">
        <f t="shared" si="84"/>
        <v>67</v>
      </c>
      <c r="L117">
        <f t="shared" si="84"/>
        <v>0</v>
      </c>
      <c r="M117">
        <f t="shared" si="84"/>
        <v>50</v>
      </c>
      <c r="N117" s="4">
        <f t="shared" si="82"/>
        <v>0</v>
      </c>
    </row>
    <row r="118" spans="2:14">
      <c r="B118" s="5" t="str">
        <f t="shared" si="85"/>
        <v>BN</v>
      </c>
      <c r="C118" t="str">
        <f t="shared" si="83"/>
        <v>BN-0</v>
      </c>
      <c r="D118" t="str">
        <f t="shared" si="85"/>
        <v>BN</v>
      </c>
      <c r="E118" t="str">
        <f t="shared" si="83"/>
        <v>BN-0</v>
      </c>
      <c r="F118" t="str">
        <f t="shared" si="85"/>
        <v>BN</v>
      </c>
      <c r="G118" t="str">
        <f t="shared" si="83"/>
        <v>BN-0</v>
      </c>
      <c r="H118">
        <f t="shared" si="84"/>
        <v>0</v>
      </c>
      <c r="I118">
        <f t="shared" si="84"/>
        <v>73</v>
      </c>
      <c r="J118">
        <f t="shared" si="84"/>
        <v>0</v>
      </c>
      <c r="K118">
        <f t="shared" si="84"/>
        <v>67</v>
      </c>
      <c r="L118">
        <f t="shared" si="84"/>
        <v>0</v>
      </c>
      <c r="M118">
        <f t="shared" si="84"/>
        <v>50</v>
      </c>
      <c r="N118" s="4">
        <f t="shared" si="82"/>
        <v>0</v>
      </c>
    </row>
    <row r="119" spans="2:14">
      <c r="B119" s="5" t="str">
        <f t="shared" si="83"/>
        <v>BN-0</v>
      </c>
      <c r="C119" t="str">
        <f t="shared" si="85"/>
        <v>BN</v>
      </c>
      <c r="D119" t="str">
        <f t="shared" si="85"/>
        <v>BN</v>
      </c>
      <c r="E119" t="str">
        <f t="shared" si="83"/>
        <v>BN-0</v>
      </c>
      <c r="F119" t="str">
        <f t="shared" si="85"/>
        <v>BN</v>
      </c>
      <c r="G119" t="str">
        <f t="shared" si="83"/>
        <v>BN-0</v>
      </c>
      <c r="H119">
        <f t="shared" si="84"/>
        <v>40</v>
      </c>
      <c r="I119">
        <f t="shared" si="84"/>
        <v>0</v>
      </c>
      <c r="J119">
        <f t="shared" si="84"/>
        <v>0</v>
      </c>
      <c r="K119">
        <f t="shared" si="84"/>
        <v>67</v>
      </c>
      <c r="L119">
        <f t="shared" si="84"/>
        <v>0</v>
      </c>
      <c r="M119">
        <f t="shared" si="84"/>
        <v>50</v>
      </c>
      <c r="N119" s="4">
        <f t="shared" si="82"/>
        <v>0</v>
      </c>
    </row>
    <row r="120" spans="2:14">
      <c r="B120" s="5" t="str">
        <f t="shared" si="85"/>
        <v>BN</v>
      </c>
      <c r="C120" t="str">
        <f t="shared" si="83"/>
        <v>BN-0</v>
      </c>
      <c r="D120" t="str">
        <f t="shared" si="83"/>
        <v>BN-0</v>
      </c>
      <c r="E120" t="str">
        <f t="shared" si="85"/>
        <v>BN</v>
      </c>
      <c r="F120" t="str">
        <f t="shared" si="85"/>
        <v>BN</v>
      </c>
      <c r="G120" t="str">
        <f t="shared" si="83"/>
        <v>BN-0</v>
      </c>
      <c r="H120">
        <f t="shared" si="84"/>
        <v>0</v>
      </c>
      <c r="I120">
        <f t="shared" si="84"/>
        <v>73</v>
      </c>
      <c r="J120">
        <f t="shared" si="84"/>
        <v>84</v>
      </c>
      <c r="K120">
        <f t="shared" si="84"/>
        <v>0</v>
      </c>
      <c r="L120">
        <f t="shared" si="84"/>
        <v>0</v>
      </c>
      <c r="M120">
        <f t="shared" si="84"/>
        <v>50</v>
      </c>
      <c r="N120" s="4">
        <f t="shared" si="82"/>
        <v>0</v>
      </c>
    </row>
    <row r="121" spans="2:14">
      <c r="B121" s="5" t="str">
        <f t="shared" si="83"/>
        <v>BN-0</v>
      </c>
      <c r="C121" t="str">
        <f t="shared" si="85"/>
        <v>BN</v>
      </c>
      <c r="D121" t="str">
        <f t="shared" si="83"/>
        <v>BN-0</v>
      </c>
      <c r="E121" t="str">
        <f t="shared" si="85"/>
        <v>BN</v>
      </c>
      <c r="F121" t="str">
        <f t="shared" si="85"/>
        <v>BN</v>
      </c>
      <c r="G121" t="str">
        <f t="shared" si="83"/>
        <v>BN-0</v>
      </c>
      <c r="H121">
        <f t="shared" si="84"/>
        <v>40</v>
      </c>
      <c r="I121">
        <f t="shared" si="84"/>
        <v>0</v>
      </c>
      <c r="J121">
        <f t="shared" si="84"/>
        <v>84</v>
      </c>
      <c r="K121">
        <f t="shared" si="84"/>
        <v>0</v>
      </c>
      <c r="L121">
        <f t="shared" si="84"/>
        <v>0</v>
      </c>
      <c r="M121">
        <f t="shared" si="84"/>
        <v>50</v>
      </c>
      <c r="N121" s="4">
        <f t="shared" si="82"/>
        <v>0</v>
      </c>
    </row>
    <row r="122" spans="2:14">
      <c r="B122" s="5" t="str">
        <f t="shared" si="83"/>
        <v>BN-0</v>
      </c>
      <c r="C122" t="str">
        <f t="shared" si="83"/>
        <v>BN-0</v>
      </c>
      <c r="D122" t="str">
        <f t="shared" si="85"/>
        <v>BN</v>
      </c>
      <c r="E122" t="str">
        <f t="shared" si="85"/>
        <v>BN</v>
      </c>
      <c r="F122" t="str">
        <f t="shared" si="85"/>
        <v>BN</v>
      </c>
      <c r="G122" t="str">
        <f t="shared" si="83"/>
        <v>BN-0</v>
      </c>
      <c r="H122">
        <f t="shared" si="84"/>
        <v>40</v>
      </c>
      <c r="I122">
        <f t="shared" si="84"/>
        <v>73</v>
      </c>
      <c r="J122">
        <f t="shared" si="84"/>
        <v>0</v>
      </c>
      <c r="K122">
        <f t="shared" si="84"/>
        <v>0</v>
      </c>
      <c r="L122">
        <f t="shared" si="84"/>
        <v>0</v>
      </c>
      <c r="M122">
        <f t="shared" si="84"/>
        <v>50</v>
      </c>
      <c r="N122" s="4">
        <f t="shared" si="82"/>
        <v>0</v>
      </c>
    </row>
    <row r="123" spans="2:14">
      <c r="B123" s="5" t="str">
        <f t="shared" si="85"/>
        <v>BN</v>
      </c>
      <c r="C123" t="str">
        <f t="shared" si="85"/>
        <v>BN</v>
      </c>
      <c r="D123" t="str">
        <f t="shared" si="83"/>
        <v>BN-0</v>
      </c>
      <c r="E123" t="str">
        <f t="shared" si="83"/>
        <v>BN-0</v>
      </c>
      <c r="F123" t="str">
        <f t="shared" si="83"/>
        <v>BN-0</v>
      </c>
      <c r="G123" t="str">
        <f t="shared" si="85"/>
        <v>BN</v>
      </c>
      <c r="H123">
        <f t="shared" si="84"/>
        <v>0</v>
      </c>
      <c r="I123">
        <f t="shared" si="84"/>
        <v>0</v>
      </c>
      <c r="J123">
        <f t="shared" si="84"/>
        <v>84</v>
      </c>
      <c r="K123">
        <f t="shared" si="84"/>
        <v>67</v>
      </c>
      <c r="L123">
        <f t="shared" si="84"/>
        <v>91</v>
      </c>
      <c r="M123">
        <f t="shared" si="84"/>
        <v>0</v>
      </c>
      <c r="N123" s="4">
        <f t="shared" si="82"/>
        <v>0</v>
      </c>
    </row>
    <row r="124" spans="2:14">
      <c r="B124" s="5" t="str">
        <f t="shared" si="85"/>
        <v>BN</v>
      </c>
      <c r="C124" t="str">
        <f t="shared" si="83"/>
        <v>BN-0</v>
      </c>
      <c r="D124" t="str">
        <f t="shared" si="85"/>
        <v>BN</v>
      </c>
      <c r="E124" t="str">
        <f t="shared" si="83"/>
        <v>BN-0</v>
      </c>
      <c r="F124" t="str">
        <f t="shared" si="83"/>
        <v>BN-0</v>
      </c>
      <c r="G124" t="str">
        <f t="shared" si="85"/>
        <v>BN</v>
      </c>
      <c r="H124">
        <f t="shared" si="84"/>
        <v>0</v>
      </c>
      <c r="I124">
        <f t="shared" si="84"/>
        <v>73</v>
      </c>
      <c r="J124">
        <f t="shared" si="84"/>
        <v>0</v>
      </c>
      <c r="K124">
        <f t="shared" si="84"/>
        <v>67</v>
      </c>
      <c r="L124">
        <f t="shared" si="84"/>
        <v>91</v>
      </c>
      <c r="M124">
        <f t="shared" si="84"/>
        <v>0</v>
      </c>
      <c r="N124" s="4">
        <f t="shared" si="82"/>
        <v>0</v>
      </c>
    </row>
    <row r="125" spans="2:14">
      <c r="B125" s="5" t="str">
        <f t="shared" si="83"/>
        <v>BN-0</v>
      </c>
      <c r="C125" t="str">
        <f t="shared" si="85"/>
        <v>BN</v>
      </c>
      <c r="D125" t="str">
        <f t="shared" si="85"/>
        <v>BN</v>
      </c>
      <c r="E125" t="str">
        <f t="shared" si="83"/>
        <v>BN-0</v>
      </c>
      <c r="F125" t="str">
        <f t="shared" si="83"/>
        <v>BN-0</v>
      </c>
      <c r="G125" t="str">
        <f t="shared" si="85"/>
        <v>BN</v>
      </c>
      <c r="H125">
        <f t="shared" si="84"/>
        <v>40</v>
      </c>
      <c r="I125">
        <f t="shared" si="84"/>
        <v>0</v>
      </c>
      <c r="J125">
        <f t="shared" si="84"/>
        <v>0</v>
      </c>
      <c r="K125">
        <f t="shared" si="84"/>
        <v>67</v>
      </c>
      <c r="L125">
        <f t="shared" si="84"/>
        <v>91</v>
      </c>
      <c r="M125">
        <f t="shared" si="84"/>
        <v>0</v>
      </c>
      <c r="N125" s="4">
        <f t="shared" si="82"/>
        <v>0</v>
      </c>
    </row>
    <row r="126" spans="2:14">
      <c r="B126" s="5" t="str">
        <f t="shared" si="85"/>
        <v>BN</v>
      </c>
      <c r="C126" t="str">
        <f t="shared" si="83"/>
        <v>BN-0</v>
      </c>
      <c r="D126" t="str">
        <f t="shared" si="83"/>
        <v>BN-0</v>
      </c>
      <c r="E126" t="str">
        <f t="shared" si="85"/>
        <v>BN</v>
      </c>
      <c r="F126" t="str">
        <f t="shared" si="83"/>
        <v>BN-0</v>
      </c>
      <c r="G126" t="str">
        <f t="shared" si="85"/>
        <v>BN</v>
      </c>
      <c r="H126">
        <f t="shared" si="84"/>
        <v>0</v>
      </c>
      <c r="I126">
        <f t="shared" si="84"/>
        <v>73</v>
      </c>
      <c r="J126">
        <f t="shared" si="84"/>
        <v>84</v>
      </c>
      <c r="K126">
        <f t="shared" si="84"/>
        <v>0</v>
      </c>
      <c r="L126">
        <f t="shared" si="84"/>
        <v>91</v>
      </c>
      <c r="M126">
        <f t="shared" si="84"/>
        <v>0</v>
      </c>
      <c r="N126" s="4">
        <f t="shared" si="82"/>
        <v>0</v>
      </c>
    </row>
    <row r="127" spans="2:14">
      <c r="B127" s="5" t="str">
        <f t="shared" si="83"/>
        <v>BN-0</v>
      </c>
      <c r="C127" t="str">
        <f t="shared" si="85"/>
        <v>BN</v>
      </c>
      <c r="D127" t="str">
        <f t="shared" si="83"/>
        <v>BN-0</v>
      </c>
      <c r="E127" t="str">
        <f t="shared" si="85"/>
        <v>BN</v>
      </c>
      <c r="F127" t="str">
        <f t="shared" si="83"/>
        <v>BN-0</v>
      </c>
      <c r="G127" t="str">
        <f t="shared" si="85"/>
        <v>BN</v>
      </c>
      <c r="H127">
        <f t="shared" si="84"/>
        <v>40</v>
      </c>
      <c r="I127">
        <f t="shared" si="84"/>
        <v>0</v>
      </c>
      <c r="J127">
        <f t="shared" si="84"/>
        <v>84</v>
      </c>
      <c r="K127">
        <f t="shared" si="84"/>
        <v>0</v>
      </c>
      <c r="L127">
        <f t="shared" si="84"/>
        <v>91</v>
      </c>
      <c r="M127">
        <f t="shared" si="84"/>
        <v>0</v>
      </c>
      <c r="N127" s="4">
        <f t="shared" si="82"/>
        <v>0</v>
      </c>
    </row>
    <row r="128" spans="2:14">
      <c r="B128" s="5" t="str">
        <f t="shared" si="83"/>
        <v>BN-0</v>
      </c>
      <c r="C128" t="str">
        <f t="shared" si="83"/>
        <v>BN-0</v>
      </c>
      <c r="D128" t="str">
        <f t="shared" si="85"/>
        <v>BN</v>
      </c>
      <c r="E128" t="str">
        <f t="shared" si="85"/>
        <v>BN</v>
      </c>
      <c r="F128" t="str">
        <f t="shared" si="83"/>
        <v>BN-0</v>
      </c>
      <c r="G128" t="str">
        <f t="shared" si="85"/>
        <v>BN</v>
      </c>
      <c r="H128">
        <f t="shared" si="84"/>
        <v>40</v>
      </c>
      <c r="I128">
        <f t="shared" si="84"/>
        <v>73</v>
      </c>
      <c r="J128">
        <f t="shared" si="84"/>
        <v>0</v>
      </c>
      <c r="K128">
        <f t="shared" si="84"/>
        <v>0</v>
      </c>
      <c r="L128">
        <f t="shared" si="84"/>
        <v>91</v>
      </c>
      <c r="M128">
        <f t="shared" si="84"/>
        <v>0</v>
      </c>
      <c r="N128" s="4">
        <f t="shared" si="82"/>
        <v>0</v>
      </c>
    </row>
    <row r="129" spans="2:14">
      <c r="B129" s="5" t="str">
        <f t="shared" si="85"/>
        <v>BN</v>
      </c>
      <c r="C129" t="str">
        <f t="shared" si="83"/>
        <v>BN-0</v>
      </c>
      <c r="D129" t="str">
        <f t="shared" si="83"/>
        <v>BN-0</v>
      </c>
      <c r="E129" t="str">
        <f t="shared" si="83"/>
        <v>BN-0</v>
      </c>
      <c r="F129" t="str">
        <f t="shared" si="85"/>
        <v>BN</v>
      </c>
      <c r="G129" t="str">
        <f t="shared" si="85"/>
        <v>BN</v>
      </c>
      <c r="H129">
        <f t="shared" si="84"/>
        <v>0</v>
      </c>
      <c r="I129">
        <f t="shared" si="84"/>
        <v>73</v>
      </c>
      <c r="J129">
        <f t="shared" si="84"/>
        <v>84</v>
      </c>
      <c r="K129">
        <f t="shared" si="84"/>
        <v>67</v>
      </c>
      <c r="L129">
        <f t="shared" si="84"/>
        <v>0</v>
      </c>
      <c r="M129">
        <f t="shared" si="84"/>
        <v>0</v>
      </c>
      <c r="N129" s="4">
        <f t="shared" si="82"/>
        <v>0</v>
      </c>
    </row>
    <row r="130" spans="2:14">
      <c r="B130" s="5" t="str">
        <f t="shared" si="83"/>
        <v>BN-0</v>
      </c>
      <c r="C130" t="str">
        <f t="shared" si="85"/>
        <v>BN</v>
      </c>
      <c r="D130" t="str">
        <f t="shared" si="83"/>
        <v>BN-0</v>
      </c>
      <c r="E130" t="str">
        <f t="shared" si="83"/>
        <v>BN-0</v>
      </c>
      <c r="F130" t="str">
        <f t="shared" si="85"/>
        <v>BN</v>
      </c>
      <c r="G130" t="str">
        <f t="shared" si="85"/>
        <v>BN</v>
      </c>
      <c r="H130">
        <f t="shared" si="84"/>
        <v>40</v>
      </c>
      <c r="I130">
        <f t="shared" si="84"/>
        <v>0</v>
      </c>
      <c r="J130">
        <f t="shared" si="84"/>
        <v>84</v>
      </c>
      <c r="K130">
        <f t="shared" si="84"/>
        <v>67</v>
      </c>
      <c r="L130">
        <f t="shared" si="84"/>
        <v>0</v>
      </c>
      <c r="M130">
        <f t="shared" si="84"/>
        <v>0</v>
      </c>
      <c r="N130" s="4">
        <f t="shared" si="82"/>
        <v>0</v>
      </c>
    </row>
    <row r="131" spans="2:14">
      <c r="B131" s="5" t="str">
        <f t="shared" si="83"/>
        <v>BN-0</v>
      </c>
      <c r="C131" t="str">
        <f t="shared" si="83"/>
        <v>BN-0</v>
      </c>
      <c r="D131" t="str">
        <f t="shared" si="85"/>
        <v>BN</v>
      </c>
      <c r="E131" t="str">
        <f t="shared" si="83"/>
        <v>BN-0</v>
      </c>
      <c r="F131" t="str">
        <f t="shared" si="85"/>
        <v>BN</v>
      </c>
      <c r="G131" t="str">
        <f t="shared" si="85"/>
        <v>BN</v>
      </c>
      <c r="H131">
        <f t="shared" si="84"/>
        <v>40</v>
      </c>
      <c r="I131">
        <f t="shared" si="84"/>
        <v>73</v>
      </c>
      <c r="J131">
        <f t="shared" si="84"/>
        <v>0</v>
      </c>
      <c r="K131">
        <f t="shared" si="84"/>
        <v>67</v>
      </c>
      <c r="L131">
        <f t="shared" si="84"/>
        <v>0</v>
      </c>
      <c r="M131">
        <f t="shared" si="84"/>
        <v>0</v>
      </c>
      <c r="N131" s="4">
        <f t="shared" si="82"/>
        <v>0</v>
      </c>
    </row>
    <row r="132" spans="2:14">
      <c r="B132" s="3" t="str">
        <f t="shared" si="83"/>
        <v>BN-0</v>
      </c>
      <c r="C132" s="2" t="str">
        <f t="shared" si="83"/>
        <v>BN-0</v>
      </c>
      <c r="D132" s="2" t="str">
        <f t="shared" si="83"/>
        <v>BN-0</v>
      </c>
      <c r="E132" s="2" t="str">
        <f t="shared" si="85"/>
        <v>BN</v>
      </c>
      <c r="F132" s="2" t="str">
        <f t="shared" si="85"/>
        <v>BN</v>
      </c>
      <c r="G132" s="2" t="str">
        <f t="shared" si="85"/>
        <v>BN</v>
      </c>
      <c r="H132" s="2">
        <f t="shared" ref="H132:M132" si="86">SUMIF($B$3:$B$28,B132,C$3:C$28)</f>
        <v>40</v>
      </c>
      <c r="I132" s="2">
        <f t="shared" si="86"/>
        <v>73</v>
      </c>
      <c r="J132" s="2">
        <f t="shared" si="86"/>
        <v>84</v>
      </c>
      <c r="K132" s="2">
        <f t="shared" si="86"/>
        <v>0</v>
      </c>
      <c r="L132" s="2">
        <f t="shared" si="86"/>
        <v>0</v>
      </c>
      <c r="M132" s="2">
        <f t="shared" si="86"/>
        <v>0</v>
      </c>
      <c r="N132" s="1">
        <f t="shared" si="82"/>
        <v>0</v>
      </c>
    </row>
  </sheetData>
  <mergeCells count="4">
    <mergeCell ref="K17:P17"/>
    <mergeCell ref="AA30:AF30"/>
    <mergeCell ref="AK30:AL30"/>
    <mergeCell ref="AK31:AL31"/>
  </mergeCells>
  <phoneticPr fontId="3" type="noConversion"/>
  <conditionalFormatting sqref="AA31:AF65">
    <cfRule type="cellIs" dxfId="4" priority="1" operator="equal">
      <formula>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4350-B606-4210-A99B-D744063E1F5C}">
  <dimension ref="B2:BL135"/>
  <sheetViews>
    <sheetView topLeftCell="E1" zoomScale="69" zoomScaleNormal="84" workbookViewId="0">
      <selection activeCell="H10" sqref="H10:H59"/>
    </sheetView>
  </sheetViews>
  <sheetFormatPr defaultColWidth="11.5703125" defaultRowHeight="14.25"/>
  <cols>
    <col min="28" max="32" width="18.28515625" bestFit="1" customWidth="1"/>
    <col min="33" max="34" width="18.28515625" customWidth="1"/>
  </cols>
  <sheetData>
    <row r="2" spans="2:64">
      <c r="Q2" s="11"/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  <c r="W2" s="27" t="s">
        <v>113</v>
      </c>
    </row>
    <row r="3" spans="2:64">
      <c r="B3" s="29" t="s">
        <v>119</v>
      </c>
      <c r="C3" s="28" t="s">
        <v>120</v>
      </c>
      <c r="D3" s="28" t="s">
        <v>121</v>
      </c>
      <c r="E3" s="28" t="s">
        <v>122</v>
      </c>
      <c r="F3" s="28" t="s">
        <v>123</v>
      </c>
      <c r="G3" s="28" t="s">
        <v>124</v>
      </c>
      <c r="H3" s="27" t="s">
        <v>125</v>
      </c>
      <c r="J3" s="29" t="s">
        <v>120</v>
      </c>
      <c r="K3" s="28" t="s">
        <v>121</v>
      </c>
      <c r="L3" s="28" t="s">
        <v>122</v>
      </c>
      <c r="M3" s="28" t="s">
        <v>123</v>
      </c>
      <c r="N3" s="28" t="s">
        <v>124</v>
      </c>
      <c r="O3" s="27" t="s">
        <v>125</v>
      </c>
      <c r="Q3" s="36" t="s">
        <v>114</v>
      </c>
      <c r="R3" s="37">
        <f>'Buy FG2 Calc'!K26</f>
        <v>2</v>
      </c>
      <c r="S3" s="37">
        <f>'Buy FG2 Calc'!L26</f>
        <v>2</v>
      </c>
      <c r="T3" s="37">
        <f>'Buy FG2 Calc'!M26</f>
        <v>2</v>
      </c>
      <c r="U3" s="37">
        <f>'Buy FG2 Calc'!N26</f>
        <v>2</v>
      </c>
      <c r="V3" s="37">
        <f>'Buy FG2 Calc'!O26</f>
        <v>2</v>
      </c>
      <c r="W3" s="38">
        <f>'Buy FG2 Calc'!P26</f>
        <v>2</v>
      </c>
    </row>
    <row r="4" spans="2:64">
      <c r="B4" s="31">
        <f t="shared" ref="B4:B8" si="0">B5-1</f>
        <v>-6</v>
      </c>
      <c r="C4" s="32" t="str">
        <f t="shared" ref="C4:H9" si="1">INDEX(C$10:C$223,COUNTA(C$10:C$223)+$B4+1,1)</f>
        <v>GG</v>
      </c>
      <c r="D4" s="32" t="str">
        <f t="shared" si="1"/>
        <v>JJ</v>
      </c>
      <c r="E4" s="32" t="str">
        <f t="shared" si="1"/>
        <v>JJ</v>
      </c>
      <c r="F4" s="32" t="str">
        <f t="shared" si="1"/>
        <v>GG</v>
      </c>
      <c r="G4" s="32" t="str">
        <f t="shared" si="1"/>
        <v>CC</v>
      </c>
      <c r="H4" s="33" t="str">
        <f t="shared" si="1"/>
        <v>AA</v>
      </c>
      <c r="J4" s="31">
        <f>IF(C4="","",1)</f>
        <v>1</v>
      </c>
      <c r="K4" s="32">
        <f t="shared" ref="K4:O19" si="2">IF(D4="","",1)</f>
        <v>1</v>
      </c>
      <c r="L4" s="32">
        <f t="shared" si="2"/>
        <v>1</v>
      </c>
      <c r="M4" s="32">
        <f t="shared" si="2"/>
        <v>1</v>
      </c>
      <c r="N4" s="32">
        <f t="shared" si="2"/>
        <v>1</v>
      </c>
      <c r="O4" s="33">
        <f t="shared" si="2"/>
        <v>1</v>
      </c>
    </row>
    <row r="5" spans="2:64">
      <c r="B5" s="34">
        <f t="shared" si="0"/>
        <v>-5</v>
      </c>
      <c r="C5" s="30" t="str">
        <f t="shared" si="1"/>
        <v>HH</v>
      </c>
      <c r="D5" s="30" t="str">
        <f t="shared" si="1"/>
        <v>FF</v>
      </c>
      <c r="E5" s="30" t="str">
        <f t="shared" si="1"/>
        <v>BB</v>
      </c>
      <c r="F5" s="30" t="str">
        <f t="shared" si="1"/>
        <v>BB</v>
      </c>
      <c r="G5" s="30" t="str">
        <f t="shared" si="1"/>
        <v>KK</v>
      </c>
      <c r="H5" s="35" t="str">
        <f t="shared" si="1"/>
        <v>DD</v>
      </c>
      <c r="J5" s="34">
        <f t="shared" ref="J5:O59" si="3">IF(C5="","",1)</f>
        <v>1</v>
      </c>
      <c r="K5" s="30">
        <f t="shared" si="2"/>
        <v>1</v>
      </c>
      <c r="L5" s="30">
        <f t="shared" si="2"/>
        <v>1</v>
      </c>
      <c r="M5" s="30">
        <f t="shared" si="2"/>
        <v>1</v>
      </c>
      <c r="N5" s="30">
        <f t="shared" si="2"/>
        <v>1</v>
      </c>
      <c r="O5" s="35">
        <f t="shared" si="2"/>
        <v>1</v>
      </c>
    </row>
    <row r="6" spans="2:64">
      <c r="B6" s="34">
        <f t="shared" si="0"/>
        <v>-4</v>
      </c>
      <c r="C6" s="30" t="str">
        <f t="shared" si="1"/>
        <v>HH</v>
      </c>
      <c r="D6" s="30" t="str">
        <f t="shared" si="1"/>
        <v>LL</v>
      </c>
      <c r="E6" s="30" t="str">
        <f t="shared" si="1"/>
        <v>KK</v>
      </c>
      <c r="F6" s="30" t="str">
        <f t="shared" si="1"/>
        <v>LL</v>
      </c>
      <c r="G6" s="30" t="str">
        <f t="shared" si="1"/>
        <v>BB</v>
      </c>
      <c r="H6" s="35" t="str">
        <f t="shared" si="1"/>
        <v>CC</v>
      </c>
      <c r="J6" s="34">
        <f t="shared" si="3"/>
        <v>1</v>
      </c>
      <c r="K6" s="30">
        <f t="shared" si="2"/>
        <v>1</v>
      </c>
      <c r="L6" s="30">
        <f t="shared" si="2"/>
        <v>1</v>
      </c>
      <c r="M6" s="30">
        <f t="shared" si="2"/>
        <v>1</v>
      </c>
      <c r="N6" s="30">
        <f t="shared" si="2"/>
        <v>1</v>
      </c>
      <c r="O6" s="35">
        <f t="shared" si="2"/>
        <v>1</v>
      </c>
    </row>
    <row r="7" spans="2:64">
      <c r="B7" s="34">
        <f t="shared" si="0"/>
        <v>-3</v>
      </c>
      <c r="C7" s="30" t="str">
        <f t="shared" si="1"/>
        <v>DD</v>
      </c>
      <c r="D7" s="30" t="str">
        <f t="shared" si="1"/>
        <v>GG</v>
      </c>
      <c r="E7" s="30" t="str">
        <f t="shared" si="1"/>
        <v>JJ</v>
      </c>
      <c r="F7" s="30" t="str">
        <f t="shared" si="1"/>
        <v>CC</v>
      </c>
      <c r="G7" s="30" t="str">
        <f t="shared" si="1"/>
        <v>DD</v>
      </c>
      <c r="H7" s="35" t="str">
        <f t="shared" si="1"/>
        <v>DD</v>
      </c>
      <c r="J7" s="34">
        <f t="shared" si="3"/>
        <v>1</v>
      </c>
      <c r="K7" s="30">
        <f t="shared" si="2"/>
        <v>1</v>
      </c>
      <c r="L7" s="30">
        <f t="shared" si="2"/>
        <v>1</v>
      </c>
      <c r="M7" s="30">
        <f t="shared" si="2"/>
        <v>1</v>
      </c>
      <c r="N7" s="30">
        <f t="shared" si="2"/>
        <v>1</v>
      </c>
      <c r="O7" s="35">
        <f t="shared" si="2"/>
        <v>1</v>
      </c>
    </row>
    <row r="8" spans="2:64">
      <c r="B8" s="34">
        <f t="shared" si="0"/>
        <v>-2</v>
      </c>
      <c r="C8" s="30" t="str">
        <f t="shared" si="1"/>
        <v>BB</v>
      </c>
      <c r="D8" s="30" t="str">
        <f t="shared" si="1"/>
        <v>BB</v>
      </c>
      <c r="E8" s="30" t="str">
        <f t="shared" si="1"/>
        <v>BB</v>
      </c>
      <c r="F8" s="30" t="str">
        <f t="shared" si="1"/>
        <v>FF</v>
      </c>
      <c r="G8" s="30" t="str">
        <f t="shared" si="1"/>
        <v>BB</v>
      </c>
      <c r="H8" s="35" t="str">
        <f t="shared" si="1"/>
        <v>GG</v>
      </c>
      <c r="J8" s="34">
        <f t="shared" si="3"/>
        <v>1</v>
      </c>
      <c r="K8" s="30">
        <f t="shared" si="2"/>
        <v>1</v>
      </c>
      <c r="L8" s="30">
        <f t="shared" si="2"/>
        <v>1</v>
      </c>
      <c r="M8" s="30">
        <f t="shared" si="2"/>
        <v>1</v>
      </c>
      <c r="N8" s="30">
        <f t="shared" si="2"/>
        <v>1</v>
      </c>
      <c r="O8" s="35">
        <f t="shared" si="2"/>
        <v>1</v>
      </c>
    </row>
    <row r="9" spans="2:64">
      <c r="B9" s="36">
        <f>B10-1</f>
        <v>-1</v>
      </c>
      <c r="C9" s="37" t="str">
        <f>INDEX(C$10:C$223,COUNTA(C$10:C$223)+$B9+1,1)</f>
        <v>JJ</v>
      </c>
      <c r="D9" s="37" t="str">
        <f t="shared" si="1"/>
        <v>AA</v>
      </c>
      <c r="E9" s="37" t="str">
        <f t="shared" si="1"/>
        <v>AA</v>
      </c>
      <c r="F9" s="37" t="str">
        <f t="shared" si="1"/>
        <v>GG</v>
      </c>
      <c r="G9" s="37" t="str">
        <f t="shared" si="1"/>
        <v>DD</v>
      </c>
      <c r="H9" s="38" t="str">
        <f t="shared" si="1"/>
        <v>AA</v>
      </c>
      <c r="J9" s="36">
        <f t="shared" si="3"/>
        <v>1</v>
      </c>
      <c r="K9" s="37">
        <f t="shared" si="2"/>
        <v>1</v>
      </c>
      <c r="L9" s="37">
        <f t="shared" si="2"/>
        <v>1</v>
      </c>
      <c r="M9" s="37">
        <f t="shared" si="2"/>
        <v>1</v>
      </c>
      <c r="N9" s="37">
        <f t="shared" si="2"/>
        <v>1</v>
      </c>
      <c r="O9" s="38">
        <f t="shared" si="2"/>
        <v>1</v>
      </c>
      <c r="Q9" s="29"/>
      <c r="R9" s="28" t="s">
        <v>108</v>
      </c>
      <c r="S9" s="28" t="s">
        <v>109</v>
      </c>
      <c r="T9" s="28" t="s">
        <v>110</v>
      </c>
      <c r="U9" s="28" t="s">
        <v>111</v>
      </c>
      <c r="V9" s="28" t="s">
        <v>112</v>
      </c>
      <c r="W9" s="27" t="s">
        <v>113</v>
      </c>
      <c r="Y9" s="25">
        <v>1</v>
      </c>
      <c r="Z9" s="24" t="s">
        <v>126</v>
      </c>
      <c r="AB9" s="45" t="s">
        <v>108</v>
      </c>
      <c r="AC9" s="46" t="s">
        <v>109</v>
      </c>
      <c r="AD9" s="46" t="s">
        <v>110</v>
      </c>
      <c r="AE9" s="46" t="s">
        <v>111</v>
      </c>
      <c r="AF9" s="46" t="s">
        <v>112</v>
      </c>
      <c r="AG9" s="47" t="s">
        <v>113</v>
      </c>
      <c r="AH9" s="39"/>
      <c r="AJ9" s="26"/>
      <c r="AK9" s="46" t="s">
        <v>108</v>
      </c>
      <c r="AL9" s="46" t="s">
        <v>109</v>
      </c>
      <c r="AM9" s="46" t="s">
        <v>110</v>
      </c>
      <c r="AN9" s="46" t="s">
        <v>111</v>
      </c>
      <c r="AO9" s="46" t="s">
        <v>112</v>
      </c>
      <c r="AP9" s="47" t="s">
        <v>113</v>
      </c>
      <c r="AR9" s="29"/>
      <c r="AS9" s="46" t="s">
        <v>108</v>
      </c>
      <c r="AT9" s="46" t="s">
        <v>109</v>
      </c>
      <c r="AU9" s="46" t="s">
        <v>110</v>
      </c>
      <c r="AV9" s="46" t="s">
        <v>111</v>
      </c>
      <c r="AW9" s="46" t="s">
        <v>112</v>
      </c>
      <c r="AX9" s="47" t="s">
        <v>113</v>
      </c>
    </row>
    <row r="10" spans="2:64">
      <c r="B10" s="34">
        <v>0</v>
      </c>
      <c r="C10" s="30" t="s">
        <v>138</v>
      </c>
      <c r="D10" s="30" t="s">
        <v>129</v>
      </c>
      <c r="E10" s="30" t="s">
        <v>128</v>
      </c>
      <c r="F10" s="30" t="s">
        <v>132</v>
      </c>
      <c r="G10" s="30" t="s">
        <v>138</v>
      </c>
      <c r="H10" s="35" t="s">
        <v>128</v>
      </c>
      <c r="J10" s="34">
        <f t="shared" si="3"/>
        <v>1</v>
      </c>
      <c r="K10" s="30">
        <f t="shared" si="2"/>
        <v>1</v>
      </c>
      <c r="L10" s="30">
        <f t="shared" si="2"/>
        <v>1</v>
      </c>
      <c r="M10" s="30">
        <f t="shared" si="2"/>
        <v>1</v>
      </c>
      <c r="N10" s="30">
        <f t="shared" si="2"/>
        <v>1</v>
      </c>
      <c r="O10" s="35">
        <f t="shared" si="2"/>
        <v>1</v>
      </c>
      <c r="Q10" s="34" t="str">
        <f t="shared" ref="Q10:Q20" si="4">Z9</f>
        <v>WC</v>
      </c>
      <c r="R10" s="30">
        <f>COUNTIF(C$10:C$135,$Q10)</f>
        <v>0</v>
      </c>
      <c r="S10" s="30">
        <f t="shared" ref="S10:W22" si="5">COUNTIF(D$10:D$135,$Q10)</f>
        <v>0</v>
      </c>
      <c r="T10" s="30">
        <f t="shared" si="5"/>
        <v>0</v>
      </c>
      <c r="U10" s="30">
        <f t="shared" si="5"/>
        <v>0</v>
      </c>
      <c r="V10" s="30">
        <f t="shared" si="5"/>
        <v>0</v>
      </c>
      <c r="W10" s="35">
        <f t="shared" si="5"/>
        <v>0</v>
      </c>
      <c r="Y10" s="20">
        <f t="shared" ref="Y10:Y19" si="6">Y9+1</f>
        <v>2</v>
      </c>
      <c r="Z10" s="23" t="s">
        <v>131</v>
      </c>
      <c r="AB10" s="40" t="str">
        <f>IF(R$3=2,IF(COUNTA(C9:C10) = R$3,COUNTIF(C9:C10, $Z$9)  &amp; COUNTIF(C9:C10, $Z$9)+COUNTIF(C9:C10, $Z$10) &amp; COUNTIF(C9:C10, $Z$9)+COUNTIF(C9:C10, $Z$11) &amp; COUNTIF(C9:C10, $Z$9)+COUNTIF(C9:C10, $Z$12) &amp; COUNTIF(C9:C10, $Z$9)+COUNTIF(C9:C10, $Z$13) &amp; COUNTIF(C9:C10, $Z$9)+COUNTIF(C9:C10, $Z$14) &amp; COUNTIF(C9:C10, $Z$9)+COUNTIF(C9:C10, $Z$15) &amp; COUNTIF(C9:C10, $Z$9)+COUNTIF(C9:C10, $Z$16) &amp; COUNTIF(C9:C10, $Z$9)+COUNTIF(C9:C10, $Z$17) &amp; COUNTIF(C9:C10, $Z$9)+COUNTIF(C9:C10, $Z$18) &amp; COUNTIF(C9:C10, $Z$9)+COUNTIF(C9:C10, $Z$19)  &amp; COUNTIF(C9:C10, $Z$9)+COUNTIF(C9:C10, $Z$20) &amp; COUNTIF(C9:C10, $Z$21),""),
IF(R$3=3,IF(COUNTA(C8:C10) = R$3,COUNTIF(C8:C10, $Z$9)  &amp; COUNTIF(C8:C10, $Z$9)+COUNTIF(C8:C10, $Z$10) &amp; COUNTIF(C8:C10, $Z$9)+COUNTIF(C8:C10, $Z$11) &amp; COUNTIF(C8:C10, $Z$9)+COUNTIF(C8:C10, $Z$12) &amp; COUNTIF(C8:C10, $Z$9)+COUNTIF(C8:C10, $Z$13) &amp; COUNTIF(C8:C10, $Z$9)+COUNTIF(C8:C10, $Z$14) &amp; COUNTIF(C8:C10, $Z$9)+COUNTIF(C8:C10, $Z$15) &amp; COUNTIF(C8:C10, $Z$9)+COUNTIF(C8:C10, $Z$16) &amp; COUNTIF(C8:C10, $Z$9)+COUNTIF(C8:C10, $Z$17) &amp; COUNTIF(C8:C10, $Z$9)+COUNTIF(C8:C10, $Z$18) &amp; COUNTIF(C8:C10, $Z$9)+COUNTIF(C8:C10, $Z$19)  &amp; COUNTIF(C8:C10, $Z$9)+COUNTIF(C8:C10, $Z$20) &amp; COUNTIF(C8:C10, $Z$21),""),
IF(R$3=4,IF(COUNTA(C7:C10) = R$3,COUNTIF(C7:C10, $Z$9)  &amp; COUNTIF(C7:C10, $Z$9)+COUNTIF(C7:C10, $Z$10) &amp; COUNTIF(C7:C10, $Z$9)+COUNTIF(C7:C10, $Z$11) &amp; COUNTIF(C7:C10, $Z$9)+COUNTIF(C7:C10, $Z$12) &amp; COUNTIF(C7:C10, $Z$9)+COUNTIF(C7:C10, $Z$13) &amp; COUNTIF(C7:C10, $Z$9)+COUNTIF(C7:C10, $Z$14) &amp; COUNTIF(C7:C10, $Z$9)+COUNTIF(C7:C10, $Z$15) &amp; COUNTIF(C7:C10, $Z$9)+COUNTIF(C7:C10, $Z$16) &amp; COUNTIF(C7:C10, $Z$9)+COUNTIF(C7:C10, $Z$17) &amp; COUNTIF(C7:C10, $Z$9)+COUNTIF(C7:C10, $Z$18) &amp; COUNTIF(C7:C10, $Z$9)+COUNTIF(C7:C10, $Z$19)  &amp; COUNTIF(C7:C10, $Z$9)+COUNTIF(C7:C10, $Z$20) &amp; COUNTIF(C7:C10, $Z$21),""),
IF(R$3=5,IF(COUNTA(C6:C10) = R$3,COUNTIF(C6:C10, $Z$9)  &amp; COUNTIF(C6:C10, $Z$9)+COUNTIF(C6:C10, $Z$10) &amp; COUNTIF(C6:C10, $Z$9)+COUNTIF(C6:C10, $Z$11) &amp; COUNTIF(C6:C10, $Z$9)+COUNTIF(C6:C10, $Z$12) &amp; COUNTIF(C6:C10, $Z$9)+COUNTIF(C6:C10, $Z$13) &amp; COUNTIF(C6:C10, $Z$9)+COUNTIF(C6:C10, $Z$14) &amp; COUNTIF(C6:C10, $Z$9)+COUNTIF(C6:C10, $Z$15) &amp; COUNTIF(C6:C10, $Z$9)+COUNTIF(C6:C10, $Z$16) &amp; COUNTIF(C6:C10, $Z$9)+COUNTIF(C6:C10, $Z$17) &amp; COUNTIF(C6:C10, $Z$9)+COUNTIF(C6:C10, $Z$18) &amp; COUNTIF(C6:C10, $Z$9)+COUNTIF(C6:C10, $Z$19)  &amp; COUNTIF(C6:C10, $Z$9)+COUNTIF(C6:C10, $Z$20) &amp; COUNTIF(C6:C10, $Z$21),""),
IF(R$3=6,IF(COUNTA(C5:C10) = R$3,COUNTIF(C5:C10, $Z$9)  &amp; COUNTIF(C5:C10, $Z$9)+COUNTIF(C5:C10, $Z$10) &amp; COUNTIF(C5:C10, $Z$9)+COUNTIF(C5:C10, $Z$11) &amp; COUNTIF(C5:C10, $Z$9)+COUNTIF(C5:C10, $Z$12) &amp; COUNTIF(C5:C10, $Z$9)+COUNTIF(C5:C10, $Z$13) &amp; COUNTIF(C5:C10, $Z$9)+COUNTIF(C5:C10, $Z$14) &amp; COUNTIF(C5:C10, $Z$9)+COUNTIF(C5:C10, $Z$15) &amp; COUNTIF(C5:C10, $Z$9)+COUNTIF(C5:C10, $Z$16) &amp; COUNTIF(C5:C10, $Z$9)+COUNTIF(C5:C10, $Z$17) &amp; COUNTIF(C5:C10, $Z$9)+COUNTIF(C5:C10, $Z$18) &amp; COUNTIF(C5:C10, $Z$9)+COUNTIF(C5:C10, $Z$19)  &amp; COUNTIF(C5:C10, $Z$9)+COUNTIF(C5:C10, $Z$20) &amp; COUNTIF(C5:C10, $Z$21),""),
IF(R$3=7,IF(COUNTA(C4:C10) = R$3,COUNTIF(C4:C10, $Z$9)  &amp; COUNTIF(C4:C10, $Z$9)+COUNTIF(C4:C10, $Z$10) &amp; COUNTIF(C4:C10, $Z$9)+COUNTIF(C4:C10, $Z$11) &amp; COUNTIF(C4:C10, $Z$9)+COUNTIF(C4:C10, $Z$12) &amp; COUNTIF(C4:C10, $Z$9)+COUNTIF(C4:C10, $Z$13) &amp; COUNTIF(C4:C10, $Z$9)+COUNTIF(C4:C10, $Z$14) &amp; COUNTIF(C4:C10, $Z$9)+COUNTIF(C4:C10, $Z$15) &amp; COUNTIF(C4:C10, $Z$9)+COUNTIF(C4:C10, $Z$16) &amp; COUNTIF(C4:C10, $Z$9)+COUNTIF(C4:C10, $Z$17) &amp; COUNTIF(C4:C10, $Z$9)+COUNTIF(C4:C10, $Z$18) &amp; COUNTIF(C4:C10, $Z$9)+COUNTIF(C4:C10, $Z$19)  &amp; COUNTIF(C4:C10, $Z$9)+COUNTIF(C4:C10, $Z$20) &amp; COUNTIF(C4:C10, $Z$21),"")))))))</f>
        <v>0000000001010</v>
      </c>
      <c r="AC10" s="15" t="str">
        <f t="shared" ref="AC10:AG25" si="7">IF(S$3=2,IF(COUNTA(D9:D10) = S$3,COUNTIF(D9:D10, $Z$9)  &amp; COUNTIF(D9:D10, $Z$9)+COUNTIF(D9:D10, $Z$10) &amp; COUNTIF(D9:D10, $Z$9)+COUNTIF(D9:D10, $Z$11) &amp; COUNTIF(D9:D10, $Z$9)+COUNTIF(D9:D10, $Z$12) &amp; COUNTIF(D9:D10, $Z$9)+COUNTIF(D9:D10, $Z$13) &amp; COUNTIF(D9:D10, $Z$9)+COUNTIF(D9:D10, $Z$14) &amp; COUNTIF(D9:D10, $Z$9)+COUNTIF(D9:D10, $Z$15) &amp; COUNTIF(D9:D10, $Z$9)+COUNTIF(D9:D10, $Z$16) &amp; COUNTIF(D9:D10, $Z$9)+COUNTIF(D9:D10, $Z$17) &amp; COUNTIF(D9:D10, $Z$9)+COUNTIF(D9:D10, $Z$18) &amp; COUNTIF(D9:D10, $Z$9)+COUNTIF(D9:D10, $Z$19)  &amp; COUNTIF(D9:D10, $Z$9)+COUNTIF(D9:D10, $Z$20) &amp; COUNTIF(D9:D10, $Z$21),""),
IF(S$3=3,IF(COUNTA(D8:D10) = S$3,COUNTIF(D8:D10, $Z$9)  &amp; COUNTIF(D8:D10, $Z$9)+COUNTIF(D8:D10, $Z$10) &amp; COUNTIF(D8:D10, $Z$9)+COUNTIF(D8:D10, $Z$11) &amp; COUNTIF(D8:D10, $Z$9)+COUNTIF(D8:D10, $Z$12) &amp; COUNTIF(D8:D10, $Z$9)+COUNTIF(D8:D10, $Z$13) &amp; COUNTIF(D8:D10, $Z$9)+COUNTIF(D8:D10, $Z$14) &amp; COUNTIF(D8:D10, $Z$9)+COUNTIF(D8:D10, $Z$15) &amp; COUNTIF(D8:D10, $Z$9)+COUNTIF(D8:D10, $Z$16) &amp; COUNTIF(D8:D10, $Z$9)+COUNTIF(D8:D10, $Z$17) &amp; COUNTIF(D8:D10, $Z$9)+COUNTIF(D8:D10, $Z$18) &amp; COUNTIF(D8:D10, $Z$9)+COUNTIF(D8:D10, $Z$19)  &amp; COUNTIF(D8:D10, $Z$9)+COUNTIF(D8:D10, $Z$20) &amp; COUNTIF(D8:D10, $Z$21),""),
IF(S$3=4,IF(COUNTA(D7:D10) = S$3,COUNTIF(D7:D10, $Z$9)  &amp; COUNTIF(D7:D10, $Z$9)+COUNTIF(D7:D10, $Z$10) &amp; COUNTIF(D7:D10, $Z$9)+COUNTIF(D7:D10, $Z$11) &amp; COUNTIF(D7:D10, $Z$9)+COUNTIF(D7:D10, $Z$12) &amp; COUNTIF(D7:D10, $Z$9)+COUNTIF(D7:D10, $Z$13) &amp; COUNTIF(D7:D10, $Z$9)+COUNTIF(D7:D10, $Z$14) &amp; COUNTIF(D7:D10, $Z$9)+COUNTIF(D7:D10, $Z$15) &amp; COUNTIF(D7:D10, $Z$9)+COUNTIF(D7:D10, $Z$16) &amp; COUNTIF(D7:D10, $Z$9)+COUNTIF(D7:D10, $Z$17) &amp; COUNTIF(D7:D10, $Z$9)+COUNTIF(D7:D10, $Z$18) &amp; COUNTIF(D7:D10, $Z$9)+COUNTIF(D7:D10, $Z$19)  &amp; COUNTIF(D7:D10, $Z$9)+COUNTIF(D7:D10, $Z$20) &amp; COUNTIF(D7:D10, $Z$21),""),
IF(S$3=5,IF(COUNTA(D6:D10) = S$3,COUNTIF(D6:D10, $Z$9)  &amp; COUNTIF(D6:D10, $Z$9)+COUNTIF(D6:D10, $Z$10) &amp; COUNTIF(D6:D10, $Z$9)+COUNTIF(D6:D10, $Z$11) &amp; COUNTIF(D6:D10, $Z$9)+COUNTIF(D6:D10, $Z$12) &amp; COUNTIF(D6:D10, $Z$9)+COUNTIF(D6:D10, $Z$13) &amp; COUNTIF(D6:D10, $Z$9)+COUNTIF(D6:D10, $Z$14) &amp; COUNTIF(D6:D10, $Z$9)+COUNTIF(D6:D10, $Z$15) &amp; COUNTIF(D6:D10, $Z$9)+COUNTIF(D6:D10, $Z$16) &amp; COUNTIF(D6:D10, $Z$9)+COUNTIF(D6:D10, $Z$17) &amp; COUNTIF(D6:D10, $Z$9)+COUNTIF(D6:D10, $Z$18) &amp; COUNTIF(D6:D10, $Z$9)+COUNTIF(D6:D10, $Z$19)  &amp; COUNTIF(D6:D10, $Z$9)+COUNTIF(D6:D10, $Z$20) &amp; COUNTIF(D6:D10, $Z$21),""),
IF(S$3=6,IF(COUNTA(D5:D10) = S$3,COUNTIF(D5:D10, $Z$9)  &amp; COUNTIF(D5:D10, $Z$9)+COUNTIF(D5:D10, $Z$10) &amp; COUNTIF(D5:D10, $Z$9)+COUNTIF(D5:D10, $Z$11) &amp; COUNTIF(D5:D10, $Z$9)+COUNTIF(D5:D10, $Z$12) &amp; COUNTIF(D5:D10, $Z$9)+COUNTIF(D5:D10, $Z$13) &amp; COUNTIF(D5:D10, $Z$9)+COUNTIF(D5:D10, $Z$14) &amp; COUNTIF(D5:D10, $Z$9)+COUNTIF(D5:D10, $Z$15) &amp; COUNTIF(D5:D10, $Z$9)+COUNTIF(D5:D10, $Z$16) &amp; COUNTIF(D5:D10, $Z$9)+COUNTIF(D5:D10, $Z$17) &amp; COUNTIF(D5:D10, $Z$9)+COUNTIF(D5:D10, $Z$18) &amp; COUNTIF(D5:D10, $Z$9)+COUNTIF(D5:D10, $Z$19)  &amp; COUNTIF(D5:D10, $Z$9)+COUNTIF(D5:D10, $Z$20) &amp; COUNTIF(D5:D10, $Z$21),""),
IF(S$3=7,IF(COUNTA(D4:D10) = S$3,COUNTIF(D4:D10, $Z$9)  &amp; COUNTIF(D4:D10, $Z$9)+COUNTIF(D4:D10, $Z$10) &amp; COUNTIF(D4:D10, $Z$9)+COUNTIF(D4:D10, $Z$11) &amp; COUNTIF(D4:D10, $Z$9)+COUNTIF(D4:D10, $Z$12) &amp; COUNTIF(D4:D10, $Z$9)+COUNTIF(D4:D10, $Z$13) &amp; COUNTIF(D4:D10, $Z$9)+COUNTIF(D4:D10, $Z$14) &amp; COUNTIF(D4:D10, $Z$9)+COUNTIF(D4:D10, $Z$15) &amp; COUNTIF(D4:D10, $Z$9)+COUNTIF(D4:D10, $Z$16) &amp; COUNTIF(D4:D10, $Z$9)+COUNTIF(D4:D10, $Z$17) &amp; COUNTIF(D4:D10, $Z$9)+COUNTIF(D4:D10, $Z$18) &amp; COUNTIF(D4:D10, $Z$9)+COUNTIF(D4:D10, $Z$19)  &amp; COUNTIF(D4:D10, $Z$9)+COUNTIF(D4:D10, $Z$20) &amp; COUNTIF(D4:D10, $Z$21),"")))))))</f>
        <v>0100000001000</v>
      </c>
      <c r="AD10" s="15" t="str">
        <f t="shared" si="7"/>
        <v>0100001000000</v>
      </c>
      <c r="AE10" s="15" t="str">
        <f t="shared" si="7"/>
        <v>0000000100100</v>
      </c>
      <c r="AF10" s="15" t="str">
        <f t="shared" si="7"/>
        <v>0000100000010</v>
      </c>
      <c r="AG10" s="41" t="str">
        <f t="shared" si="7"/>
        <v>0100001000000</v>
      </c>
      <c r="AH10" s="15"/>
      <c r="AI10" s="21">
        <v>7</v>
      </c>
      <c r="AJ10" s="20" t="str">
        <f>$Z$10&amp;"-7"</f>
        <v>AA-7</v>
      </c>
      <c r="AK10" s="39" cm="1">
        <f t="array" ref="AK10">SUMPRODUCT(--(MID(AB$10:AB$135, SUMIF($Z$9:$Z$21, LEFT($AJ10,2), $Y$9:$Y$21), 1) = RIGHT($AJ10, 1)), J$10:J$135)</f>
        <v>0</v>
      </c>
      <c r="AL10" s="39" cm="1">
        <f t="array" ref="AL10">SUMPRODUCT(--(MID(AC$10:AC$135, SUMIF($Z$9:$Z$21, LEFT($AJ10,2), $Y$9:$Y$21), 1) = RIGHT($AJ10, 1)), K$10:K$135)</f>
        <v>0</v>
      </c>
      <c r="AM10" s="39" cm="1">
        <f t="array" ref="AM10">SUMPRODUCT(--(MID(AD$10:AD$135, SUMIF($Z$9:$Z$21, LEFT($AJ10,2), $Y$9:$Y$21), 1) = RIGHT($AJ10, 1)), L$10:L$135)</f>
        <v>0</v>
      </c>
      <c r="AN10" s="39" cm="1">
        <f t="array" ref="AN10">SUMPRODUCT(--(MID(AE$10:AE$135, SUMIF($Z$9:$Z$21, LEFT($AJ10,2), $Y$9:$Y$21), 1) = RIGHT($AJ10, 1)), M$10:M$135)</f>
        <v>0</v>
      </c>
      <c r="AO10" s="39" cm="1">
        <f t="array" ref="AO10">SUMPRODUCT(--(MID(AF$10:AF$135, SUMIF($Z$9:$Z$21, LEFT($AJ10,2), $Y$9:$Y$21), 1) = RIGHT($AJ10, 1)), N$10:N$135)</f>
        <v>0</v>
      </c>
      <c r="AP10" s="19" cm="1">
        <f t="array" ref="AP10">SUMPRODUCT(--(MID(AG$10:AG$135, SUMIF($Z$9:$Z$21, LEFT($AJ10,2), $Y$9:$Y$21), 1) = RIGHT($AJ10, 1)), O$10:O$135)</f>
        <v>0</v>
      </c>
      <c r="AQ10" s="39"/>
      <c r="AR10" s="34" t="str">
        <f t="shared" ref="AR10:AR22" si="8">Z9</f>
        <v>WC</v>
      </c>
      <c r="AS10" s="30" cm="1">
        <f t="array" ref="AS10">SUMPRODUCT($AI$10:$AI$113,AK$10:AK$113,IF(LEFT($AJ$10:$AJ$113,2)=$AR10,1,0))</f>
        <v>0</v>
      </c>
      <c r="AT10" s="30" cm="1">
        <f t="array" ref="AT10">SUMPRODUCT($AI$10:$AI$113,AL$10:AL$113,IF(LEFT($AJ$10:$AJ$113,2)=$AR10,1,0))</f>
        <v>0</v>
      </c>
      <c r="AU10" s="30" cm="1">
        <f t="array" ref="AU10">SUMPRODUCT($AI$10:$AI$113,AM$10:AM$113,IF(LEFT($AJ$10:$AJ$113,2)=$AR10,1,0))</f>
        <v>0</v>
      </c>
      <c r="AV10" s="30" cm="1">
        <f t="array" ref="AV10">SUMPRODUCT($AI$10:$AI$113,AN$10:AN$113,IF(LEFT($AJ$10:$AJ$113,2)=$AR10,1,0))</f>
        <v>0</v>
      </c>
      <c r="AW10" s="30" cm="1">
        <f t="array" ref="AW10">SUMPRODUCT($AI$10:$AI$113,AO$10:AO$113,IF(LEFT($AJ$10:$AJ$113,2)=$AR10,1,0))</f>
        <v>0</v>
      </c>
      <c r="AX10" s="35" cm="1">
        <f t="array" ref="AX10">SUMPRODUCT($AI$10:$AI$113,AP$10:AP$113,IF(LEFT($AJ$10:$AJ$113,2)=$AR10,1,0))</f>
        <v>0</v>
      </c>
      <c r="AZ10" s="30"/>
      <c r="BA10" s="30"/>
      <c r="BB10" s="30"/>
      <c r="BC10" s="30"/>
      <c r="BD10" s="30"/>
      <c r="BE10" s="30"/>
      <c r="BG10" s="30"/>
      <c r="BH10" s="30"/>
      <c r="BI10" s="30"/>
      <c r="BJ10" s="30"/>
      <c r="BK10" s="30"/>
      <c r="BL10" s="30"/>
    </row>
    <row r="11" spans="2:64">
      <c r="B11" s="34">
        <f t="shared" ref="B11:B74" si="9">B10+1</f>
        <v>1</v>
      </c>
      <c r="C11" s="30" t="s">
        <v>138</v>
      </c>
      <c r="D11" s="30" t="s">
        <v>129</v>
      </c>
      <c r="E11" s="30" t="s">
        <v>128</v>
      </c>
      <c r="F11" s="30" t="s">
        <v>132</v>
      </c>
      <c r="G11" s="30" t="s">
        <v>134</v>
      </c>
      <c r="H11" s="35" t="s">
        <v>128</v>
      </c>
      <c r="J11" s="34">
        <f t="shared" si="3"/>
        <v>1</v>
      </c>
      <c r="K11" s="30">
        <f t="shared" si="2"/>
        <v>1</v>
      </c>
      <c r="L11" s="30">
        <f t="shared" si="2"/>
        <v>1</v>
      </c>
      <c r="M11" s="30">
        <f t="shared" si="2"/>
        <v>1</v>
      </c>
      <c r="N11" s="30">
        <f t="shared" si="2"/>
        <v>1</v>
      </c>
      <c r="O11" s="35">
        <f t="shared" si="2"/>
        <v>1</v>
      </c>
      <c r="Q11" s="34" t="str">
        <f t="shared" si="4"/>
        <v>AA</v>
      </c>
      <c r="R11" s="30">
        <f t="shared" ref="R11:R22" si="10">COUNTIF(C$10:C$135,$Q11)</f>
        <v>1</v>
      </c>
      <c r="S11" s="30">
        <f t="shared" si="5"/>
        <v>4</v>
      </c>
      <c r="T11" s="30">
        <f t="shared" si="5"/>
        <v>4</v>
      </c>
      <c r="U11" s="30">
        <f t="shared" si="5"/>
        <v>5</v>
      </c>
      <c r="V11" s="30">
        <f t="shared" si="5"/>
        <v>13</v>
      </c>
      <c r="W11" s="35">
        <f t="shared" si="5"/>
        <v>7</v>
      </c>
      <c r="Y11" s="20">
        <f t="shared" si="6"/>
        <v>3</v>
      </c>
      <c r="Z11" s="23" t="s">
        <v>127</v>
      </c>
      <c r="AB11" s="40" t="str">
        <f t="shared" ref="AB11:AG65" si="11">IF(R$3=2,IF(COUNTA(C10:C11) = R$3,COUNTIF(C10:C11, $Z$9)  &amp; COUNTIF(C10:C11, $Z$9)+COUNTIF(C10:C11, $Z$10) &amp; COUNTIF(C10:C11, $Z$9)+COUNTIF(C10:C11, $Z$11) &amp; COUNTIF(C10:C11, $Z$9)+COUNTIF(C10:C11, $Z$12) &amp; COUNTIF(C10:C11, $Z$9)+COUNTIF(C10:C11, $Z$13) &amp; COUNTIF(C10:C11, $Z$9)+COUNTIF(C10:C11, $Z$14) &amp; COUNTIF(C10:C11, $Z$9)+COUNTIF(C10:C11, $Z$15) &amp; COUNTIF(C10:C11, $Z$9)+COUNTIF(C10:C11, $Z$16) &amp; COUNTIF(C10:C11, $Z$9)+COUNTIF(C10:C11, $Z$17) &amp; COUNTIF(C10:C11, $Z$9)+COUNTIF(C10:C11, $Z$18) &amp; COUNTIF(C10:C11, $Z$9)+COUNTIF(C10:C11, $Z$19)  &amp; COUNTIF(C10:C11, $Z$9)+COUNTIF(C10:C11, $Z$20) &amp; COUNTIF(C10:C11, $Z$21),""),
IF(R$3=3,IF(COUNTA(C9:C11) = R$3,COUNTIF(C9:C11, $Z$9)  &amp; COUNTIF(C9:C11, $Z$9)+COUNTIF(C9:C11, $Z$10) &amp; COUNTIF(C9:C11, $Z$9)+COUNTIF(C9:C11, $Z$11) &amp; COUNTIF(C9:C11, $Z$9)+COUNTIF(C9:C11, $Z$12) &amp; COUNTIF(C9:C11, $Z$9)+COUNTIF(C9:C11, $Z$13) &amp; COUNTIF(C9:C11, $Z$9)+COUNTIF(C9:C11, $Z$14) &amp; COUNTIF(C9:C11, $Z$9)+COUNTIF(C9:C11, $Z$15) &amp; COUNTIF(C9:C11, $Z$9)+COUNTIF(C9:C11, $Z$16) &amp; COUNTIF(C9:C11, $Z$9)+COUNTIF(C9:C11, $Z$17) &amp; COUNTIF(C9:C11, $Z$9)+COUNTIF(C9:C11, $Z$18) &amp; COUNTIF(C9:C11, $Z$9)+COUNTIF(C9:C11, $Z$19)  &amp; COUNTIF(C9:C11, $Z$9)+COUNTIF(C9:C11, $Z$20) &amp; COUNTIF(C9:C11, $Z$21),""),
IF(R$3=4,IF(COUNTA(C8:C11) = R$3,COUNTIF(C8:C11, $Z$9)  &amp; COUNTIF(C8:C11, $Z$9)+COUNTIF(C8:C11, $Z$10) &amp; COUNTIF(C8:C11, $Z$9)+COUNTIF(C8:C11, $Z$11) &amp; COUNTIF(C8:C11, $Z$9)+COUNTIF(C8:C11, $Z$12) &amp; COUNTIF(C8:C11, $Z$9)+COUNTIF(C8:C11, $Z$13) &amp; COUNTIF(C8:C11, $Z$9)+COUNTIF(C8:C11, $Z$14) &amp; COUNTIF(C8:C11, $Z$9)+COUNTIF(C8:C11, $Z$15) &amp; COUNTIF(C8:C11, $Z$9)+COUNTIF(C8:C11, $Z$16) &amp; COUNTIF(C8:C11, $Z$9)+COUNTIF(C8:C11, $Z$17) &amp; COUNTIF(C8:C11, $Z$9)+COUNTIF(C8:C11, $Z$18) &amp; COUNTIF(C8:C11, $Z$9)+COUNTIF(C8:C11, $Z$19)  &amp; COUNTIF(C8:C11, $Z$9)+COUNTIF(C8:C11, $Z$20) &amp; COUNTIF(C8:C11, $Z$21),""),
IF(R$3=5,IF(COUNTA(C7:C11) = R$3,COUNTIF(C7:C11, $Z$9)  &amp; COUNTIF(C7:C11, $Z$9)+COUNTIF(C7:C11, $Z$10) &amp; COUNTIF(C7:C11, $Z$9)+COUNTIF(C7:C11, $Z$11) &amp; COUNTIF(C7:C11, $Z$9)+COUNTIF(C7:C11, $Z$12) &amp; COUNTIF(C7:C11, $Z$9)+COUNTIF(C7:C11, $Z$13) &amp; COUNTIF(C7:C11, $Z$9)+COUNTIF(C7:C11, $Z$14) &amp; COUNTIF(C7:C11, $Z$9)+COUNTIF(C7:C11, $Z$15) &amp; COUNTIF(C7:C11, $Z$9)+COUNTIF(C7:C11, $Z$16) &amp; COUNTIF(C7:C11, $Z$9)+COUNTIF(C7:C11, $Z$17) &amp; COUNTIF(C7:C11, $Z$9)+COUNTIF(C7:C11, $Z$18) &amp; COUNTIF(C7:C11, $Z$9)+COUNTIF(C7:C11, $Z$19)  &amp; COUNTIF(C7:C11, $Z$9)+COUNTIF(C7:C11, $Z$20) &amp; COUNTIF(C7:C11, $Z$21),""),
IF(R$3=6,IF(COUNTA(C6:C11) = R$3,COUNTIF(C6:C11, $Z$9)  &amp; COUNTIF(C6:C11, $Z$9)+COUNTIF(C6:C11, $Z$10) &amp; COUNTIF(C6:C11, $Z$9)+COUNTIF(C6:C11, $Z$11) &amp; COUNTIF(C6:C11, $Z$9)+COUNTIF(C6:C11, $Z$12) &amp; COUNTIF(C6:C11, $Z$9)+COUNTIF(C6:C11, $Z$13) &amp; COUNTIF(C6:C11, $Z$9)+COUNTIF(C6:C11, $Z$14) &amp; COUNTIF(C6:C11, $Z$9)+COUNTIF(C6:C11, $Z$15) &amp; COUNTIF(C6:C11, $Z$9)+COUNTIF(C6:C11, $Z$16) &amp; COUNTIF(C6:C11, $Z$9)+COUNTIF(C6:C11, $Z$17) &amp; COUNTIF(C6:C11, $Z$9)+COUNTIF(C6:C11, $Z$18) &amp; COUNTIF(C6:C11, $Z$9)+COUNTIF(C6:C11, $Z$19)  &amp; COUNTIF(C6:C11, $Z$9)+COUNTIF(C6:C11, $Z$20) &amp; COUNTIF(C6:C11, $Z$21),""),
IF(R$3=7,IF(COUNTA(C5:C11) = R$3,COUNTIF(C5:C11, $Z$9)  &amp; COUNTIF(C5:C11, $Z$9)+COUNTIF(C5:C11, $Z$10) &amp; COUNTIF(C5:C11, $Z$9)+COUNTIF(C5:C11, $Z$11) &amp; COUNTIF(C5:C11, $Z$9)+COUNTIF(C5:C11, $Z$12) &amp; COUNTIF(C5:C11, $Z$9)+COUNTIF(C5:C11, $Z$13) &amp; COUNTIF(C5:C11, $Z$9)+COUNTIF(C5:C11, $Z$14) &amp; COUNTIF(C5:C11, $Z$9)+COUNTIF(C5:C11, $Z$15) &amp; COUNTIF(C5:C11, $Z$9)+COUNTIF(C5:C11, $Z$16) &amp; COUNTIF(C5:C11, $Z$9)+COUNTIF(C5:C11, $Z$17) &amp; COUNTIF(C5:C11, $Z$9)+COUNTIF(C5:C11, $Z$18) &amp; COUNTIF(C5:C11, $Z$9)+COUNTIF(C5:C11, $Z$19)  &amp; COUNTIF(C5:C11, $Z$9)+COUNTIF(C5:C11, $Z$20) &amp; COUNTIF(C5:C11, $Z$21),"")))))))</f>
        <v>0000000000020</v>
      </c>
      <c r="AC11" s="15" t="str">
        <f t="shared" si="7"/>
        <v>0000000002000</v>
      </c>
      <c r="AD11" s="15" t="str">
        <f t="shared" si="7"/>
        <v>0000002000000</v>
      </c>
      <c r="AE11" s="15" t="str">
        <f t="shared" si="7"/>
        <v>0000000000200</v>
      </c>
      <c r="AF11" s="15" t="str">
        <f t="shared" si="7"/>
        <v>0001000000010</v>
      </c>
      <c r="AG11" s="41" t="str">
        <f t="shared" si="7"/>
        <v>0000002000000</v>
      </c>
      <c r="AH11" s="15"/>
      <c r="AI11" s="21">
        <v>6</v>
      </c>
      <c r="AJ11" s="20" t="str">
        <f>LEFT(AJ10,3) &amp; RIGHT(AJ10,1)-1</f>
        <v>AA-6</v>
      </c>
      <c r="AK11" s="39" cm="1">
        <f t="array" ref="AK11">SUMPRODUCT(--(MID(AB$10:AB$135, SUMIF($Z$9:$Z$21, LEFT($AJ11,2), $Y$9:$Y$21), 1) = RIGHT($AJ11, 1)), J$10:J$135)</f>
        <v>0</v>
      </c>
      <c r="AL11" s="39" cm="1">
        <f t="array" ref="AL11">SUMPRODUCT(--(MID(AC$10:AC$135, SUMIF($Z$9:$Z$21, LEFT($AJ11,2), $Y$9:$Y$21), 1) = RIGHT($AJ11, 1)), K$10:K$135)</f>
        <v>0</v>
      </c>
      <c r="AM11" s="39" cm="1">
        <f t="array" ref="AM11">SUMPRODUCT(--(MID(AD$10:AD$135, SUMIF($Z$9:$Z$21, LEFT($AJ11,2), $Y$9:$Y$21), 1) = RIGHT($AJ11, 1)), L$10:L$135)</f>
        <v>0</v>
      </c>
      <c r="AN11" s="39" cm="1">
        <f t="array" ref="AN11">SUMPRODUCT(--(MID(AE$10:AE$135, SUMIF($Z$9:$Z$21, LEFT($AJ11,2), $Y$9:$Y$21), 1) = RIGHT($AJ11, 1)), M$10:M$135)</f>
        <v>0</v>
      </c>
      <c r="AO11" s="39" cm="1">
        <f t="array" ref="AO11">SUMPRODUCT(--(MID(AF$10:AF$135, SUMIF($Z$9:$Z$21, LEFT($AJ11,2), $Y$9:$Y$21), 1) = RIGHT($AJ11, 1)), N$10:N$135)</f>
        <v>0</v>
      </c>
      <c r="AP11" s="19" cm="1">
        <f t="array" ref="AP11">SUMPRODUCT(--(MID(AG$10:AG$135, SUMIF($Z$9:$Z$21, LEFT($AJ11,2), $Y$9:$Y$21), 1) = RIGHT($AJ11, 1)), O$10:O$135)</f>
        <v>0</v>
      </c>
      <c r="AR11" s="34" t="str">
        <f t="shared" si="8"/>
        <v>AA</v>
      </c>
      <c r="AS11" s="30" cm="1">
        <f t="array" ref="AS11">SUMPRODUCT($AI$10:$AI$113,AK$10:AK$113,IF(LEFT($AJ$10:$AJ$113,2)=$AR11,1,0))</f>
        <v>2</v>
      </c>
      <c r="AT11" s="30" cm="1">
        <f t="array" ref="AT11">SUMPRODUCT($AI$10:$AI$113,AL$10:AL$113,IF(LEFT($AJ$10:$AJ$113,2)=$AR11,1,0))</f>
        <v>8</v>
      </c>
      <c r="AU11" s="30" cm="1">
        <f t="array" ref="AU11">SUMPRODUCT($AI$10:$AI$113,AM$10:AM$113,IF(LEFT($AJ$10:$AJ$113,2)=$AR11,1,0))</f>
        <v>8</v>
      </c>
      <c r="AV11" s="30" cm="1">
        <f t="array" ref="AV11">SUMPRODUCT($AI$10:$AI$113,AN$10:AN$113,IF(LEFT($AJ$10:$AJ$113,2)=$AR11,1,0))</f>
        <v>10</v>
      </c>
      <c r="AW11" s="30" cm="1">
        <f t="array" ref="AW11">SUMPRODUCT($AI$10:$AI$113,AO$10:AO$113,IF(LEFT($AJ$10:$AJ$113,2)=$AR11,1,0))</f>
        <v>26</v>
      </c>
      <c r="AX11" s="35" cm="1">
        <f t="array" ref="AX11">SUMPRODUCT($AI$10:$AI$113,AP$10:AP$113,IF(LEFT($AJ$10:$AJ$113,2)=$AR11,1,0))</f>
        <v>14</v>
      </c>
      <c r="AZ11" s="30"/>
      <c r="BA11" s="30"/>
      <c r="BB11" s="30"/>
      <c r="BC11" s="30"/>
      <c r="BD11" s="30"/>
      <c r="BE11" s="30"/>
      <c r="BG11" s="30"/>
      <c r="BH11" s="30"/>
      <c r="BI11" s="30"/>
      <c r="BJ11" s="30"/>
      <c r="BK11" s="30"/>
      <c r="BL11" s="30"/>
    </row>
    <row r="12" spans="2:64">
      <c r="B12" s="34">
        <f t="shared" si="9"/>
        <v>2</v>
      </c>
      <c r="C12" s="30" t="s">
        <v>138</v>
      </c>
      <c r="D12" s="30" t="s">
        <v>129</v>
      </c>
      <c r="E12" s="30" t="s">
        <v>128</v>
      </c>
      <c r="F12" s="30" t="s">
        <v>132</v>
      </c>
      <c r="G12" s="30" t="s">
        <v>131</v>
      </c>
      <c r="H12" s="35" t="s">
        <v>128</v>
      </c>
      <c r="J12" s="34">
        <f t="shared" si="3"/>
        <v>1</v>
      </c>
      <c r="K12" s="30">
        <f t="shared" si="2"/>
        <v>1</v>
      </c>
      <c r="L12" s="30">
        <f t="shared" si="2"/>
        <v>1</v>
      </c>
      <c r="M12" s="30">
        <f t="shared" si="2"/>
        <v>1</v>
      </c>
      <c r="N12" s="30">
        <f t="shared" si="2"/>
        <v>1</v>
      </c>
      <c r="O12" s="35">
        <f t="shared" si="2"/>
        <v>1</v>
      </c>
      <c r="Q12" s="34" t="str">
        <f t="shared" si="4"/>
        <v>BB</v>
      </c>
      <c r="R12" s="30">
        <f t="shared" si="10"/>
        <v>1</v>
      </c>
      <c r="S12" s="30">
        <f t="shared" si="5"/>
        <v>4</v>
      </c>
      <c r="T12" s="30">
        <f t="shared" si="5"/>
        <v>9</v>
      </c>
      <c r="U12" s="30">
        <f t="shared" si="5"/>
        <v>7</v>
      </c>
      <c r="V12" s="30">
        <f t="shared" si="5"/>
        <v>10</v>
      </c>
      <c r="W12" s="35">
        <f t="shared" si="5"/>
        <v>5</v>
      </c>
      <c r="Y12" s="20">
        <f t="shared" si="6"/>
        <v>4</v>
      </c>
      <c r="Z12" s="23" t="s">
        <v>134</v>
      </c>
      <c r="AB12" s="40" t="str">
        <f t="shared" si="11"/>
        <v>0000000000020</v>
      </c>
      <c r="AC12" s="15" t="str">
        <f t="shared" si="7"/>
        <v>0000000002000</v>
      </c>
      <c r="AD12" s="15" t="str">
        <f t="shared" si="7"/>
        <v>0000002000000</v>
      </c>
      <c r="AE12" s="15" t="str">
        <f t="shared" si="7"/>
        <v>0000000000200</v>
      </c>
      <c r="AF12" s="15" t="str">
        <f t="shared" si="7"/>
        <v>0101000000000</v>
      </c>
      <c r="AG12" s="41" t="str">
        <f t="shared" si="7"/>
        <v>0000002000000</v>
      </c>
      <c r="AH12" s="15"/>
      <c r="AI12" s="21">
        <v>5</v>
      </c>
      <c r="AJ12" s="20" t="str">
        <f t="shared" ref="AJ12:AJ17" si="12">LEFT(AJ11,3) &amp; RIGHT(AJ11,1)-1</f>
        <v>AA-5</v>
      </c>
      <c r="AK12" s="39" cm="1">
        <f t="array" ref="AK12">SUMPRODUCT(--(MID(AB$10:AB$135, SUMIF($Z$9:$Z$21, LEFT($AJ12,2), $Y$9:$Y$21), 1) = RIGHT($AJ12, 1)), J$10:J$135)</f>
        <v>0</v>
      </c>
      <c r="AL12" s="39" cm="1">
        <f t="array" ref="AL12">SUMPRODUCT(--(MID(AC$10:AC$135, SUMIF($Z$9:$Z$21, LEFT($AJ12,2), $Y$9:$Y$21), 1) = RIGHT($AJ12, 1)), K$10:K$135)</f>
        <v>0</v>
      </c>
      <c r="AM12" s="39" cm="1">
        <f t="array" ref="AM12">SUMPRODUCT(--(MID(AD$10:AD$135, SUMIF($Z$9:$Z$21, LEFT($AJ12,2), $Y$9:$Y$21), 1) = RIGHT($AJ12, 1)), L$10:L$135)</f>
        <v>0</v>
      </c>
      <c r="AN12" s="39" cm="1">
        <f t="array" ref="AN12">SUMPRODUCT(--(MID(AE$10:AE$135, SUMIF($Z$9:$Z$21, LEFT($AJ12,2), $Y$9:$Y$21), 1) = RIGHT($AJ12, 1)), M$10:M$135)</f>
        <v>0</v>
      </c>
      <c r="AO12" s="39" cm="1">
        <f t="array" ref="AO12">SUMPRODUCT(--(MID(AF$10:AF$135, SUMIF($Z$9:$Z$21, LEFT($AJ12,2), $Y$9:$Y$21), 1) = RIGHT($AJ12, 1)), N$10:N$135)</f>
        <v>0</v>
      </c>
      <c r="AP12" s="19" cm="1">
        <f t="array" ref="AP12">SUMPRODUCT(--(MID(AG$10:AG$135, SUMIF($Z$9:$Z$21, LEFT($AJ12,2), $Y$9:$Y$21), 1) = RIGHT($AJ12, 1)), O$10:O$135)</f>
        <v>0</v>
      </c>
      <c r="AR12" s="34" t="str">
        <f t="shared" si="8"/>
        <v>BB</v>
      </c>
      <c r="AS12" s="30" cm="1">
        <f t="array" ref="AS12">SUMPRODUCT($AI$10:$AI$113,AK$10:AK$113,IF(LEFT($AJ$10:$AJ$113,2)=$AR12,1,0))</f>
        <v>2</v>
      </c>
      <c r="AT12" s="30" cm="1">
        <f t="array" ref="AT12">SUMPRODUCT($AI$10:$AI$113,AL$10:AL$113,IF(LEFT($AJ$10:$AJ$113,2)=$AR12,1,0))</f>
        <v>8</v>
      </c>
      <c r="AU12" s="30" cm="1">
        <f t="array" ref="AU12">SUMPRODUCT($AI$10:$AI$113,AM$10:AM$113,IF(LEFT($AJ$10:$AJ$113,2)=$AR12,1,0))</f>
        <v>18</v>
      </c>
      <c r="AV12" s="30" cm="1">
        <f t="array" ref="AV12">SUMPRODUCT($AI$10:$AI$113,AN$10:AN$113,IF(LEFT($AJ$10:$AJ$113,2)=$AR12,1,0))</f>
        <v>14</v>
      </c>
      <c r="AW12" s="30" cm="1">
        <f t="array" ref="AW12">SUMPRODUCT($AI$10:$AI$113,AO$10:AO$113,IF(LEFT($AJ$10:$AJ$113,2)=$AR12,1,0))</f>
        <v>20</v>
      </c>
      <c r="AX12" s="35" cm="1">
        <f t="array" ref="AX12">SUMPRODUCT($AI$10:$AI$113,AP$10:AP$113,IF(LEFT($AJ$10:$AJ$113,2)=$AR12,1,0))</f>
        <v>10</v>
      </c>
      <c r="AZ12" s="30"/>
      <c r="BA12" s="30"/>
      <c r="BB12" s="30"/>
      <c r="BC12" s="30"/>
      <c r="BD12" s="30"/>
      <c r="BE12" s="30"/>
      <c r="BG12" s="30"/>
      <c r="BH12" s="30"/>
      <c r="BI12" s="30"/>
      <c r="BJ12" s="30"/>
      <c r="BK12" s="30"/>
      <c r="BL12" s="30"/>
    </row>
    <row r="13" spans="2:64">
      <c r="B13" s="34">
        <f t="shared" si="9"/>
        <v>3</v>
      </c>
      <c r="C13" s="30" t="s">
        <v>129</v>
      </c>
      <c r="D13" s="30" t="s">
        <v>133</v>
      </c>
      <c r="E13" s="30" t="s">
        <v>129</v>
      </c>
      <c r="F13" s="30" t="s">
        <v>129</v>
      </c>
      <c r="G13" s="30" t="s">
        <v>131</v>
      </c>
      <c r="H13" s="35" t="s">
        <v>137</v>
      </c>
      <c r="J13" s="34">
        <f t="shared" si="3"/>
        <v>1</v>
      </c>
      <c r="K13" s="30">
        <f t="shared" si="2"/>
        <v>1</v>
      </c>
      <c r="L13" s="30">
        <f t="shared" si="2"/>
        <v>1</v>
      </c>
      <c r="M13" s="30">
        <f t="shared" si="2"/>
        <v>1</v>
      </c>
      <c r="N13" s="30">
        <f t="shared" si="2"/>
        <v>1</v>
      </c>
      <c r="O13" s="35">
        <f t="shared" si="2"/>
        <v>1</v>
      </c>
      <c r="Q13" s="34" t="str">
        <f t="shared" si="4"/>
        <v>CC</v>
      </c>
      <c r="R13" s="30">
        <f t="shared" si="10"/>
        <v>2</v>
      </c>
      <c r="S13" s="30">
        <f t="shared" si="5"/>
        <v>4</v>
      </c>
      <c r="T13" s="30">
        <f t="shared" si="5"/>
        <v>8</v>
      </c>
      <c r="U13" s="30">
        <f t="shared" si="5"/>
        <v>6</v>
      </c>
      <c r="V13" s="30">
        <f t="shared" si="5"/>
        <v>8</v>
      </c>
      <c r="W13" s="35">
        <f t="shared" si="5"/>
        <v>5</v>
      </c>
      <c r="Y13" s="20">
        <f t="shared" si="6"/>
        <v>5</v>
      </c>
      <c r="Z13" s="23" t="s">
        <v>136</v>
      </c>
      <c r="AB13" s="40" t="str">
        <f t="shared" si="11"/>
        <v>0000000001010</v>
      </c>
      <c r="AC13" s="15" t="str">
        <f t="shared" si="7"/>
        <v>0000000101000</v>
      </c>
      <c r="AD13" s="15" t="str">
        <f t="shared" si="7"/>
        <v>0000001001000</v>
      </c>
      <c r="AE13" s="15" t="str">
        <f t="shared" si="7"/>
        <v>0000000001100</v>
      </c>
      <c r="AF13" s="15" t="str">
        <f t="shared" si="7"/>
        <v>0200000000000</v>
      </c>
      <c r="AG13" s="41" t="str">
        <f t="shared" si="7"/>
        <v>0000011000000</v>
      </c>
      <c r="AH13" s="15"/>
      <c r="AI13" s="21">
        <v>4</v>
      </c>
      <c r="AJ13" s="20" t="str">
        <f t="shared" si="12"/>
        <v>AA-4</v>
      </c>
      <c r="AK13" s="39" cm="1">
        <f t="array" ref="AK13">SUMPRODUCT(--(MID(AB$10:AB$135, SUMIF($Z$9:$Z$21, LEFT($AJ13,2), $Y$9:$Y$21), 1) = RIGHT($AJ13, 1)), J$10:J$135)</f>
        <v>0</v>
      </c>
      <c r="AL13" s="39" cm="1">
        <f t="array" ref="AL13">SUMPRODUCT(--(MID(AC$10:AC$135, SUMIF($Z$9:$Z$21, LEFT($AJ13,2), $Y$9:$Y$21), 1) = RIGHT($AJ13, 1)), K$10:K$135)</f>
        <v>0</v>
      </c>
      <c r="AM13" s="39" cm="1">
        <f t="array" ref="AM13">SUMPRODUCT(--(MID(AD$10:AD$135, SUMIF($Z$9:$Z$21, LEFT($AJ13,2), $Y$9:$Y$21), 1) = RIGHT($AJ13, 1)), L$10:L$135)</f>
        <v>0</v>
      </c>
      <c r="AN13" s="39" cm="1">
        <f t="array" ref="AN13">SUMPRODUCT(--(MID(AE$10:AE$135, SUMIF($Z$9:$Z$21, LEFT($AJ13,2), $Y$9:$Y$21), 1) = RIGHT($AJ13, 1)), M$10:M$135)</f>
        <v>0</v>
      </c>
      <c r="AO13" s="39" cm="1">
        <f t="array" ref="AO13">SUMPRODUCT(--(MID(AF$10:AF$135, SUMIF($Z$9:$Z$21, LEFT($AJ13,2), $Y$9:$Y$21), 1) = RIGHT($AJ13, 1)), N$10:N$135)</f>
        <v>0</v>
      </c>
      <c r="AP13" s="19" cm="1">
        <f t="array" ref="AP13">SUMPRODUCT(--(MID(AG$10:AG$135, SUMIF($Z$9:$Z$21, LEFT($AJ13,2), $Y$9:$Y$21), 1) = RIGHT($AJ13, 1)), O$10:O$135)</f>
        <v>0</v>
      </c>
      <c r="AR13" s="34" t="str">
        <f t="shared" si="8"/>
        <v>CC</v>
      </c>
      <c r="AS13" s="30" cm="1">
        <f t="array" ref="AS13">SUMPRODUCT($AI$10:$AI$113,AK$10:AK$113,IF(LEFT($AJ$10:$AJ$113,2)=$AR13,1,0))</f>
        <v>4</v>
      </c>
      <c r="AT13" s="30" cm="1">
        <f t="array" ref="AT13">SUMPRODUCT($AI$10:$AI$113,AL$10:AL$113,IF(LEFT($AJ$10:$AJ$113,2)=$AR13,1,0))</f>
        <v>8</v>
      </c>
      <c r="AU13" s="30" cm="1">
        <f t="array" ref="AU13">SUMPRODUCT($AI$10:$AI$113,AM$10:AM$113,IF(LEFT($AJ$10:$AJ$113,2)=$AR13,1,0))</f>
        <v>16</v>
      </c>
      <c r="AV13" s="30" cm="1">
        <f t="array" ref="AV13">SUMPRODUCT($AI$10:$AI$113,AN$10:AN$113,IF(LEFT($AJ$10:$AJ$113,2)=$AR13,1,0))</f>
        <v>12</v>
      </c>
      <c r="AW13" s="30" cm="1">
        <f t="array" ref="AW13">SUMPRODUCT($AI$10:$AI$113,AO$10:AO$113,IF(LEFT($AJ$10:$AJ$113,2)=$AR13,1,0))</f>
        <v>16</v>
      </c>
      <c r="AX13" s="35" cm="1">
        <f t="array" ref="AX13">SUMPRODUCT($AI$10:$AI$113,AP$10:AP$113,IF(LEFT($AJ$10:$AJ$113,2)=$AR13,1,0))</f>
        <v>10</v>
      </c>
      <c r="AZ13" s="30"/>
      <c r="BA13" s="30"/>
      <c r="BB13" s="30"/>
      <c r="BC13" s="30"/>
      <c r="BD13" s="30"/>
      <c r="BE13" s="30"/>
      <c r="BG13" s="30"/>
      <c r="BH13" s="30"/>
      <c r="BI13" s="30"/>
      <c r="BJ13" s="30"/>
      <c r="BK13" s="30"/>
      <c r="BL13" s="30"/>
    </row>
    <row r="14" spans="2:64">
      <c r="B14" s="34">
        <f t="shared" si="9"/>
        <v>4</v>
      </c>
      <c r="C14" s="30" t="s">
        <v>132</v>
      </c>
      <c r="D14" s="30" t="s">
        <v>137</v>
      </c>
      <c r="E14" s="30" t="s">
        <v>127</v>
      </c>
      <c r="F14" s="30" t="s">
        <v>128</v>
      </c>
      <c r="G14" s="30" t="s">
        <v>131</v>
      </c>
      <c r="H14" s="35" t="s">
        <v>130</v>
      </c>
      <c r="J14" s="34">
        <f t="shared" si="3"/>
        <v>1</v>
      </c>
      <c r="K14" s="30">
        <f t="shared" si="2"/>
        <v>1</v>
      </c>
      <c r="L14" s="30">
        <f t="shared" si="2"/>
        <v>1</v>
      </c>
      <c r="M14" s="30">
        <f t="shared" si="2"/>
        <v>1</v>
      </c>
      <c r="N14" s="30">
        <f t="shared" si="2"/>
        <v>1</v>
      </c>
      <c r="O14" s="35">
        <f t="shared" si="2"/>
        <v>1</v>
      </c>
      <c r="Q14" s="34" t="str">
        <f t="shared" si="4"/>
        <v>DD</v>
      </c>
      <c r="R14" s="30">
        <f t="shared" si="10"/>
        <v>2</v>
      </c>
      <c r="S14" s="30">
        <f t="shared" si="5"/>
        <v>4</v>
      </c>
      <c r="T14" s="30">
        <f t="shared" si="5"/>
        <v>4</v>
      </c>
      <c r="U14" s="30">
        <f t="shared" si="5"/>
        <v>10</v>
      </c>
      <c r="V14" s="30">
        <f t="shared" si="5"/>
        <v>10</v>
      </c>
      <c r="W14" s="35">
        <f t="shared" si="5"/>
        <v>7</v>
      </c>
      <c r="Y14" s="20">
        <f t="shared" si="6"/>
        <v>6</v>
      </c>
      <c r="Z14" s="23" t="s">
        <v>137</v>
      </c>
      <c r="AB14" s="40" t="str">
        <f t="shared" si="11"/>
        <v>0000000001100</v>
      </c>
      <c r="AC14" s="15" t="str">
        <f t="shared" si="7"/>
        <v>0000010100000</v>
      </c>
      <c r="AD14" s="15" t="str">
        <f t="shared" si="7"/>
        <v>0010000001000</v>
      </c>
      <c r="AE14" s="15" t="str">
        <f t="shared" si="7"/>
        <v>0000001001000</v>
      </c>
      <c r="AF14" s="15" t="str">
        <f t="shared" si="7"/>
        <v>0200000000000</v>
      </c>
      <c r="AG14" s="41" t="str">
        <f t="shared" si="7"/>
        <v>0000010010000</v>
      </c>
      <c r="AH14" s="15"/>
      <c r="AI14" s="21">
        <v>3</v>
      </c>
      <c r="AJ14" s="20" t="str">
        <f t="shared" si="12"/>
        <v>AA-3</v>
      </c>
      <c r="AK14" s="39" cm="1">
        <f t="array" ref="AK14">SUMPRODUCT(--(MID(AB$10:AB$135, SUMIF($Z$9:$Z$21, LEFT($AJ14,2), $Y$9:$Y$21), 1) = RIGHT($AJ14, 1)), J$10:J$135)</f>
        <v>0</v>
      </c>
      <c r="AL14" s="39" cm="1">
        <f t="array" ref="AL14">SUMPRODUCT(--(MID(AC$10:AC$135, SUMIF($Z$9:$Z$21, LEFT($AJ14,2), $Y$9:$Y$21), 1) = RIGHT($AJ14, 1)), K$10:K$135)</f>
        <v>0</v>
      </c>
      <c r="AM14" s="39" cm="1">
        <f t="array" ref="AM14">SUMPRODUCT(--(MID(AD$10:AD$135, SUMIF($Z$9:$Z$21, LEFT($AJ14,2), $Y$9:$Y$21), 1) = RIGHT($AJ14, 1)), L$10:L$135)</f>
        <v>0</v>
      </c>
      <c r="AN14" s="39" cm="1">
        <f t="array" ref="AN14">SUMPRODUCT(--(MID(AE$10:AE$135, SUMIF($Z$9:$Z$21, LEFT($AJ14,2), $Y$9:$Y$21), 1) = RIGHT($AJ14, 1)), M$10:M$135)</f>
        <v>0</v>
      </c>
      <c r="AO14" s="39" cm="1">
        <f t="array" ref="AO14">SUMPRODUCT(--(MID(AF$10:AF$135, SUMIF($Z$9:$Z$21, LEFT($AJ14,2), $Y$9:$Y$21), 1) = RIGHT($AJ14, 1)), N$10:N$135)</f>
        <v>0</v>
      </c>
      <c r="AP14" s="19" cm="1">
        <f t="array" ref="AP14">SUMPRODUCT(--(MID(AG$10:AG$135, SUMIF($Z$9:$Z$21, LEFT($AJ14,2), $Y$9:$Y$21), 1) = RIGHT($AJ14, 1)), O$10:O$135)</f>
        <v>0</v>
      </c>
      <c r="AR14" s="34" t="str">
        <f t="shared" si="8"/>
        <v>DD</v>
      </c>
      <c r="AS14" s="30" cm="1">
        <f t="array" ref="AS14">SUMPRODUCT($AI$10:$AI$113,AK$10:AK$113,IF(LEFT($AJ$10:$AJ$113,2)=$AR14,1,0))</f>
        <v>4</v>
      </c>
      <c r="AT14" s="30" cm="1">
        <f t="array" ref="AT14">SUMPRODUCT($AI$10:$AI$113,AL$10:AL$113,IF(LEFT($AJ$10:$AJ$113,2)=$AR14,1,0))</f>
        <v>8</v>
      </c>
      <c r="AU14" s="30" cm="1">
        <f t="array" ref="AU14">SUMPRODUCT($AI$10:$AI$113,AM$10:AM$113,IF(LEFT($AJ$10:$AJ$113,2)=$AR14,1,0))</f>
        <v>8</v>
      </c>
      <c r="AV14" s="30" cm="1">
        <f t="array" ref="AV14">SUMPRODUCT($AI$10:$AI$113,AN$10:AN$113,IF(LEFT($AJ$10:$AJ$113,2)=$AR14,1,0))</f>
        <v>20</v>
      </c>
      <c r="AW14" s="30" cm="1">
        <f t="array" ref="AW14">SUMPRODUCT($AI$10:$AI$113,AO$10:AO$113,IF(LEFT($AJ$10:$AJ$113,2)=$AR14,1,0))</f>
        <v>20</v>
      </c>
      <c r="AX14" s="35" cm="1">
        <f t="array" ref="AX14">SUMPRODUCT($AI$10:$AI$113,AP$10:AP$113,IF(LEFT($AJ$10:$AJ$113,2)=$AR14,1,0))</f>
        <v>14</v>
      </c>
      <c r="AZ14" s="30"/>
      <c r="BA14" s="30"/>
      <c r="BB14" s="30"/>
      <c r="BC14" s="30"/>
      <c r="BD14" s="30"/>
      <c r="BE14" s="30"/>
      <c r="BG14" s="30"/>
      <c r="BH14" s="30"/>
      <c r="BI14" s="30"/>
      <c r="BJ14" s="30"/>
      <c r="BK14" s="30"/>
      <c r="BL14" s="30"/>
    </row>
    <row r="15" spans="2:64">
      <c r="B15" s="34">
        <f t="shared" si="9"/>
        <v>5</v>
      </c>
      <c r="C15" s="30" t="s">
        <v>132</v>
      </c>
      <c r="D15" s="30" t="s">
        <v>137</v>
      </c>
      <c r="E15" s="30" t="s">
        <v>130</v>
      </c>
      <c r="F15" s="30" t="s">
        <v>128</v>
      </c>
      <c r="G15" s="30" t="s">
        <v>133</v>
      </c>
      <c r="H15" s="35" t="s">
        <v>133</v>
      </c>
      <c r="J15" s="34">
        <f t="shared" si="3"/>
        <v>1</v>
      </c>
      <c r="K15" s="30">
        <f t="shared" si="2"/>
        <v>1</v>
      </c>
      <c r="L15" s="30">
        <f t="shared" si="2"/>
        <v>1</v>
      </c>
      <c r="M15" s="30">
        <f t="shared" si="2"/>
        <v>1</v>
      </c>
      <c r="N15" s="30">
        <f t="shared" si="2"/>
        <v>1</v>
      </c>
      <c r="O15" s="35">
        <f t="shared" si="2"/>
        <v>1</v>
      </c>
      <c r="Q15" s="34" t="str">
        <f t="shared" si="4"/>
        <v>EE</v>
      </c>
      <c r="R15" s="30">
        <f t="shared" si="10"/>
        <v>3</v>
      </c>
      <c r="S15" s="30">
        <f t="shared" si="5"/>
        <v>7</v>
      </c>
      <c r="T15" s="30">
        <f t="shared" si="5"/>
        <v>8</v>
      </c>
      <c r="U15" s="30">
        <f t="shared" si="5"/>
        <v>2</v>
      </c>
      <c r="V15" s="30">
        <f t="shared" si="5"/>
        <v>1</v>
      </c>
      <c r="W15" s="35">
        <f t="shared" si="5"/>
        <v>1</v>
      </c>
      <c r="Y15" s="20">
        <f t="shared" si="6"/>
        <v>7</v>
      </c>
      <c r="Z15" s="23" t="s">
        <v>128</v>
      </c>
      <c r="AB15" s="40" t="str">
        <f t="shared" si="11"/>
        <v>0000000000200</v>
      </c>
      <c r="AC15" s="15" t="str">
        <f t="shared" si="7"/>
        <v>0000020000000</v>
      </c>
      <c r="AD15" s="15" t="str">
        <f t="shared" si="7"/>
        <v>0010000010000</v>
      </c>
      <c r="AE15" s="15" t="str">
        <f t="shared" si="7"/>
        <v>0000002000000</v>
      </c>
      <c r="AF15" s="15" t="str">
        <f t="shared" si="7"/>
        <v>0100000100000</v>
      </c>
      <c r="AG15" s="41" t="str">
        <f t="shared" si="7"/>
        <v>0000000110000</v>
      </c>
      <c r="AH15" s="15"/>
      <c r="AI15" s="21">
        <v>2</v>
      </c>
      <c r="AJ15" s="20" t="str">
        <f t="shared" si="12"/>
        <v>AA-2</v>
      </c>
      <c r="AK15" s="39" cm="1">
        <f t="array" ref="AK15">SUMPRODUCT(--(MID(AB$10:AB$135, SUMIF($Z$9:$Z$21, LEFT($AJ15,2), $Y$9:$Y$21), 1) = RIGHT($AJ15, 1)), J$10:J$135)</f>
        <v>0</v>
      </c>
      <c r="AL15" s="39" cm="1">
        <f t="array" ref="AL15">SUMPRODUCT(--(MID(AC$10:AC$135, SUMIF($Z$9:$Z$21, LEFT($AJ15,2), $Y$9:$Y$21), 1) = RIGHT($AJ15, 1)), K$10:K$135)</f>
        <v>0</v>
      </c>
      <c r="AM15" s="39" cm="1">
        <f t="array" ref="AM15">SUMPRODUCT(--(MID(AD$10:AD$135, SUMIF($Z$9:$Z$21, LEFT($AJ15,2), $Y$9:$Y$21), 1) = RIGHT($AJ15, 1)), L$10:L$135)</f>
        <v>0</v>
      </c>
      <c r="AN15" s="39" cm="1">
        <f t="array" ref="AN15">SUMPRODUCT(--(MID(AE$10:AE$135, SUMIF($Z$9:$Z$21, LEFT($AJ15,2), $Y$9:$Y$21), 1) = RIGHT($AJ15, 1)), M$10:M$135)</f>
        <v>3</v>
      </c>
      <c r="AO15" s="39" cm="1">
        <f t="array" ref="AO15">SUMPRODUCT(--(MID(AF$10:AF$135, SUMIF($Z$9:$Z$21, LEFT($AJ15,2), $Y$9:$Y$21), 1) = RIGHT($AJ15, 1)), N$10:N$135)</f>
        <v>2</v>
      </c>
      <c r="AP15" s="19" cm="1">
        <f t="array" ref="AP15">SUMPRODUCT(--(MID(AG$10:AG$135, SUMIF($Z$9:$Z$21, LEFT($AJ15,2), $Y$9:$Y$21), 1) = RIGHT($AJ15, 1)), O$10:O$135)</f>
        <v>2</v>
      </c>
      <c r="AR15" s="34" t="str">
        <f t="shared" si="8"/>
        <v>EE</v>
      </c>
      <c r="AS15" s="30" cm="1">
        <f t="array" ref="AS15">SUMPRODUCT($AI$10:$AI$113,AK$10:AK$113,IF(LEFT($AJ$10:$AJ$113,2)=$AR15,1,0))</f>
        <v>6</v>
      </c>
      <c r="AT15" s="30" cm="1">
        <f t="array" ref="AT15">SUMPRODUCT($AI$10:$AI$113,AL$10:AL$113,IF(LEFT($AJ$10:$AJ$113,2)=$AR15,1,0))</f>
        <v>14</v>
      </c>
      <c r="AU15" s="30" cm="1">
        <f t="array" ref="AU15">SUMPRODUCT($AI$10:$AI$113,AM$10:AM$113,IF(LEFT($AJ$10:$AJ$113,2)=$AR15,1,0))</f>
        <v>16</v>
      </c>
      <c r="AV15" s="30" cm="1">
        <f t="array" ref="AV15">SUMPRODUCT($AI$10:$AI$113,AN$10:AN$113,IF(LEFT($AJ$10:$AJ$113,2)=$AR15,1,0))</f>
        <v>4</v>
      </c>
      <c r="AW15" s="30" cm="1">
        <f t="array" ref="AW15">SUMPRODUCT($AI$10:$AI$113,AO$10:AO$113,IF(LEFT($AJ$10:$AJ$113,2)=$AR15,1,0))</f>
        <v>2</v>
      </c>
      <c r="AX15" s="35" cm="1">
        <f t="array" ref="AX15">SUMPRODUCT($AI$10:$AI$113,AP$10:AP$113,IF(LEFT($AJ$10:$AJ$113,2)=$AR15,1,0))</f>
        <v>2</v>
      </c>
      <c r="AZ15" s="30"/>
      <c r="BA15" s="30"/>
      <c r="BB15" s="30"/>
      <c r="BC15" s="30"/>
      <c r="BD15" s="30"/>
      <c r="BE15" s="30"/>
      <c r="BG15" s="30"/>
      <c r="BH15" s="30"/>
      <c r="BI15" s="30"/>
      <c r="BJ15" s="30"/>
      <c r="BK15" s="30"/>
      <c r="BL15" s="30"/>
    </row>
    <row r="16" spans="2:64">
      <c r="B16" s="34">
        <f t="shared" si="9"/>
        <v>6</v>
      </c>
      <c r="C16" s="30" t="s">
        <v>132</v>
      </c>
      <c r="D16" s="30" t="s">
        <v>137</v>
      </c>
      <c r="E16" s="30" t="s">
        <v>137</v>
      </c>
      <c r="F16" s="30" t="s">
        <v>128</v>
      </c>
      <c r="G16" s="30" t="s">
        <v>133</v>
      </c>
      <c r="H16" s="35" t="s">
        <v>138</v>
      </c>
      <c r="J16" s="34">
        <f t="shared" si="3"/>
        <v>1</v>
      </c>
      <c r="K16" s="30">
        <f t="shared" si="2"/>
        <v>1</v>
      </c>
      <c r="L16" s="30">
        <f t="shared" si="2"/>
        <v>1</v>
      </c>
      <c r="M16" s="30">
        <f t="shared" si="2"/>
        <v>1</v>
      </c>
      <c r="N16" s="30">
        <f t="shared" si="2"/>
        <v>1</v>
      </c>
      <c r="O16" s="35">
        <f t="shared" si="2"/>
        <v>1</v>
      </c>
      <c r="Q16" s="34" t="str">
        <f t="shared" si="4"/>
        <v>FF</v>
      </c>
      <c r="R16" s="30">
        <f t="shared" si="10"/>
        <v>4</v>
      </c>
      <c r="S16" s="30">
        <f t="shared" si="5"/>
        <v>5</v>
      </c>
      <c r="T16" s="30">
        <f t="shared" si="5"/>
        <v>4</v>
      </c>
      <c r="U16" s="30">
        <f t="shared" si="5"/>
        <v>9</v>
      </c>
      <c r="V16" s="30">
        <f t="shared" si="5"/>
        <v>9</v>
      </c>
      <c r="W16" s="35">
        <f t="shared" si="5"/>
        <v>4</v>
      </c>
      <c r="Y16" s="20">
        <f t="shared" si="6"/>
        <v>8</v>
      </c>
      <c r="Z16" s="23" t="s">
        <v>133</v>
      </c>
      <c r="AB16" s="40" t="str">
        <f t="shared" si="11"/>
        <v>0000000000200</v>
      </c>
      <c r="AC16" s="15" t="str">
        <f t="shared" si="7"/>
        <v>0000020000000</v>
      </c>
      <c r="AD16" s="15" t="str">
        <f t="shared" si="7"/>
        <v>0000010010000</v>
      </c>
      <c r="AE16" s="15" t="str">
        <f t="shared" si="7"/>
        <v>0000002000000</v>
      </c>
      <c r="AF16" s="15" t="str">
        <f t="shared" si="7"/>
        <v>0000000200000</v>
      </c>
      <c r="AG16" s="41" t="str">
        <f t="shared" si="7"/>
        <v>0000000100010</v>
      </c>
      <c r="AH16" s="15"/>
      <c r="AI16" s="21">
        <v>1</v>
      </c>
      <c r="AJ16" s="20" t="str">
        <f t="shared" si="12"/>
        <v>AA-1</v>
      </c>
      <c r="AK16" s="39" cm="1">
        <f t="array" ref="AK16">SUMPRODUCT(--(MID(AB$10:AB$135, SUMIF($Z$9:$Z$21, LEFT($AJ16,2), $Y$9:$Y$21), 1) = RIGHT($AJ16, 1)), J$10:J$135)</f>
        <v>2</v>
      </c>
      <c r="AL16" s="39" cm="1">
        <f t="array" ref="AL16">SUMPRODUCT(--(MID(AC$10:AC$135, SUMIF($Z$9:$Z$21, LEFT($AJ16,2), $Y$9:$Y$21), 1) = RIGHT($AJ16, 1)), K$10:K$135)</f>
        <v>8</v>
      </c>
      <c r="AM16" s="39" cm="1">
        <f t="array" ref="AM16">SUMPRODUCT(--(MID(AD$10:AD$135, SUMIF($Z$9:$Z$21, LEFT($AJ16,2), $Y$9:$Y$21), 1) = RIGHT($AJ16, 1)), L$10:L$135)</f>
        <v>8</v>
      </c>
      <c r="AN16" s="39" cm="1">
        <f t="array" ref="AN16">SUMPRODUCT(--(MID(AE$10:AE$135, SUMIF($Z$9:$Z$21, LEFT($AJ16,2), $Y$9:$Y$21), 1) = RIGHT($AJ16, 1)), M$10:M$135)</f>
        <v>4</v>
      </c>
      <c r="AO16" s="39" cm="1">
        <f t="array" ref="AO16">SUMPRODUCT(--(MID(AF$10:AF$135, SUMIF($Z$9:$Z$21, LEFT($AJ16,2), $Y$9:$Y$21), 1) = RIGHT($AJ16, 1)), N$10:N$135)</f>
        <v>22</v>
      </c>
      <c r="AP16" s="19" cm="1">
        <f t="array" ref="AP16">SUMPRODUCT(--(MID(AG$10:AG$135, SUMIF($Z$9:$Z$21, LEFT($AJ16,2), $Y$9:$Y$21), 1) = RIGHT($AJ16, 1)), O$10:O$135)</f>
        <v>10</v>
      </c>
      <c r="AR16" s="34" t="str">
        <f t="shared" si="8"/>
        <v>FF</v>
      </c>
      <c r="AS16" s="30" cm="1">
        <f t="array" ref="AS16">SUMPRODUCT($AI$10:$AI$113,AK$10:AK$113,IF(LEFT($AJ$10:$AJ$113,2)=$AR16,1,0))</f>
        <v>8</v>
      </c>
      <c r="AT16" s="30" cm="1">
        <f t="array" ref="AT16">SUMPRODUCT($AI$10:$AI$113,AL$10:AL$113,IF(LEFT($AJ$10:$AJ$113,2)=$AR16,1,0))</f>
        <v>10</v>
      </c>
      <c r="AU16" s="30" cm="1">
        <f t="array" ref="AU16">SUMPRODUCT($AI$10:$AI$113,AM$10:AM$113,IF(LEFT($AJ$10:$AJ$113,2)=$AR16,1,0))</f>
        <v>8</v>
      </c>
      <c r="AV16" s="30" cm="1">
        <f t="array" ref="AV16">SUMPRODUCT($AI$10:$AI$113,AN$10:AN$113,IF(LEFT($AJ$10:$AJ$113,2)=$AR16,1,0))</f>
        <v>18</v>
      </c>
      <c r="AW16" s="30" cm="1">
        <f t="array" ref="AW16">SUMPRODUCT($AI$10:$AI$113,AO$10:AO$113,IF(LEFT($AJ$10:$AJ$113,2)=$AR16,1,0))</f>
        <v>18</v>
      </c>
      <c r="AX16" s="35" cm="1">
        <f t="array" ref="AX16">SUMPRODUCT($AI$10:$AI$113,AP$10:AP$113,IF(LEFT($AJ$10:$AJ$113,2)=$AR16,1,0))</f>
        <v>8</v>
      </c>
      <c r="AZ16" s="30"/>
      <c r="BA16" s="30"/>
      <c r="BB16" s="30"/>
      <c r="BC16" s="30"/>
      <c r="BD16" s="30"/>
      <c r="BE16" s="30"/>
      <c r="BG16" s="30"/>
      <c r="BH16" s="30"/>
      <c r="BI16" s="30"/>
      <c r="BJ16" s="30"/>
      <c r="BK16" s="30"/>
      <c r="BL16" s="30"/>
    </row>
    <row r="17" spans="2:64">
      <c r="B17" s="34">
        <f t="shared" si="9"/>
        <v>7</v>
      </c>
      <c r="C17" s="30" t="s">
        <v>136</v>
      </c>
      <c r="D17" s="30" t="s">
        <v>127</v>
      </c>
      <c r="E17" s="30" t="s">
        <v>137</v>
      </c>
      <c r="F17" s="30" t="s">
        <v>128</v>
      </c>
      <c r="G17" s="30" t="s">
        <v>133</v>
      </c>
      <c r="H17" s="35" t="s">
        <v>138</v>
      </c>
      <c r="J17" s="34">
        <f t="shared" si="3"/>
        <v>1</v>
      </c>
      <c r="K17" s="30">
        <f t="shared" si="2"/>
        <v>1</v>
      </c>
      <c r="L17" s="30">
        <f t="shared" si="2"/>
        <v>1</v>
      </c>
      <c r="M17" s="30">
        <f t="shared" si="2"/>
        <v>1</v>
      </c>
      <c r="N17" s="30">
        <f t="shared" si="2"/>
        <v>1</v>
      </c>
      <c r="O17" s="35">
        <f t="shared" si="2"/>
        <v>1</v>
      </c>
      <c r="Q17" s="34" t="str">
        <f t="shared" si="4"/>
        <v>GG</v>
      </c>
      <c r="R17" s="30">
        <f t="shared" si="10"/>
        <v>6</v>
      </c>
      <c r="S17" s="30">
        <f t="shared" si="5"/>
        <v>13</v>
      </c>
      <c r="T17" s="30">
        <f t="shared" si="5"/>
        <v>11</v>
      </c>
      <c r="U17" s="30">
        <f t="shared" si="5"/>
        <v>12</v>
      </c>
      <c r="V17" s="30">
        <f t="shared" si="5"/>
        <v>14</v>
      </c>
      <c r="W17" s="35">
        <f t="shared" si="5"/>
        <v>5</v>
      </c>
      <c r="Y17" s="20">
        <f t="shared" si="6"/>
        <v>9</v>
      </c>
      <c r="Z17" s="23" t="s">
        <v>130</v>
      </c>
      <c r="AB17" s="40" t="str">
        <f t="shared" si="11"/>
        <v>0000100000100</v>
      </c>
      <c r="AC17" s="15" t="str">
        <f t="shared" si="7"/>
        <v>0010010000000</v>
      </c>
      <c r="AD17" s="15" t="str">
        <f t="shared" si="7"/>
        <v>0000020000000</v>
      </c>
      <c r="AE17" s="15" t="str">
        <f t="shared" si="7"/>
        <v>0000002000000</v>
      </c>
      <c r="AF17" s="15" t="str">
        <f t="shared" si="7"/>
        <v>0000000200000</v>
      </c>
      <c r="AG17" s="41" t="str">
        <f t="shared" si="7"/>
        <v>0000000000020</v>
      </c>
      <c r="AH17" s="15"/>
      <c r="AI17" s="21">
        <v>0</v>
      </c>
      <c r="AJ17" s="20" t="str">
        <f t="shared" si="12"/>
        <v>AA-0</v>
      </c>
      <c r="AK17" s="39" cm="1">
        <f t="array" ref="AK17">SUMPRODUCT(--(MID(AB$10:AB$135, SUMIF($Z$9:$Z$21, LEFT($AJ17,2), $Y$9:$Y$21), 1) = RIGHT($AJ17, 1)), J$10:J$135)</f>
        <v>38</v>
      </c>
      <c r="AL17" s="39" cm="1">
        <f t="array" ref="AL17">SUMPRODUCT(--(MID(AC$10:AC$135, SUMIF($Z$9:$Z$21, LEFT($AJ17,2), $Y$9:$Y$21), 1) = RIGHT($AJ17, 1)), K$10:K$135)</f>
        <v>65</v>
      </c>
      <c r="AM17" s="39" cm="1">
        <f t="array" ref="AM17">SUMPRODUCT(--(MID(AD$10:AD$135, SUMIF($Z$9:$Z$21, LEFT($AJ17,2), $Y$9:$Y$21), 1) = RIGHT($AJ17, 1)), L$10:L$135)</f>
        <v>76</v>
      </c>
      <c r="AN17" s="39" cm="1">
        <f t="array" ref="AN17">SUMPRODUCT(--(MID(AE$10:AE$135, SUMIF($Z$9:$Z$21, LEFT($AJ17,2), $Y$9:$Y$21), 1) = RIGHT($AJ17, 1)), M$10:M$135)</f>
        <v>60</v>
      </c>
      <c r="AO17" s="39" cm="1">
        <f t="array" ref="AO17">SUMPRODUCT(--(MID(AF$10:AF$135, SUMIF($Z$9:$Z$21, LEFT($AJ17,2), $Y$9:$Y$21), 1) = RIGHT($AJ17, 1)), N$10:N$135)</f>
        <v>67</v>
      </c>
      <c r="AP17" s="19" cm="1">
        <f t="array" ref="AP17">SUMPRODUCT(--(MID(AG$10:AG$135, SUMIF($Z$9:$Z$21, LEFT($AJ17,2), $Y$9:$Y$21), 1) = RIGHT($AJ17, 1)), O$10:O$135)</f>
        <v>38</v>
      </c>
      <c r="AR17" s="34" t="str">
        <f t="shared" si="8"/>
        <v>GG</v>
      </c>
      <c r="AS17" s="30" cm="1">
        <f t="array" ref="AS17">SUMPRODUCT($AI$10:$AI$113,AK$10:AK$113,IF(LEFT($AJ$10:$AJ$113,2)=$AR17,1,0))</f>
        <v>12</v>
      </c>
      <c r="AT17" s="30" cm="1">
        <f t="array" ref="AT17">SUMPRODUCT($AI$10:$AI$113,AL$10:AL$113,IF(LEFT($AJ$10:$AJ$113,2)=$AR17,1,0))</f>
        <v>26</v>
      </c>
      <c r="AU17" s="30" cm="1">
        <f t="array" ref="AU17">SUMPRODUCT($AI$10:$AI$113,AM$10:AM$113,IF(LEFT($AJ$10:$AJ$113,2)=$AR17,1,0))</f>
        <v>22</v>
      </c>
      <c r="AV17" s="30" cm="1">
        <f t="array" ref="AV17">SUMPRODUCT($AI$10:$AI$113,AN$10:AN$113,IF(LEFT($AJ$10:$AJ$113,2)=$AR17,1,0))</f>
        <v>24</v>
      </c>
      <c r="AW17" s="30" cm="1">
        <f t="array" ref="AW17">SUMPRODUCT($AI$10:$AI$113,AO$10:AO$113,IF(LEFT($AJ$10:$AJ$113,2)=$AR17,1,0))</f>
        <v>28</v>
      </c>
      <c r="AX17" s="35" cm="1">
        <f t="array" ref="AX17">SUMPRODUCT($AI$10:$AI$113,AP$10:AP$113,IF(LEFT($AJ$10:$AJ$113,2)=$AR17,1,0))</f>
        <v>10</v>
      </c>
      <c r="AZ17" s="30"/>
      <c r="BA17" s="30"/>
      <c r="BB17" s="30"/>
      <c r="BC17" s="30"/>
      <c r="BD17" s="30"/>
      <c r="BE17" s="30"/>
      <c r="BG17" s="30"/>
      <c r="BH17" s="30"/>
      <c r="BI17" s="30"/>
      <c r="BJ17" s="30"/>
      <c r="BK17" s="30"/>
      <c r="BL17" s="30"/>
    </row>
    <row r="18" spans="2:64">
      <c r="B18" s="34">
        <f t="shared" si="9"/>
        <v>8</v>
      </c>
      <c r="C18" s="30" t="s">
        <v>132</v>
      </c>
      <c r="D18" s="30" t="s">
        <v>133</v>
      </c>
      <c r="E18" s="30" t="s">
        <v>137</v>
      </c>
      <c r="F18" s="30" t="s">
        <v>134</v>
      </c>
      <c r="G18" s="30" t="s">
        <v>133</v>
      </c>
      <c r="H18" s="35" t="s">
        <v>138</v>
      </c>
      <c r="J18" s="34">
        <f t="shared" si="3"/>
        <v>1</v>
      </c>
      <c r="K18" s="30">
        <f t="shared" si="2"/>
        <v>1</v>
      </c>
      <c r="L18" s="30">
        <f t="shared" si="2"/>
        <v>1</v>
      </c>
      <c r="M18" s="30">
        <f t="shared" si="2"/>
        <v>1</v>
      </c>
      <c r="N18" s="30">
        <f t="shared" si="2"/>
        <v>1</v>
      </c>
      <c r="O18" s="35">
        <f t="shared" si="2"/>
        <v>1</v>
      </c>
      <c r="Q18" s="34" t="str">
        <f t="shared" si="4"/>
        <v>HH</v>
      </c>
      <c r="R18" s="30">
        <f t="shared" si="10"/>
        <v>6</v>
      </c>
      <c r="S18" s="30">
        <f t="shared" si="5"/>
        <v>7</v>
      </c>
      <c r="T18" s="30">
        <f t="shared" si="5"/>
        <v>3</v>
      </c>
      <c r="U18" s="30">
        <f t="shared" si="5"/>
        <v>1</v>
      </c>
      <c r="V18" s="30">
        <f t="shared" si="5"/>
        <v>1</v>
      </c>
      <c r="W18" s="35">
        <f t="shared" si="5"/>
        <v>1</v>
      </c>
      <c r="Y18" s="20">
        <f t="shared" si="6"/>
        <v>10</v>
      </c>
      <c r="Z18" s="23" t="s">
        <v>129</v>
      </c>
      <c r="AB18" s="40" t="str">
        <f t="shared" si="11"/>
        <v>0000100000100</v>
      </c>
      <c r="AC18" s="15" t="str">
        <f t="shared" si="7"/>
        <v>0010000100000</v>
      </c>
      <c r="AD18" s="15" t="str">
        <f t="shared" si="7"/>
        <v>0000020000000</v>
      </c>
      <c r="AE18" s="15" t="str">
        <f t="shared" si="7"/>
        <v>0001001000000</v>
      </c>
      <c r="AF18" s="15" t="str">
        <f t="shared" si="7"/>
        <v>0000000200000</v>
      </c>
      <c r="AG18" s="41" t="str">
        <f t="shared" si="7"/>
        <v>0000000000020</v>
      </c>
      <c r="AH18" s="15"/>
      <c r="AI18" s="21">
        <v>7</v>
      </c>
      <c r="AJ18" s="20" t="str">
        <f>$Z$11&amp;"-7"</f>
        <v>BB-7</v>
      </c>
      <c r="AK18" s="39" cm="1">
        <f t="array" ref="AK18">SUMPRODUCT(--(MID(AB$10:AB$135, SUMIF($Z$9:$Z$21, LEFT($AJ18,2), $Y$9:$Y$21), 1) = RIGHT($AJ18, 1)), J$10:J$135)</f>
        <v>0</v>
      </c>
      <c r="AL18" s="39" cm="1">
        <f t="array" ref="AL18">SUMPRODUCT(--(MID(AC$10:AC$135, SUMIF($Z$9:$Z$21, LEFT($AJ18,2), $Y$9:$Y$21), 1) = RIGHT($AJ18, 1)), K$10:K$135)</f>
        <v>0</v>
      </c>
      <c r="AM18" s="39" cm="1">
        <f t="array" ref="AM18">SUMPRODUCT(--(MID(AD$10:AD$135, SUMIF($Z$9:$Z$21, LEFT($AJ18,2), $Y$9:$Y$21), 1) = RIGHT($AJ18, 1)), L$10:L$135)</f>
        <v>0</v>
      </c>
      <c r="AN18" s="39" cm="1">
        <f t="array" ref="AN18">SUMPRODUCT(--(MID(AE$10:AE$135, SUMIF($Z$9:$Z$21, LEFT($AJ18,2), $Y$9:$Y$21), 1) = RIGHT($AJ18, 1)), M$10:M$135)</f>
        <v>0</v>
      </c>
      <c r="AO18" s="39" cm="1">
        <f t="array" ref="AO18">SUMPRODUCT(--(MID(AF$10:AF$135, SUMIF($Z$9:$Z$21, LEFT($AJ18,2), $Y$9:$Y$21), 1) = RIGHT($AJ18, 1)), N$10:N$135)</f>
        <v>0</v>
      </c>
      <c r="AP18" s="19" cm="1">
        <f t="array" ref="AP18">SUMPRODUCT(--(MID(AG$10:AG$135, SUMIF($Z$9:$Z$21, LEFT($AJ18,2), $Y$9:$Y$21), 1) = RIGHT($AJ18, 1)), O$10:O$135)</f>
        <v>0</v>
      </c>
      <c r="AR18" s="34" t="str">
        <f t="shared" si="8"/>
        <v>HH</v>
      </c>
      <c r="AS18" s="30" cm="1">
        <f t="array" ref="AS18">SUMPRODUCT($AI$10:$AI$113,AK$10:AK$113,IF(LEFT($AJ$10:$AJ$113,2)=$AR18,1,0))</f>
        <v>12</v>
      </c>
      <c r="AT18" s="30" cm="1">
        <f t="array" ref="AT18">SUMPRODUCT($AI$10:$AI$113,AL$10:AL$113,IF(LEFT($AJ$10:$AJ$113,2)=$AR18,1,0))</f>
        <v>14</v>
      </c>
      <c r="AU18" s="30" cm="1">
        <f t="array" ref="AU18">SUMPRODUCT($AI$10:$AI$113,AM$10:AM$113,IF(LEFT($AJ$10:$AJ$113,2)=$AR18,1,0))</f>
        <v>6</v>
      </c>
      <c r="AV18" s="30" cm="1">
        <f t="array" ref="AV18">SUMPRODUCT($AI$10:$AI$113,AN$10:AN$113,IF(LEFT($AJ$10:$AJ$113,2)=$AR18,1,0))</f>
        <v>2</v>
      </c>
      <c r="AW18" s="30" cm="1">
        <f t="array" ref="AW18">SUMPRODUCT($AI$10:$AI$113,AO$10:AO$113,IF(LEFT($AJ$10:$AJ$113,2)=$AR18,1,0))</f>
        <v>2</v>
      </c>
      <c r="AX18" s="35" cm="1">
        <f t="array" ref="AX18">SUMPRODUCT($AI$10:$AI$113,AP$10:AP$113,IF(LEFT($AJ$10:$AJ$113,2)=$AR18,1,0))</f>
        <v>2</v>
      </c>
      <c r="AZ18" s="30"/>
      <c r="BA18" s="30"/>
      <c r="BB18" s="30"/>
      <c r="BC18" s="30"/>
      <c r="BD18" s="30"/>
      <c r="BE18" s="30"/>
      <c r="BG18" s="30"/>
      <c r="BH18" s="30"/>
      <c r="BI18" s="30"/>
      <c r="BJ18" s="30"/>
      <c r="BK18" s="30"/>
      <c r="BL18" s="30"/>
    </row>
    <row r="19" spans="2:64">
      <c r="B19" s="34">
        <f t="shared" si="9"/>
        <v>9</v>
      </c>
      <c r="C19" s="30" t="s">
        <v>133</v>
      </c>
      <c r="D19" s="30" t="s">
        <v>133</v>
      </c>
      <c r="E19" s="30" t="s">
        <v>136</v>
      </c>
      <c r="F19" s="30" t="s">
        <v>138</v>
      </c>
      <c r="G19" s="30" t="s">
        <v>137</v>
      </c>
      <c r="H19" s="35" t="s">
        <v>132</v>
      </c>
      <c r="J19" s="34">
        <f t="shared" si="3"/>
        <v>1</v>
      </c>
      <c r="K19" s="30">
        <f t="shared" si="2"/>
        <v>1</v>
      </c>
      <c r="L19" s="30">
        <f t="shared" si="2"/>
        <v>1</v>
      </c>
      <c r="M19" s="30">
        <f t="shared" si="2"/>
        <v>1</v>
      </c>
      <c r="N19" s="30">
        <f t="shared" si="2"/>
        <v>1</v>
      </c>
      <c r="O19" s="35">
        <f t="shared" si="2"/>
        <v>1</v>
      </c>
      <c r="Q19" s="34" t="str">
        <f t="shared" si="4"/>
        <v>JJ</v>
      </c>
      <c r="R19" s="30">
        <f t="shared" si="10"/>
        <v>6</v>
      </c>
      <c r="S19" s="30">
        <f t="shared" si="5"/>
        <v>9</v>
      </c>
      <c r="T19" s="30">
        <f t="shared" si="5"/>
        <v>12</v>
      </c>
      <c r="U19" s="30">
        <f t="shared" si="5"/>
        <v>5</v>
      </c>
      <c r="V19" s="30">
        <f t="shared" si="5"/>
        <v>9</v>
      </c>
      <c r="W19" s="35">
        <f t="shared" si="5"/>
        <v>5</v>
      </c>
      <c r="Y19" s="20">
        <f t="shared" si="6"/>
        <v>11</v>
      </c>
      <c r="Z19" s="23" t="s">
        <v>132</v>
      </c>
      <c r="AA19" s="21"/>
      <c r="AB19" s="40" t="str">
        <f t="shared" si="11"/>
        <v>0000000100100</v>
      </c>
      <c r="AC19" s="15" t="str">
        <f t="shared" si="7"/>
        <v>0000000200000</v>
      </c>
      <c r="AD19" s="15" t="str">
        <f t="shared" si="7"/>
        <v>0000110000000</v>
      </c>
      <c r="AE19" s="15" t="str">
        <f t="shared" si="7"/>
        <v>0001000000010</v>
      </c>
      <c r="AF19" s="15" t="str">
        <f t="shared" si="7"/>
        <v>0000010100000</v>
      </c>
      <c r="AG19" s="41" t="str">
        <f t="shared" si="7"/>
        <v>0000000000110</v>
      </c>
      <c r="AH19" s="15"/>
      <c r="AI19" s="21">
        <v>6</v>
      </c>
      <c r="AJ19" s="20" t="str">
        <f>LEFT(AJ18,3) &amp; RIGHT(AJ18,1)-1</f>
        <v>BB-6</v>
      </c>
      <c r="AK19" s="39" cm="1">
        <f t="array" ref="AK19">SUMPRODUCT(--(MID(AB$10:AB$135, SUMIF($Z$9:$Z$21, LEFT($AJ19,2), $Y$9:$Y$21), 1) = RIGHT($AJ19, 1)), J$10:J$135)</f>
        <v>0</v>
      </c>
      <c r="AL19" s="39" cm="1">
        <f t="array" ref="AL19">SUMPRODUCT(--(MID(AC$10:AC$135, SUMIF($Z$9:$Z$21, LEFT($AJ19,2), $Y$9:$Y$21), 1) = RIGHT($AJ19, 1)), K$10:K$135)</f>
        <v>0</v>
      </c>
      <c r="AM19" s="39" cm="1">
        <f t="array" ref="AM19">SUMPRODUCT(--(MID(AD$10:AD$135, SUMIF($Z$9:$Z$21, LEFT($AJ19,2), $Y$9:$Y$21), 1) = RIGHT($AJ19, 1)), L$10:L$135)</f>
        <v>0</v>
      </c>
      <c r="AN19" s="39" cm="1">
        <f t="array" ref="AN19">SUMPRODUCT(--(MID(AE$10:AE$135, SUMIF($Z$9:$Z$21, LEFT($AJ19,2), $Y$9:$Y$21), 1) = RIGHT($AJ19, 1)), M$10:M$135)</f>
        <v>0</v>
      </c>
      <c r="AO19" s="39" cm="1">
        <f t="array" ref="AO19">SUMPRODUCT(--(MID(AF$10:AF$135, SUMIF($Z$9:$Z$21, LEFT($AJ19,2), $Y$9:$Y$21), 1) = RIGHT($AJ19, 1)), N$10:N$135)</f>
        <v>0</v>
      </c>
      <c r="AP19" s="19" cm="1">
        <f t="array" ref="AP19">SUMPRODUCT(--(MID(AG$10:AG$135, SUMIF($Z$9:$Z$21, LEFT($AJ19,2), $Y$9:$Y$21), 1) = RIGHT($AJ19, 1)), O$10:O$135)</f>
        <v>0</v>
      </c>
      <c r="AR19" s="34" t="str">
        <f t="shared" si="8"/>
        <v>JJ</v>
      </c>
      <c r="AS19" s="30" cm="1">
        <f t="array" ref="AS19">SUMPRODUCT($AI$10:$AI$113,AK$10:AK$113,IF(LEFT($AJ$10:$AJ$113,2)=$AR19,1,0))</f>
        <v>12</v>
      </c>
      <c r="AT19" s="30" cm="1">
        <f t="array" ref="AT19">SUMPRODUCT($AI$10:$AI$113,AL$10:AL$113,IF(LEFT($AJ$10:$AJ$113,2)=$AR19,1,0))</f>
        <v>18</v>
      </c>
      <c r="AU19" s="30" cm="1">
        <f t="array" ref="AU19">SUMPRODUCT($AI$10:$AI$113,AM$10:AM$113,IF(LEFT($AJ$10:$AJ$113,2)=$AR19,1,0))</f>
        <v>24</v>
      </c>
      <c r="AV19" s="30" cm="1">
        <f t="array" ref="AV19">SUMPRODUCT($AI$10:$AI$113,AN$10:AN$113,IF(LEFT($AJ$10:$AJ$113,2)=$AR19,1,0))</f>
        <v>10</v>
      </c>
      <c r="AW19" s="30" cm="1">
        <f t="array" ref="AW19">SUMPRODUCT($AI$10:$AI$113,AO$10:AO$113,IF(LEFT($AJ$10:$AJ$113,2)=$AR19,1,0))</f>
        <v>18</v>
      </c>
      <c r="AX19" s="35" cm="1">
        <f t="array" ref="AX19">SUMPRODUCT($AI$10:$AI$113,AP$10:AP$113,IF(LEFT($AJ$10:$AJ$113,2)=$AR19,1,0))</f>
        <v>10</v>
      </c>
      <c r="AZ19" s="30"/>
      <c r="BA19" s="30"/>
      <c r="BB19" s="30"/>
      <c r="BC19" s="30"/>
      <c r="BD19" s="30"/>
      <c r="BE19" s="30"/>
      <c r="BG19" s="30"/>
      <c r="BH19" s="30"/>
      <c r="BI19" s="30"/>
      <c r="BJ19" s="30"/>
      <c r="BK19" s="30"/>
      <c r="BL19" s="30"/>
    </row>
    <row r="20" spans="2:64">
      <c r="B20" s="34">
        <f t="shared" si="9"/>
        <v>10</v>
      </c>
      <c r="C20" s="30" t="s">
        <v>130</v>
      </c>
      <c r="D20" s="30" t="s">
        <v>133</v>
      </c>
      <c r="E20" s="30" t="s">
        <v>138</v>
      </c>
      <c r="F20" s="30" t="s">
        <v>138</v>
      </c>
      <c r="G20" s="30" t="s">
        <v>136</v>
      </c>
      <c r="H20" s="35" t="s">
        <v>136</v>
      </c>
      <c r="J20" s="34">
        <f t="shared" si="3"/>
        <v>1</v>
      </c>
      <c r="K20" s="30">
        <f t="shared" si="3"/>
        <v>1</v>
      </c>
      <c r="L20" s="30">
        <f t="shared" si="3"/>
        <v>1</v>
      </c>
      <c r="M20" s="30">
        <f t="shared" si="3"/>
        <v>1</v>
      </c>
      <c r="N20" s="30">
        <f t="shared" si="3"/>
        <v>1</v>
      </c>
      <c r="O20" s="35">
        <f t="shared" si="3"/>
        <v>1</v>
      </c>
      <c r="Q20" s="34" t="str">
        <f t="shared" si="4"/>
        <v>KK</v>
      </c>
      <c r="R20" s="30">
        <f t="shared" si="10"/>
        <v>5</v>
      </c>
      <c r="S20" s="30">
        <f t="shared" si="5"/>
        <v>7</v>
      </c>
      <c r="T20" s="30">
        <f t="shared" si="5"/>
        <v>12</v>
      </c>
      <c r="U20" s="30">
        <f t="shared" si="5"/>
        <v>4</v>
      </c>
      <c r="V20" s="30">
        <f t="shared" si="5"/>
        <v>12</v>
      </c>
      <c r="W20" s="35">
        <f t="shared" si="5"/>
        <v>4</v>
      </c>
      <c r="Y20" s="20">
        <v>12</v>
      </c>
      <c r="Z20" s="23" t="s">
        <v>138</v>
      </c>
      <c r="AA20" s="21"/>
      <c r="AB20" s="40" t="str">
        <f t="shared" si="11"/>
        <v>0000000110000</v>
      </c>
      <c r="AC20" s="15" t="str">
        <f t="shared" si="7"/>
        <v>0000000200000</v>
      </c>
      <c r="AD20" s="15" t="str">
        <f t="shared" si="7"/>
        <v>0000100000010</v>
      </c>
      <c r="AE20" s="15" t="str">
        <f t="shared" si="7"/>
        <v>0000000000020</v>
      </c>
      <c r="AF20" s="15" t="str">
        <f t="shared" si="7"/>
        <v>0000110000000</v>
      </c>
      <c r="AG20" s="41" t="str">
        <f t="shared" si="7"/>
        <v>0000100000100</v>
      </c>
      <c r="AH20" s="15"/>
      <c r="AI20" s="21">
        <v>5</v>
      </c>
      <c r="AJ20" s="20" t="str">
        <f t="shared" ref="AJ20:AJ25" si="13">LEFT(AJ19,3) &amp; RIGHT(AJ19,1)-1</f>
        <v>BB-5</v>
      </c>
      <c r="AK20" s="39" cm="1">
        <f t="array" ref="AK20">SUMPRODUCT(--(MID(AB$10:AB$135, SUMIF($Z$9:$Z$21, LEFT($AJ20,2), $Y$9:$Y$21), 1) = RIGHT($AJ20, 1)), J$10:J$135)</f>
        <v>0</v>
      </c>
      <c r="AL20" s="39" cm="1">
        <f t="array" ref="AL20">SUMPRODUCT(--(MID(AC$10:AC$135, SUMIF($Z$9:$Z$21, LEFT($AJ20,2), $Y$9:$Y$21), 1) = RIGHT($AJ20, 1)), K$10:K$135)</f>
        <v>0</v>
      </c>
      <c r="AM20" s="39" cm="1">
        <f t="array" ref="AM20">SUMPRODUCT(--(MID(AD$10:AD$135, SUMIF($Z$9:$Z$21, LEFT($AJ20,2), $Y$9:$Y$21), 1) = RIGHT($AJ20, 1)), L$10:L$135)</f>
        <v>0</v>
      </c>
      <c r="AN20" s="39" cm="1">
        <f t="array" ref="AN20">SUMPRODUCT(--(MID(AE$10:AE$135, SUMIF($Z$9:$Z$21, LEFT($AJ20,2), $Y$9:$Y$21), 1) = RIGHT($AJ20, 1)), M$10:M$135)</f>
        <v>0</v>
      </c>
      <c r="AO20" s="39" cm="1">
        <f t="array" ref="AO20">SUMPRODUCT(--(MID(AF$10:AF$135, SUMIF($Z$9:$Z$21, LEFT($AJ20,2), $Y$9:$Y$21), 1) = RIGHT($AJ20, 1)), N$10:N$135)</f>
        <v>0</v>
      </c>
      <c r="AP20" s="19" cm="1">
        <f t="array" ref="AP20">SUMPRODUCT(--(MID(AG$10:AG$135, SUMIF($Z$9:$Z$21, LEFT($AJ20,2), $Y$9:$Y$21), 1) = RIGHT($AJ20, 1)), O$10:O$135)</f>
        <v>0</v>
      </c>
      <c r="AR20" s="34" t="str">
        <f t="shared" si="8"/>
        <v>KK</v>
      </c>
      <c r="AS20" s="30" cm="1">
        <f t="array" ref="AS20">SUMPRODUCT($AI$10:$AI$113,AK$10:AK$113,IF(LEFT($AJ$10:$AJ$113,2)=$AR20,1,0))</f>
        <v>10</v>
      </c>
      <c r="AT20" s="30" cm="1">
        <f t="array" ref="AT20">SUMPRODUCT($AI$10:$AI$113,AL$10:AL$113,IF(LEFT($AJ$10:$AJ$113,2)=$AR20,1,0))</f>
        <v>14</v>
      </c>
      <c r="AU20" s="30" cm="1">
        <f t="array" ref="AU20">SUMPRODUCT($AI$10:$AI$113,AM$10:AM$113,IF(LEFT($AJ$10:$AJ$113,2)=$AR20,1,0))</f>
        <v>24</v>
      </c>
      <c r="AV20" s="30" cm="1">
        <f t="array" ref="AV20">SUMPRODUCT($AI$10:$AI$113,AN$10:AN$113,IF(LEFT($AJ$10:$AJ$113,2)=$AR20,1,0))</f>
        <v>8</v>
      </c>
      <c r="AW20" s="30" cm="1">
        <f t="array" ref="AW20">SUMPRODUCT($AI$10:$AI$113,AO$10:AO$113,IF(LEFT($AJ$10:$AJ$113,2)=$AR20,1,0))</f>
        <v>24</v>
      </c>
      <c r="AX20" s="35" cm="1">
        <f t="array" ref="AX20">SUMPRODUCT($AI$10:$AI$113,AP$10:AP$113,IF(LEFT($AJ$10:$AJ$113,2)=$AR20,1,0))</f>
        <v>8</v>
      </c>
      <c r="AZ20" s="30"/>
      <c r="BA20" s="30"/>
      <c r="BB20" s="30"/>
      <c r="BC20" s="30"/>
      <c r="BD20" s="30"/>
      <c r="BE20" s="30"/>
      <c r="BG20" s="30"/>
      <c r="BH20" s="30"/>
      <c r="BI20" s="30"/>
      <c r="BJ20" s="30"/>
      <c r="BK20" s="30"/>
      <c r="BL20" s="30"/>
    </row>
    <row r="21" spans="2:64">
      <c r="B21" s="34">
        <f t="shared" si="9"/>
        <v>11</v>
      </c>
      <c r="C21" s="30" t="s">
        <v>134</v>
      </c>
      <c r="D21" s="30" t="s">
        <v>131</v>
      </c>
      <c r="E21" s="30" t="s">
        <v>128</v>
      </c>
      <c r="F21" s="30" t="s">
        <v>138</v>
      </c>
      <c r="G21" s="30" t="s">
        <v>129</v>
      </c>
      <c r="H21" s="35" t="s">
        <v>132</v>
      </c>
      <c r="J21" s="34">
        <f t="shared" si="3"/>
        <v>1</v>
      </c>
      <c r="K21" s="30">
        <f t="shared" si="3"/>
        <v>1</v>
      </c>
      <c r="L21" s="30">
        <f t="shared" si="3"/>
        <v>1</v>
      </c>
      <c r="M21" s="30">
        <f t="shared" si="3"/>
        <v>1</v>
      </c>
      <c r="N21" s="30">
        <f t="shared" si="3"/>
        <v>1</v>
      </c>
      <c r="O21" s="35">
        <f t="shared" si="3"/>
        <v>1</v>
      </c>
      <c r="Q21" s="34" t="s">
        <v>138</v>
      </c>
      <c r="R21" s="30">
        <f t="shared" si="10"/>
        <v>4</v>
      </c>
      <c r="S21" s="30">
        <f t="shared" si="5"/>
        <v>9</v>
      </c>
      <c r="T21" s="30">
        <f t="shared" si="5"/>
        <v>9</v>
      </c>
      <c r="U21" s="30">
        <f t="shared" si="5"/>
        <v>6</v>
      </c>
      <c r="V21" s="30">
        <f t="shared" si="5"/>
        <v>4</v>
      </c>
      <c r="W21" s="35">
        <f t="shared" si="5"/>
        <v>6</v>
      </c>
      <c r="Y21" s="18">
        <v>13</v>
      </c>
      <c r="Z21" s="22" t="s">
        <v>135</v>
      </c>
      <c r="AA21" s="21"/>
      <c r="AB21" s="40" t="str">
        <f t="shared" si="11"/>
        <v>0001000010000</v>
      </c>
      <c r="AC21" s="15" t="str">
        <f t="shared" si="7"/>
        <v>0100000100000</v>
      </c>
      <c r="AD21" s="15" t="str">
        <f t="shared" si="7"/>
        <v>0000001000010</v>
      </c>
      <c r="AE21" s="15" t="str">
        <f t="shared" si="7"/>
        <v>0000000000020</v>
      </c>
      <c r="AF21" s="15" t="str">
        <f t="shared" si="7"/>
        <v>0000100001000</v>
      </c>
      <c r="AG21" s="41" t="str">
        <f t="shared" si="7"/>
        <v>0000100000100</v>
      </c>
      <c r="AH21" s="15"/>
      <c r="AI21" s="21">
        <v>4</v>
      </c>
      <c r="AJ21" s="20" t="str">
        <f t="shared" si="13"/>
        <v>BB-4</v>
      </c>
      <c r="AK21" s="39" cm="1">
        <f t="array" ref="AK21">SUMPRODUCT(--(MID(AB$10:AB$135, SUMIF($Z$9:$Z$21, LEFT($AJ21,2), $Y$9:$Y$21), 1) = RIGHT($AJ21, 1)), J$10:J$135)</f>
        <v>0</v>
      </c>
      <c r="AL21" s="39" cm="1">
        <f t="array" ref="AL21">SUMPRODUCT(--(MID(AC$10:AC$135, SUMIF($Z$9:$Z$21, LEFT($AJ21,2), $Y$9:$Y$21), 1) = RIGHT($AJ21, 1)), K$10:K$135)</f>
        <v>0</v>
      </c>
      <c r="AM21" s="39" cm="1">
        <f t="array" ref="AM21">SUMPRODUCT(--(MID(AD$10:AD$135, SUMIF($Z$9:$Z$21, LEFT($AJ21,2), $Y$9:$Y$21), 1) = RIGHT($AJ21, 1)), L$10:L$135)</f>
        <v>0</v>
      </c>
      <c r="AN21" s="39" cm="1">
        <f t="array" ref="AN21">SUMPRODUCT(--(MID(AE$10:AE$135, SUMIF($Z$9:$Z$21, LEFT($AJ21,2), $Y$9:$Y$21), 1) = RIGHT($AJ21, 1)), M$10:M$135)</f>
        <v>0</v>
      </c>
      <c r="AO21" s="39" cm="1">
        <f t="array" ref="AO21">SUMPRODUCT(--(MID(AF$10:AF$135, SUMIF($Z$9:$Z$21, LEFT($AJ21,2), $Y$9:$Y$21), 1) = RIGHT($AJ21, 1)), N$10:N$135)</f>
        <v>0</v>
      </c>
      <c r="AP21" s="19" cm="1">
        <f t="array" ref="AP21">SUMPRODUCT(--(MID(AG$10:AG$135, SUMIF($Z$9:$Z$21, LEFT($AJ21,2), $Y$9:$Y$21), 1) = RIGHT($AJ21, 1)), O$10:O$135)</f>
        <v>0</v>
      </c>
      <c r="AR21" s="34" t="str">
        <f t="shared" si="8"/>
        <v>LL</v>
      </c>
      <c r="AS21" s="30" cm="1">
        <f t="array" ref="AS21">SUMPRODUCT($AI$10:$AI$113,AK$10:AK$113,IF(LEFT($AJ$10:$AJ$113,2)=$AR21,1,0))</f>
        <v>8</v>
      </c>
      <c r="AT21" s="30" cm="1">
        <f t="array" ref="AT21">SUMPRODUCT($AI$10:$AI$113,AL$10:AL$113,IF(LEFT($AJ$10:$AJ$113,2)=$AR21,1,0))</f>
        <v>18</v>
      </c>
      <c r="AU21" s="30" cm="1">
        <f t="array" ref="AU21">SUMPRODUCT($AI$10:$AI$113,AM$10:AM$113,IF(LEFT($AJ$10:$AJ$113,2)=$AR21,1,0))</f>
        <v>18</v>
      </c>
      <c r="AV21" s="30" cm="1">
        <f t="array" ref="AV21">SUMPRODUCT($AI$10:$AI$113,AN$10:AN$113,IF(LEFT($AJ$10:$AJ$113,2)=$AR21,1,0))</f>
        <v>12</v>
      </c>
      <c r="AW21" s="30" cm="1">
        <f t="array" ref="AW21">SUMPRODUCT($AI$10:$AI$113,AO$10:AO$113,IF(LEFT($AJ$10:$AJ$113,2)=$AR21,1,0))</f>
        <v>8</v>
      </c>
      <c r="AX21" s="35" cm="1">
        <f t="array" ref="AX21">SUMPRODUCT($AI$10:$AI$113,AP$10:AP$113,IF(LEFT($AJ$10:$AJ$113,2)=$AR21,1,0))</f>
        <v>12</v>
      </c>
      <c r="AZ21" s="30"/>
      <c r="BA21" s="30"/>
      <c r="BB21" s="30"/>
      <c r="BC21" s="30"/>
      <c r="BD21" s="30"/>
      <c r="BE21" s="30"/>
      <c r="BG21" s="30"/>
      <c r="BH21" s="30"/>
      <c r="BI21" s="30"/>
      <c r="BJ21" s="30"/>
      <c r="BK21" s="30"/>
      <c r="BL21" s="30"/>
    </row>
    <row r="22" spans="2:64">
      <c r="B22" s="34">
        <f t="shared" si="9"/>
        <v>12</v>
      </c>
      <c r="C22" s="30" t="s">
        <v>138</v>
      </c>
      <c r="D22" s="30" t="s">
        <v>138</v>
      </c>
      <c r="E22" s="30" t="s">
        <v>137</v>
      </c>
      <c r="F22" s="30" t="s">
        <v>137</v>
      </c>
      <c r="G22" s="30" t="s">
        <v>127</v>
      </c>
      <c r="H22" s="35" t="s">
        <v>132</v>
      </c>
      <c r="J22" s="34">
        <f t="shared" si="3"/>
        <v>1</v>
      </c>
      <c r="K22" s="30">
        <f t="shared" si="3"/>
        <v>1</v>
      </c>
      <c r="L22" s="30">
        <f t="shared" si="3"/>
        <v>1</v>
      </c>
      <c r="M22" s="30">
        <f t="shared" si="3"/>
        <v>1</v>
      </c>
      <c r="N22" s="30">
        <f t="shared" si="3"/>
        <v>1</v>
      </c>
      <c r="O22" s="35">
        <f t="shared" si="3"/>
        <v>1</v>
      </c>
      <c r="Q22" s="36" t="s">
        <v>135</v>
      </c>
      <c r="R22" s="37">
        <f t="shared" si="10"/>
        <v>0</v>
      </c>
      <c r="S22" s="37">
        <f t="shared" si="5"/>
        <v>0</v>
      </c>
      <c r="T22" s="37">
        <f t="shared" si="5"/>
        <v>0</v>
      </c>
      <c r="U22" s="37">
        <f t="shared" si="5"/>
        <v>0</v>
      </c>
      <c r="V22" s="37">
        <f t="shared" si="5"/>
        <v>0</v>
      </c>
      <c r="W22" s="38">
        <f t="shared" si="5"/>
        <v>0</v>
      </c>
      <c r="Y22" s="21"/>
      <c r="Z22" s="21"/>
      <c r="AA22" s="21"/>
      <c r="AB22" s="40" t="str">
        <f t="shared" si="11"/>
        <v>0001000000010</v>
      </c>
      <c r="AC22" s="15" t="str">
        <f t="shared" si="7"/>
        <v>0100000000010</v>
      </c>
      <c r="AD22" s="15" t="str">
        <f t="shared" si="7"/>
        <v>0000011000000</v>
      </c>
      <c r="AE22" s="15" t="str">
        <f t="shared" si="7"/>
        <v>0000010000010</v>
      </c>
      <c r="AF22" s="15" t="str">
        <f t="shared" si="7"/>
        <v>0010000001000</v>
      </c>
      <c r="AG22" s="41" t="str">
        <f t="shared" si="7"/>
        <v>0000000000200</v>
      </c>
      <c r="AH22" s="15"/>
      <c r="AI22" s="21">
        <v>3</v>
      </c>
      <c r="AJ22" s="20" t="str">
        <f t="shared" si="13"/>
        <v>BB-3</v>
      </c>
      <c r="AK22" s="39" cm="1">
        <f t="array" ref="AK22">SUMPRODUCT(--(MID(AB$10:AB$135, SUMIF($Z$9:$Z$21, LEFT($AJ22,2), $Y$9:$Y$21), 1) = RIGHT($AJ22, 1)), J$10:J$135)</f>
        <v>0</v>
      </c>
      <c r="AL22" s="39" cm="1">
        <f t="array" ref="AL22">SUMPRODUCT(--(MID(AC$10:AC$135, SUMIF($Z$9:$Z$21, LEFT($AJ22,2), $Y$9:$Y$21), 1) = RIGHT($AJ22, 1)), K$10:K$135)</f>
        <v>0</v>
      </c>
      <c r="AM22" s="39" cm="1">
        <f t="array" ref="AM22">SUMPRODUCT(--(MID(AD$10:AD$135, SUMIF($Z$9:$Z$21, LEFT($AJ22,2), $Y$9:$Y$21), 1) = RIGHT($AJ22, 1)), L$10:L$135)</f>
        <v>0</v>
      </c>
      <c r="AN22" s="39" cm="1">
        <f t="array" ref="AN22">SUMPRODUCT(--(MID(AE$10:AE$135, SUMIF($Z$9:$Z$21, LEFT($AJ22,2), $Y$9:$Y$21), 1) = RIGHT($AJ22, 1)), M$10:M$135)</f>
        <v>0</v>
      </c>
      <c r="AO22" s="39" cm="1">
        <f t="array" ref="AO22">SUMPRODUCT(--(MID(AF$10:AF$135, SUMIF($Z$9:$Z$21, LEFT($AJ22,2), $Y$9:$Y$21), 1) = RIGHT($AJ22, 1)), N$10:N$135)</f>
        <v>0</v>
      </c>
      <c r="AP22" s="19" cm="1">
        <f t="array" ref="AP22">SUMPRODUCT(--(MID(AG$10:AG$135, SUMIF($Z$9:$Z$21, LEFT($AJ22,2), $Y$9:$Y$21), 1) = RIGHT($AJ22, 1)), O$10:O$135)</f>
        <v>0</v>
      </c>
      <c r="AR22" s="34" t="str">
        <f t="shared" si="8"/>
        <v>BN</v>
      </c>
      <c r="AS22" s="30" cm="1">
        <f t="array" ref="AS22">SUMPRODUCT($AI$10:$AI$113,AK$10:AK$113,IF(LEFT($AJ$10:$AJ$113,2)=$AR22,1,0))</f>
        <v>0</v>
      </c>
      <c r="AT22" s="30" cm="1">
        <f t="array" ref="AT22">SUMPRODUCT($AI$10:$AI$113,AL$10:AL$113,IF(LEFT($AJ$10:$AJ$113,2)=$AR22,1,0))</f>
        <v>0</v>
      </c>
      <c r="AU22" s="30" cm="1">
        <f t="array" ref="AU22">SUMPRODUCT($AI$10:$AI$113,AM$10:AM$113,IF(LEFT($AJ$10:$AJ$113,2)=$AR22,1,0))</f>
        <v>0</v>
      </c>
      <c r="AV22" s="30" cm="1">
        <f t="array" ref="AV22">SUMPRODUCT($AI$10:$AI$113,AN$10:AN$113,IF(LEFT($AJ$10:$AJ$113,2)=$AR22,1,0))</f>
        <v>0</v>
      </c>
      <c r="AW22" s="30" cm="1">
        <f t="array" ref="AW22">SUMPRODUCT($AI$10:$AI$113,AO$10:AO$113,IF(LEFT($AJ$10:$AJ$113,2)=$AR22,1,0))</f>
        <v>0</v>
      </c>
      <c r="AX22" s="35" cm="1">
        <f t="array" ref="AX22">SUMPRODUCT($AI$10:$AI$113,AP$10:AP$113,IF(LEFT($AJ$10:$AJ$113,2)=$AR22,1,0))</f>
        <v>0</v>
      </c>
      <c r="AZ22" s="30"/>
      <c r="BA22" s="30"/>
      <c r="BB22" s="30"/>
      <c r="BC22" s="30"/>
      <c r="BD22" s="30"/>
      <c r="BE22" s="30"/>
      <c r="BG22" s="30"/>
      <c r="BH22" s="30"/>
      <c r="BI22" s="30"/>
      <c r="BJ22" s="30"/>
      <c r="BK22" s="30"/>
      <c r="BL22" s="30"/>
    </row>
    <row r="23" spans="2:64">
      <c r="B23" s="34">
        <f t="shared" si="9"/>
        <v>13</v>
      </c>
      <c r="C23" s="30" t="s">
        <v>130</v>
      </c>
      <c r="D23" s="30" t="s">
        <v>138</v>
      </c>
      <c r="E23" s="30" t="s">
        <v>129</v>
      </c>
      <c r="F23" s="30" t="s">
        <v>134</v>
      </c>
      <c r="G23" s="30" t="s">
        <v>131</v>
      </c>
      <c r="H23" s="35" t="s">
        <v>132</v>
      </c>
      <c r="J23" s="34">
        <f t="shared" si="3"/>
        <v>1</v>
      </c>
      <c r="K23" s="30">
        <f t="shared" si="3"/>
        <v>1</v>
      </c>
      <c r="L23" s="30">
        <f t="shared" si="3"/>
        <v>1</v>
      </c>
      <c r="M23" s="30">
        <f t="shared" si="3"/>
        <v>1</v>
      </c>
      <c r="N23" s="30">
        <f t="shared" si="3"/>
        <v>1</v>
      </c>
      <c r="O23" s="35">
        <f t="shared" si="3"/>
        <v>1</v>
      </c>
      <c r="Q23" s="36" t="s">
        <v>14</v>
      </c>
      <c r="R23" s="37">
        <f>SUM(R10:R22)</f>
        <v>40</v>
      </c>
      <c r="S23" s="37">
        <f t="shared" ref="S23:W23" si="14">SUM(S10:S22)</f>
        <v>73</v>
      </c>
      <c r="T23" s="37">
        <f t="shared" si="14"/>
        <v>84</v>
      </c>
      <c r="U23" s="37">
        <f t="shared" si="14"/>
        <v>67</v>
      </c>
      <c r="V23" s="37">
        <f t="shared" si="14"/>
        <v>91</v>
      </c>
      <c r="W23" s="38">
        <f t="shared" si="14"/>
        <v>50</v>
      </c>
      <c r="Y23" s="21"/>
      <c r="Z23" s="21"/>
      <c r="AA23" s="21"/>
      <c r="AB23" s="40" t="str">
        <f t="shared" si="11"/>
        <v>0000000010010</v>
      </c>
      <c r="AC23" s="15" t="str">
        <f t="shared" si="7"/>
        <v>0000000000020</v>
      </c>
      <c r="AD23" s="15" t="str">
        <f t="shared" si="7"/>
        <v>0000010001000</v>
      </c>
      <c r="AE23" s="15" t="str">
        <f t="shared" si="7"/>
        <v>0001010000000</v>
      </c>
      <c r="AF23" s="15" t="str">
        <f t="shared" si="7"/>
        <v>0110000000000</v>
      </c>
      <c r="AG23" s="41" t="str">
        <f t="shared" si="7"/>
        <v>0000000000200</v>
      </c>
      <c r="AH23" s="15"/>
      <c r="AI23" s="21">
        <v>2</v>
      </c>
      <c r="AJ23" s="20" t="str">
        <f t="shared" si="13"/>
        <v>BB-2</v>
      </c>
      <c r="AK23" s="39" cm="1">
        <f t="array" ref="AK23">SUMPRODUCT(--(MID(AB$10:AB$135, SUMIF($Z$9:$Z$21, LEFT($AJ23,2), $Y$9:$Y$21), 1) = RIGHT($AJ23, 1)), J$10:J$135)</f>
        <v>0</v>
      </c>
      <c r="AL23" s="39" cm="1">
        <f t="array" ref="AL23">SUMPRODUCT(--(MID(AC$10:AC$135, SUMIF($Z$9:$Z$21, LEFT($AJ23,2), $Y$9:$Y$21), 1) = RIGHT($AJ23, 1)), K$10:K$135)</f>
        <v>0</v>
      </c>
      <c r="AM23" s="39" cm="1">
        <f t="array" ref="AM23">SUMPRODUCT(--(MID(AD$10:AD$135, SUMIF($Z$9:$Z$21, LEFT($AJ23,2), $Y$9:$Y$21), 1) = RIGHT($AJ23, 1)), L$10:L$135)</f>
        <v>2</v>
      </c>
      <c r="AN23" s="39" cm="1">
        <f t="array" ref="AN23">SUMPRODUCT(--(MID(AE$10:AE$135, SUMIF($Z$9:$Z$21, LEFT($AJ23,2), $Y$9:$Y$21), 1) = RIGHT($AJ23, 1)), M$10:M$135)</f>
        <v>2</v>
      </c>
      <c r="AO23" s="39" cm="1">
        <f t="array" ref="AO23">SUMPRODUCT(--(MID(AF$10:AF$135, SUMIF($Z$9:$Z$21, LEFT($AJ23,2), $Y$9:$Y$21), 1) = RIGHT($AJ23, 1)), N$10:N$135)</f>
        <v>2</v>
      </c>
      <c r="AP23" s="19" cm="1">
        <f t="array" ref="AP23">SUMPRODUCT(--(MID(AG$10:AG$135, SUMIF($Z$9:$Z$21, LEFT($AJ23,2), $Y$9:$Y$21), 1) = RIGHT($AJ23, 1)), O$10:O$135)</f>
        <v>2</v>
      </c>
      <c r="AR23" s="34" t="str">
        <f t="shared" ref="AR23:AR35" si="15">AR10&amp;"-0"</f>
        <v>WC-0</v>
      </c>
      <c r="AS23" s="30">
        <f t="shared" ref="AS23:AX35" si="16">SUMIF($AJ$10:$AJ$113,$AR23,AK$10:AK$113)</f>
        <v>40</v>
      </c>
      <c r="AT23" s="30">
        <f t="shared" si="16"/>
        <v>73</v>
      </c>
      <c r="AU23" s="30">
        <f t="shared" si="16"/>
        <v>84</v>
      </c>
      <c r="AV23" s="30">
        <f t="shared" si="16"/>
        <v>67</v>
      </c>
      <c r="AW23" s="30">
        <f t="shared" si="16"/>
        <v>91</v>
      </c>
      <c r="AX23" s="35">
        <f t="shared" si="16"/>
        <v>50</v>
      </c>
    </row>
    <row r="24" spans="2:64">
      <c r="B24" s="34">
        <f t="shared" si="9"/>
        <v>14</v>
      </c>
      <c r="C24" s="30" t="s">
        <v>133</v>
      </c>
      <c r="D24" s="30" t="s">
        <v>138</v>
      </c>
      <c r="E24" s="30" t="s">
        <v>129</v>
      </c>
      <c r="F24" s="30" t="s">
        <v>134</v>
      </c>
      <c r="G24" s="30" t="s">
        <v>128</v>
      </c>
      <c r="H24" s="35" t="s">
        <v>138</v>
      </c>
      <c r="J24" s="34">
        <f t="shared" si="3"/>
        <v>1</v>
      </c>
      <c r="K24" s="30">
        <f t="shared" si="3"/>
        <v>1</v>
      </c>
      <c r="L24" s="30">
        <f t="shared" si="3"/>
        <v>1</v>
      </c>
      <c r="M24" s="30">
        <f t="shared" si="3"/>
        <v>1</v>
      </c>
      <c r="N24" s="30">
        <f t="shared" si="3"/>
        <v>1</v>
      </c>
      <c r="O24" s="35">
        <f t="shared" si="3"/>
        <v>1</v>
      </c>
      <c r="Y24" s="21"/>
      <c r="Z24" s="21"/>
      <c r="AA24" s="21"/>
      <c r="AB24" s="40" t="str">
        <f t="shared" si="11"/>
        <v>0000000110000</v>
      </c>
      <c r="AC24" s="15" t="str">
        <f t="shared" si="7"/>
        <v>0000000000020</v>
      </c>
      <c r="AD24" s="15" t="str">
        <f t="shared" si="7"/>
        <v>0000000002000</v>
      </c>
      <c r="AE24" s="15" t="str">
        <f t="shared" si="7"/>
        <v>0002000000000</v>
      </c>
      <c r="AF24" s="15" t="str">
        <f t="shared" si="7"/>
        <v>0100001000000</v>
      </c>
      <c r="AG24" s="41" t="str">
        <f t="shared" si="7"/>
        <v>0000000000110</v>
      </c>
      <c r="AH24" s="15"/>
      <c r="AI24" s="21">
        <v>1</v>
      </c>
      <c r="AJ24" s="20" t="str">
        <f t="shared" si="13"/>
        <v>BB-1</v>
      </c>
      <c r="AK24" s="39" cm="1">
        <f t="array" ref="AK24">SUMPRODUCT(--(MID(AB$10:AB$135, SUMIF($Z$9:$Z$21, LEFT($AJ24,2), $Y$9:$Y$21), 1) = RIGHT($AJ24, 1)), J$10:J$135)</f>
        <v>2</v>
      </c>
      <c r="AL24" s="39" cm="1">
        <f t="array" ref="AL24">SUMPRODUCT(--(MID(AC$10:AC$135, SUMIF($Z$9:$Z$21, LEFT($AJ24,2), $Y$9:$Y$21), 1) = RIGHT($AJ24, 1)), K$10:K$135)</f>
        <v>8</v>
      </c>
      <c r="AM24" s="39" cm="1">
        <f t="array" ref="AM24">SUMPRODUCT(--(MID(AD$10:AD$135, SUMIF($Z$9:$Z$21, LEFT($AJ24,2), $Y$9:$Y$21), 1) = RIGHT($AJ24, 1)), L$10:L$135)</f>
        <v>14</v>
      </c>
      <c r="AN24" s="39" cm="1">
        <f t="array" ref="AN24">SUMPRODUCT(--(MID(AE$10:AE$135, SUMIF($Z$9:$Z$21, LEFT($AJ24,2), $Y$9:$Y$21), 1) = RIGHT($AJ24, 1)), M$10:M$135)</f>
        <v>10</v>
      </c>
      <c r="AO24" s="39" cm="1">
        <f t="array" ref="AO24">SUMPRODUCT(--(MID(AF$10:AF$135, SUMIF($Z$9:$Z$21, LEFT($AJ24,2), $Y$9:$Y$21), 1) = RIGHT($AJ24, 1)), N$10:N$135)</f>
        <v>16</v>
      </c>
      <c r="AP24" s="19" cm="1">
        <f t="array" ref="AP24">SUMPRODUCT(--(MID(AG$10:AG$135, SUMIF($Z$9:$Z$21, LEFT($AJ24,2), $Y$9:$Y$21), 1) = RIGHT($AJ24, 1)), O$10:O$135)</f>
        <v>6</v>
      </c>
      <c r="AR24" s="34" t="str">
        <f t="shared" si="15"/>
        <v>AA-0</v>
      </c>
      <c r="AS24" s="30">
        <f t="shared" si="16"/>
        <v>38</v>
      </c>
      <c r="AT24" s="30">
        <f t="shared" si="16"/>
        <v>65</v>
      </c>
      <c r="AU24" s="30">
        <f t="shared" si="16"/>
        <v>76</v>
      </c>
      <c r="AV24" s="30">
        <f t="shared" si="16"/>
        <v>60</v>
      </c>
      <c r="AW24" s="30">
        <f t="shared" si="16"/>
        <v>67</v>
      </c>
      <c r="AX24" s="35">
        <f t="shared" si="16"/>
        <v>38</v>
      </c>
    </row>
    <row r="25" spans="2:64">
      <c r="B25" s="34">
        <f t="shared" si="9"/>
        <v>15</v>
      </c>
      <c r="C25" s="30" t="s">
        <v>129</v>
      </c>
      <c r="D25" s="30" t="s">
        <v>132</v>
      </c>
      <c r="E25" s="30" t="s">
        <v>129</v>
      </c>
      <c r="F25" s="30" t="s">
        <v>134</v>
      </c>
      <c r="G25" s="30" t="s">
        <v>132</v>
      </c>
      <c r="H25" s="35" t="s">
        <v>131</v>
      </c>
      <c r="J25" s="34">
        <f t="shared" si="3"/>
        <v>1</v>
      </c>
      <c r="K25" s="30">
        <f t="shared" si="3"/>
        <v>1</v>
      </c>
      <c r="L25" s="30">
        <f t="shared" si="3"/>
        <v>1</v>
      </c>
      <c r="M25" s="30">
        <f t="shared" si="3"/>
        <v>1</v>
      </c>
      <c r="N25" s="30">
        <f t="shared" si="3"/>
        <v>1</v>
      </c>
      <c r="O25" s="35">
        <f t="shared" si="3"/>
        <v>1</v>
      </c>
      <c r="Y25" s="21"/>
      <c r="Z25" s="21"/>
      <c r="AA25" s="21"/>
      <c r="AB25" s="40" t="str">
        <f t="shared" si="11"/>
        <v>0000000101000</v>
      </c>
      <c r="AC25" s="15" t="str">
        <f t="shared" si="7"/>
        <v>0000000000110</v>
      </c>
      <c r="AD25" s="15" t="str">
        <f t="shared" si="7"/>
        <v>0000000002000</v>
      </c>
      <c r="AE25" s="15" t="str">
        <f t="shared" si="7"/>
        <v>0002000000000</v>
      </c>
      <c r="AF25" s="15" t="str">
        <f t="shared" si="7"/>
        <v>0000001000100</v>
      </c>
      <c r="AG25" s="41" t="str">
        <f t="shared" si="7"/>
        <v>0100000000010</v>
      </c>
      <c r="AH25" s="15"/>
      <c r="AI25" s="21">
        <v>0</v>
      </c>
      <c r="AJ25" s="20" t="str">
        <f t="shared" si="13"/>
        <v>BB-0</v>
      </c>
      <c r="AK25" s="39" cm="1">
        <f t="array" ref="AK25">SUMPRODUCT(--(MID(AB$10:AB$135, SUMIF($Z$9:$Z$21, LEFT($AJ25,2), $Y$9:$Y$21), 1) = RIGHT($AJ25, 1)), J$10:J$135)</f>
        <v>38</v>
      </c>
      <c r="AL25" s="39" cm="1">
        <f t="array" ref="AL25">SUMPRODUCT(--(MID(AC$10:AC$135, SUMIF($Z$9:$Z$21, LEFT($AJ25,2), $Y$9:$Y$21), 1) = RIGHT($AJ25, 1)), K$10:K$135)</f>
        <v>65</v>
      </c>
      <c r="AM25" s="39" cm="1">
        <f t="array" ref="AM25">SUMPRODUCT(--(MID(AD$10:AD$135, SUMIF($Z$9:$Z$21, LEFT($AJ25,2), $Y$9:$Y$21), 1) = RIGHT($AJ25, 1)), L$10:L$135)</f>
        <v>68</v>
      </c>
      <c r="AN25" s="39" cm="1">
        <f t="array" ref="AN25">SUMPRODUCT(--(MID(AE$10:AE$135, SUMIF($Z$9:$Z$21, LEFT($AJ25,2), $Y$9:$Y$21), 1) = RIGHT($AJ25, 1)), M$10:M$135)</f>
        <v>55</v>
      </c>
      <c r="AO25" s="39" cm="1">
        <f t="array" ref="AO25">SUMPRODUCT(--(MID(AF$10:AF$135, SUMIF($Z$9:$Z$21, LEFT($AJ25,2), $Y$9:$Y$21), 1) = RIGHT($AJ25, 1)), N$10:N$135)</f>
        <v>73</v>
      </c>
      <c r="AP25" s="19" cm="1">
        <f t="array" ref="AP25">SUMPRODUCT(--(MID(AG$10:AG$135, SUMIF($Z$9:$Z$21, LEFT($AJ25,2), $Y$9:$Y$21), 1) = RIGHT($AJ25, 1)), O$10:O$135)</f>
        <v>42</v>
      </c>
      <c r="AR25" s="34" t="str">
        <f t="shared" si="15"/>
        <v>BB-0</v>
      </c>
      <c r="AS25" s="30">
        <f t="shared" si="16"/>
        <v>38</v>
      </c>
      <c r="AT25" s="30">
        <f t="shared" si="16"/>
        <v>65</v>
      </c>
      <c r="AU25" s="30">
        <f t="shared" si="16"/>
        <v>68</v>
      </c>
      <c r="AV25" s="30">
        <f t="shared" si="16"/>
        <v>55</v>
      </c>
      <c r="AW25" s="30">
        <f t="shared" si="16"/>
        <v>73</v>
      </c>
      <c r="AX25" s="35">
        <f t="shared" si="16"/>
        <v>42</v>
      </c>
    </row>
    <row r="26" spans="2:64">
      <c r="B26" s="34">
        <f t="shared" si="9"/>
        <v>16</v>
      </c>
      <c r="C26" s="30" t="s">
        <v>130</v>
      </c>
      <c r="D26" s="30" t="s">
        <v>128</v>
      </c>
      <c r="E26" s="30" t="s">
        <v>137</v>
      </c>
      <c r="F26" s="30" t="s">
        <v>130</v>
      </c>
      <c r="G26" s="30" t="s">
        <v>130</v>
      </c>
      <c r="H26" s="35" t="s">
        <v>128</v>
      </c>
      <c r="J26" s="34">
        <f t="shared" si="3"/>
        <v>1</v>
      </c>
      <c r="K26" s="30">
        <f t="shared" si="3"/>
        <v>1</v>
      </c>
      <c r="L26" s="30">
        <f t="shared" si="3"/>
        <v>1</v>
      </c>
      <c r="M26" s="30">
        <f t="shared" si="3"/>
        <v>1</v>
      </c>
      <c r="N26" s="30">
        <f t="shared" si="3"/>
        <v>1</v>
      </c>
      <c r="O26" s="35">
        <f t="shared" si="3"/>
        <v>1</v>
      </c>
      <c r="Y26" s="21"/>
      <c r="Z26" s="21"/>
      <c r="AA26" s="21"/>
      <c r="AB26" s="40" t="str">
        <f t="shared" si="11"/>
        <v>0000000011000</v>
      </c>
      <c r="AC26" s="15" t="str">
        <f t="shared" si="11"/>
        <v>0000001000100</v>
      </c>
      <c r="AD26" s="15" t="str">
        <f t="shared" si="11"/>
        <v>0000010001000</v>
      </c>
      <c r="AE26" s="15" t="str">
        <f t="shared" si="11"/>
        <v>0001000010000</v>
      </c>
      <c r="AF26" s="15" t="str">
        <f t="shared" si="11"/>
        <v>0000000010100</v>
      </c>
      <c r="AG26" s="41" t="str">
        <f t="shared" si="11"/>
        <v>0100001000000</v>
      </c>
      <c r="AH26" s="15"/>
      <c r="AI26" s="21">
        <v>7</v>
      </c>
      <c r="AJ26" s="20" t="str">
        <f>$Z$12&amp;"-7"</f>
        <v>CC-7</v>
      </c>
      <c r="AK26" s="39" cm="1">
        <f t="array" ref="AK26">SUMPRODUCT(--(MID(AB$10:AB$135, SUMIF($Z$9:$Z$21, LEFT($AJ26,2), $Y$9:$Y$21), 1) = RIGHT($AJ26, 1)), J$10:J$135)</f>
        <v>0</v>
      </c>
      <c r="AL26" s="39" cm="1">
        <f t="array" ref="AL26">SUMPRODUCT(--(MID(AC$10:AC$135, SUMIF($Z$9:$Z$21, LEFT($AJ26,2), $Y$9:$Y$21), 1) = RIGHT($AJ26, 1)), K$10:K$135)</f>
        <v>0</v>
      </c>
      <c r="AM26" s="39" cm="1">
        <f t="array" ref="AM26">SUMPRODUCT(--(MID(AD$10:AD$135, SUMIF($Z$9:$Z$21, LEFT($AJ26,2), $Y$9:$Y$21), 1) = RIGHT($AJ26, 1)), L$10:L$135)</f>
        <v>0</v>
      </c>
      <c r="AN26" s="39" cm="1">
        <f t="array" ref="AN26">SUMPRODUCT(--(MID(AE$10:AE$135, SUMIF($Z$9:$Z$21, LEFT($AJ26,2), $Y$9:$Y$21), 1) = RIGHT($AJ26, 1)), M$10:M$135)</f>
        <v>0</v>
      </c>
      <c r="AO26" s="39" cm="1">
        <f t="array" ref="AO26">SUMPRODUCT(--(MID(AF$10:AF$135, SUMIF($Z$9:$Z$21, LEFT($AJ26,2), $Y$9:$Y$21), 1) = RIGHT($AJ26, 1)), N$10:N$135)</f>
        <v>0</v>
      </c>
      <c r="AP26" s="19" cm="1">
        <f t="array" ref="AP26">SUMPRODUCT(--(MID(AG$10:AG$135, SUMIF($Z$9:$Z$21, LEFT($AJ26,2), $Y$9:$Y$21), 1) = RIGHT($AJ26, 1)), O$10:O$135)</f>
        <v>0</v>
      </c>
      <c r="AR26" s="34" t="str">
        <f t="shared" si="15"/>
        <v>CC-0</v>
      </c>
      <c r="AS26" s="30">
        <f t="shared" si="16"/>
        <v>36</v>
      </c>
      <c r="AT26" s="30">
        <f t="shared" si="16"/>
        <v>67</v>
      </c>
      <c r="AU26" s="30">
        <f t="shared" si="16"/>
        <v>70</v>
      </c>
      <c r="AV26" s="30">
        <f t="shared" si="16"/>
        <v>57</v>
      </c>
      <c r="AW26" s="30">
        <f t="shared" si="16"/>
        <v>77</v>
      </c>
      <c r="AX26" s="35">
        <f t="shared" si="16"/>
        <v>43</v>
      </c>
    </row>
    <row r="27" spans="2:64">
      <c r="B27" s="34">
        <f t="shared" si="9"/>
        <v>17</v>
      </c>
      <c r="C27" s="30" t="s">
        <v>130</v>
      </c>
      <c r="D27" s="30" t="s">
        <v>136</v>
      </c>
      <c r="E27" s="30" t="s">
        <v>138</v>
      </c>
      <c r="F27" s="30" t="s">
        <v>133</v>
      </c>
      <c r="G27" s="30" t="s">
        <v>129</v>
      </c>
      <c r="H27" s="35" t="s">
        <v>129</v>
      </c>
      <c r="J27" s="34">
        <f t="shared" si="3"/>
        <v>1</v>
      </c>
      <c r="K27" s="30">
        <f t="shared" si="3"/>
        <v>1</v>
      </c>
      <c r="L27" s="30">
        <f t="shared" si="3"/>
        <v>1</v>
      </c>
      <c r="M27" s="30">
        <f t="shared" si="3"/>
        <v>1</v>
      </c>
      <c r="N27" s="30">
        <f t="shared" si="3"/>
        <v>1</v>
      </c>
      <c r="O27" s="35">
        <f t="shared" si="3"/>
        <v>1</v>
      </c>
      <c r="Y27" s="21"/>
      <c r="Z27" s="21"/>
      <c r="AA27" s="21"/>
      <c r="AB27" s="40" t="str">
        <f t="shared" si="11"/>
        <v>0000000020000</v>
      </c>
      <c r="AC27" s="15" t="str">
        <f t="shared" si="11"/>
        <v>0000101000000</v>
      </c>
      <c r="AD27" s="15" t="str">
        <f t="shared" si="11"/>
        <v>0000010000010</v>
      </c>
      <c r="AE27" s="15" t="str">
        <f t="shared" si="11"/>
        <v>0000000110000</v>
      </c>
      <c r="AF27" s="15" t="str">
        <f t="shared" si="11"/>
        <v>0000000011000</v>
      </c>
      <c r="AG27" s="41" t="str">
        <f t="shared" si="11"/>
        <v>0000001001000</v>
      </c>
      <c r="AH27" s="15"/>
      <c r="AI27" s="21">
        <v>6</v>
      </c>
      <c r="AJ27" s="20" t="str">
        <f>LEFT(AJ26,3) &amp; RIGHT(AJ26,1)-1</f>
        <v>CC-6</v>
      </c>
      <c r="AK27" s="39" cm="1">
        <f t="array" ref="AK27">SUMPRODUCT(--(MID(AB$10:AB$135, SUMIF($Z$9:$Z$21, LEFT($AJ27,2), $Y$9:$Y$21), 1) = RIGHT($AJ27, 1)), J$10:J$135)</f>
        <v>0</v>
      </c>
      <c r="AL27" s="39" cm="1">
        <f t="array" ref="AL27">SUMPRODUCT(--(MID(AC$10:AC$135, SUMIF($Z$9:$Z$21, LEFT($AJ27,2), $Y$9:$Y$21), 1) = RIGHT($AJ27, 1)), K$10:K$135)</f>
        <v>0</v>
      </c>
      <c r="AM27" s="39" cm="1">
        <f t="array" ref="AM27">SUMPRODUCT(--(MID(AD$10:AD$135, SUMIF($Z$9:$Z$21, LEFT($AJ27,2), $Y$9:$Y$21), 1) = RIGHT($AJ27, 1)), L$10:L$135)</f>
        <v>0</v>
      </c>
      <c r="AN27" s="39" cm="1">
        <f t="array" ref="AN27">SUMPRODUCT(--(MID(AE$10:AE$135, SUMIF($Z$9:$Z$21, LEFT($AJ27,2), $Y$9:$Y$21), 1) = RIGHT($AJ27, 1)), M$10:M$135)</f>
        <v>0</v>
      </c>
      <c r="AO27" s="39" cm="1">
        <f t="array" ref="AO27">SUMPRODUCT(--(MID(AF$10:AF$135, SUMIF($Z$9:$Z$21, LEFT($AJ27,2), $Y$9:$Y$21), 1) = RIGHT($AJ27, 1)), N$10:N$135)</f>
        <v>0</v>
      </c>
      <c r="AP27" s="19" cm="1">
        <f t="array" ref="AP27">SUMPRODUCT(--(MID(AG$10:AG$135, SUMIF($Z$9:$Z$21, LEFT($AJ27,2), $Y$9:$Y$21), 1) = RIGHT($AJ27, 1)), O$10:O$135)</f>
        <v>0</v>
      </c>
      <c r="AR27" s="34" t="str">
        <f t="shared" si="15"/>
        <v>DD-0</v>
      </c>
      <c r="AS27" s="30">
        <f t="shared" si="16"/>
        <v>36</v>
      </c>
      <c r="AT27" s="30">
        <f t="shared" si="16"/>
        <v>65</v>
      </c>
      <c r="AU27" s="30">
        <f t="shared" si="16"/>
        <v>76</v>
      </c>
      <c r="AV27" s="30">
        <f t="shared" si="16"/>
        <v>49</v>
      </c>
      <c r="AW27" s="30">
        <f t="shared" si="16"/>
        <v>73</v>
      </c>
      <c r="AX27" s="35">
        <f t="shared" si="16"/>
        <v>38</v>
      </c>
    </row>
    <row r="28" spans="2:64">
      <c r="B28" s="34">
        <f t="shared" si="9"/>
        <v>18</v>
      </c>
      <c r="C28" s="30" t="s">
        <v>132</v>
      </c>
      <c r="D28" s="30" t="s">
        <v>130</v>
      </c>
      <c r="E28" s="30" t="s">
        <v>138</v>
      </c>
      <c r="F28" s="30" t="s">
        <v>133</v>
      </c>
      <c r="G28" s="30" t="s">
        <v>129</v>
      </c>
      <c r="H28" s="35" t="s">
        <v>127</v>
      </c>
      <c r="J28" s="34">
        <f t="shared" si="3"/>
        <v>1</v>
      </c>
      <c r="K28" s="30">
        <f t="shared" si="3"/>
        <v>1</v>
      </c>
      <c r="L28" s="30">
        <f t="shared" si="3"/>
        <v>1</v>
      </c>
      <c r="M28" s="30">
        <f t="shared" si="3"/>
        <v>1</v>
      </c>
      <c r="N28" s="30">
        <f t="shared" si="3"/>
        <v>1</v>
      </c>
      <c r="O28" s="35">
        <f t="shared" si="3"/>
        <v>1</v>
      </c>
      <c r="Y28" s="21"/>
      <c r="Z28" s="21"/>
      <c r="AA28" s="21"/>
      <c r="AB28" s="40" t="str">
        <f t="shared" si="11"/>
        <v>0000000010100</v>
      </c>
      <c r="AC28" s="15" t="str">
        <f t="shared" si="11"/>
        <v>0000100010000</v>
      </c>
      <c r="AD28" s="15" t="str">
        <f t="shared" si="11"/>
        <v>0000000000020</v>
      </c>
      <c r="AE28" s="15" t="str">
        <f t="shared" si="11"/>
        <v>0000000200000</v>
      </c>
      <c r="AF28" s="15" t="str">
        <f t="shared" si="11"/>
        <v>0000000002000</v>
      </c>
      <c r="AG28" s="41" t="str">
        <f t="shared" si="11"/>
        <v>0010000001000</v>
      </c>
      <c r="AH28" s="15"/>
      <c r="AI28" s="21">
        <v>5</v>
      </c>
      <c r="AJ28" s="20" t="str">
        <f t="shared" ref="AJ28:AJ33" si="17">LEFT(AJ27,3) &amp; RIGHT(AJ27,1)-1</f>
        <v>CC-5</v>
      </c>
      <c r="AK28" s="39" cm="1">
        <f t="array" ref="AK28">SUMPRODUCT(--(MID(AB$10:AB$135, SUMIF($Z$9:$Z$21, LEFT($AJ28,2), $Y$9:$Y$21), 1) = RIGHT($AJ28, 1)), J$10:J$135)</f>
        <v>0</v>
      </c>
      <c r="AL28" s="39" cm="1">
        <f t="array" ref="AL28">SUMPRODUCT(--(MID(AC$10:AC$135, SUMIF($Z$9:$Z$21, LEFT($AJ28,2), $Y$9:$Y$21), 1) = RIGHT($AJ28, 1)), K$10:K$135)</f>
        <v>0</v>
      </c>
      <c r="AM28" s="39" cm="1">
        <f t="array" ref="AM28">SUMPRODUCT(--(MID(AD$10:AD$135, SUMIF($Z$9:$Z$21, LEFT($AJ28,2), $Y$9:$Y$21), 1) = RIGHT($AJ28, 1)), L$10:L$135)</f>
        <v>0</v>
      </c>
      <c r="AN28" s="39" cm="1">
        <f t="array" ref="AN28">SUMPRODUCT(--(MID(AE$10:AE$135, SUMIF($Z$9:$Z$21, LEFT($AJ28,2), $Y$9:$Y$21), 1) = RIGHT($AJ28, 1)), M$10:M$135)</f>
        <v>0</v>
      </c>
      <c r="AO28" s="39" cm="1">
        <f t="array" ref="AO28">SUMPRODUCT(--(MID(AF$10:AF$135, SUMIF($Z$9:$Z$21, LEFT($AJ28,2), $Y$9:$Y$21), 1) = RIGHT($AJ28, 1)), N$10:N$135)</f>
        <v>0</v>
      </c>
      <c r="AP28" s="19" cm="1">
        <f t="array" ref="AP28">SUMPRODUCT(--(MID(AG$10:AG$135, SUMIF($Z$9:$Z$21, LEFT($AJ28,2), $Y$9:$Y$21), 1) = RIGHT($AJ28, 1)), O$10:O$135)</f>
        <v>0</v>
      </c>
      <c r="AR28" s="34" t="str">
        <f t="shared" si="15"/>
        <v>EE-0</v>
      </c>
      <c r="AS28" s="30">
        <f t="shared" si="16"/>
        <v>35</v>
      </c>
      <c r="AT28" s="30">
        <f t="shared" si="16"/>
        <v>61</v>
      </c>
      <c r="AU28" s="30">
        <f t="shared" si="16"/>
        <v>70</v>
      </c>
      <c r="AV28" s="30">
        <f t="shared" si="16"/>
        <v>63</v>
      </c>
      <c r="AW28" s="30">
        <f t="shared" si="16"/>
        <v>89</v>
      </c>
      <c r="AX28" s="35">
        <f t="shared" si="16"/>
        <v>48</v>
      </c>
    </row>
    <row r="29" spans="2:64">
      <c r="B29" s="34">
        <f t="shared" si="9"/>
        <v>19</v>
      </c>
      <c r="C29" s="30" t="s">
        <v>134</v>
      </c>
      <c r="D29" s="30" t="s">
        <v>130</v>
      </c>
      <c r="E29" s="30" t="s">
        <v>138</v>
      </c>
      <c r="F29" s="30" t="s">
        <v>133</v>
      </c>
      <c r="G29" s="30" t="s">
        <v>129</v>
      </c>
      <c r="H29" s="35" t="s">
        <v>136</v>
      </c>
      <c r="J29" s="34">
        <f t="shared" si="3"/>
        <v>1</v>
      </c>
      <c r="K29" s="30">
        <f t="shared" si="3"/>
        <v>1</v>
      </c>
      <c r="L29" s="30">
        <f t="shared" si="3"/>
        <v>1</v>
      </c>
      <c r="M29" s="30">
        <f t="shared" si="3"/>
        <v>1</v>
      </c>
      <c r="N29" s="30">
        <f t="shared" si="3"/>
        <v>1</v>
      </c>
      <c r="O29" s="35">
        <f t="shared" si="3"/>
        <v>1</v>
      </c>
      <c r="Y29" s="21"/>
      <c r="Z29" s="21"/>
      <c r="AA29" s="21"/>
      <c r="AB29" s="40" t="str">
        <f t="shared" si="11"/>
        <v>0001000000100</v>
      </c>
      <c r="AC29" s="15" t="str">
        <f t="shared" si="11"/>
        <v>0000000020000</v>
      </c>
      <c r="AD29" s="15" t="str">
        <f t="shared" si="11"/>
        <v>0000000000020</v>
      </c>
      <c r="AE29" s="15" t="str">
        <f t="shared" si="11"/>
        <v>0000000200000</v>
      </c>
      <c r="AF29" s="15" t="str">
        <f t="shared" si="11"/>
        <v>0000000002000</v>
      </c>
      <c r="AG29" s="41" t="str">
        <f t="shared" si="11"/>
        <v>0010100000000</v>
      </c>
      <c r="AH29" s="15"/>
      <c r="AI29" s="21">
        <v>4</v>
      </c>
      <c r="AJ29" s="20" t="str">
        <f t="shared" si="17"/>
        <v>CC-4</v>
      </c>
      <c r="AK29" s="39" cm="1">
        <f t="array" ref="AK29">SUMPRODUCT(--(MID(AB$10:AB$135, SUMIF($Z$9:$Z$21, LEFT($AJ29,2), $Y$9:$Y$21), 1) = RIGHT($AJ29, 1)), J$10:J$135)</f>
        <v>0</v>
      </c>
      <c r="AL29" s="39" cm="1">
        <f t="array" ref="AL29">SUMPRODUCT(--(MID(AC$10:AC$135, SUMIF($Z$9:$Z$21, LEFT($AJ29,2), $Y$9:$Y$21), 1) = RIGHT($AJ29, 1)), K$10:K$135)</f>
        <v>0</v>
      </c>
      <c r="AM29" s="39" cm="1">
        <f t="array" ref="AM29">SUMPRODUCT(--(MID(AD$10:AD$135, SUMIF($Z$9:$Z$21, LEFT($AJ29,2), $Y$9:$Y$21), 1) = RIGHT($AJ29, 1)), L$10:L$135)</f>
        <v>0</v>
      </c>
      <c r="AN29" s="39" cm="1">
        <f t="array" ref="AN29">SUMPRODUCT(--(MID(AE$10:AE$135, SUMIF($Z$9:$Z$21, LEFT($AJ29,2), $Y$9:$Y$21), 1) = RIGHT($AJ29, 1)), M$10:M$135)</f>
        <v>0</v>
      </c>
      <c r="AO29" s="39" cm="1">
        <f t="array" ref="AO29">SUMPRODUCT(--(MID(AF$10:AF$135, SUMIF($Z$9:$Z$21, LEFT($AJ29,2), $Y$9:$Y$21), 1) = RIGHT($AJ29, 1)), N$10:N$135)</f>
        <v>0</v>
      </c>
      <c r="AP29" s="19" cm="1">
        <f t="array" ref="AP29">SUMPRODUCT(--(MID(AG$10:AG$135, SUMIF($Z$9:$Z$21, LEFT($AJ29,2), $Y$9:$Y$21), 1) = RIGHT($AJ29, 1)), O$10:O$135)</f>
        <v>0</v>
      </c>
      <c r="AR29" s="34" t="str">
        <f t="shared" si="15"/>
        <v>FF-0</v>
      </c>
      <c r="AS29" s="30">
        <f t="shared" si="16"/>
        <v>34</v>
      </c>
      <c r="AT29" s="30">
        <f t="shared" si="16"/>
        <v>65</v>
      </c>
      <c r="AU29" s="30">
        <f t="shared" si="16"/>
        <v>78</v>
      </c>
      <c r="AV29" s="30">
        <f t="shared" si="16"/>
        <v>52</v>
      </c>
      <c r="AW29" s="30">
        <f t="shared" si="16"/>
        <v>75</v>
      </c>
      <c r="AX29" s="35">
        <f t="shared" si="16"/>
        <v>44</v>
      </c>
    </row>
    <row r="30" spans="2:64">
      <c r="B30" s="34">
        <f t="shared" si="9"/>
        <v>20</v>
      </c>
      <c r="C30" s="30" t="s">
        <v>137</v>
      </c>
      <c r="D30" s="30" t="s">
        <v>130</v>
      </c>
      <c r="E30" s="30" t="s">
        <v>133</v>
      </c>
      <c r="F30" s="30" t="s">
        <v>132</v>
      </c>
      <c r="G30" s="30" t="s">
        <v>132</v>
      </c>
      <c r="H30" s="35" t="s">
        <v>136</v>
      </c>
      <c r="J30" s="34">
        <f t="shared" si="3"/>
        <v>1</v>
      </c>
      <c r="K30" s="30">
        <f t="shared" si="3"/>
        <v>1</v>
      </c>
      <c r="L30" s="30">
        <f t="shared" si="3"/>
        <v>1</v>
      </c>
      <c r="M30" s="30">
        <f t="shared" si="3"/>
        <v>1</v>
      </c>
      <c r="N30" s="30">
        <f t="shared" si="3"/>
        <v>1</v>
      </c>
      <c r="O30" s="35">
        <f t="shared" si="3"/>
        <v>1</v>
      </c>
      <c r="Y30" s="21"/>
      <c r="Z30" s="21"/>
      <c r="AA30" s="21"/>
      <c r="AB30" s="40" t="str">
        <f t="shared" si="11"/>
        <v>0001010000000</v>
      </c>
      <c r="AC30" s="15" t="str">
        <f t="shared" si="11"/>
        <v>0000000020000</v>
      </c>
      <c r="AD30" s="15" t="str">
        <f t="shared" si="11"/>
        <v>0000000100010</v>
      </c>
      <c r="AE30" s="15" t="str">
        <f t="shared" si="11"/>
        <v>0000000100100</v>
      </c>
      <c r="AF30" s="15" t="str">
        <f t="shared" si="11"/>
        <v>0000000001100</v>
      </c>
      <c r="AG30" s="41" t="str">
        <f t="shared" si="11"/>
        <v>0000200000000</v>
      </c>
      <c r="AH30" s="15"/>
      <c r="AI30" s="21">
        <v>3</v>
      </c>
      <c r="AJ30" s="20" t="str">
        <f t="shared" si="17"/>
        <v>CC-3</v>
      </c>
      <c r="AK30" s="39" cm="1">
        <f t="array" ref="AK30">SUMPRODUCT(--(MID(AB$10:AB$135, SUMIF($Z$9:$Z$21, LEFT($AJ30,2), $Y$9:$Y$21), 1) = RIGHT($AJ30, 1)), J$10:J$135)</f>
        <v>0</v>
      </c>
      <c r="AL30" s="39" cm="1">
        <f t="array" ref="AL30">SUMPRODUCT(--(MID(AC$10:AC$135, SUMIF($Z$9:$Z$21, LEFT($AJ30,2), $Y$9:$Y$21), 1) = RIGHT($AJ30, 1)), K$10:K$135)</f>
        <v>0</v>
      </c>
      <c r="AM30" s="39" cm="1">
        <f t="array" ref="AM30">SUMPRODUCT(--(MID(AD$10:AD$135, SUMIF($Z$9:$Z$21, LEFT($AJ30,2), $Y$9:$Y$21), 1) = RIGHT($AJ30, 1)), L$10:L$135)</f>
        <v>0</v>
      </c>
      <c r="AN30" s="39" cm="1">
        <f t="array" ref="AN30">SUMPRODUCT(--(MID(AE$10:AE$135, SUMIF($Z$9:$Z$21, LEFT($AJ30,2), $Y$9:$Y$21), 1) = RIGHT($AJ30, 1)), M$10:M$135)</f>
        <v>0</v>
      </c>
      <c r="AO30" s="39" cm="1">
        <f t="array" ref="AO30">SUMPRODUCT(--(MID(AF$10:AF$135, SUMIF($Z$9:$Z$21, LEFT($AJ30,2), $Y$9:$Y$21), 1) = RIGHT($AJ30, 1)), N$10:N$135)</f>
        <v>0</v>
      </c>
      <c r="AP30" s="19" cm="1">
        <f t="array" ref="AP30">SUMPRODUCT(--(MID(AG$10:AG$135, SUMIF($Z$9:$Z$21, LEFT($AJ30,2), $Y$9:$Y$21), 1) = RIGHT($AJ30, 1)), O$10:O$135)</f>
        <v>0</v>
      </c>
      <c r="AR30" s="34" t="str">
        <f t="shared" si="15"/>
        <v>GG-0</v>
      </c>
      <c r="AS30" s="30">
        <f t="shared" si="16"/>
        <v>30</v>
      </c>
      <c r="AT30" s="30">
        <f t="shared" si="16"/>
        <v>49</v>
      </c>
      <c r="AU30" s="30">
        <f t="shared" si="16"/>
        <v>64</v>
      </c>
      <c r="AV30" s="30">
        <f t="shared" si="16"/>
        <v>45</v>
      </c>
      <c r="AW30" s="30">
        <f t="shared" si="16"/>
        <v>66</v>
      </c>
      <c r="AX30" s="35">
        <f t="shared" si="16"/>
        <v>42</v>
      </c>
    </row>
    <row r="31" spans="2:64">
      <c r="B31" s="34">
        <f t="shared" si="9"/>
        <v>21</v>
      </c>
      <c r="C31" s="30" t="s">
        <v>137</v>
      </c>
      <c r="D31" s="30" t="s">
        <v>130</v>
      </c>
      <c r="E31" s="30" t="s">
        <v>134</v>
      </c>
      <c r="F31" s="30" t="s">
        <v>136</v>
      </c>
      <c r="G31" s="30" t="s">
        <v>132</v>
      </c>
      <c r="H31" s="35" t="s">
        <v>136</v>
      </c>
      <c r="J31" s="34">
        <f t="shared" si="3"/>
        <v>1</v>
      </c>
      <c r="K31" s="30">
        <f t="shared" si="3"/>
        <v>1</v>
      </c>
      <c r="L31" s="30">
        <f t="shared" si="3"/>
        <v>1</v>
      </c>
      <c r="M31" s="30">
        <f t="shared" si="3"/>
        <v>1</v>
      </c>
      <c r="N31" s="30">
        <f t="shared" si="3"/>
        <v>1</v>
      </c>
      <c r="O31" s="35">
        <f t="shared" si="3"/>
        <v>1</v>
      </c>
      <c r="Y31" s="21"/>
      <c r="Z31" s="21"/>
      <c r="AA31" s="21"/>
      <c r="AB31" s="40" t="str">
        <f t="shared" si="11"/>
        <v>0000020000000</v>
      </c>
      <c r="AC31" s="15" t="str">
        <f t="shared" si="11"/>
        <v>0000000020000</v>
      </c>
      <c r="AD31" s="15" t="str">
        <f t="shared" si="11"/>
        <v>0001000100000</v>
      </c>
      <c r="AE31" s="15" t="str">
        <f t="shared" si="11"/>
        <v>0000100000100</v>
      </c>
      <c r="AF31" s="15" t="str">
        <f t="shared" si="11"/>
        <v>0000000000200</v>
      </c>
      <c r="AG31" s="41" t="str">
        <f t="shared" si="11"/>
        <v>0000200000000</v>
      </c>
      <c r="AH31" s="15"/>
      <c r="AI31" s="21">
        <v>2</v>
      </c>
      <c r="AJ31" s="20" t="str">
        <f t="shared" si="17"/>
        <v>CC-2</v>
      </c>
      <c r="AK31" s="39" cm="1">
        <f t="array" ref="AK31">SUMPRODUCT(--(MID(AB$10:AB$135, SUMIF($Z$9:$Z$21, LEFT($AJ31,2), $Y$9:$Y$21), 1) = RIGHT($AJ31, 1)), J$10:J$135)</f>
        <v>0</v>
      </c>
      <c r="AL31" s="39" cm="1">
        <f t="array" ref="AL31">SUMPRODUCT(--(MID(AC$10:AC$135, SUMIF($Z$9:$Z$21, LEFT($AJ31,2), $Y$9:$Y$21), 1) = RIGHT($AJ31, 1)), K$10:K$135)</f>
        <v>2</v>
      </c>
      <c r="AM31" s="39" cm="1">
        <f t="array" ref="AM31">SUMPRODUCT(--(MID(AD$10:AD$135, SUMIF($Z$9:$Z$21, LEFT($AJ31,2), $Y$9:$Y$21), 1) = RIGHT($AJ31, 1)), L$10:L$135)</f>
        <v>2</v>
      </c>
      <c r="AN31" s="39" cm="1">
        <f t="array" ref="AN31">SUMPRODUCT(--(MID(AE$10:AE$135, SUMIF($Z$9:$Z$21, LEFT($AJ31,2), $Y$9:$Y$21), 1) = RIGHT($AJ31, 1)), M$10:M$135)</f>
        <v>2</v>
      </c>
      <c r="AO31" s="39" cm="1">
        <f t="array" ref="AO31">SUMPRODUCT(--(MID(AF$10:AF$135, SUMIF($Z$9:$Z$21, LEFT($AJ31,2), $Y$9:$Y$21), 1) = RIGHT($AJ31, 1)), N$10:N$135)</f>
        <v>2</v>
      </c>
      <c r="AP31" s="19" cm="1">
        <f t="array" ref="AP31">SUMPRODUCT(--(MID(AG$10:AG$135, SUMIF($Z$9:$Z$21, LEFT($AJ31,2), $Y$9:$Y$21), 1) = RIGHT($AJ31, 1)), O$10:O$135)</f>
        <v>3</v>
      </c>
      <c r="AR31" s="34" t="str">
        <f t="shared" si="15"/>
        <v>HH-0</v>
      </c>
      <c r="AS31" s="30">
        <f t="shared" si="16"/>
        <v>30</v>
      </c>
      <c r="AT31" s="30">
        <f t="shared" si="16"/>
        <v>62</v>
      </c>
      <c r="AU31" s="30">
        <f t="shared" si="16"/>
        <v>78</v>
      </c>
      <c r="AV31" s="30">
        <f t="shared" si="16"/>
        <v>65</v>
      </c>
      <c r="AW31" s="30">
        <f t="shared" si="16"/>
        <v>89</v>
      </c>
      <c r="AX31" s="35">
        <f t="shared" si="16"/>
        <v>48</v>
      </c>
    </row>
    <row r="32" spans="2:64">
      <c r="B32" s="34">
        <f t="shared" si="9"/>
        <v>22</v>
      </c>
      <c r="C32" s="30" t="s">
        <v>128</v>
      </c>
      <c r="D32" s="30" t="s">
        <v>138</v>
      </c>
      <c r="E32" s="30" t="s">
        <v>132</v>
      </c>
      <c r="F32" s="30" t="s">
        <v>136</v>
      </c>
      <c r="G32" s="30" t="s">
        <v>132</v>
      </c>
      <c r="H32" s="35" t="s">
        <v>134</v>
      </c>
      <c r="J32" s="34">
        <f t="shared" si="3"/>
        <v>1</v>
      </c>
      <c r="K32" s="30">
        <f t="shared" si="3"/>
        <v>1</v>
      </c>
      <c r="L32" s="30">
        <f t="shared" si="3"/>
        <v>1</v>
      </c>
      <c r="M32" s="30">
        <f t="shared" si="3"/>
        <v>1</v>
      </c>
      <c r="N32" s="30">
        <f t="shared" si="3"/>
        <v>1</v>
      </c>
      <c r="O32" s="35">
        <f t="shared" si="3"/>
        <v>1</v>
      </c>
      <c r="Y32" s="21"/>
      <c r="Z32" s="21"/>
      <c r="AA32" s="21"/>
      <c r="AB32" s="40" t="str">
        <f t="shared" si="11"/>
        <v>0000011000000</v>
      </c>
      <c r="AC32" s="15" t="str">
        <f t="shared" si="11"/>
        <v>0000000010010</v>
      </c>
      <c r="AD32" s="15" t="str">
        <f t="shared" si="11"/>
        <v>0001000000100</v>
      </c>
      <c r="AE32" s="15" t="str">
        <f t="shared" si="11"/>
        <v>0000200000000</v>
      </c>
      <c r="AF32" s="15" t="str">
        <f t="shared" si="11"/>
        <v>0000000000200</v>
      </c>
      <c r="AG32" s="41" t="str">
        <f t="shared" si="11"/>
        <v>0001100000000</v>
      </c>
      <c r="AH32" s="15"/>
      <c r="AI32" s="21">
        <v>1</v>
      </c>
      <c r="AJ32" s="20" t="str">
        <f t="shared" si="17"/>
        <v>CC-1</v>
      </c>
      <c r="AK32" s="39" cm="1">
        <f t="array" ref="AK32">SUMPRODUCT(--(MID(AB$10:AB$135, SUMIF($Z$9:$Z$21, LEFT($AJ32,2), $Y$9:$Y$21), 1) = RIGHT($AJ32, 1)), J$10:J$135)</f>
        <v>4</v>
      </c>
      <c r="AL32" s="39" cm="1">
        <f t="array" ref="AL32">SUMPRODUCT(--(MID(AC$10:AC$135, SUMIF($Z$9:$Z$21, LEFT($AJ32,2), $Y$9:$Y$21), 1) = RIGHT($AJ32, 1)), K$10:K$135)</f>
        <v>4</v>
      </c>
      <c r="AM32" s="39" cm="1">
        <f t="array" ref="AM32">SUMPRODUCT(--(MID(AD$10:AD$135, SUMIF($Z$9:$Z$21, LEFT($AJ32,2), $Y$9:$Y$21), 1) = RIGHT($AJ32, 1)), L$10:L$135)</f>
        <v>12</v>
      </c>
      <c r="AN32" s="39" cm="1">
        <f t="array" ref="AN32">SUMPRODUCT(--(MID(AE$10:AE$135, SUMIF($Z$9:$Z$21, LEFT($AJ32,2), $Y$9:$Y$21), 1) = RIGHT($AJ32, 1)), M$10:M$135)</f>
        <v>8</v>
      </c>
      <c r="AO32" s="39" cm="1">
        <f t="array" ref="AO32">SUMPRODUCT(--(MID(AF$10:AF$135, SUMIF($Z$9:$Z$21, LEFT($AJ32,2), $Y$9:$Y$21), 1) = RIGHT($AJ32, 1)), N$10:N$135)</f>
        <v>12</v>
      </c>
      <c r="AP32" s="19" cm="1">
        <f t="array" ref="AP32">SUMPRODUCT(--(MID(AG$10:AG$135, SUMIF($Z$9:$Z$21, LEFT($AJ32,2), $Y$9:$Y$21), 1) = RIGHT($AJ32, 1)), O$10:O$135)</f>
        <v>4</v>
      </c>
      <c r="AR32" s="34" t="str">
        <f t="shared" si="15"/>
        <v>JJ-0</v>
      </c>
      <c r="AS32" s="30">
        <f t="shared" si="16"/>
        <v>30</v>
      </c>
      <c r="AT32" s="30">
        <f t="shared" si="16"/>
        <v>60</v>
      </c>
      <c r="AU32" s="30">
        <f t="shared" si="16"/>
        <v>64</v>
      </c>
      <c r="AV32" s="30">
        <f t="shared" si="16"/>
        <v>59</v>
      </c>
      <c r="AW32" s="30">
        <f t="shared" si="16"/>
        <v>75</v>
      </c>
      <c r="AX32" s="35">
        <f t="shared" si="16"/>
        <v>42</v>
      </c>
    </row>
    <row r="33" spans="2:50">
      <c r="B33" s="34">
        <f t="shared" si="9"/>
        <v>23</v>
      </c>
      <c r="C33" s="30" t="s">
        <v>129</v>
      </c>
      <c r="D33" s="30" t="s">
        <v>132</v>
      </c>
      <c r="E33" s="30" t="s">
        <v>129</v>
      </c>
      <c r="F33" s="30" t="s">
        <v>136</v>
      </c>
      <c r="G33" s="30" t="s">
        <v>134</v>
      </c>
      <c r="H33" s="35" t="s">
        <v>134</v>
      </c>
      <c r="J33" s="34">
        <f t="shared" si="3"/>
        <v>1</v>
      </c>
      <c r="K33" s="30">
        <f t="shared" si="3"/>
        <v>1</v>
      </c>
      <c r="L33" s="30">
        <f t="shared" si="3"/>
        <v>1</v>
      </c>
      <c r="M33" s="30">
        <f t="shared" si="3"/>
        <v>1</v>
      </c>
      <c r="N33" s="30">
        <f t="shared" si="3"/>
        <v>1</v>
      </c>
      <c r="O33" s="35">
        <f t="shared" si="3"/>
        <v>1</v>
      </c>
      <c r="Y33" s="21"/>
      <c r="Z33" s="21"/>
      <c r="AA33" s="21"/>
      <c r="AB33" s="40" t="str">
        <f t="shared" si="11"/>
        <v>0000001001000</v>
      </c>
      <c r="AC33" s="15" t="str">
        <f t="shared" si="11"/>
        <v>0000000000110</v>
      </c>
      <c r="AD33" s="15" t="str">
        <f t="shared" si="11"/>
        <v>0000000001100</v>
      </c>
      <c r="AE33" s="15" t="str">
        <f t="shared" si="11"/>
        <v>0000200000000</v>
      </c>
      <c r="AF33" s="15" t="str">
        <f t="shared" si="11"/>
        <v>0001000000100</v>
      </c>
      <c r="AG33" s="41" t="str">
        <f t="shared" si="11"/>
        <v>0002000000000</v>
      </c>
      <c r="AH33" s="15"/>
      <c r="AI33" s="21">
        <v>0</v>
      </c>
      <c r="AJ33" s="20" t="str">
        <f t="shared" si="17"/>
        <v>CC-0</v>
      </c>
      <c r="AK33" s="39" cm="1">
        <f t="array" ref="AK33">SUMPRODUCT(--(MID(AB$10:AB$135, SUMIF($Z$9:$Z$21, LEFT($AJ33,2), $Y$9:$Y$21), 1) = RIGHT($AJ33, 1)), J$10:J$135)</f>
        <v>36</v>
      </c>
      <c r="AL33" s="39" cm="1">
        <f t="array" ref="AL33">SUMPRODUCT(--(MID(AC$10:AC$135, SUMIF($Z$9:$Z$21, LEFT($AJ33,2), $Y$9:$Y$21), 1) = RIGHT($AJ33, 1)), K$10:K$135)</f>
        <v>67</v>
      </c>
      <c r="AM33" s="39" cm="1">
        <f t="array" ref="AM33">SUMPRODUCT(--(MID(AD$10:AD$135, SUMIF($Z$9:$Z$21, LEFT($AJ33,2), $Y$9:$Y$21), 1) = RIGHT($AJ33, 1)), L$10:L$135)</f>
        <v>70</v>
      </c>
      <c r="AN33" s="39" cm="1">
        <f t="array" ref="AN33">SUMPRODUCT(--(MID(AE$10:AE$135, SUMIF($Z$9:$Z$21, LEFT($AJ33,2), $Y$9:$Y$21), 1) = RIGHT($AJ33, 1)), M$10:M$135)</f>
        <v>57</v>
      </c>
      <c r="AO33" s="39" cm="1">
        <f t="array" ref="AO33">SUMPRODUCT(--(MID(AF$10:AF$135, SUMIF($Z$9:$Z$21, LEFT($AJ33,2), $Y$9:$Y$21), 1) = RIGHT($AJ33, 1)), N$10:N$135)</f>
        <v>77</v>
      </c>
      <c r="AP33" s="19" cm="1">
        <f t="array" ref="AP33">SUMPRODUCT(--(MID(AG$10:AG$135, SUMIF($Z$9:$Z$21, LEFT($AJ33,2), $Y$9:$Y$21), 1) = RIGHT($AJ33, 1)), O$10:O$135)</f>
        <v>43</v>
      </c>
      <c r="AR33" s="34" t="str">
        <f t="shared" si="15"/>
        <v>KK-0</v>
      </c>
      <c r="AS33" s="30">
        <f t="shared" si="16"/>
        <v>32</v>
      </c>
      <c r="AT33" s="30">
        <f t="shared" si="16"/>
        <v>61</v>
      </c>
      <c r="AU33" s="30">
        <f t="shared" si="16"/>
        <v>62</v>
      </c>
      <c r="AV33" s="30">
        <f t="shared" si="16"/>
        <v>61</v>
      </c>
      <c r="AW33" s="30">
        <f t="shared" si="16"/>
        <v>69</v>
      </c>
      <c r="AX33" s="35">
        <f t="shared" si="16"/>
        <v>44</v>
      </c>
    </row>
    <row r="34" spans="2:50">
      <c r="B34" s="34">
        <f t="shared" si="9"/>
        <v>24</v>
      </c>
      <c r="C34" s="30" t="s">
        <v>129</v>
      </c>
      <c r="D34" s="30" t="s">
        <v>132</v>
      </c>
      <c r="E34" s="30" t="s">
        <v>129</v>
      </c>
      <c r="F34" s="30" t="s">
        <v>131</v>
      </c>
      <c r="G34" s="30" t="s">
        <v>134</v>
      </c>
      <c r="H34" s="35" t="s">
        <v>134</v>
      </c>
      <c r="J34" s="34">
        <f t="shared" si="3"/>
        <v>1</v>
      </c>
      <c r="K34" s="30">
        <f t="shared" si="3"/>
        <v>1</v>
      </c>
      <c r="L34" s="30">
        <f t="shared" si="3"/>
        <v>1</v>
      </c>
      <c r="M34" s="30">
        <f t="shared" si="3"/>
        <v>1</v>
      </c>
      <c r="N34" s="30">
        <f t="shared" si="3"/>
        <v>1</v>
      </c>
      <c r="O34" s="35">
        <f t="shared" si="3"/>
        <v>1</v>
      </c>
      <c r="Y34" s="21"/>
      <c r="Z34" s="21"/>
      <c r="AA34" s="21"/>
      <c r="AB34" s="40" t="str">
        <f t="shared" si="11"/>
        <v>0000000002000</v>
      </c>
      <c r="AC34" s="15" t="str">
        <f t="shared" si="11"/>
        <v>0000000000200</v>
      </c>
      <c r="AD34" s="15" t="str">
        <f t="shared" si="11"/>
        <v>0000000002000</v>
      </c>
      <c r="AE34" s="15" t="str">
        <f t="shared" si="11"/>
        <v>0100100000000</v>
      </c>
      <c r="AF34" s="15" t="str">
        <f t="shared" si="11"/>
        <v>0002000000000</v>
      </c>
      <c r="AG34" s="41" t="str">
        <f t="shared" si="11"/>
        <v>0002000000000</v>
      </c>
      <c r="AH34" s="15"/>
      <c r="AI34" s="21">
        <v>7</v>
      </c>
      <c r="AJ34" s="20" t="str">
        <f>$Z$13&amp;"-7"</f>
        <v>DD-7</v>
      </c>
      <c r="AK34" s="39" cm="1">
        <f t="array" ref="AK34">SUMPRODUCT(--(MID(AB$10:AB$135, SUMIF($Z$9:$Z$21, LEFT($AJ34,2), $Y$9:$Y$21), 1) = RIGHT($AJ34, 1)), J$10:J$135)</f>
        <v>0</v>
      </c>
      <c r="AL34" s="39" cm="1">
        <f t="array" ref="AL34">SUMPRODUCT(--(MID(AC$10:AC$135, SUMIF($Z$9:$Z$21, LEFT($AJ34,2), $Y$9:$Y$21), 1) = RIGHT($AJ34, 1)), K$10:K$135)</f>
        <v>0</v>
      </c>
      <c r="AM34" s="39" cm="1">
        <f t="array" ref="AM34">SUMPRODUCT(--(MID(AD$10:AD$135, SUMIF($Z$9:$Z$21, LEFT($AJ34,2), $Y$9:$Y$21), 1) = RIGHT($AJ34, 1)), L$10:L$135)</f>
        <v>0</v>
      </c>
      <c r="AN34" s="39" cm="1">
        <f t="array" ref="AN34">SUMPRODUCT(--(MID(AE$10:AE$135, SUMIF($Z$9:$Z$21, LEFT($AJ34,2), $Y$9:$Y$21), 1) = RIGHT($AJ34, 1)), M$10:M$135)</f>
        <v>0</v>
      </c>
      <c r="AO34" s="39" cm="1">
        <f t="array" ref="AO34">SUMPRODUCT(--(MID(AF$10:AF$135, SUMIF($Z$9:$Z$21, LEFT($AJ34,2), $Y$9:$Y$21), 1) = RIGHT($AJ34, 1)), N$10:N$135)</f>
        <v>0</v>
      </c>
      <c r="AP34" s="19" cm="1">
        <f t="array" ref="AP34">SUMPRODUCT(--(MID(AG$10:AG$135, SUMIF($Z$9:$Z$21, LEFT($AJ34,2), $Y$9:$Y$21), 1) = RIGHT($AJ34, 1)), O$10:O$135)</f>
        <v>0</v>
      </c>
      <c r="AR34" s="34" t="str">
        <f t="shared" si="15"/>
        <v>LL-0</v>
      </c>
      <c r="AS34" s="30">
        <f t="shared" si="16"/>
        <v>34</v>
      </c>
      <c r="AT34" s="30">
        <f t="shared" si="16"/>
        <v>57</v>
      </c>
      <c r="AU34" s="30">
        <f t="shared" si="16"/>
        <v>68</v>
      </c>
      <c r="AV34" s="30">
        <f t="shared" si="16"/>
        <v>57</v>
      </c>
      <c r="AW34" s="30">
        <f t="shared" si="16"/>
        <v>85</v>
      </c>
      <c r="AX34" s="35">
        <f t="shared" si="16"/>
        <v>40</v>
      </c>
    </row>
    <row r="35" spans="2:50">
      <c r="B35" s="34">
        <f t="shared" si="9"/>
        <v>25</v>
      </c>
      <c r="C35" s="30" t="s">
        <v>129</v>
      </c>
      <c r="D35" s="30" t="s">
        <v>132</v>
      </c>
      <c r="E35" s="30" t="s">
        <v>129</v>
      </c>
      <c r="F35" s="30" t="s">
        <v>131</v>
      </c>
      <c r="G35" s="30" t="s">
        <v>134</v>
      </c>
      <c r="H35" s="35" t="s">
        <v>134</v>
      </c>
      <c r="J35" s="34">
        <f t="shared" si="3"/>
        <v>1</v>
      </c>
      <c r="K35" s="30">
        <f t="shared" si="3"/>
        <v>1</v>
      </c>
      <c r="L35" s="30">
        <f t="shared" si="3"/>
        <v>1</v>
      </c>
      <c r="M35" s="30">
        <f t="shared" si="3"/>
        <v>1</v>
      </c>
      <c r="N35" s="30">
        <f t="shared" si="3"/>
        <v>1</v>
      </c>
      <c r="O35" s="35">
        <f t="shared" si="3"/>
        <v>1</v>
      </c>
      <c r="Y35" s="21"/>
      <c r="Z35" s="21"/>
      <c r="AA35" s="21"/>
      <c r="AB35" s="40" t="str">
        <f t="shared" si="11"/>
        <v>0000000002000</v>
      </c>
      <c r="AC35" s="15" t="str">
        <f t="shared" si="11"/>
        <v>0000000000200</v>
      </c>
      <c r="AD35" s="15" t="str">
        <f t="shared" si="11"/>
        <v>0000000002000</v>
      </c>
      <c r="AE35" s="15" t="str">
        <f t="shared" si="11"/>
        <v>0200000000000</v>
      </c>
      <c r="AF35" s="15" t="str">
        <f t="shared" si="11"/>
        <v>0002000000000</v>
      </c>
      <c r="AG35" s="41" t="str">
        <f t="shared" si="11"/>
        <v>0002000000000</v>
      </c>
      <c r="AH35" s="15"/>
      <c r="AI35" s="21">
        <v>6</v>
      </c>
      <c r="AJ35" s="20" t="str">
        <f>LEFT(AJ34,3) &amp; RIGHT(AJ34,1)-1</f>
        <v>DD-6</v>
      </c>
      <c r="AK35" s="39" cm="1">
        <f t="array" ref="AK35">SUMPRODUCT(--(MID(AB$10:AB$135, SUMIF($Z$9:$Z$21, LEFT($AJ35,2), $Y$9:$Y$21), 1) = RIGHT($AJ35, 1)), J$10:J$135)</f>
        <v>0</v>
      </c>
      <c r="AL35" s="39" cm="1">
        <f t="array" ref="AL35">SUMPRODUCT(--(MID(AC$10:AC$135, SUMIF($Z$9:$Z$21, LEFT($AJ35,2), $Y$9:$Y$21), 1) = RIGHT($AJ35, 1)), K$10:K$135)</f>
        <v>0</v>
      </c>
      <c r="AM35" s="39" cm="1">
        <f t="array" ref="AM35">SUMPRODUCT(--(MID(AD$10:AD$135, SUMIF($Z$9:$Z$21, LEFT($AJ35,2), $Y$9:$Y$21), 1) = RIGHT($AJ35, 1)), L$10:L$135)</f>
        <v>0</v>
      </c>
      <c r="AN35" s="39" cm="1">
        <f t="array" ref="AN35">SUMPRODUCT(--(MID(AE$10:AE$135, SUMIF($Z$9:$Z$21, LEFT($AJ35,2), $Y$9:$Y$21), 1) = RIGHT($AJ35, 1)), M$10:M$135)</f>
        <v>0</v>
      </c>
      <c r="AO35" s="39" cm="1">
        <f t="array" ref="AO35">SUMPRODUCT(--(MID(AF$10:AF$135, SUMIF($Z$9:$Z$21, LEFT($AJ35,2), $Y$9:$Y$21), 1) = RIGHT($AJ35, 1)), N$10:N$135)</f>
        <v>0</v>
      </c>
      <c r="AP35" s="19" cm="1">
        <f t="array" ref="AP35">SUMPRODUCT(--(MID(AG$10:AG$135, SUMIF($Z$9:$Z$21, LEFT($AJ35,2), $Y$9:$Y$21), 1) = RIGHT($AJ35, 1)), O$10:O$135)</f>
        <v>0</v>
      </c>
      <c r="AR35" s="36" t="str">
        <f t="shared" si="15"/>
        <v>BN-0</v>
      </c>
      <c r="AS35" s="37">
        <f t="shared" si="16"/>
        <v>40</v>
      </c>
      <c r="AT35" s="37">
        <f t="shared" si="16"/>
        <v>73</v>
      </c>
      <c r="AU35" s="37">
        <f t="shared" si="16"/>
        <v>84</v>
      </c>
      <c r="AV35" s="37">
        <f t="shared" si="16"/>
        <v>67</v>
      </c>
      <c r="AW35" s="37">
        <f t="shared" si="16"/>
        <v>91</v>
      </c>
      <c r="AX35" s="38">
        <f t="shared" si="16"/>
        <v>50</v>
      </c>
    </row>
    <row r="36" spans="2:50">
      <c r="B36" s="34">
        <f t="shared" si="9"/>
        <v>26</v>
      </c>
      <c r="C36" s="30" t="s">
        <v>137</v>
      </c>
      <c r="D36" s="30" t="s">
        <v>134</v>
      </c>
      <c r="E36" s="30" t="s">
        <v>127</v>
      </c>
      <c r="F36" s="30" t="s">
        <v>131</v>
      </c>
      <c r="G36" s="30" t="s">
        <v>136</v>
      </c>
      <c r="H36" s="35" t="s">
        <v>127</v>
      </c>
      <c r="J36" s="34">
        <f t="shared" si="3"/>
        <v>1</v>
      </c>
      <c r="K36" s="30">
        <f t="shared" si="3"/>
        <v>1</v>
      </c>
      <c r="L36" s="30">
        <f t="shared" si="3"/>
        <v>1</v>
      </c>
      <c r="M36" s="30">
        <f t="shared" si="3"/>
        <v>1</v>
      </c>
      <c r="N36" s="30">
        <f t="shared" si="3"/>
        <v>1</v>
      </c>
      <c r="O36" s="35">
        <f t="shared" si="3"/>
        <v>1</v>
      </c>
      <c r="Y36" s="21"/>
      <c r="Z36" s="21"/>
      <c r="AA36" s="21"/>
      <c r="AB36" s="40" t="str">
        <f t="shared" si="11"/>
        <v>0000010001000</v>
      </c>
      <c r="AC36" s="15" t="str">
        <f t="shared" si="11"/>
        <v>0001000000100</v>
      </c>
      <c r="AD36" s="15" t="str">
        <f t="shared" si="11"/>
        <v>0010000001000</v>
      </c>
      <c r="AE36" s="15" t="str">
        <f t="shared" si="11"/>
        <v>0200000000000</v>
      </c>
      <c r="AF36" s="15" t="str">
        <f t="shared" si="11"/>
        <v>0001100000000</v>
      </c>
      <c r="AG36" s="41" t="str">
        <f t="shared" si="11"/>
        <v>0011000000000</v>
      </c>
      <c r="AH36" s="15"/>
      <c r="AI36" s="21">
        <v>5</v>
      </c>
      <c r="AJ36" s="20" t="str">
        <f t="shared" ref="AJ36:AJ41" si="18">LEFT(AJ35,3) &amp; RIGHT(AJ35,1)-1</f>
        <v>DD-5</v>
      </c>
      <c r="AK36" s="39" cm="1">
        <f t="array" ref="AK36">SUMPRODUCT(--(MID(AB$10:AB$135, SUMIF($Z$9:$Z$21, LEFT($AJ36,2), $Y$9:$Y$21), 1) = RIGHT($AJ36, 1)), J$10:J$135)</f>
        <v>0</v>
      </c>
      <c r="AL36" s="39" cm="1">
        <f t="array" ref="AL36">SUMPRODUCT(--(MID(AC$10:AC$135, SUMIF($Z$9:$Z$21, LEFT($AJ36,2), $Y$9:$Y$21), 1) = RIGHT($AJ36, 1)), K$10:K$135)</f>
        <v>0</v>
      </c>
      <c r="AM36" s="39" cm="1">
        <f t="array" ref="AM36">SUMPRODUCT(--(MID(AD$10:AD$135, SUMIF($Z$9:$Z$21, LEFT($AJ36,2), $Y$9:$Y$21), 1) = RIGHT($AJ36, 1)), L$10:L$135)</f>
        <v>0</v>
      </c>
      <c r="AN36" s="39" cm="1">
        <f t="array" ref="AN36">SUMPRODUCT(--(MID(AE$10:AE$135, SUMIF($Z$9:$Z$21, LEFT($AJ36,2), $Y$9:$Y$21), 1) = RIGHT($AJ36, 1)), M$10:M$135)</f>
        <v>0</v>
      </c>
      <c r="AO36" s="39" cm="1">
        <f t="array" ref="AO36">SUMPRODUCT(--(MID(AF$10:AF$135, SUMIF($Z$9:$Z$21, LEFT($AJ36,2), $Y$9:$Y$21), 1) = RIGHT($AJ36, 1)), N$10:N$135)</f>
        <v>0</v>
      </c>
      <c r="AP36" s="19" cm="1">
        <f t="array" ref="AP36">SUMPRODUCT(--(MID(AG$10:AG$135, SUMIF($Z$9:$Z$21, LEFT($AJ36,2), $Y$9:$Y$21), 1) = RIGHT($AJ36, 1)), O$10:O$135)</f>
        <v>0</v>
      </c>
    </row>
    <row r="37" spans="2:50">
      <c r="B37" s="34">
        <f t="shared" si="9"/>
        <v>27</v>
      </c>
      <c r="C37" s="30" t="s">
        <v>131</v>
      </c>
      <c r="D37" s="30" t="s">
        <v>137</v>
      </c>
      <c r="E37" s="30" t="s">
        <v>127</v>
      </c>
      <c r="F37" s="30" t="s">
        <v>131</v>
      </c>
      <c r="G37" s="30" t="s">
        <v>136</v>
      </c>
      <c r="H37" s="35" t="s">
        <v>127</v>
      </c>
      <c r="J37" s="34">
        <f t="shared" si="3"/>
        <v>1</v>
      </c>
      <c r="K37" s="30">
        <f t="shared" si="3"/>
        <v>1</v>
      </c>
      <c r="L37" s="30">
        <f t="shared" si="3"/>
        <v>1</v>
      </c>
      <c r="M37" s="30">
        <f t="shared" si="3"/>
        <v>1</v>
      </c>
      <c r="N37" s="30">
        <f t="shared" si="3"/>
        <v>1</v>
      </c>
      <c r="O37" s="35">
        <f t="shared" si="3"/>
        <v>1</v>
      </c>
      <c r="Y37" s="21"/>
      <c r="Z37" s="21"/>
      <c r="AA37" s="21"/>
      <c r="AB37" s="40" t="str">
        <f t="shared" si="11"/>
        <v>0100010000000</v>
      </c>
      <c r="AC37" s="15" t="str">
        <f t="shared" si="11"/>
        <v>0001010000000</v>
      </c>
      <c r="AD37" s="15" t="str">
        <f t="shared" si="11"/>
        <v>0020000000000</v>
      </c>
      <c r="AE37" s="15" t="str">
        <f t="shared" si="11"/>
        <v>0200000000000</v>
      </c>
      <c r="AF37" s="15" t="str">
        <f t="shared" si="11"/>
        <v>0000200000000</v>
      </c>
      <c r="AG37" s="41" t="str">
        <f t="shared" si="11"/>
        <v>0020000000000</v>
      </c>
      <c r="AH37" s="15"/>
      <c r="AI37" s="21">
        <v>4</v>
      </c>
      <c r="AJ37" s="20" t="str">
        <f t="shared" si="18"/>
        <v>DD-4</v>
      </c>
      <c r="AK37" s="39" cm="1">
        <f t="array" ref="AK37">SUMPRODUCT(--(MID(AB$10:AB$135, SUMIF($Z$9:$Z$21, LEFT($AJ37,2), $Y$9:$Y$21), 1) = RIGHT($AJ37, 1)), J$10:J$135)</f>
        <v>0</v>
      </c>
      <c r="AL37" s="39" cm="1">
        <f t="array" ref="AL37">SUMPRODUCT(--(MID(AC$10:AC$135, SUMIF($Z$9:$Z$21, LEFT($AJ37,2), $Y$9:$Y$21), 1) = RIGHT($AJ37, 1)), K$10:K$135)</f>
        <v>0</v>
      </c>
      <c r="AM37" s="39" cm="1">
        <f t="array" ref="AM37">SUMPRODUCT(--(MID(AD$10:AD$135, SUMIF($Z$9:$Z$21, LEFT($AJ37,2), $Y$9:$Y$21), 1) = RIGHT($AJ37, 1)), L$10:L$135)</f>
        <v>0</v>
      </c>
      <c r="AN37" s="39" cm="1">
        <f t="array" ref="AN37">SUMPRODUCT(--(MID(AE$10:AE$135, SUMIF($Z$9:$Z$21, LEFT($AJ37,2), $Y$9:$Y$21), 1) = RIGHT($AJ37, 1)), M$10:M$135)</f>
        <v>0</v>
      </c>
      <c r="AO37" s="39" cm="1">
        <f t="array" ref="AO37">SUMPRODUCT(--(MID(AF$10:AF$135, SUMIF($Z$9:$Z$21, LEFT($AJ37,2), $Y$9:$Y$21), 1) = RIGHT($AJ37, 1)), N$10:N$135)</f>
        <v>0</v>
      </c>
      <c r="AP37" s="19" cm="1">
        <f t="array" ref="AP37">SUMPRODUCT(--(MID(AG$10:AG$135, SUMIF($Z$9:$Z$21, LEFT($AJ37,2), $Y$9:$Y$21), 1) = RIGHT($AJ37, 1)), O$10:O$135)</f>
        <v>0</v>
      </c>
    </row>
    <row r="38" spans="2:50">
      <c r="B38" s="34">
        <f t="shared" si="9"/>
        <v>28</v>
      </c>
      <c r="C38" s="30" t="s">
        <v>133</v>
      </c>
      <c r="D38" s="30" t="s">
        <v>134</v>
      </c>
      <c r="E38" s="30" t="s">
        <v>127</v>
      </c>
      <c r="F38" s="30" t="s">
        <v>138</v>
      </c>
      <c r="G38" s="30" t="s">
        <v>136</v>
      </c>
      <c r="H38" s="35" t="s">
        <v>127</v>
      </c>
      <c r="J38" s="34">
        <f t="shared" si="3"/>
        <v>1</v>
      </c>
      <c r="K38" s="30">
        <f t="shared" si="3"/>
        <v>1</v>
      </c>
      <c r="L38" s="30">
        <f t="shared" si="3"/>
        <v>1</v>
      </c>
      <c r="M38" s="30">
        <f t="shared" si="3"/>
        <v>1</v>
      </c>
      <c r="N38" s="30">
        <f t="shared" si="3"/>
        <v>1</v>
      </c>
      <c r="O38" s="35">
        <f t="shared" si="3"/>
        <v>1</v>
      </c>
      <c r="Y38" s="21"/>
      <c r="Z38" s="21"/>
      <c r="AA38" s="21"/>
      <c r="AB38" s="40" t="str">
        <f t="shared" si="11"/>
        <v>0100000100000</v>
      </c>
      <c r="AC38" s="15" t="str">
        <f t="shared" si="11"/>
        <v>0001010000000</v>
      </c>
      <c r="AD38" s="15" t="str">
        <f t="shared" si="11"/>
        <v>0020000000000</v>
      </c>
      <c r="AE38" s="15" t="str">
        <f t="shared" si="11"/>
        <v>0100000000010</v>
      </c>
      <c r="AF38" s="15" t="str">
        <f t="shared" si="11"/>
        <v>0000200000000</v>
      </c>
      <c r="AG38" s="41" t="str">
        <f t="shared" si="11"/>
        <v>0020000000000</v>
      </c>
      <c r="AH38" s="15"/>
      <c r="AI38" s="21">
        <v>3</v>
      </c>
      <c r="AJ38" s="20" t="str">
        <f t="shared" si="18"/>
        <v>DD-3</v>
      </c>
      <c r="AK38" s="39" cm="1">
        <f t="array" ref="AK38">SUMPRODUCT(--(MID(AB$10:AB$135, SUMIF($Z$9:$Z$21, LEFT($AJ38,2), $Y$9:$Y$21), 1) = RIGHT($AJ38, 1)), J$10:J$135)</f>
        <v>0</v>
      </c>
      <c r="AL38" s="39" cm="1">
        <f t="array" ref="AL38">SUMPRODUCT(--(MID(AC$10:AC$135, SUMIF($Z$9:$Z$21, LEFT($AJ38,2), $Y$9:$Y$21), 1) = RIGHT($AJ38, 1)), K$10:K$135)</f>
        <v>0</v>
      </c>
      <c r="AM38" s="39" cm="1">
        <f t="array" ref="AM38">SUMPRODUCT(--(MID(AD$10:AD$135, SUMIF($Z$9:$Z$21, LEFT($AJ38,2), $Y$9:$Y$21), 1) = RIGHT($AJ38, 1)), L$10:L$135)</f>
        <v>0</v>
      </c>
      <c r="AN38" s="39" cm="1">
        <f t="array" ref="AN38">SUMPRODUCT(--(MID(AE$10:AE$135, SUMIF($Z$9:$Z$21, LEFT($AJ38,2), $Y$9:$Y$21), 1) = RIGHT($AJ38, 1)), M$10:M$135)</f>
        <v>0</v>
      </c>
      <c r="AO38" s="39" cm="1">
        <f t="array" ref="AO38">SUMPRODUCT(--(MID(AF$10:AF$135, SUMIF($Z$9:$Z$21, LEFT($AJ38,2), $Y$9:$Y$21), 1) = RIGHT($AJ38, 1)), N$10:N$135)</f>
        <v>0</v>
      </c>
      <c r="AP38" s="19" cm="1">
        <f t="array" ref="AP38">SUMPRODUCT(--(MID(AG$10:AG$135, SUMIF($Z$9:$Z$21, LEFT($AJ38,2), $Y$9:$Y$21), 1) = RIGHT($AJ38, 1)), O$10:O$135)</f>
        <v>0</v>
      </c>
    </row>
    <row r="39" spans="2:50">
      <c r="B39" s="34">
        <f t="shared" si="9"/>
        <v>29</v>
      </c>
      <c r="C39" s="30" t="s">
        <v>128</v>
      </c>
      <c r="D39" s="30" t="s">
        <v>134</v>
      </c>
      <c r="E39" s="30" t="s">
        <v>133</v>
      </c>
      <c r="F39" s="30" t="s">
        <v>127</v>
      </c>
      <c r="G39" s="30" t="s">
        <v>127</v>
      </c>
      <c r="H39" s="35" t="s">
        <v>133</v>
      </c>
      <c r="J39" s="34">
        <f t="shared" si="3"/>
        <v>1</v>
      </c>
      <c r="K39" s="30">
        <f t="shared" si="3"/>
        <v>1</v>
      </c>
      <c r="L39" s="30">
        <f t="shared" si="3"/>
        <v>1</v>
      </c>
      <c r="M39" s="30">
        <f t="shared" si="3"/>
        <v>1</v>
      </c>
      <c r="N39" s="30">
        <f t="shared" si="3"/>
        <v>1</v>
      </c>
      <c r="O39" s="35">
        <f t="shared" si="3"/>
        <v>1</v>
      </c>
      <c r="Y39" s="21"/>
      <c r="Z39" s="21"/>
      <c r="AA39" s="21"/>
      <c r="AB39" s="40" t="str">
        <f t="shared" si="11"/>
        <v>0000001100000</v>
      </c>
      <c r="AC39" s="15" t="str">
        <f t="shared" si="11"/>
        <v>0002000000000</v>
      </c>
      <c r="AD39" s="15" t="str">
        <f t="shared" si="11"/>
        <v>0010000100000</v>
      </c>
      <c r="AE39" s="15" t="str">
        <f t="shared" si="11"/>
        <v>0010000000010</v>
      </c>
      <c r="AF39" s="15" t="str">
        <f t="shared" si="11"/>
        <v>0010100000000</v>
      </c>
      <c r="AG39" s="41" t="str">
        <f t="shared" si="11"/>
        <v>0010000100000</v>
      </c>
      <c r="AH39" s="15"/>
      <c r="AI39" s="21">
        <v>2</v>
      </c>
      <c r="AJ39" s="20" t="str">
        <f t="shared" si="18"/>
        <v>DD-2</v>
      </c>
      <c r="AK39" s="39" cm="1">
        <f t="array" ref="AK39">SUMPRODUCT(--(MID(AB$10:AB$135, SUMIF($Z$9:$Z$21, LEFT($AJ39,2), $Y$9:$Y$21), 1) = RIGHT($AJ39, 1)), J$10:J$135)</f>
        <v>0</v>
      </c>
      <c r="AL39" s="39" cm="1">
        <f t="array" ref="AL39">SUMPRODUCT(--(MID(AC$10:AC$135, SUMIF($Z$9:$Z$21, LEFT($AJ39,2), $Y$9:$Y$21), 1) = RIGHT($AJ39, 1)), K$10:K$135)</f>
        <v>0</v>
      </c>
      <c r="AM39" s="39" cm="1">
        <f t="array" ref="AM39">SUMPRODUCT(--(MID(AD$10:AD$135, SUMIF($Z$9:$Z$21, LEFT($AJ39,2), $Y$9:$Y$21), 1) = RIGHT($AJ39, 1)), L$10:L$135)</f>
        <v>0</v>
      </c>
      <c r="AN39" s="39" cm="1">
        <f t="array" ref="AN39">SUMPRODUCT(--(MID(AE$10:AE$135, SUMIF($Z$9:$Z$21, LEFT($AJ39,2), $Y$9:$Y$21), 1) = RIGHT($AJ39, 1)), M$10:M$135)</f>
        <v>2</v>
      </c>
      <c r="AO39" s="39" cm="1">
        <f t="array" ref="AO39">SUMPRODUCT(--(MID(AF$10:AF$135, SUMIF($Z$9:$Z$21, LEFT($AJ39,2), $Y$9:$Y$21), 1) = RIGHT($AJ39, 1)), N$10:N$135)</f>
        <v>2</v>
      </c>
      <c r="AP39" s="19" cm="1">
        <f t="array" ref="AP39">SUMPRODUCT(--(MID(AG$10:AG$135, SUMIF($Z$9:$Z$21, LEFT($AJ39,2), $Y$9:$Y$21), 1) = RIGHT($AJ39, 1)), O$10:O$135)</f>
        <v>2</v>
      </c>
    </row>
    <row r="40" spans="2:50">
      <c r="B40" s="34">
        <f t="shared" si="9"/>
        <v>30</v>
      </c>
      <c r="C40" s="30" t="s">
        <v>128</v>
      </c>
      <c r="D40" s="30" t="s">
        <v>134</v>
      </c>
      <c r="E40" s="30" t="s">
        <v>133</v>
      </c>
      <c r="F40" s="30" t="s">
        <v>127</v>
      </c>
      <c r="G40" s="30" t="s">
        <v>127</v>
      </c>
      <c r="H40" s="35" t="s">
        <v>133</v>
      </c>
      <c r="J40" s="34">
        <f t="shared" si="3"/>
        <v>1</v>
      </c>
      <c r="K40" s="30">
        <f t="shared" si="3"/>
        <v>1</v>
      </c>
      <c r="L40" s="30">
        <f t="shared" si="3"/>
        <v>1</v>
      </c>
      <c r="M40" s="30">
        <f t="shared" si="3"/>
        <v>1</v>
      </c>
      <c r="N40" s="30">
        <f t="shared" si="3"/>
        <v>1</v>
      </c>
      <c r="O40" s="35">
        <f t="shared" si="3"/>
        <v>1</v>
      </c>
      <c r="Y40" s="21"/>
      <c r="Z40" s="21"/>
      <c r="AA40" s="21"/>
      <c r="AB40" s="40" t="str">
        <f t="shared" si="11"/>
        <v>0000002000000</v>
      </c>
      <c r="AC40" s="15" t="str">
        <f t="shared" si="11"/>
        <v>0002000000000</v>
      </c>
      <c r="AD40" s="15" t="str">
        <f t="shared" si="11"/>
        <v>0000000200000</v>
      </c>
      <c r="AE40" s="15" t="str">
        <f t="shared" si="11"/>
        <v>0020000000000</v>
      </c>
      <c r="AF40" s="15" t="str">
        <f t="shared" si="11"/>
        <v>0020000000000</v>
      </c>
      <c r="AG40" s="41" t="str">
        <f t="shared" si="11"/>
        <v>0000000200000</v>
      </c>
      <c r="AH40" s="15"/>
      <c r="AI40" s="21">
        <v>1</v>
      </c>
      <c r="AJ40" s="20" t="str">
        <f t="shared" si="18"/>
        <v>DD-1</v>
      </c>
      <c r="AK40" s="39" cm="1">
        <f t="array" ref="AK40">SUMPRODUCT(--(MID(AB$10:AB$135, SUMIF($Z$9:$Z$21, LEFT($AJ40,2), $Y$9:$Y$21), 1) = RIGHT($AJ40, 1)), J$10:J$135)</f>
        <v>4</v>
      </c>
      <c r="AL40" s="39" cm="1">
        <f t="array" ref="AL40">SUMPRODUCT(--(MID(AC$10:AC$135, SUMIF($Z$9:$Z$21, LEFT($AJ40,2), $Y$9:$Y$21), 1) = RIGHT($AJ40, 1)), K$10:K$135)</f>
        <v>8</v>
      </c>
      <c r="AM40" s="39" cm="1">
        <f t="array" ref="AM40">SUMPRODUCT(--(MID(AD$10:AD$135, SUMIF($Z$9:$Z$21, LEFT($AJ40,2), $Y$9:$Y$21), 1) = RIGHT($AJ40, 1)), L$10:L$135)</f>
        <v>8</v>
      </c>
      <c r="AN40" s="39" cm="1">
        <f t="array" ref="AN40">SUMPRODUCT(--(MID(AE$10:AE$135, SUMIF($Z$9:$Z$21, LEFT($AJ40,2), $Y$9:$Y$21), 1) = RIGHT($AJ40, 1)), M$10:M$135)</f>
        <v>16</v>
      </c>
      <c r="AO40" s="39" cm="1">
        <f t="array" ref="AO40">SUMPRODUCT(--(MID(AF$10:AF$135, SUMIF($Z$9:$Z$21, LEFT($AJ40,2), $Y$9:$Y$21), 1) = RIGHT($AJ40, 1)), N$10:N$135)</f>
        <v>16</v>
      </c>
      <c r="AP40" s="19" cm="1">
        <f t="array" ref="AP40">SUMPRODUCT(--(MID(AG$10:AG$135, SUMIF($Z$9:$Z$21, LEFT($AJ40,2), $Y$9:$Y$21), 1) = RIGHT($AJ40, 1)), O$10:O$135)</f>
        <v>10</v>
      </c>
    </row>
    <row r="41" spans="2:50">
      <c r="B41" s="34">
        <f t="shared" si="9"/>
        <v>31</v>
      </c>
      <c r="C41" s="30" t="s">
        <v>128</v>
      </c>
      <c r="D41" s="30" t="s">
        <v>129</v>
      </c>
      <c r="E41" s="30" t="s">
        <v>133</v>
      </c>
      <c r="F41" s="30" t="s">
        <v>127</v>
      </c>
      <c r="G41" s="30" t="s">
        <v>127</v>
      </c>
      <c r="H41" s="35" t="s">
        <v>133</v>
      </c>
      <c r="J41" s="34">
        <f t="shared" si="3"/>
        <v>1</v>
      </c>
      <c r="K41" s="30">
        <f t="shared" si="3"/>
        <v>1</v>
      </c>
      <c r="L41" s="30">
        <f t="shared" si="3"/>
        <v>1</v>
      </c>
      <c r="M41" s="30">
        <f t="shared" si="3"/>
        <v>1</v>
      </c>
      <c r="N41" s="30">
        <f t="shared" si="3"/>
        <v>1</v>
      </c>
      <c r="O41" s="35">
        <f t="shared" si="3"/>
        <v>1</v>
      </c>
      <c r="Y41" s="21"/>
      <c r="Z41" s="21"/>
      <c r="AA41" s="21"/>
      <c r="AB41" s="40" t="str">
        <f t="shared" si="11"/>
        <v>0000002000000</v>
      </c>
      <c r="AC41" s="15" t="str">
        <f t="shared" si="11"/>
        <v>0001000001000</v>
      </c>
      <c r="AD41" s="15" t="str">
        <f t="shared" si="11"/>
        <v>0000000200000</v>
      </c>
      <c r="AE41" s="15" t="str">
        <f t="shared" si="11"/>
        <v>0020000000000</v>
      </c>
      <c r="AF41" s="15" t="str">
        <f t="shared" si="11"/>
        <v>0020000000000</v>
      </c>
      <c r="AG41" s="41" t="str">
        <f t="shared" si="11"/>
        <v>0000000200000</v>
      </c>
      <c r="AH41" s="15"/>
      <c r="AI41" s="21">
        <v>0</v>
      </c>
      <c r="AJ41" s="20" t="str">
        <f t="shared" si="18"/>
        <v>DD-0</v>
      </c>
      <c r="AK41" s="39" cm="1">
        <f t="array" ref="AK41">SUMPRODUCT(--(MID(AB$10:AB$135, SUMIF($Z$9:$Z$21, LEFT($AJ41,2), $Y$9:$Y$21), 1) = RIGHT($AJ41, 1)), J$10:J$135)</f>
        <v>36</v>
      </c>
      <c r="AL41" s="39" cm="1">
        <f t="array" ref="AL41">SUMPRODUCT(--(MID(AC$10:AC$135, SUMIF($Z$9:$Z$21, LEFT($AJ41,2), $Y$9:$Y$21), 1) = RIGHT($AJ41, 1)), K$10:K$135)</f>
        <v>65</v>
      </c>
      <c r="AM41" s="39" cm="1">
        <f t="array" ref="AM41">SUMPRODUCT(--(MID(AD$10:AD$135, SUMIF($Z$9:$Z$21, LEFT($AJ41,2), $Y$9:$Y$21), 1) = RIGHT($AJ41, 1)), L$10:L$135)</f>
        <v>76</v>
      </c>
      <c r="AN41" s="39" cm="1">
        <f t="array" ref="AN41">SUMPRODUCT(--(MID(AE$10:AE$135, SUMIF($Z$9:$Z$21, LEFT($AJ41,2), $Y$9:$Y$21), 1) = RIGHT($AJ41, 1)), M$10:M$135)</f>
        <v>49</v>
      </c>
      <c r="AO41" s="39" cm="1">
        <f t="array" ref="AO41">SUMPRODUCT(--(MID(AF$10:AF$135, SUMIF($Z$9:$Z$21, LEFT($AJ41,2), $Y$9:$Y$21), 1) = RIGHT($AJ41, 1)), N$10:N$135)</f>
        <v>73</v>
      </c>
      <c r="AP41" s="19" cm="1">
        <f t="array" ref="AP41">SUMPRODUCT(--(MID(AG$10:AG$135, SUMIF($Z$9:$Z$21, LEFT($AJ41,2), $Y$9:$Y$21), 1) = RIGHT($AJ41, 1)), O$10:O$135)</f>
        <v>38</v>
      </c>
    </row>
    <row r="42" spans="2:50">
      <c r="B42" s="34">
        <f t="shared" si="9"/>
        <v>32</v>
      </c>
      <c r="C42" s="30" t="s">
        <v>133</v>
      </c>
      <c r="D42" s="30" t="s">
        <v>129</v>
      </c>
      <c r="E42" s="30" t="s">
        <v>134</v>
      </c>
      <c r="F42" s="30" t="s">
        <v>136</v>
      </c>
      <c r="G42" s="30" t="s">
        <v>128</v>
      </c>
      <c r="H42" s="35" t="s">
        <v>131</v>
      </c>
      <c r="J42" s="34">
        <f t="shared" si="3"/>
        <v>1</v>
      </c>
      <c r="K42" s="30">
        <f t="shared" si="3"/>
        <v>1</v>
      </c>
      <c r="L42" s="30">
        <f t="shared" si="3"/>
        <v>1</v>
      </c>
      <c r="M42" s="30">
        <f t="shared" si="3"/>
        <v>1</v>
      </c>
      <c r="N42" s="30">
        <f t="shared" si="3"/>
        <v>1</v>
      </c>
      <c r="O42" s="35">
        <f t="shared" si="3"/>
        <v>1</v>
      </c>
      <c r="Y42" s="21"/>
      <c r="Z42" s="21"/>
      <c r="AA42" s="21"/>
      <c r="AB42" s="40" t="str">
        <f t="shared" si="11"/>
        <v>0000001100000</v>
      </c>
      <c r="AC42" s="15" t="str">
        <f t="shared" si="11"/>
        <v>0000000002000</v>
      </c>
      <c r="AD42" s="15" t="str">
        <f t="shared" si="11"/>
        <v>0001000100000</v>
      </c>
      <c r="AE42" s="15" t="str">
        <f t="shared" si="11"/>
        <v>0010100000000</v>
      </c>
      <c r="AF42" s="15" t="str">
        <f t="shared" si="11"/>
        <v>0010001000000</v>
      </c>
      <c r="AG42" s="41" t="str">
        <f t="shared" si="11"/>
        <v>0100000100000</v>
      </c>
      <c r="AH42" s="15"/>
      <c r="AI42" s="21">
        <v>7</v>
      </c>
      <c r="AJ42" s="20" t="str">
        <f>$Z$14&amp;"-7"</f>
        <v>EE-7</v>
      </c>
      <c r="AK42" s="39" cm="1">
        <f t="array" ref="AK42">SUMPRODUCT(--(MID(AB$10:AB$135, SUMIF($Z$9:$Z$21, LEFT($AJ42,2), $Y$9:$Y$21), 1) = RIGHT($AJ42, 1)), J$10:J$135)</f>
        <v>0</v>
      </c>
      <c r="AL42" s="39" cm="1">
        <f t="array" ref="AL42">SUMPRODUCT(--(MID(AC$10:AC$135, SUMIF($Z$9:$Z$21, LEFT($AJ42,2), $Y$9:$Y$21), 1) = RIGHT($AJ42, 1)), K$10:K$135)</f>
        <v>0</v>
      </c>
      <c r="AM42" s="39" cm="1">
        <f t="array" ref="AM42">SUMPRODUCT(--(MID(AD$10:AD$135, SUMIF($Z$9:$Z$21, LEFT($AJ42,2), $Y$9:$Y$21), 1) = RIGHT($AJ42, 1)), L$10:L$135)</f>
        <v>0</v>
      </c>
      <c r="AN42" s="39" cm="1">
        <f t="array" ref="AN42">SUMPRODUCT(--(MID(AE$10:AE$135, SUMIF($Z$9:$Z$21, LEFT($AJ42,2), $Y$9:$Y$21), 1) = RIGHT($AJ42, 1)), M$10:M$135)</f>
        <v>0</v>
      </c>
      <c r="AO42" s="39" cm="1">
        <f t="array" ref="AO42">SUMPRODUCT(--(MID(AF$10:AF$135, SUMIF($Z$9:$Z$21, LEFT($AJ42,2), $Y$9:$Y$21), 1) = RIGHT($AJ42, 1)), N$10:N$135)</f>
        <v>0</v>
      </c>
      <c r="AP42" s="19" cm="1">
        <f t="array" ref="AP42">SUMPRODUCT(--(MID(AG$10:AG$135, SUMIF($Z$9:$Z$21, LEFT($AJ42,2), $Y$9:$Y$21), 1) = RIGHT($AJ42, 1)), O$10:O$135)</f>
        <v>0</v>
      </c>
    </row>
    <row r="43" spans="2:50">
      <c r="B43" s="34">
        <f t="shared" si="9"/>
        <v>33</v>
      </c>
      <c r="C43" s="30" t="s">
        <v>133</v>
      </c>
      <c r="D43" s="30" t="s">
        <v>129</v>
      </c>
      <c r="E43" s="30" t="s">
        <v>134</v>
      </c>
      <c r="F43" s="30" t="s">
        <v>127</v>
      </c>
      <c r="G43" s="30" t="s">
        <v>128</v>
      </c>
      <c r="H43" s="35" t="s">
        <v>131</v>
      </c>
      <c r="J43" s="34">
        <f t="shared" si="3"/>
        <v>1</v>
      </c>
      <c r="K43" s="30">
        <f t="shared" si="3"/>
        <v>1</v>
      </c>
      <c r="L43" s="30">
        <f t="shared" si="3"/>
        <v>1</v>
      </c>
      <c r="M43" s="30">
        <f t="shared" si="3"/>
        <v>1</v>
      </c>
      <c r="N43" s="30">
        <f t="shared" si="3"/>
        <v>1</v>
      </c>
      <c r="O43" s="35">
        <f t="shared" si="3"/>
        <v>1</v>
      </c>
      <c r="Y43" s="21"/>
      <c r="Z43" s="21"/>
      <c r="AA43" s="21"/>
      <c r="AB43" s="40" t="str">
        <f t="shared" si="11"/>
        <v>0000000200000</v>
      </c>
      <c r="AC43" s="15" t="str">
        <f t="shared" si="11"/>
        <v>0000000002000</v>
      </c>
      <c r="AD43" s="15" t="str">
        <f t="shared" si="11"/>
        <v>0002000000000</v>
      </c>
      <c r="AE43" s="15" t="str">
        <f t="shared" si="11"/>
        <v>0010100000000</v>
      </c>
      <c r="AF43" s="15" t="str">
        <f t="shared" si="11"/>
        <v>0000002000000</v>
      </c>
      <c r="AG43" s="41" t="str">
        <f t="shared" si="11"/>
        <v>0200000000000</v>
      </c>
      <c r="AH43" s="15"/>
      <c r="AI43" s="21">
        <v>6</v>
      </c>
      <c r="AJ43" s="20" t="str">
        <f>LEFT(AJ42,3) &amp; RIGHT(AJ42,1)-1</f>
        <v>EE-6</v>
      </c>
      <c r="AK43" s="39" cm="1">
        <f t="array" ref="AK43">SUMPRODUCT(--(MID(AB$10:AB$135, SUMIF($Z$9:$Z$21, LEFT($AJ43,2), $Y$9:$Y$21), 1) = RIGHT($AJ43, 1)), J$10:J$135)</f>
        <v>0</v>
      </c>
      <c r="AL43" s="39" cm="1">
        <f t="array" ref="AL43">SUMPRODUCT(--(MID(AC$10:AC$135, SUMIF($Z$9:$Z$21, LEFT($AJ43,2), $Y$9:$Y$21), 1) = RIGHT($AJ43, 1)), K$10:K$135)</f>
        <v>0</v>
      </c>
      <c r="AM43" s="39" cm="1">
        <f t="array" ref="AM43">SUMPRODUCT(--(MID(AD$10:AD$135, SUMIF($Z$9:$Z$21, LEFT($AJ43,2), $Y$9:$Y$21), 1) = RIGHT($AJ43, 1)), L$10:L$135)</f>
        <v>0</v>
      </c>
      <c r="AN43" s="39" cm="1">
        <f t="array" ref="AN43">SUMPRODUCT(--(MID(AE$10:AE$135, SUMIF($Z$9:$Z$21, LEFT($AJ43,2), $Y$9:$Y$21), 1) = RIGHT($AJ43, 1)), M$10:M$135)</f>
        <v>0</v>
      </c>
      <c r="AO43" s="39" cm="1">
        <f t="array" ref="AO43">SUMPRODUCT(--(MID(AF$10:AF$135, SUMIF($Z$9:$Z$21, LEFT($AJ43,2), $Y$9:$Y$21), 1) = RIGHT($AJ43, 1)), N$10:N$135)</f>
        <v>0</v>
      </c>
      <c r="AP43" s="19" cm="1">
        <f t="array" ref="AP43">SUMPRODUCT(--(MID(AG$10:AG$135, SUMIF($Z$9:$Z$21, LEFT($AJ43,2), $Y$9:$Y$21), 1) = RIGHT($AJ43, 1)), O$10:O$135)</f>
        <v>0</v>
      </c>
    </row>
    <row r="44" spans="2:50">
      <c r="B44" s="34">
        <f t="shared" si="9"/>
        <v>34</v>
      </c>
      <c r="C44" s="30" t="s">
        <v>133</v>
      </c>
      <c r="D44" s="30" t="s">
        <v>129</v>
      </c>
      <c r="E44" s="30" t="s">
        <v>134</v>
      </c>
      <c r="F44" s="30" t="s">
        <v>133</v>
      </c>
      <c r="G44" s="30" t="s">
        <v>128</v>
      </c>
      <c r="H44" s="35" t="s">
        <v>131</v>
      </c>
      <c r="J44" s="34">
        <f t="shared" si="3"/>
        <v>1</v>
      </c>
      <c r="K44" s="30">
        <f t="shared" si="3"/>
        <v>1</v>
      </c>
      <c r="L44" s="30">
        <f t="shared" si="3"/>
        <v>1</v>
      </c>
      <c r="M44" s="30">
        <f t="shared" si="3"/>
        <v>1</v>
      </c>
      <c r="N44" s="30">
        <f t="shared" si="3"/>
        <v>1</v>
      </c>
      <c r="O44" s="35">
        <f t="shared" si="3"/>
        <v>1</v>
      </c>
      <c r="Y44" s="21"/>
      <c r="Z44" s="21"/>
      <c r="AA44" s="21"/>
      <c r="AB44" s="40" t="str">
        <f t="shared" si="11"/>
        <v>0000000200000</v>
      </c>
      <c r="AC44" s="15" t="str">
        <f t="shared" si="11"/>
        <v>0000000002000</v>
      </c>
      <c r="AD44" s="15" t="str">
        <f t="shared" si="11"/>
        <v>0002000000000</v>
      </c>
      <c r="AE44" s="15" t="str">
        <f t="shared" si="11"/>
        <v>0010000100000</v>
      </c>
      <c r="AF44" s="15" t="str">
        <f t="shared" si="11"/>
        <v>0000002000000</v>
      </c>
      <c r="AG44" s="41" t="str">
        <f t="shared" si="11"/>
        <v>0200000000000</v>
      </c>
      <c r="AH44" s="15"/>
      <c r="AI44" s="21">
        <v>5</v>
      </c>
      <c r="AJ44" s="20" t="str">
        <f t="shared" ref="AJ44:AJ49" si="19">LEFT(AJ43,3) &amp; RIGHT(AJ43,1)-1</f>
        <v>EE-5</v>
      </c>
      <c r="AK44" s="39" cm="1">
        <f t="array" ref="AK44">SUMPRODUCT(--(MID(AB$10:AB$135, SUMIF($Z$9:$Z$21, LEFT($AJ44,2), $Y$9:$Y$21), 1) = RIGHT($AJ44, 1)), J$10:J$135)</f>
        <v>0</v>
      </c>
      <c r="AL44" s="39" cm="1">
        <f t="array" ref="AL44">SUMPRODUCT(--(MID(AC$10:AC$135, SUMIF($Z$9:$Z$21, LEFT($AJ44,2), $Y$9:$Y$21), 1) = RIGHT($AJ44, 1)), K$10:K$135)</f>
        <v>0</v>
      </c>
      <c r="AM44" s="39" cm="1">
        <f t="array" ref="AM44">SUMPRODUCT(--(MID(AD$10:AD$135, SUMIF($Z$9:$Z$21, LEFT($AJ44,2), $Y$9:$Y$21), 1) = RIGHT($AJ44, 1)), L$10:L$135)</f>
        <v>0</v>
      </c>
      <c r="AN44" s="39" cm="1">
        <f t="array" ref="AN44">SUMPRODUCT(--(MID(AE$10:AE$135, SUMIF($Z$9:$Z$21, LEFT($AJ44,2), $Y$9:$Y$21), 1) = RIGHT($AJ44, 1)), M$10:M$135)</f>
        <v>0</v>
      </c>
      <c r="AO44" s="39" cm="1">
        <f t="array" ref="AO44">SUMPRODUCT(--(MID(AF$10:AF$135, SUMIF($Z$9:$Z$21, LEFT($AJ44,2), $Y$9:$Y$21), 1) = RIGHT($AJ44, 1)), N$10:N$135)</f>
        <v>0</v>
      </c>
      <c r="AP44" s="19" cm="1">
        <f t="array" ref="AP44">SUMPRODUCT(--(MID(AG$10:AG$135, SUMIF($Z$9:$Z$21, LEFT($AJ44,2), $Y$9:$Y$21), 1) = RIGHT($AJ44, 1)), O$10:O$135)</f>
        <v>0</v>
      </c>
    </row>
    <row r="45" spans="2:50">
      <c r="B45" s="34">
        <f t="shared" si="9"/>
        <v>35</v>
      </c>
      <c r="C45" s="30" t="s">
        <v>130</v>
      </c>
      <c r="D45" s="30" t="s">
        <v>128</v>
      </c>
      <c r="E45" s="30" t="s">
        <v>132</v>
      </c>
      <c r="F45" s="30" t="s">
        <v>129</v>
      </c>
      <c r="G45" s="30" t="s">
        <v>138</v>
      </c>
      <c r="H45" s="35" t="s">
        <v>129</v>
      </c>
      <c r="J45" s="34">
        <f t="shared" si="3"/>
        <v>1</v>
      </c>
      <c r="K45" s="30">
        <f t="shared" si="3"/>
        <v>1</v>
      </c>
      <c r="L45" s="30">
        <f t="shared" si="3"/>
        <v>1</v>
      </c>
      <c r="M45" s="30">
        <f t="shared" si="3"/>
        <v>1</v>
      </c>
      <c r="N45" s="30">
        <f t="shared" si="3"/>
        <v>1</v>
      </c>
      <c r="O45" s="35">
        <f t="shared" si="3"/>
        <v>1</v>
      </c>
      <c r="Y45" s="21"/>
      <c r="Z45" s="21"/>
      <c r="AA45" s="21"/>
      <c r="AB45" s="40" t="str">
        <f t="shared" si="11"/>
        <v>0000000110000</v>
      </c>
      <c r="AC45" s="15" t="str">
        <f t="shared" si="11"/>
        <v>0000001001000</v>
      </c>
      <c r="AD45" s="15" t="str">
        <f t="shared" si="11"/>
        <v>0001000000100</v>
      </c>
      <c r="AE45" s="15" t="str">
        <f t="shared" si="11"/>
        <v>0000000101000</v>
      </c>
      <c r="AF45" s="15" t="str">
        <f t="shared" si="11"/>
        <v>0000001000010</v>
      </c>
      <c r="AG45" s="41" t="str">
        <f t="shared" si="11"/>
        <v>0100000001000</v>
      </c>
      <c r="AH45" s="15"/>
      <c r="AI45" s="21">
        <v>4</v>
      </c>
      <c r="AJ45" s="20" t="str">
        <f t="shared" si="19"/>
        <v>EE-4</v>
      </c>
      <c r="AK45" s="39" cm="1">
        <f t="array" ref="AK45">SUMPRODUCT(--(MID(AB$10:AB$135, SUMIF($Z$9:$Z$21, LEFT($AJ45,2), $Y$9:$Y$21), 1) = RIGHT($AJ45, 1)), J$10:J$135)</f>
        <v>0</v>
      </c>
      <c r="AL45" s="39" cm="1">
        <f t="array" ref="AL45">SUMPRODUCT(--(MID(AC$10:AC$135, SUMIF($Z$9:$Z$21, LEFT($AJ45,2), $Y$9:$Y$21), 1) = RIGHT($AJ45, 1)), K$10:K$135)</f>
        <v>0</v>
      </c>
      <c r="AM45" s="39" cm="1">
        <f t="array" ref="AM45">SUMPRODUCT(--(MID(AD$10:AD$135, SUMIF($Z$9:$Z$21, LEFT($AJ45,2), $Y$9:$Y$21), 1) = RIGHT($AJ45, 1)), L$10:L$135)</f>
        <v>0</v>
      </c>
      <c r="AN45" s="39" cm="1">
        <f t="array" ref="AN45">SUMPRODUCT(--(MID(AE$10:AE$135, SUMIF($Z$9:$Z$21, LEFT($AJ45,2), $Y$9:$Y$21), 1) = RIGHT($AJ45, 1)), M$10:M$135)</f>
        <v>0</v>
      </c>
      <c r="AO45" s="39" cm="1">
        <f t="array" ref="AO45">SUMPRODUCT(--(MID(AF$10:AF$135, SUMIF($Z$9:$Z$21, LEFT($AJ45,2), $Y$9:$Y$21), 1) = RIGHT($AJ45, 1)), N$10:N$135)</f>
        <v>0</v>
      </c>
      <c r="AP45" s="19" cm="1">
        <f t="array" ref="AP45">SUMPRODUCT(--(MID(AG$10:AG$135, SUMIF($Z$9:$Z$21, LEFT($AJ45,2), $Y$9:$Y$21), 1) = RIGHT($AJ45, 1)), O$10:O$135)</f>
        <v>0</v>
      </c>
    </row>
    <row r="46" spans="2:50">
      <c r="B46" s="34">
        <f t="shared" si="9"/>
        <v>36</v>
      </c>
      <c r="C46" s="30" t="s">
        <v>130</v>
      </c>
      <c r="D46" s="30" t="s">
        <v>128</v>
      </c>
      <c r="E46" s="30" t="s">
        <v>132</v>
      </c>
      <c r="F46" s="30" t="s">
        <v>129</v>
      </c>
      <c r="G46" s="30" t="s">
        <v>138</v>
      </c>
      <c r="H46" s="35" t="s">
        <v>129</v>
      </c>
      <c r="J46" s="34">
        <f t="shared" si="3"/>
        <v>1</v>
      </c>
      <c r="K46" s="30">
        <f t="shared" si="3"/>
        <v>1</v>
      </c>
      <c r="L46" s="30">
        <f t="shared" si="3"/>
        <v>1</v>
      </c>
      <c r="M46" s="30">
        <f t="shared" si="3"/>
        <v>1</v>
      </c>
      <c r="N46" s="30">
        <f t="shared" si="3"/>
        <v>1</v>
      </c>
      <c r="O46" s="35">
        <f t="shared" si="3"/>
        <v>1</v>
      </c>
      <c r="Y46" s="21"/>
      <c r="Z46" s="21"/>
      <c r="AA46" s="21"/>
      <c r="AB46" s="40" t="str">
        <f t="shared" si="11"/>
        <v>0000000020000</v>
      </c>
      <c r="AC46" s="15" t="str">
        <f t="shared" si="11"/>
        <v>0000002000000</v>
      </c>
      <c r="AD46" s="15" t="str">
        <f t="shared" si="11"/>
        <v>0000000000200</v>
      </c>
      <c r="AE46" s="15" t="str">
        <f t="shared" si="11"/>
        <v>0000000002000</v>
      </c>
      <c r="AF46" s="15" t="str">
        <f t="shared" si="11"/>
        <v>0000000000020</v>
      </c>
      <c r="AG46" s="41" t="str">
        <f t="shared" si="11"/>
        <v>0000000002000</v>
      </c>
      <c r="AH46" s="15"/>
      <c r="AI46" s="21">
        <v>3</v>
      </c>
      <c r="AJ46" s="20" t="str">
        <f t="shared" si="19"/>
        <v>EE-3</v>
      </c>
      <c r="AK46" s="39" cm="1">
        <f t="array" ref="AK46">SUMPRODUCT(--(MID(AB$10:AB$135, SUMIF($Z$9:$Z$21, LEFT($AJ46,2), $Y$9:$Y$21), 1) = RIGHT($AJ46, 1)), J$10:J$135)</f>
        <v>0</v>
      </c>
      <c r="AL46" s="39" cm="1">
        <f t="array" ref="AL46">SUMPRODUCT(--(MID(AC$10:AC$135, SUMIF($Z$9:$Z$21, LEFT($AJ46,2), $Y$9:$Y$21), 1) = RIGHT($AJ46, 1)), K$10:K$135)</f>
        <v>0</v>
      </c>
      <c r="AM46" s="39" cm="1">
        <f t="array" ref="AM46">SUMPRODUCT(--(MID(AD$10:AD$135, SUMIF($Z$9:$Z$21, LEFT($AJ46,2), $Y$9:$Y$21), 1) = RIGHT($AJ46, 1)), L$10:L$135)</f>
        <v>0</v>
      </c>
      <c r="AN46" s="39" cm="1">
        <f t="array" ref="AN46">SUMPRODUCT(--(MID(AE$10:AE$135, SUMIF($Z$9:$Z$21, LEFT($AJ46,2), $Y$9:$Y$21), 1) = RIGHT($AJ46, 1)), M$10:M$135)</f>
        <v>0</v>
      </c>
      <c r="AO46" s="39" cm="1">
        <f t="array" ref="AO46">SUMPRODUCT(--(MID(AF$10:AF$135, SUMIF($Z$9:$Z$21, LEFT($AJ46,2), $Y$9:$Y$21), 1) = RIGHT($AJ46, 1)), N$10:N$135)</f>
        <v>0</v>
      </c>
      <c r="AP46" s="19" cm="1">
        <f t="array" ref="AP46">SUMPRODUCT(--(MID(AG$10:AG$135, SUMIF($Z$9:$Z$21, LEFT($AJ46,2), $Y$9:$Y$21), 1) = RIGHT($AJ46, 1)), O$10:O$135)</f>
        <v>0</v>
      </c>
    </row>
    <row r="47" spans="2:50">
      <c r="B47" s="34">
        <f t="shared" si="9"/>
        <v>37</v>
      </c>
      <c r="C47" s="30" t="s">
        <v>136</v>
      </c>
      <c r="D47" s="30" t="s">
        <v>128</v>
      </c>
      <c r="E47" s="30" t="s">
        <v>132</v>
      </c>
      <c r="F47" s="30" t="s">
        <v>129</v>
      </c>
      <c r="G47" s="30" t="s">
        <v>138</v>
      </c>
      <c r="H47" s="35" t="s">
        <v>129</v>
      </c>
      <c r="J47" s="34">
        <f t="shared" si="3"/>
        <v>1</v>
      </c>
      <c r="K47" s="30">
        <f t="shared" si="3"/>
        <v>1</v>
      </c>
      <c r="L47" s="30">
        <f t="shared" si="3"/>
        <v>1</v>
      </c>
      <c r="M47" s="30">
        <f t="shared" si="3"/>
        <v>1</v>
      </c>
      <c r="N47" s="30">
        <f t="shared" si="3"/>
        <v>1</v>
      </c>
      <c r="O47" s="35">
        <f t="shared" si="3"/>
        <v>1</v>
      </c>
      <c r="Y47" s="21"/>
      <c r="Z47" s="21"/>
      <c r="AA47" s="21"/>
      <c r="AB47" s="40" t="str">
        <f t="shared" si="11"/>
        <v>0000100010000</v>
      </c>
      <c r="AC47" s="15" t="str">
        <f t="shared" si="11"/>
        <v>0000002000000</v>
      </c>
      <c r="AD47" s="15" t="str">
        <f t="shared" si="11"/>
        <v>0000000000200</v>
      </c>
      <c r="AE47" s="15" t="str">
        <f t="shared" si="11"/>
        <v>0000000002000</v>
      </c>
      <c r="AF47" s="15" t="str">
        <f t="shared" si="11"/>
        <v>0000000000020</v>
      </c>
      <c r="AG47" s="41" t="str">
        <f t="shared" si="11"/>
        <v>0000000002000</v>
      </c>
      <c r="AH47" s="15"/>
      <c r="AI47" s="21">
        <v>2</v>
      </c>
      <c r="AJ47" s="20" t="str">
        <f t="shared" si="19"/>
        <v>EE-2</v>
      </c>
      <c r="AK47" s="39" cm="1">
        <f t="array" ref="AK47">SUMPRODUCT(--(MID(AB$10:AB$135, SUMIF($Z$9:$Z$21, LEFT($AJ47,2), $Y$9:$Y$21), 1) = RIGHT($AJ47, 1)), J$10:J$135)</f>
        <v>1</v>
      </c>
      <c r="AL47" s="39" cm="1">
        <f t="array" ref="AL47">SUMPRODUCT(--(MID(AC$10:AC$135, SUMIF($Z$9:$Z$21, LEFT($AJ47,2), $Y$9:$Y$21), 1) = RIGHT($AJ47, 1)), K$10:K$135)</f>
        <v>2</v>
      </c>
      <c r="AM47" s="39" cm="1">
        <f t="array" ref="AM47">SUMPRODUCT(--(MID(AD$10:AD$135, SUMIF($Z$9:$Z$21, LEFT($AJ47,2), $Y$9:$Y$21), 1) = RIGHT($AJ47, 1)), L$10:L$135)</f>
        <v>2</v>
      </c>
      <c r="AN47" s="39" cm="1">
        <f t="array" ref="AN47">SUMPRODUCT(--(MID(AE$10:AE$135, SUMIF($Z$9:$Z$21, LEFT($AJ47,2), $Y$9:$Y$21), 1) = RIGHT($AJ47, 1)), M$10:M$135)</f>
        <v>0</v>
      </c>
      <c r="AO47" s="39" cm="1">
        <f t="array" ref="AO47">SUMPRODUCT(--(MID(AF$10:AF$135, SUMIF($Z$9:$Z$21, LEFT($AJ47,2), $Y$9:$Y$21), 1) = RIGHT($AJ47, 1)), N$10:N$135)</f>
        <v>0</v>
      </c>
      <c r="AP47" s="19" cm="1">
        <f t="array" ref="AP47">SUMPRODUCT(--(MID(AG$10:AG$135, SUMIF($Z$9:$Z$21, LEFT($AJ47,2), $Y$9:$Y$21), 1) = RIGHT($AJ47, 1)), O$10:O$135)</f>
        <v>0</v>
      </c>
    </row>
    <row r="48" spans="2:50">
      <c r="B48" s="34">
        <f t="shared" si="9"/>
        <v>38</v>
      </c>
      <c r="C48" s="30" t="s">
        <v>127</v>
      </c>
      <c r="D48" s="30" t="s">
        <v>136</v>
      </c>
      <c r="E48" s="30" t="s">
        <v>137</v>
      </c>
      <c r="F48" s="30" t="s">
        <v>136</v>
      </c>
      <c r="G48" s="30" t="s">
        <v>131</v>
      </c>
      <c r="H48" s="35" t="s">
        <v>127</v>
      </c>
      <c r="J48" s="34">
        <f t="shared" si="3"/>
        <v>1</v>
      </c>
      <c r="K48" s="30">
        <f t="shared" si="3"/>
        <v>1</v>
      </c>
      <c r="L48" s="30">
        <f t="shared" si="3"/>
        <v>1</v>
      </c>
      <c r="M48" s="30">
        <f t="shared" si="3"/>
        <v>1</v>
      </c>
      <c r="N48" s="30">
        <f t="shared" si="3"/>
        <v>1</v>
      </c>
      <c r="O48" s="35">
        <f t="shared" si="3"/>
        <v>1</v>
      </c>
      <c r="Y48" s="21"/>
      <c r="Z48" s="21"/>
      <c r="AA48" s="15"/>
      <c r="AB48" s="40" t="str">
        <f t="shared" si="11"/>
        <v>0010100000000</v>
      </c>
      <c r="AC48" s="15" t="str">
        <f t="shared" si="11"/>
        <v>0000101000000</v>
      </c>
      <c r="AD48" s="15" t="str">
        <f t="shared" si="11"/>
        <v>0000010000100</v>
      </c>
      <c r="AE48" s="15" t="str">
        <f t="shared" si="11"/>
        <v>0000100001000</v>
      </c>
      <c r="AF48" s="15" t="str">
        <f t="shared" si="11"/>
        <v>0100000000010</v>
      </c>
      <c r="AG48" s="41" t="str">
        <f t="shared" si="11"/>
        <v>0010000001000</v>
      </c>
      <c r="AH48" s="15"/>
      <c r="AI48" s="21">
        <v>1</v>
      </c>
      <c r="AJ48" s="20" t="str">
        <f t="shared" si="19"/>
        <v>EE-1</v>
      </c>
      <c r="AK48" s="39" cm="1">
        <f t="array" ref="AK48">SUMPRODUCT(--(MID(AB$10:AB$135, SUMIF($Z$9:$Z$21, LEFT($AJ48,2), $Y$9:$Y$21), 1) = RIGHT($AJ48, 1)), J$10:J$135)</f>
        <v>4</v>
      </c>
      <c r="AL48" s="39" cm="1">
        <f t="array" ref="AL48">SUMPRODUCT(--(MID(AC$10:AC$135, SUMIF($Z$9:$Z$21, LEFT($AJ48,2), $Y$9:$Y$21), 1) = RIGHT($AJ48, 1)), K$10:K$135)</f>
        <v>10</v>
      </c>
      <c r="AM48" s="39" cm="1">
        <f t="array" ref="AM48">SUMPRODUCT(--(MID(AD$10:AD$135, SUMIF($Z$9:$Z$21, LEFT($AJ48,2), $Y$9:$Y$21), 1) = RIGHT($AJ48, 1)), L$10:L$135)</f>
        <v>12</v>
      </c>
      <c r="AN48" s="39" cm="1">
        <f t="array" ref="AN48">SUMPRODUCT(--(MID(AE$10:AE$135, SUMIF($Z$9:$Z$21, LEFT($AJ48,2), $Y$9:$Y$21), 1) = RIGHT($AJ48, 1)), M$10:M$135)</f>
        <v>4</v>
      </c>
      <c r="AO48" s="39" cm="1">
        <f t="array" ref="AO48">SUMPRODUCT(--(MID(AF$10:AF$135, SUMIF($Z$9:$Z$21, LEFT($AJ48,2), $Y$9:$Y$21), 1) = RIGHT($AJ48, 1)), N$10:N$135)</f>
        <v>2</v>
      </c>
      <c r="AP48" s="19" cm="1">
        <f t="array" ref="AP48">SUMPRODUCT(--(MID(AG$10:AG$135, SUMIF($Z$9:$Z$21, LEFT($AJ48,2), $Y$9:$Y$21), 1) = RIGHT($AJ48, 1)), O$10:O$135)</f>
        <v>2</v>
      </c>
    </row>
    <row r="49" spans="2:42">
      <c r="B49" s="34">
        <f t="shared" si="9"/>
        <v>39</v>
      </c>
      <c r="C49" s="30" t="s">
        <v>129</v>
      </c>
      <c r="D49" s="30" t="s">
        <v>131</v>
      </c>
      <c r="E49" s="30" t="s">
        <v>132</v>
      </c>
      <c r="F49" s="30" t="s">
        <v>133</v>
      </c>
      <c r="G49" s="30" t="s">
        <v>128</v>
      </c>
      <c r="H49" s="35" t="s">
        <v>138</v>
      </c>
      <c r="J49" s="34">
        <f t="shared" si="3"/>
        <v>1</v>
      </c>
      <c r="K49" s="30">
        <f t="shared" si="3"/>
        <v>1</v>
      </c>
      <c r="L49" s="30">
        <f t="shared" si="3"/>
        <v>1</v>
      </c>
      <c r="M49" s="30">
        <f t="shared" si="3"/>
        <v>1</v>
      </c>
      <c r="N49" s="30">
        <f t="shared" si="3"/>
        <v>1</v>
      </c>
      <c r="O49" s="35">
        <f t="shared" si="3"/>
        <v>1</v>
      </c>
      <c r="Y49" s="21"/>
      <c r="Z49" s="21"/>
      <c r="AA49" s="15"/>
      <c r="AB49" s="40" t="str">
        <f t="shared" si="11"/>
        <v>0010000001000</v>
      </c>
      <c r="AC49" s="15" t="str">
        <f t="shared" si="11"/>
        <v>0100100000000</v>
      </c>
      <c r="AD49" s="15" t="str">
        <f t="shared" si="11"/>
        <v>0000010000100</v>
      </c>
      <c r="AE49" s="15" t="str">
        <f t="shared" si="11"/>
        <v>0000100100000</v>
      </c>
      <c r="AF49" s="15" t="str">
        <f t="shared" si="11"/>
        <v>0100001000000</v>
      </c>
      <c r="AG49" s="41" t="str">
        <f t="shared" si="11"/>
        <v>0010000000010</v>
      </c>
      <c r="AH49" s="15"/>
      <c r="AI49" s="21">
        <v>0</v>
      </c>
      <c r="AJ49" s="20" t="str">
        <f t="shared" si="19"/>
        <v>EE-0</v>
      </c>
      <c r="AK49" s="39" cm="1">
        <f t="array" ref="AK49">SUMPRODUCT(--(MID(AB$10:AB$135, SUMIF($Z$9:$Z$21, LEFT($AJ49,2), $Y$9:$Y$21), 1) = RIGHT($AJ49, 1)), J$10:J$135)</f>
        <v>35</v>
      </c>
      <c r="AL49" s="39" cm="1">
        <f t="array" ref="AL49">SUMPRODUCT(--(MID(AC$10:AC$135, SUMIF($Z$9:$Z$21, LEFT($AJ49,2), $Y$9:$Y$21), 1) = RIGHT($AJ49, 1)), K$10:K$135)</f>
        <v>61</v>
      </c>
      <c r="AM49" s="39" cm="1">
        <f t="array" ref="AM49">SUMPRODUCT(--(MID(AD$10:AD$135, SUMIF($Z$9:$Z$21, LEFT($AJ49,2), $Y$9:$Y$21), 1) = RIGHT($AJ49, 1)), L$10:L$135)</f>
        <v>70</v>
      </c>
      <c r="AN49" s="39" cm="1">
        <f t="array" ref="AN49">SUMPRODUCT(--(MID(AE$10:AE$135, SUMIF($Z$9:$Z$21, LEFT($AJ49,2), $Y$9:$Y$21), 1) = RIGHT($AJ49, 1)), M$10:M$135)</f>
        <v>63</v>
      </c>
      <c r="AO49" s="39" cm="1">
        <f t="array" ref="AO49">SUMPRODUCT(--(MID(AF$10:AF$135, SUMIF($Z$9:$Z$21, LEFT($AJ49,2), $Y$9:$Y$21), 1) = RIGHT($AJ49, 1)), N$10:N$135)</f>
        <v>89</v>
      </c>
      <c r="AP49" s="19" cm="1">
        <f t="array" ref="AP49">SUMPRODUCT(--(MID(AG$10:AG$135, SUMIF($Z$9:$Z$21, LEFT($AJ49,2), $Y$9:$Y$21), 1) = RIGHT($AJ49, 1)), O$10:O$135)</f>
        <v>48</v>
      </c>
    </row>
    <row r="50" spans="2:42">
      <c r="B50" s="34">
        <f t="shared" si="9"/>
        <v>40</v>
      </c>
      <c r="C50" s="30"/>
      <c r="D50" s="30" t="s">
        <v>133</v>
      </c>
      <c r="E50" s="30" t="s">
        <v>137</v>
      </c>
      <c r="F50" s="30" t="s">
        <v>136</v>
      </c>
      <c r="G50" s="30" t="s">
        <v>133</v>
      </c>
      <c r="H50" s="35" t="s">
        <v>136</v>
      </c>
      <c r="J50" s="34" t="str">
        <f t="shared" si="3"/>
        <v/>
      </c>
      <c r="K50" s="30">
        <f t="shared" si="3"/>
        <v>1</v>
      </c>
      <c r="L50" s="30">
        <f t="shared" si="3"/>
        <v>1</v>
      </c>
      <c r="M50" s="30">
        <f t="shared" si="3"/>
        <v>1</v>
      </c>
      <c r="N50" s="30">
        <f t="shared" si="3"/>
        <v>1</v>
      </c>
      <c r="O50" s="35">
        <f t="shared" si="3"/>
        <v>1</v>
      </c>
      <c r="Y50" s="21"/>
      <c r="Z50" s="21"/>
      <c r="AA50" s="15"/>
      <c r="AB50" s="40" t="str">
        <f t="shared" si="11"/>
        <v/>
      </c>
      <c r="AC50" s="15" t="str">
        <f t="shared" si="11"/>
        <v>0100000100000</v>
      </c>
      <c r="AD50" s="15" t="str">
        <f t="shared" si="11"/>
        <v>0000010000100</v>
      </c>
      <c r="AE50" s="15" t="str">
        <f t="shared" si="11"/>
        <v>0000100100000</v>
      </c>
      <c r="AF50" s="15" t="str">
        <f t="shared" si="11"/>
        <v>0000001100000</v>
      </c>
      <c r="AG50" s="41" t="str">
        <f t="shared" si="11"/>
        <v>0000100000010</v>
      </c>
      <c r="AH50" s="15"/>
      <c r="AI50" s="21">
        <v>7</v>
      </c>
      <c r="AJ50" s="20" t="str">
        <f>$Z$15&amp;"-7"</f>
        <v>FF-7</v>
      </c>
      <c r="AK50" s="39" cm="1">
        <f t="array" ref="AK50">SUMPRODUCT(--(MID(AB$10:AB$135, SUMIF($Z$9:$Z$21, LEFT($AJ50,2), $Y$9:$Y$21), 1) = RIGHT($AJ50, 1)), J$10:J$135)</f>
        <v>0</v>
      </c>
      <c r="AL50" s="39" cm="1">
        <f t="array" ref="AL50">SUMPRODUCT(--(MID(AC$10:AC$135, SUMIF($Z$9:$Z$21, LEFT($AJ50,2), $Y$9:$Y$21), 1) = RIGHT($AJ50, 1)), K$10:K$135)</f>
        <v>0</v>
      </c>
      <c r="AM50" s="39" cm="1">
        <f t="array" ref="AM50">SUMPRODUCT(--(MID(AD$10:AD$135, SUMIF($Z$9:$Z$21, LEFT($AJ50,2), $Y$9:$Y$21), 1) = RIGHT($AJ50, 1)), L$10:L$135)</f>
        <v>0</v>
      </c>
      <c r="AN50" s="39" cm="1">
        <f t="array" ref="AN50">SUMPRODUCT(--(MID(AE$10:AE$135, SUMIF($Z$9:$Z$21, LEFT($AJ50,2), $Y$9:$Y$21), 1) = RIGHT($AJ50, 1)), M$10:M$135)</f>
        <v>0</v>
      </c>
      <c r="AO50" s="39" cm="1">
        <f t="array" ref="AO50">SUMPRODUCT(--(MID(AF$10:AF$135, SUMIF($Z$9:$Z$21, LEFT($AJ50,2), $Y$9:$Y$21), 1) = RIGHT($AJ50, 1)), N$10:N$135)</f>
        <v>0</v>
      </c>
      <c r="AP50" s="19" cm="1">
        <f t="array" ref="AP50">SUMPRODUCT(--(MID(AG$10:AG$135, SUMIF($Z$9:$Z$21, LEFT($AJ50,2), $Y$9:$Y$21), 1) = RIGHT($AJ50, 1)), O$10:O$135)</f>
        <v>0</v>
      </c>
    </row>
    <row r="51" spans="2:42">
      <c r="B51" s="34">
        <f t="shared" si="9"/>
        <v>41</v>
      </c>
      <c r="C51" s="30"/>
      <c r="D51" s="30" t="s">
        <v>138</v>
      </c>
      <c r="E51" s="30" t="s">
        <v>136</v>
      </c>
      <c r="F51" s="30" t="s">
        <v>138</v>
      </c>
      <c r="G51" s="30" t="s">
        <v>136</v>
      </c>
      <c r="H51" s="35" t="s">
        <v>131</v>
      </c>
      <c r="J51" s="34" t="str">
        <f t="shared" si="3"/>
        <v/>
      </c>
      <c r="K51" s="30">
        <f t="shared" si="3"/>
        <v>1</v>
      </c>
      <c r="L51" s="30">
        <f t="shared" si="3"/>
        <v>1</v>
      </c>
      <c r="M51" s="30">
        <f t="shared" si="3"/>
        <v>1</v>
      </c>
      <c r="N51" s="30">
        <f t="shared" si="3"/>
        <v>1</v>
      </c>
      <c r="O51" s="35">
        <f t="shared" si="3"/>
        <v>1</v>
      </c>
      <c r="Y51" s="21"/>
      <c r="Z51" s="21"/>
      <c r="AA51" s="15"/>
      <c r="AB51" s="40" t="str">
        <f t="shared" si="11"/>
        <v/>
      </c>
      <c r="AC51" s="15" t="str">
        <f t="shared" si="11"/>
        <v>0000000100010</v>
      </c>
      <c r="AD51" s="15" t="str">
        <f t="shared" si="11"/>
        <v>0000110000000</v>
      </c>
      <c r="AE51" s="15" t="str">
        <f t="shared" si="11"/>
        <v>0000100000010</v>
      </c>
      <c r="AF51" s="15" t="str">
        <f t="shared" si="11"/>
        <v>0000100100000</v>
      </c>
      <c r="AG51" s="41" t="str">
        <f t="shared" si="11"/>
        <v>0100100000000</v>
      </c>
      <c r="AH51" s="15"/>
      <c r="AI51" s="21">
        <v>6</v>
      </c>
      <c r="AJ51" s="20" t="str">
        <f>LEFT(AJ50,3) &amp; RIGHT(AJ50,1)-1</f>
        <v>FF-6</v>
      </c>
      <c r="AK51" s="39" cm="1">
        <f t="array" ref="AK51">SUMPRODUCT(--(MID(AB$10:AB$135, SUMIF($Z$9:$Z$21, LEFT($AJ51,2), $Y$9:$Y$21), 1) = RIGHT($AJ51, 1)), J$10:J$135)</f>
        <v>0</v>
      </c>
      <c r="AL51" s="39" cm="1">
        <f t="array" ref="AL51">SUMPRODUCT(--(MID(AC$10:AC$135, SUMIF($Z$9:$Z$21, LEFT($AJ51,2), $Y$9:$Y$21), 1) = RIGHT($AJ51, 1)), K$10:K$135)</f>
        <v>0</v>
      </c>
      <c r="AM51" s="39" cm="1">
        <f t="array" ref="AM51">SUMPRODUCT(--(MID(AD$10:AD$135, SUMIF($Z$9:$Z$21, LEFT($AJ51,2), $Y$9:$Y$21), 1) = RIGHT($AJ51, 1)), L$10:L$135)</f>
        <v>0</v>
      </c>
      <c r="AN51" s="39" cm="1">
        <f t="array" ref="AN51">SUMPRODUCT(--(MID(AE$10:AE$135, SUMIF($Z$9:$Z$21, LEFT($AJ51,2), $Y$9:$Y$21), 1) = RIGHT($AJ51, 1)), M$10:M$135)</f>
        <v>0</v>
      </c>
      <c r="AO51" s="39" cm="1">
        <f t="array" ref="AO51">SUMPRODUCT(--(MID(AF$10:AF$135, SUMIF($Z$9:$Z$21, LEFT($AJ51,2), $Y$9:$Y$21), 1) = RIGHT($AJ51, 1)), N$10:N$135)</f>
        <v>0</v>
      </c>
      <c r="AP51" s="19" cm="1">
        <f t="array" ref="AP51">SUMPRODUCT(--(MID(AG$10:AG$135, SUMIF($Z$9:$Z$21, LEFT($AJ51,2), $Y$9:$Y$21), 1) = RIGHT($AJ51, 1)), O$10:O$135)</f>
        <v>0</v>
      </c>
    </row>
    <row r="52" spans="2:42">
      <c r="B52" s="34">
        <f t="shared" si="9"/>
        <v>42</v>
      </c>
      <c r="C52" s="30"/>
      <c r="D52" s="30" t="s">
        <v>137</v>
      </c>
      <c r="E52" s="30" t="s">
        <v>133</v>
      </c>
      <c r="F52" s="30" t="s">
        <v>128</v>
      </c>
      <c r="G52" s="30" t="s">
        <v>132</v>
      </c>
      <c r="H52" s="35" t="s">
        <v>129</v>
      </c>
      <c r="J52" s="34" t="str">
        <f t="shared" si="3"/>
        <v/>
      </c>
      <c r="K52" s="30">
        <f t="shared" si="3"/>
        <v>1</v>
      </c>
      <c r="L52" s="30">
        <f t="shared" si="3"/>
        <v>1</v>
      </c>
      <c r="M52" s="30">
        <f t="shared" si="3"/>
        <v>1</v>
      </c>
      <c r="N52" s="30">
        <f t="shared" si="3"/>
        <v>1</v>
      </c>
      <c r="O52" s="35">
        <f t="shared" si="3"/>
        <v>1</v>
      </c>
      <c r="Y52" s="21"/>
      <c r="Z52" s="21"/>
      <c r="AA52" s="15"/>
      <c r="AB52" s="40" t="str">
        <f t="shared" si="11"/>
        <v/>
      </c>
      <c r="AC52" s="15" t="str">
        <f t="shared" si="11"/>
        <v>0000010000010</v>
      </c>
      <c r="AD52" s="15" t="str">
        <f t="shared" si="11"/>
        <v>0000100100000</v>
      </c>
      <c r="AE52" s="15" t="str">
        <f t="shared" si="11"/>
        <v>0000001000010</v>
      </c>
      <c r="AF52" s="15" t="str">
        <f t="shared" si="11"/>
        <v>0000100000100</v>
      </c>
      <c r="AG52" s="41" t="str">
        <f t="shared" si="11"/>
        <v>0100000001000</v>
      </c>
      <c r="AH52" s="15"/>
      <c r="AI52" s="21">
        <v>5</v>
      </c>
      <c r="AJ52" s="20" t="str">
        <f t="shared" ref="AJ52:AJ57" si="20">LEFT(AJ51,3) &amp; RIGHT(AJ51,1)-1</f>
        <v>FF-5</v>
      </c>
      <c r="AK52" s="39" cm="1">
        <f t="array" ref="AK52">SUMPRODUCT(--(MID(AB$10:AB$135, SUMIF($Z$9:$Z$21, LEFT($AJ52,2), $Y$9:$Y$21), 1) = RIGHT($AJ52, 1)), J$10:J$135)</f>
        <v>0</v>
      </c>
      <c r="AL52" s="39" cm="1">
        <f t="array" ref="AL52">SUMPRODUCT(--(MID(AC$10:AC$135, SUMIF($Z$9:$Z$21, LEFT($AJ52,2), $Y$9:$Y$21), 1) = RIGHT($AJ52, 1)), K$10:K$135)</f>
        <v>0</v>
      </c>
      <c r="AM52" s="39" cm="1">
        <f t="array" ref="AM52">SUMPRODUCT(--(MID(AD$10:AD$135, SUMIF($Z$9:$Z$21, LEFT($AJ52,2), $Y$9:$Y$21), 1) = RIGHT($AJ52, 1)), L$10:L$135)</f>
        <v>0</v>
      </c>
      <c r="AN52" s="39" cm="1">
        <f t="array" ref="AN52">SUMPRODUCT(--(MID(AE$10:AE$135, SUMIF($Z$9:$Z$21, LEFT($AJ52,2), $Y$9:$Y$21), 1) = RIGHT($AJ52, 1)), M$10:M$135)</f>
        <v>0</v>
      </c>
      <c r="AO52" s="39" cm="1">
        <f t="array" ref="AO52">SUMPRODUCT(--(MID(AF$10:AF$135, SUMIF($Z$9:$Z$21, LEFT($AJ52,2), $Y$9:$Y$21), 1) = RIGHT($AJ52, 1)), N$10:N$135)</f>
        <v>0</v>
      </c>
      <c r="AP52" s="19" cm="1">
        <f t="array" ref="AP52">SUMPRODUCT(--(MID(AG$10:AG$135, SUMIF($Z$9:$Z$21, LEFT($AJ52,2), $Y$9:$Y$21), 1) = RIGHT($AJ52, 1)), O$10:O$135)</f>
        <v>0</v>
      </c>
    </row>
    <row r="53" spans="2:42">
      <c r="B53" s="34">
        <f t="shared" si="9"/>
        <v>43</v>
      </c>
      <c r="C53" s="30"/>
      <c r="D53" s="30" t="s">
        <v>133</v>
      </c>
      <c r="E53" s="30" t="s">
        <v>129</v>
      </c>
      <c r="F53" s="30" t="s">
        <v>136</v>
      </c>
      <c r="G53" s="30" t="s">
        <v>128</v>
      </c>
      <c r="H53" s="35" t="s">
        <v>138</v>
      </c>
      <c r="J53" s="34" t="str">
        <f t="shared" si="3"/>
        <v/>
      </c>
      <c r="K53" s="30">
        <f t="shared" si="3"/>
        <v>1</v>
      </c>
      <c r="L53" s="30">
        <f t="shared" si="3"/>
        <v>1</v>
      </c>
      <c r="M53" s="30">
        <f t="shared" si="3"/>
        <v>1</v>
      </c>
      <c r="N53" s="30">
        <f t="shared" si="3"/>
        <v>1</v>
      </c>
      <c r="O53" s="35">
        <f t="shared" si="3"/>
        <v>1</v>
      </c>
      <c r="Y53" s="21"/>
      <c r="Z53" s="21"/>
      <c r="AA53" s="15"/>
      <c r="AB53" s="40" t="str">
        <f t="shared" si="11"/>
        <v/>
      </c>
      <c r="AC53" s="15" t="str">
        <f t="shared" si="11"/>
        <v>0000010100000</v>
      </c>
      <c r="AD53" s="15" t="str">
        <f t="shared" si="11"/>
        <v>0000000101000</v>
      </c>
      <c r="AE53" s="15" t="str">
        <f t="shared" si="11"/>
        <v>0000101000000</v>
      </c>
      <c r="AF53" s="15" t="str">
        <f t="shared" si="11"/>
        <v>0000001000100</v>
      </c>
      <c r="AG53" s="41" t="str">
        <f t="shared" si="11"/>
        <v>0000000001010</v>
      </c>
      <c r="AH53" s="15"/>
      <c r="AI53" s="21">
        <v>4</v>
      </c>
      <c r="AJ53" s="20" t="str">
        <f t="shared" si="20"/>
        <v>FF-4</v>
      </c>
      <c r="AK53" s="39" cm="1">
        <f t="array" ref="AK53">SUMPRODUCT(--(MID(AB$10:AB$135, SUMIF($Z$9:$Z$21, LEFT($AJ53,2), $Y$9:$Y$21), 1) = RIGHT($AJ53, 1)), J$10:J$135)</f>
        <v>0</v>
      </c>
      <c r="AL53" s="39" cm="1">
        <f t="array" ref="AL53">SUMPRODUCT(--(MID(AC$10:AC$135, SUMIF($Z$9:$Z$21, LEFT($AJ53,2), $Y$9:$Y$21), 1) = RIGHT($AJ53, 1)), K$10:K$135)</f>
        <v>0</v>
      </c>
      <c r="AM53" s="39" cm="1">
        <f t="array" ref="AM53">SUMPRODUCT(--(MID(AD$10:AD$135, SUMIF($Z$9:$Z$21, LEFT($AJ53,2), $Y$9:$Y$21), 1) = RIGHT($AJ53, 1)), L$10:L$135)</f>
        <v>0</v>
      </c>
      <c r="AN53" s="39" cm="1">
        <f t="array" ref="AN53">SUMPRODUCT(--(MID(AE$10:AE$135, SUMIF($Z$9:$Z$21, LEFT($AJ53,2), $Y$9:$Y$21), 1) = RIGHT($AJ53, 1)), M$10:M$135)</f>
        <v>0</v>
      </c>
      <c r="AO53" s="39" cm="1">
        <f t="array" ref="AO53">SUMPRODUCT(--(MID(AF$10:AF$135, SUMIF($Z$9:$Z$21, LEFT($AJ53,2), $Y$9:$Y$21), 1) = RIGHT($AJ53, 1)), N$10:N$135)</f>
        <v>0</v>
      </c>
      <c r="AP53" s="19" cm="1">
        <f t="array" ref="AP53">SUMPRODUCT(--(MID(AG$10:AG$135, SUMIF($Z$9:$Z$21, LEFT($AJ53,2), $Y$9:$Y$21), 1) = RIGHT($AJ53, 1)), O$10:O$135)</f>
        <v>0</v>
      </c>
    </row>
    <row r="54" spans="2:42">
      <c r="B54" s="34">
        <f t="shared" si="9"/>
        <v>44</v>
      </c>
      <c r="C54" s="30"/>
      <c r="D54" s="30" t="s">
        <v>137</v>
      </c>
      <c r="E54" s="30" t="s">
        <v>132</v>
      </c>
      <c r="F54" s="30" t="s">
        <v>128</v>
      </c>
      <c r="G54" s="30" t="s">
        <v>133</v>
      </c>
      <c r="H54" s="35" t="s">
        <v>131</v>
      </c>
      <c r="J54" s="34" t="str">
        <f t="shared" si="3"/>
        <v/>
      </c>
      <c r="K54" s="30">
        <f t="shared" si="3"/>
        <v>1</v>
      </c>
      <c r="L54" s="30">
        <f t="shared" si="3"/>
        <v>1</v>
      </c>
      <c r="M54" s="30">
        <f t="shared" si="3"/>
        <v>1</v>
      </c>
      <c r="N54" s="30">
        <f t="shared" si="3"/>
        <v>1</v>
      </c>
      <c r="O54" s="35">
        <f t="shared" si="3"/>
        <v>1</v>
      </c>
      <c r="Y54" s="21"/>
      <c r="Z54" s="21"/>
      <c r="AA54" s="15"/>
      <c r="AB54" s="40" t="str">
        <f t="shared" si="11"/>
        <v/>
      </c>
      <c r="AC54" s="15" t="str">
        <f t="shared" si="11"/>
        <v>0000010100000</v>
      </c>
      <c r="AD54" s="15" t="str">
        <f t="shared" si="11"/>
        <v>0000000001100</v>
      </c>
      <c r="AE54" s="15" t="str">
        <f t="shared" si="11"/>
        <v>0000101000000</v>
      </c>
      <c r="AF54" s="15" t="str">
        <f t="shared" si="11"/>
        <v>0000001100000</v>
      </c>
      <c r="AG54" s="41" t="str">
        <f t="shared" si="11"/>
        <v>0100000000010</v>
      </c>
      <c r="AH54" s="15"/>
      <c r="AI54" s="21">
        <v>3</v>
      </c>
      <c r="AJ54" s="20" t="str">
        <f t="shared" si="20"/>
        <v>FF-3</v>
      </c>
      <c r="AK54" s="39" cm="1">
        <f t="array" ref="AK54">SUMPRODUCT(--(MID(AB$10:AB$135, SUMIF($Z$9:$Z$21, LEFT($AJ54,2), $Y$9:$Y$21), 1) = RIGHT($AJ54, 1)), J$10:J$135)</f>
        <v>0</v>
      </c>
      <c r="AL54" s="39" cm="1">
        <f t="array" ref="AL54">SUMPRODUCT(--(MID(AC$10:AC$135, SUMIF($Z$9:$Z$21, LEFT($AJ54,2), $Y$9:$Y$21), 1) = RIGHT($AJ54, 1)), K$10:K$135)</f>
        <v>0</v>
      </c>
      <c r="AM54" s="39" cm="1">
        <f t="array" ref="AM54">SUMPRODUCT(--(MID(AD$10:AD$135, SUMIF($Z$9:$Z$21, LEFT($AJ54,2), $Y$9:$Y$21), 1) = RIGHT($AJ54, 1)), L$10:L$135)</f>
        <v>0</v>
      </c>
      <c r="AN54" s="39" cm="1">
        <f t="array" ref="AN54">SUMPRODUCT(--(MID(AE$10:AE$135, SUMIF($Z$9:$Z$21, LEFT($AJ54,2), $Y$9:$Y$21), 1) = RIGHT($AJ54, 1)), M$10:M$135)</f>
        <v>0</v>
      </c>
      <c r="AO54" s="39" cm="1">
        <f t="array" ref="AO54">SUMPRODUCT(--(MID(AF$10:AF$135, SUMIF($Z$9:$Z$21, LEFT($AJ54,2), $Y$9:$Y$21), 1) = RIGHT($AJ54, 1)), N$10:N$135)</f>
        <v>0</v>
      </c>
      <c r="AP54" s="19" cm="1">
        <f t="array" ref="AP54">SUMPRODUCT(--(MID(AG$10:AG$135, SUMIF($Z$9:$Z$21, LEFT($AJ54,2), $Y$9:$Y$21), 1) = RIGHT($AJ54, 1)), O$10:O$135)</f>
        <v>0</v>
      </c>
    </row>
    <row r="55" spans="2:42">
      <c r="B55" s="34">
        <f t="shared" si="9"/>
        <v>45</v>
      </c>
      <c r="C55" s="30"/>
      <c r="D55" s="30" t="s">
        <v>138</v>
      </c>
      <c r="E55" s="30" t="s">
        <v>134</v>
      </c>
      <c r="F55" s="30" t="s">
        <v>136</v>
      </c>
      <c r="G55" s="30" t="s">
        <v>131</v>
      </c>
      <c r="H55" s="35" t="s">
        <v>136</v>
      </c>
      <c r="J55" s="34" t="str">
        <f t="shared" si="3"/>
        <v/>
      </c>
      <c r="K55" s="30">
        <f t="shared" si="3"/>
        <v>1</v>
      </c>
      <c r="L55" s="30">
        <f t="shared" si="3"/>
        <v>1</v>
      </c>
      <c r="M55" s="30">
        <f t="shared" si="3"/>
        <v>1</v>
      </c>
      <c r="N55" s="30">
        <f t="shared" si="3"/>
        <v>1</v>
      </c>
      <c r="O55" s="35">
        <f t="shared" si="3"/>
        <v>1</v>
      </c>
      <c r="Y55" s="21"/>
      <c r="Z55" s="21"/>
      <c r="AA55" s="15"/>
      <c r="AB55" s="40" t="str">
        <f t="shared" si="11"/>
        <v/>
      </c>
      <c r="AC55" s="15" t="str">
        <f t="shared" si="11"/>
        <v>0000010000010</v>
      </c>
      <c r="AD55" s="15" t="str">
        <f t="shared" si="11"/>
        <v>0001000000100</v>
      </c>
      <c r="AE55" s="15" t="str">
        <f t="shared" si="11"/>
        <v>0000101000000</v>
      </c>
      <c r="AF55" s="15" t="str">
        <f t="shared" si="11"/>
        <v>0100000100000</v>
      </c>
      <c r="AG55" s="41" t="str">
        <f t="shared" si="11"/>
        <v>0100100000000</v>
      </c>
      <c r="AH55" s="15"/>
      <c r="AI55" s="21">
        <v>2</v>
      </c>
      <c r="AJ55" s="20" t="str">
        <f t="shared" si="20"/>
        <v>FF-2</v>
      </c>
      <c r="AK55" s="39" cm="1">
        <f t="array" ref="AK55">SUMPRODUCT(--(MID(AB$10:AB$135, SUMIF($Z$9:$Z$21, LEFT($AJ55,2), $Y$9:$Y$21), 1) = RIGHT($AJ55, 1)), J$10:J$135)</f>
        <v>2</v>
      </c>
      <c r="AL55" s="39" cm="1">
        <f t="array" ref="AL55">SUMPRODUCT(--(MID(AC$10:AC$135, SUMIF($Z$9:$Z$21, LEFT($AJ55,2), $Y$9:$Y$21), 1) = RIGHT($AJ55, 1)), K$10:K$135)</f>
        <v>2</v>
      </c>
      <c r="AM55" s="39" cm="1">
        <f t="array" ref="AM55">SUMPRODUCT(--(MID(AD$10:AD$135, SUMIF($Z$9:$Z$21, LEFT($AJ55,2), $Y$9:$Y$21), 1) = RIGHT($AJ55, 1)), L$10:L$135)</f>
        <v>2</v>
      </c>
      <c r="AN55" s="39" cm="1">
        <f t="array" ref="AN55">SUMPRODUCT(--(MID(AE$10:AE$135, SUMIF($Z$9:$Z$21, LEFT($AJ55,2), $Y$9:$Y$21), 1) = RIGHT($AJ55, 1)), M$10:M$135)</f>
        <v>3</v>
      </c>
      <c r="AO55" s="39" cm="1">
        <f t="array" ref="AO55">SUMPRODUCT(--(MID(AF$10:AF$135, SUMIF($Z$9:$Z$21, LEFT($AJ55,2), $Y$9:$Y$21), 1) = RIGHT($AJ55, 1)), N$10:N$135)</f>
        <v>2</v>
      </c>
      <c r="AP55" s="19" cm="1">
        <f t="array" ref="AP55">SUMPRODUCT(--(MID(AG$10:AG$135, SUMIF($Z$9:$Z$21, LEFT($AJ55,2), $Y$9:$Y$21), 1) = RIGHT($AJ55, 1)), O$10:O$135)</f>
        <v>2</v>
      </c>
    </row>
    <row r="56" spans="2:42">
      <c r="B56" s="34">
        <f t="shared" si="9"/>
        <v>46</v>
      </c>
      <c r="C56" s="30"/>
      <c r="D56" s="30" t="s">
        <v>133</v>
      </c>
      <c r="E56" s="30" t="s">
        <v>132</v>
      </c>
      <c r="F56" s="30" t="s">
        <v>131</v>
      </c>
      <c r="G56" s="30" t="s">
        <v>128</v>
      </c>
      <c r="H56" s="35" t="s">
        <v>134</v>
      </c>
      <c r="J56" s="34" t="str">
        <f t="shared" si="3"/>
        <v/>
      </c>
      <c r="K56" s="30">
        <f t="shared" si="3"/>
        <v>1</v>
      </c>
      <c r="L56" s="30">
        <f t="shared" si="3"/>
        <v>1</v>
      </c>
      <c r="M56" s="30">
        <f t="shared" si="3"/>
        <v>1</v>
      </c>
      <c r="N56" s="30">
        <f t="shared" si="3"/>
        <v>1</v>
      </c>
      <c r="O56" s="35">
        <f t="shared" si="3"/>
        <v>1</v>
      </c>
      <c r="Y56" s="21"/>
      <c r="Z56" s="21"/>
      <c r="AA56" s="15"/>
      <c r="AB56" s="40" t="str">
        <f t="shared" si="11"/>
        <v/>
      </c>
      <c r="AC56" s="15" t="str">
        <f t="shared" si="11"/>
        <v>0000000100010</v>
      </c>
      <c r="AD56" s="15" t="str">
        <f t="shared" si="11"/>
        <v>0001000000100</v>
      </c>
      <c r="AE56" s="15" t="str">
        <f t="shared" si="11"/>
        <v>0100100000000</v>
      </c>
      <c r="AF56" s="15" t="str">
        <f t="shared" si="11"/>
        <v>0100001000000</v>
      </c>
      <c r="AG56" s="41" t="str">
        <f t="shared" si="11"/>
        <v>0001100000000</v>
      </c>
      <c r="AH56" s="15"/>
      <c r="AI56" s="21">
        <v>1</v>
      </c>
      <c r="AJ56" s="20" t="str">
        <f t="shared" si="20"/>
        <v>FF-1</v>
      </c>
      <c r="AK56" s="39" cm="1">
        <f t="array" ref="AK56">SUMPRODUCT(--(MID(AB$10:AB$135, SUMIF($Z$9:$Z$21, LEFT($AJ56,2), $Y$9:$Y$21), 1) = RIGHT($AJ56, 1)), J$10:J$135)</f>
        <v>4</v>
      </c>
      <c r="AL56" s="39" cm="1">
        <f t="array" ref="AL56">SUMPRODUCT(--(MID(AC$10:AC$135, SUMIF($Z$9:$Z$21, LEFT($AJ56,2), $Y$9:$Y$21), 1) = RIGHT($AJ56, 1)), K$10:K$135)</f>
        <v>6</v>
      </c>
      <c r="AM56" s="39" cm="1">
        <f t="array" ref="AM56">SUMPRODUCT(--(MID(AD$10:AD$135, SUMIF($Z$9:$Z$21, LEFT($AJ56,2), $Y$9:$Y$21), 1) = RIGHT($AJ56, 1)), L$10:L$135)</f>
        <v>4</v>
      </c>
      <c r="AN56" s="39" cm="1">
        <f t="array" ref="AN56">SUMPRODUCT(--(MID(AE$10:AE$135, SUMIF($Z$9:$Z$21, LEFT($AJ56,2), $Y$9:$Y$21), 1) = RIGHT($AJ56, 1)), M$10:M$135)</f>
        <v>12</v>
      </c>
      <c r="AO56" s="39" cm="1">
        <f t="array" ref="AO56">SUMPRODUCT(--(MID(AF$10:AF$135, SUMIF($Z$9:$Z$21, LEFT($AJ56,2), $Y$9:$Y$21), 1) = RIGHT($AJ56, 1)), N$10:N$135)</f>
        <v>14</v>
      </c>
      <c r="AP56" s="19" cm="1">
        <f t="array" ref="AP56">SUMPRODUCT(--(MID(AG$10:AG$135, SUMIF($Z$9:$Z$21, LEFT($AJ56,2), $Y$9:$Y$21), 1) = RIGHT($AJ56, 1)), O$10:O$135)</f>
        <v>4</v>
      </c>
    </row>
    <row r="57" spans="2:42">
      <c r="B57" s="34">
        <f t="shared" si="9"/>
        <v>47</v>
      </c>
      <c r="C57" s="30"/>
      <c r="D57" s="30" t="s">
        <v>132</v>
      </c>
      <c r="E57" s="30" t="s">
        <v>138</v>
      </c>
      <c r="F57" s="30" t="s">
        <v>136</v>
      </c>
      <c r="G57" s="30" t="s">
        <v>127</v>
      </c>
      <c r="H57" s="35" t="s">
        <v>136</v>
      </c>
      <c r="J57" s="34" t="str">
        <f t="shared" si="3"/>
        <v/>
      </c>
      <c r="K57" s="30">
        <f t="shared" si="3"/>
        <v>1</v>
      </c>
      <c r="L57" s="30">
        <f t="shared" si="3"/>
        <v>1</v>
      </c>
      <c r="M57" s="30">
        <f t="shared" si="3"/>
        <v>1</v>
      </c>
      <c r="N57" s="30">
        <f t="shared" si="3"/>
        <v>1</v>
      </c>
      <c r="O57" s="35">
        <f t="shared" si="3"/>
        <v>1</v>
      </c>
      <c r="Y57" s="21"/>
      <c r="Z57" s="21"/>
      <c r="AA57" s="15"/>
      <c r="AB57" s="40" t="str">
        <f t="shared" si="11"/>
        <v/>
      </c>
      <c r="AC57" s="15" t="str">
        <f t="shared" si="11"/>
        <v>0000000100100</v>
      </c>
      <c r="AD57" s="15" t="str">
        <f t="shared" si="11"/>
        <v>0000000000110</v>
      </c>
      <c r="AE57" s="15" t="str">
        <f t="shared" si="11"/>
        <v>0100100000000</v>
      </c>
      <c r="AF57" s="15" t="str">
        <f t="shared" si="11"/>
        <v>0010001000000</v>
      </c>
      <c r="AG57" s="41" t="str">
        <f t="shared" si="11"/>
        <v>0001100000000</v>
      </c>
      <c r="AH57" s="15"/>
      <c r="AI57" s="21">
        <v>0</v>
      </c>
      <c r="AJ57" s="20" t="str">
        <f t="shared" si="20"/>
        <v>FF-0</v>
      </c>
      <c r="AK57" s="39" cm="1">
        <f t="array" ref="AK57">SUMPRODUCT(--(MID(AB$10:AB$135, SUMIF($Z$9:$Z$21, LEFT($AJ57,2), $Y$9:$Y$21), 1) = RIGHT($AJ57, 1)), J$10:J$135)</f>
        <v>34</v>
      </c>
      <c r="AL57" s="39" cm="1">
        <f t="array" ref="AL57">SUMPRODUCT(--(MID(AC$10:AC$135, SUMIF($Z$9:$Z$21, LEFT($AJ57,2), $Y$9:$Y$21), 1) = RIGHT($AJ57, 1)), K$10:K$135)</f>
        <v>65</v>
      </c>
      <c r="AM57" s="39" cm="1">
        <f t="array" ref="AM57">SUMPRODUCT(--(MID(AD$10:AD$135, SUMIF($Z$9:$Z$21, LEFT($AJ57,2), $Y$9:$Y$21), 1) = RIGHT($AJ57, 1)), L$10:L$135)</f>
        <v>78</v>
      </c>
      <c r="AN57" s="39" cm="1">
        <f t="array" ref="AN57">SUMPRODUCT(--(MID(AE$10:AE$135, SUMIF($Z$9:$Z$21, LEFT($AJ57,2), $Y$9:$Y$21), 1) = RIGHT($AJ57, 1)), M$10:M$135)</f>
        <v>52</v>
      </c>
      <c r="AO57" s="39" cm="1">
        <f t="array" ref="AO57">SUMPRODUCT(--(MID(AF$10:AF$135, SUMIF($Z$9:$Z$21, LEFT($AJ57,2), $Y$9:$Y$21), 1) = RIGHT($AJ57, 1)), N$10:N$135)</f>
        <v>75</v>
      </c>
      <c r="AP57" s="19" cm="1">
        <f t="array" ref="AP57">SUMPRODUCT(--(MID(AG$10:AG$135, SUMIF($Z$9:$Z$21, LEFT($AJ57,2), $Y$9:$Y$21), 1) = RIGHT($AJ57, 1)), O$10:O$135)</f>
        <v>44</v>
      </c>
    </row>
    <row r="58" spans="2:42">
      <c r="B58" s="34">
        <f t="shared" si="9"/>
        <v>48</v>
      </c>
      <c r="C58" s="30"/>
      <c r="D58" s="30" t="s">
        <v>130</v>
      </c>
      <c r="E58" s="30" t="s">
        <v>134</v>
      </c>
      <c r="F58" s="30" t="s">
        <v>133</v>
      </c>
      <c r="G58" s="30" t="s">
        <v>131</v>
      </c>
      <c r="H58" s="35" t="s">
        <v>133</v>
      </c>
      <c r="J58" s="34" t="str">
        <f t="shared" si="3"/>
        <v/>
      </c>
      <c r="K58" s="30">
        <f t="shared" si="3"/>
        <v>1</v>
      </c>
      <c r="L58" s="30">
        <f t="shared" si="3"/>
        <v>1</v>
      </c>
      <c r="M58" s="30">
        <f t="shared" si="3"/>
        <v>1</v>
      </c>
      <c r="N58" s="30">
        <f t="shared" si="3"/>
        <v>1</v>
      </c>
      <c r="O58" s="35">
        <f t="shared" si="3"/>
        <v>1</v>
      </c>
      <c r="Y58" s="21"/>
      <c r="Z58" s="21"/>
      <c r="AA58" s="15"/>
      <c r="AB58" s="40" t="str">
        <f t="shared" si="11"/>
        <v/>
      </c>
      <c r="AC58" s="15" t="str">
        <f t="shared" si="11"/>
        <v>0000000010100</v>
      </c>
      <c r="AD58" s="15" t="str">
        <f t="shared" si="11"/>
        <v>0001000000010</v>
      </c>
      <c r="AE58" s="15" t="str">
        <f t="shared" si="11"/>
        <v>0000100100000</v>
      </c>
      <c r="AF58" s="15" t="str">
        <f t="shared" si="11"/>
        <v>0110000000000</v>
      </c>
      <c r="AG58" s="41" t="str">
        <f t="shared" si="11"/>
        <v>0000100100000</v>
      </c>
      <c r="AH58" s="15"/>
      <c r="AI58" s="21">
        <v>7</v>
      </c>
      <c r="AJ58" s="20" t="str">
        <f>$Z$16&amp;"-7"</f>
        <v>GG-7</v>
      </c>
      <c r="AK58" s="39" cm="1">
        <f t="array" ref="AK58">SUMPRODUCT(--(MID(AB$10:AB$135, SUMIF($Z$9:$Z$21, LEFT($AJ58,2), $Y$9:$Y$21), 1) = RIGHT($AJ58, 1)), J$10:J$135)</f>
        <v>0</v>
      </c>
      <c r="AL58" s="39" cm="1">
        <f t="array" ref="AL58">SUMPRODUCT(--(MID(AC$10:AC$135, SUMIF($Z$9:$Z$21, LEFT($AJ58,2), $Y$9:$Y$21), 1) = RIGHT($AJ58, 1)), K$10:K$135)</f>
        <v>0</v>
      </c>
      <c r="AM58" s="39" cm="1">
        <f t="array" ref="AM58">SUMPRODUCT(--(MID(AD$10:AD$135, SUMIF($Z$9:$Z$21, LEFT($AJ58,2), $Y$9:$Y$21), 1) = RIGHT($AJ58, 1)), L$10:L$135)</f>
        <v>0</v>
      </c>
      <c r="AN58" s="39" cm="1">
        <f t="array" ref="AN58">SUMPRODUCT(--(MID(AE$10:AE$135, SUMIF($Z$9:$Z$21, LEFT($AJ58,2), $Y$9:$Y$21), 1) = RIGHT($AJ58, 1)), M$10:M$135)</f>
        <v>0</v>
      </c>
      <c r="AO58" s="39" cm="1">
        <f t="array" ref="AO58">SUMPRODUCT(--(MID(AF$10:AF$135, SUMIF($Z$9:$Z$21, LEFT($AJ58,2), $Y$9:$Y$21), 1) = RIGHT($AJ58, 1)), N$10:N$135)</f>
        <v>0</v>
      </c>
      <c r="AP58" s="19" cm="1">
        <f t="array" ref="AP58">SUMPRODUCT(--(MID(AG$10:AG$135, SUMIF($Z$9:$Z$21, LEFT($AJ58,2), $Y$9:$Y$21), 1) = RIGHT($AJ58, 1)), O$10:O$135)</f>
        <v>0</v>
      </c>
    </row>
    <row r="59" spans="2:42">
      <c r="B59" s="34">
        <f t="shared" si="9"/>
        <v>49</v>
      </c>
      <c r="C59" s="30"/>
      <c r="D59" s="30" t="s">
        <v>133</v>
      </c>
      <c r="E59" s="30" t="s">
        <v>133</v>
      </c>
      <c r="F59" s="30" t="s">
        <v>127</v>
      </c>
      <c r="G59" s="30" t="s">
        <v>129</v>
      </c>
      <c r="H59" s="35" t="s">
        <v>131</v>
      </c>
      <c r="J59" s="34" t="str">
        <f t="shared" si="3"/>
        <v/>
      </c>
      <c r="K59" s="30">
        <f t="shared" si="3"/>
        <v>1</v>
      </c>
      <c r="L59" s="30">
        <f t="shared" si="3"/>
        <v>1</v>
      </c>
      <c r="M59" s="30">
        <f t="shared" si="3"/>
        <v>1</v>
      </c>
      <c r="N59" s="30">
        <f t="shared" si="3"/>
        <v>1</v>
      </c>
      <c r="O59" s="35">
        <f t="shared" si="3"/>
        <v>1</v>
      </c>
      <c r="Y59" s="21"/>
      <c r="Z59" s="21"/>
      <c r="AA59" s="15"/>
      <c r="AB59" s="40" t="str">
        <f t="shared" si="11"/>
        <v/>
      </c>
      <c r="AC59" s="15" t="str">
        <f t="shared" si="11"/>
        <v>0000000110000</v>
      </c>
      <c r="AD59" s="15" t="str">
        <f t="shared" si="11"/>
        <v>0001000100000</v>
      </c>
      <c r="AE59" s="15" t="str">
        <f t="shared" si="11"/>
        <v>0010000100000</v>
      </c>
      <c r="AF59" s="15" t="str">
        <f t="shared" si="11"/>
        <v>0100000001000</v>
      </c>
      <c r="AG59" s="41" t="str">
        <f t="shared" si="11"/>
        <v>0100000100000</v>
      </c>
      <c r="AH59" s="15"/>
      <c r="AI59" s="21">
        <v>6</v>
      </c>
      <c r="AJ59" s="20" t="str">
        <f>LEFT(AJ58,3) &amp; RIGHT(AJ58,1)-1</f>
        <v>GG-6</v>
      </c>
      <c r="AK59" s="39" cm="1">
        <f t="array" ref="AK59">SUMPRODUCT(--(MID(AB$10:AB$135, SUMIF($Z$9:$Z$21, LEFT($AJ59,2), $Y$9:$Y$21), 1) = RIGHT($AJ59, 1)), J$10:J$135)</f>
        <v>0</v>
      </c>
      <c r="AL59" s="39" cm="1">
        <f t="array" ref="AL59">SUMPRODUCT(--(MID(AC$10:AC$135, SUMIF($Z$9:$Z$21, LEFT($AJ59,2), $Y$9:$Y$21), 1) = RIGHT($AJ59, 1)), K$10:K$135)</f>
        <v>0</v>
      </c>
      <c r="AM59" s="39" cm="1">
        <f t="array" ref="AM59">SUMPRODUCT(--(MID(AD$10:AD$135, SUMIF($Z$9:$Z$21, LEFT($AJ59,2), $Y$9:$Y$21), 1) = RIGHT($AJ59, 1)), L$10:L$135)</f>
        <v>0</v>
      </c>
      <c r="AN59" s="39" cm="1">
        <f t="array" ref="AN59">SUMPRODUCT(--(MID(AE$10:AE$135, SUMIF($Z$9:$Z$21, LEFT($AJ59,2), $Y$9:$Y$21), 1) = RIGHT($AJ59, 1)), M$10:M$135)</f>
        <v>0</v>
      </c>
      <c r="AO59" s="39" cm="1">
        <f t="array" ref="AO59">SUMPRODUCT(--(MID(AF$10:AF$135, SUMIF($Z$9:$Z$21, LEFT($AJ59,2), $Y$9:$Y$21), 1) = RIGHT($AJ59, 1)), N$10:N$135)</f>
        <v>0</v>
      </c>
      <c r="AP59" s="19" cm="1">
        <f t="array" ref="AP59">SUMPRODUCT(--(MID(AG$10:AG$135, SUMIF($Z$9:$Z$21, LEFT($AJ59,2), $Y$9:$Y$21), 1) = RIGHT($AJ59, 1)), O$10:O$135)</f>
        <v>0</v>
      </c>
    </row>
    <row r="60" spans="2:42">
      <c r="B60" s="34">
        <f t="shared" si="9"/>
        <v>50</v>
      </c>
      <c r="C60" s="30"/>
      <c r="D60" s="30" t="s">
        <v>130</v>
      </c>
      <c r="E60" s="30" t="s">
        <v>132</v>
      </c>
      <c r="F60" s="30" t="s">
        <v>133</v>
      </c>
      <c r="G60" s="30" t="s">
        <v>127</v>
      </c>
      <c r="H60" s="35"/>
      <c r="J60" s="34" t="str">
        <f t="shared" ref="J60:O102" si="21">IF(C60="","",1)</f>
        <v/>
      </c>
      <c r="K60" s="30">
        <f t="shared" si="21"/>
        <v>1</v>
      </c>
      <c r="L60" s="30">
        <f t="shared" si="21"/>
        <v>1</v>
      </c>
      <c r="M60" s="30">
        <f t="shared" si="21"/>
        <v>1</v>
      </c>
      <c r="N60" s="30">
        <f t="shared" si="21"/>
        <v>1</v>
      </c>
      <c r="O60" s="35" t="str">
        <f t="shared" si="21"/>
        <v/>
      </c>
      <c r="AA60" s="15"/>
      <c r="AB60" s="40" t="str">
        <f t="shared" si="11"/>
        <v/>
      </c>
      <c r="AC60" s="15" t="str">
        <f t="shared" si="11"/>
        <v>0000000110000</v>
      </c>
      <c r="AD60" s="15" t="str">
        <f t="shared" si="11"/>
        <v>0000000100100</v>
      </c>
      <c r="AE60" s="15" t="str">
        <f t="shared" si="11"/>
        <v>0010000100000</v>
      </c>
      <c r="AF60" s="15" t="str">
        <f t="shared" si="11"/>
        <v>0010000001000</v>
      </c>
      <c r="AG60" s="41" t="str">
        <f t="shared" si="11"/>
        <v/>
      </c>
      <c r="AH60" s="15"/>
      <c r="AI60" s="21">
        <v>5</v>
      </c>
      <c r="AJ60" s="20" t="str">
        <f t="shared" ref="AJ60:AJ65" si="22">LEFT(AJ59,3) &amp; RIGHT(AJ59,1)-1</f>
        <v>GG-5</v>
      </c>
      <c r="AK60" s="39" cm="1">
        <f t="array" ref="AK60">SUMPRODUCT(--(MID(AB$10:AB$135, SUMIF($Z$9:$Z$21, LEFT($AJ60,2), $Y$9:$Y$21), 1) = RIGHT($AJ60, 1)), J$10:J$135)</f>
        <v>0</v>
      </c>
      <c r="AL60" s="39" cm="1">
        <f t="array" ref="AL60">SUMPRODUCT(--(MID(AC$10:AC$135, SUMIF($Z$9:$Z$21, LEFT($AJ60,2), $Y$9:$Y$21), 1) = RIGHT($AJ60, 1)), K$10:K$135)</f>
        <v>0</v>
      </c>
      <c r="AM60" s="39" cm="1">
        <f t="array" ref="AM60">SUMPRODUCT(--(MID(AD$10:AD$135, SUMIF($Z$9:$Z$21, LEFT($AJ60,2), $Y$9:$Y$21), 1) = RIGHT($AJ60, 1)), L$10:L$135)</f>
        <v>0</v>
      </c>
      <c r="AN60" s="39" cm="1">
        <f t="array" ref="AN60">SUMPRODUCT(--(MID(AE$10:AE$135, SUMIF($Z$9:$Z$21, LEFT($AJ60,2), $Y$9:$Y$21), 1) = RIGHT($AJ60, 1)), M$10:M$135)</f>
        <v>0</v>
      </c>
      <c r="AO60" s="39" cm="1">
        <f t="array" ref="AO60">SUMPRODUCT(--(MID(AF$10:AF$135, SUMIF($Z$9:$Z$21, LEFT($AJ60,2), $Y$9:$Y$21), 1) = RIGHT($AJ60, 1)), N$10:N$135)</f>
        <v>0</v>
      </c>
      <c r="AP60" s="19" cm="1">
        <f t="array" ref="AP60">SUMPRODUCT(--(MID(AG$10:AG$135, SUMIF($Z$9:$Z$21, LEFT($AJ60,2), $Y$9:$Y$21), 1) = RIGHT($AJ60, 1)), O$10:O$135)</f>
        <v>0</v>
      </c>
    </row>
    <row r="61" spans="2:42">
      <c r="B61" s="34">
        <f t="shared" si="9"/>
        <v>51</v>
      </c>
      <c r="C61" s="30"/>
      <c r="D61" s="30" t="s">
        <v>137</v>
      </c>
      <c r="E61" s="30" t="s">
        <v>134</v>
      </c>
      <c r="F61" s="30" t="s">
        <v>136</v>
      </c>
      <c r="G61" s="30" t="s">
        <v>131</v>
      </c>
      <c r="H61" s="35"/>
      <c r="J61" s="34" t="str">
        <f t="shared" si="21"/>
        <v/>
      </c>
      <c r="K61" s="30">
        <f t="shared" si="21"/>
        <v>1</v>
      </c>
      <c r="L61" s="30">
        <f t="shared" si="21"/>
        <v>1</v>
      </c>
      <c r="M61" s="30">
        <f t="shared" si="21"/>
        <v>1</v>
      </c>
      <c r="N61" s="30">
        <f t="shared" si="21"/>
        <v>1</v>
      </c>
      <c r="O61" s="35" t="str">
        <f t="shared" si="21"/>
        <v/>
      </c>
      <c r="AA61" s="15"/>
      <c r="AB61" s="40" t="str">
        <f t="shared" si="11"/>
        <v/>
      </c>
      <c r="AC61" s="15" t="str">
        <f t="shared" si="11"/>
        <v>0000010010000</v>
      </c>
      <c r="AD61" s="15" t="str">
        <f t="shared" si="11"/>
        <v>0001000000100</v>
      </c>
      <c r="AE61" s="15" t="str">
        <f t="shared" si="11"/>
        <v>0000100100000</v>
      </c>
      <c r="AF61" s="15" t="str">
        <f t="shared" si="11"/>
        <v>0110000000000</v>
      </c>
      <c r="AG61" s="41" t="str">
        <f t="shared" si="11"/>
        <v/>
      </c>
      <c r="AH61" s="15"/>
      <c r="AI61" s="21">
        <v>4</v>
      </c>
      <c r="AJ61" s="20" t="str">
        <f t="shared" si="22"/>
        <v>GG-4</v>
      </c>
      <c r="AK61" s="39" cm="1">
        <f t="array" ref="AK61">SUMPRODUCT(--(MID(AB$10:AB$135, SUMIF($Z$9:$Z$21, LEFT($AJ61,2), $Y$9:$Y$21), 1) = RIGHT($AJ61, 1)), J$10:J$135)</f>
        <v>0</v>
      </c>
      <c r="AL61" s="39" cm="1">
        <f t="array" ref="AL61">SUMPRODUCT(--(MID(AC$10:AC$135, SUMIF($Z$9:$Z$21, LEFT($AJ61,2), $Y$9:$Y$21), 1) = RIGHT($AJ61, 1)), K$10:K$135)</f>
        <v>0</v>
      </c>
      <c r="AM61" s="39" cm="1">
        <f t="array" ref="AM61">SUMPRODUCT(--(MID(AD$10:AD$135, SUMIF($Z$9:$Z$21, LEFT($AJ61,2), $Y$9:$Y$21), 1) = RIGHT($AJ61, 1)), L$10:L$135)</f>
        <v>0</v>
      </c>
      <c r="AN61" s="39" cm="1">
        <f t="array" ref="AN61">SUMPRODUCT(--(MID(AE$10:AE$135, SUMIF($Z$9:$Z$21, LEFT($AJ61,2), $Y$9:$Y$21), 1) = RIGHT($AJ61, 1)), M$10:M$135)</f>
        <v>0</v>
      </c>
      <c r="AO61" s="39" cm="1">
        <f t="array" ref="AO61">SUMPRODUCT(--(MID(AF$10:AF$135, SUMIF($Z$9:$Z$21, LEFT($AJ61,2), $Y$9:$Y$21), 1) = RIGHT($AJ61, 1)), N$10:N$135)</f>
        <v>0</v>
      </c>
      <c r="AP61" s="19" cm="1">
        <f t="array" ref="AP61">SUMPRODUCT(--(MID(AG$10:AG$135, SUMIF($Z$9:$Z$21, LEFT($AJ61,2), $Y$9:$Y$21), 1) = RIGHT($AJ61, 1)), O$10:O$135)</f>
        <v>0</v>
      </c>
    </row>
    <row r="62" spans="2:42">
      <c r="B62" s="34">
        <f t="shared" si="9"/>
        <v>52</v>
      </c>
      <c r="C62" s="30"/>
      <c r="D62" s="30" t="s">
        <v>138</v>
      </c>
      <c r="E62" s="30" t="s">
        <v>129</v>
      </c>
      <c r="F62" s="30" t="s">
        <v>129</v>
      </c>
      <c r="G62" s="30" t="s">
        <v>132</v>
      </c>
      <c r="H62" s="35"/>
      <c r="J62" s="34" t="str">
        <f t="shared" si="21"/>
        <v/>
      </c>
      <c r="K62" s="30">
        <f t="shared" si="21"/>
        <v>1</v>
      </c>
      <c r="L62" s="30">
        <f t="shared" si="21"/>
        <v>1</v>
      </c>
      <c r="M62" s="30">
        <f t="shared" si="21"/>
        <v>1</v>
      </c>
      <c r="N62" s="30">
        <f t="shared" si="21"/>
        <v>1</v>
      </c>
      <c r="O62" s="35" t="str">
        <f t="shared" si="21"/>
        <v/>
      </c>
      <c r="AA62" s="15"/>
      <c r="AB62" s="40" t="str">
        <f t="shared" si="11"/>
        <v/>
      </c>
      <c r="AC62" s="15" t="str">
        <f t="shared" si="11"/>
        <v>0000010000010</v>
      </c>
      <c r="AD62" s="15" t="str">
        <f t="shared" si="11"/>
        <v>0001000001000</v>
      </c>
      <c r="AE62" s="15" t="str">
        <f t="shared" si="11"/>
        <v>0000100001000</v>
      </c>
      <c r="AF62" s="15" t="str">
        <f t="shared" si="11"/>
        <v>0100000000100</v>
      </c>
      <c r="AG62" s="41" t="str">
        <f t="shared" si="11"/>
        <v/>
      </c>
      <c r="AH62" s="15"/>
      <c r="AI62" s="21">
        <v>3</v>
      </c>
      <c r="AJ62" s="20" t="str">
        <f t="shared" si="22"/>
        <v>GG-3</v>
      </c>
      <c r="AK62" s="39" cm="1">
        <f t="array" ref="AK62">SUMPRODUCT(--(MID(AB$10:AB$135, SUMIF($Z$9:$Z$21, LEFT($AJ62,2), $Y$9:$Y$21), 1) = RIGHT($AJ62, 1)), J$10:J$135)</f>
        <v>0</v>
      </c>
      <c r="AL62" s="39" cm="1">
        <f t="array" ref="AL62">SUMPRODUCT(--(MID(AC$10:AC$135, SUMIF($Z$9:$Z$21, LEFT($AJ62,2), $Y$9:$Y$21), 1) = RIGHT($AJ62, 1)), K$10:K$135)</f>
        <v>0</v>
      </c>
      <c r="AM62" s="39" cm="1">
        <f t="array" ref="AM62">SUMPRODUCT(--(MID(AD$10:AD$135, SUMIF($Z$9:$Z$21, LEFT($AJ62,2), $Y$9:$Y$21), 1) = RIGHT($AJ62, 1)), L$10:L$135)</f>
        <v>0</v>
      </c>
      <c r="AN62" s="39" cm="1">
        <f t="array" ref="AN62">SUMPRODUCT(--(MID(AE$10:AE$135, SUMIF($Z$9:$Z$21, LEFT($AJ62,2), $Y$9:$Y$21), 1) = RIGHT($AJ62, 1)), M$10:M$135)</f>
        <v>0</v>
      </c>
      <c r="AO62" s="39" cm="1">
        <f t="array" ref="AO62">SUMPRODUCT(--(MID(AF$10:AF$135, SUMIF($Z$9:$Z$21, LEFT($AJ62,2), $Y$9:$Y$21), 1) = RIGHT($AJ62, 1)), N$10:N$135)</f>
        <v>0</v>
      </c>
      <c r="AP62" s="19" cm="1">
        <f t="array" ref="AP62">SUMPRODUCT(--(MID(AG$10:AG$135, SUMIF($Z$9:$Z$21, LEFT($AJ62,2), $Y$9:$Y$21), 1) = RIGHT($AJ62, 1)), O$10:O$135)</f>
        <v>0</v>
      </c>
    </row>
    <row r="63" spans="2:42">
      <c r="B63" s="34">
        <f t="shared" si="9"/>
        <v>53</v>
      </c>
      <c r="C63" s="30"/>
      <c r="D63" s="30" t="s">
        <v>133</v>
      </c>
      <c r="E63" s="30" t="s">
        <v>137</v>
      </c>
      <c r="F63" s="30" t="s">
        <v>128</v>
      </c>
      <c r="G63" s="30" t="s">
        <v>136</v>
      </c>
      <c r="H63" s="35"/>
      <c r="J63" s="34" t="str">
        <f t="shared" si="21"/>
        <v/>
      </c>
      <c r="K63" s="30">
        <f t="shared" si="21"/>
        <v>1</v>
      </c>
      <c r="L63" s="30">
        <f t="shared" si="21"/>
        <v>1</v>
      </c>
      <c r="M63" s="30">
        <f t="shared" si="21"/>
        <v>1</v>
      </c>
      <c r="N63" s="30">
        <f t="shared" si="21"/>
        <v>1</v>
      </c>
      <c r="O63" s="35" t="str">
        <f t="shared" si="21"/>
        <v/>
      </c>
      <c r="AA63" s="15"/>
      <c r="AB63" s="40" t="str">
        <f t="shared" si="11"/>
        <v/>
      </c>
      <c r="AC63" s="15" t="str">
        <f t="shared" si="11"/>
        <v>0000000100010</v>
      </c>
      <c r="AD63" s="15" t="str">
        <f t="shared" si="11"/>
        <v>0000010001000</v>
      </c>
      <c r="AE63" s="15" t="str">
        <f t="shared" si="11"/>
        <v>0000001001000</v>
      </c>
      <c r="AF63" s="15" t="str">
        <f t="shared" si="11"/>
        <v>0000100000100</v>
      </c>
      <c r="AG63" s="41" t="str">
        <f t="shared" si="11"/>
        <v/>
      </c>
      <c r="AH63" s="15"/>
      <c r="AI63" s="21">
        <v>2</v>
      </c>
      <c r="AJ63" s="20" t="str">
        <f t="shared" si="22"/>
        <v>GG-2</v>
      </c>
      <c r="AK63" s="39" cm="1">
        <f t="array" ref="AK63">SUMPRODUCT(--(MID(AB$10:AB$135, SUMIF($Z$9:$Z$21, LEFT($AJ63,2), $Y$9:$Y$21), 1) = RIGHT($AJ63, 1)), J$10:J$135)</f>
        <v>2</v>
      </c>
      <c r="AL63" s="39" cm="1">
        <f t="array" ref="AL63">SUMPRODUCT(--(MID(AC$10:AC$135, SUMIF($Z$9:$Z$21, LEFT($AJ63,2), $Y$9:$Y$21), 1) = RIGHT($AJ63, 1)), K$10:K$135)</f>
        <v>2</v>
      </c>
      <c r="AM63" s="39" cm="1">
        <f t="array" ref="AM63">SUMPRODUCT(--(MID(AD$10:AD$135, SUMIF($Z$9:$Z$21, LEFT($AJ63,2), $Y$9:$Y$21), 1) = RIGHT($AJ63, 1)), L$10:L$135)</f>
        <v>2</v>
      </c>
      <c r="AN63" s="39" cm="1">
        <f t="array" ref="AN63">SUMPRODUCT(--(MID(AE$10:AE$135, SUMIF($Z$9:$Z$21, LEFT($AJ63,2), $Y$9:$Y$21), 1) = RIGHT($AJ63, 1)), M$10:M$135)</f>
        <v>2</v>
      </c>
      <c r="AO63" s="39" cm="1">
        <f t="array" ref="AO63">SUMPRODUCT(--(MID(AF$10:AF$135, SUMIF($Z$9:$Z$21, LEFT($AJ63,2), $Y$9:$Y$21), 1) = RIGHT($AJ63, 1)), N$10:N$135)</f>
        <v>3</v>
      </c>
      <c r="AP63" s="19" cm="1">
        <f t="array" ref="AP63">SUMPRODUCT(--(MID(AG$10:AG$135, SUMIF($Z$9:$Z$21, LEFT($AJ63,2), $Y$9:$Y$21), 1) = RIGHT($AJ63, 1)), O$10:O$135)</f>
        <v>2</v>
      </c>
    </row>
    <row r="64" spans="2:42">
      <c r="B64" s="34">
        <f t="shared" si="9"/>
        <v>54</v>
      </c>
      <c r="C64" s="30"/>
      <c r="D64" s="30" t="s">
        <v>138</v>
      </c>
      <c r="E64" s="30" t="s">
        <v>127</v>
      </c>
      <c r="F64" s="30" t="s">
        <v>134</v>
      </c>
      <c r="G64" s="30" t="s">
        <v>129</v>
      </c>
      <c r="H64" s="35"/>
      <c r="J64" s="34" t="str">
        <f t="shared" si="21"/>
        <v/>
      </c>
      <c r="K64" s="30">
        <f t="shared" si="21"/>
        <v>1</v>
      </c>
      <c r="L64" s="30">
        <f t="shared" si="21"/>
        <v>1</v>
      </c>
      <c r="M64" s="30">
        <f t="shared" si="21"/>
        <v>1</v>
      </c>
      <c r="N64" s="30">
        <f t="shared" si="21"/>
        <v>1</v>
      </c>
      <c r="O64" s="35" t="str">
        <f t="shared" si="21"/>
        <v/>
      </c>
      <c r="AB64" s="40" t="str">
        <f t="shared" si="11"/>
        <v/>
      </c>
      <c r="AC64" s="15" t="str">
        <f t="shared" si="11"/>
        <v>0000000100010</v>
      </c>
      <c r="AD64" s="15" t="str">
        <f t="shared" si="11"/>
        <v>0010010000000</v>
      </c>
      <c r="AE64" s="15" t="str">
        <f t="shared" si="11"/>
        <v>0001001000000</v>
      </c>
      <c r="AF64" s="15" t="str">
        <f t="shared" si="11"/>
        <v>0000100001000</v>
      </c>
      <c r="AG64" s="41" t="str">
        <f t="shared" si="11"/>
        <v/>
      </c>
      <c r="AH64" s="15"/>
      <c r="AI64" s="21">
        <v>1</v>
      </c>
      <c r="AJ64" s="20" t="str">
        <f t="shared" si="22"/>
        <v>GG-1</v>
      </c>
      <c r="AK64" s="39" cm="1">
        <f t="array" ref="AK64">SUMPRODUCT(--(MID(AB$10:AB$135, SUMIF($Z$9:$Z$21, LEFT($AJ64,2), $Y$9:$Y$21), 1) = RIGHT($AJ64, 1)), J$10:J$135)</f>
        <v>8</v>
      </c>
      <c r="AL64" s="39" cm="1">
        <f t="array" ref="AL64">SUMPRODUCT(--(MID(AC$10:AC$135, SUMIF($Z$9:$Z$21, LEFT($AJ64,2), $Y$9:$Y$21), 1) = RIGHT($AJ64, 1)), K$10:K$135)</f>
        <v>22</v>
      </c>
      <c r="AM64" s="39" cm="1">
        <f t="array" ref="AM64">SUMPRODUCT(--(MID(AD$10:AD$135, SUMIF($Z$9:$Z$21, LEFT($AJ64,2), $Y$9:$Y$21), 1) = RIGHT($AJ64, 1)), L$10:L$135)</f>
        <v>18</v>
      </c>
      <c r="AN64" s="39" cm="1">
        <f t="array" ref="AN64">SUMPRODUCT(--(MID(AE$10:AE$135, SUMIF($Z$9:$Z$21, LEFT($AJ64,2), $Y$9:$Y$21), 1) = RIGHT($AJ64, 1)), M$10:M$135)</f>
        <v>20</v>
      </c>
      <c r="AO64" s="39" cm="1">
        <f t="array" ref="AO64">SUMPRODUCT(--(MID(AF$10:AF$135, SUMIF($Z$9:$Z$21, LEFT($AJ64,2), $Y$9:$Y$21), 1) = RIGHT($AJ64, 1)), N$10:N$135)</f>
        <v>22</v>
      </c>
      <c r="AP64" s="19" cm="1">
        <f t="array" ref="AP64">SUMPRODUCT(--(MID(AG$10:AG$135, SUMIF($Z$9:$Z$21, LEFT($AJ64,2), $Y$9:$Y$21), 1) = RIGHT($AJ64, 1)), O$10:O$135)</f>
        <v>6</v>
      </c>
    </row>
    <row r="65" spans="2:42">
      <c r="B65" s="34">
        <f t="shared" si="9"/>
        <v>55</v>
      </c>
      <c r="C65" s="30"/>
      <c r="D65" s="30" t="s">
        <v>136</v>
      </c>
      <c r="E65" s="30" t="s">
        <v>133</v>
      </c>
      <c r="F65" s="30" t="s">
        <v>133</v>
      </c>
      <c r="G65" s="30" t="s">
        <v>133</v>
      </c>
      <c r="H65" s="35"/>
      <c r="J65" s="34" t="str">
        <f t="shared" si="21"/>
        <v/>
      </c>
      <c r="K65" s="30">
        <f t="shared" si="21"/>
        <v>1</v>
      </c>
      <c r="L65" s="30">
        <f t="shared" si="21"/>
        <v>1</v>
      </c>
      <c r="M65" s="30">
        <f t="shared" si="21"/>
        <v>1</v>
      </c>
      <c r="N65" s="30">
        <f t="shared" si="21"/>
        <v>1</v>
      </c>
      <c r="O65" s="35" t="str">
        <f t="shared" si="21"/>
        <v/>
      </c>
      <c r="AB65" s="40" t="str">
        <f t="shared" si="11"/>
        <v/>
      </c>
      <c r="AC65" s="15" t="str">
        <f t="shared" si="11"/>
        <v>0000100000010</v>
      </c>
      <c r="AD65" s="15" t="str">
        <f t="shared" si="11"/>
        <v>0010000100000</v>
      </c>
      <c r="AE65" s="15" t="str">
        <f t="shared" si="11"/>
        <v>0001000100000</v>
      </c>
      <c r="AF65" s="15" t="str">
        <f t="shared" si="11"/>
        <v>0000000101000</v>
      </c>
      <c r="AG65" s="41" t="str">
        <f t="shared" si="11"/>
        <v/>
      </c>
      <c r="AH65" s="15"/>
      <c r="AI65" s="21">
        <v>0</v>
      </c>
      <c r="AJ65" s="20" t="str">
        <f t="shared" si="22"/>
        <v>GG-0</v>
      </c>
      <c r="AK65" s="39" cm="1">
        <f t="array" ref="AK65">SUMPRODUCT(--(MID(AB$10:AB$135, SUMIF($Z$9:$Z$21, LEFT($AJ65,2), $Y$9:$Y$21), 1) = RIGHT($AJ65, 1)), J$10:J$135)</f>
        <v>30</v>
      </c>
      <c r="AL65" s="39" cm="1">
        <f t="array" ref="AL65">SUMPRODUCT(--(MID(AC$10:AC$135, SUMIF($Z$9:$Z$21, LEFT($AJ65,2), $Y$9:$Y$21), 1) = RIGHT($AJ65, 1)), K$10:K$135)</f>
        <v>49</v>
      </c>
      <c r="AM65" s="39" cm="1">
        <f t="array" ref="AM65">SUMPRODUCT(--(MID(AD$10:AD$135, SUMIF($Z$9:$Z$21, LEFT($AJ65,2), $Y$9:$Y$21), 1) = RIGHT($AJ65, 1)), L$10:L$135)</f>
        <v>64</v>
      </c>
      <c r="AN65" s="39" cm="1">
        <f t="array" ref="AN65">SUMPRODUCT(--(MID(AE$10:AE$135, SUMIF($Z$9:$Z$21, LEFT($AJ65,2), $Y$9:$Y$21), 1) = RIGHT($AJ65, 1)), M$10:M$135)</f>
        <v>45</v>
      </c>
      <c r="AO65" s="39" cm="1">
        <f t="array" ref="AO65">SUMPRODUCT(--(MID(AF$10:AF$135, SUMIF($Z$9:$Z$21, LEFT($AJ65,2), $Y$9:$Y$21), 1) = RIGHT($AJ65, 1)), N$10:N$135)</f>
        <v>66</v>
      </c>
      <c r="AP65" s="19" cm="1">
        <f t="array" ref="AP65">SUMPRODUCT(--(MID(AG$10:AG$135, SUMIF($Z$9:$Z$21, LEFT($AJ65,2), $Y$9:$Y$21), 1) = RIGHT($AJ65, 1)), O$10:O$135)</f>
        <v>42</v>
      </c>
    </row>
    <row r="66" spans="2:42">
      <c r="B66" s="34">
        <f t="shared" si="9"/>
        <v>56</v>
      </c>
      <c r="C66" s="30"/>
      <c r="D66" s="30" t="s">
        <v>127</v>
      </c>
      <c r="E66" s="30" t="s">
        <v>127</v>
      </c>
      <c r="F66" s="30" t="s">
        <v>127</v>
      </c>
      <c r="G66" s="30" t="s">
        <v>132</v>
      </c>
      <c r="H66" s="35"/>
      <c r="J66" s="34" t="str">
        <f t="shared" si="21"/>
        <v/>
      </c>
      <c r="K66" s="30">
        <f t="shared" si="21"/>
        <v>1</v>
      </c>
      <c r="L66" s="30">
        <f t="shared" si="21"/>
        <v>1</v>
      </c>
      <c r="M66" s="30">
        <f t="shared" si="21"/>
        <v>1</v>
      </c>
      <c r="N66" s="30">
        <f t="shared" si="21"/>
        <v>1</v>
      </c>
      <c r="O66" s="35" t="str">
        <f t="shared" si="21"/>
        <v/>
      </c>
      <c r="AB66" s="40" t="str">
        <f t="shared" ref="AB66:AG108" si="23">IF(R$3=2,IF(COUNTA(C65:C66) = R$3,COUNTIF(C65:C66, $Z$9)  &amp; COUNTIF(C65:C66, $Z$9)+COUNTIF(C65:C66, $Z$10) &amp; COUNTIF(C65:C66, $Z$9)+COUNTIF(C65:C66, $Z$11) &amp; COUNTIF(C65:C66, $Z$9)+COUNTIF(C65:C66, $Z$12) &amp; COUNTIF(C65:C66, $Z$9)+COUNTIF(C65:C66, $Z$13) &amp; COUNTIF(C65:C66, $Z$9)+COUNTIF(C65:C66, $Z$14) &amp; COUNTIF(C65:C66, $Z$9)+COUNTIF(C65:C66, $Z$15) &amp; COUNTIF(C65:C66, $Z$9)+COUNTIF(C65:C66, $Z$16) &amp; COUNTIF(C65:C66, $Z$9)+COUNTIF(C65:C66, $Z$17) &amp; COUNTIF(C65:C66, $Z$9)+COUNTIF(C65:C66, $Z$18) &amp; COUNTIF(C65:C66, $Z$9)+COUNTIF(C65:C66, $Z$19)  &amp; COUNTIF(C65:C66, $Z$9)+COUNTIF(C65:C66, $Z$20) &amp; COUNTIF(C65:C66, $Z$21),""),
IF(R$3=3,IF(COUNTA(C64:C66) = R$3,COUNTIF(C64:C66, $Z$9)  &amp; COUNTIF(C64:C66, $Z$9)+COUNTIF(C64:C66, $Z$10) &amp; COUNTIF(C64:C66, $Z$9)+COUNTIF(C64:C66, $Z$11) &amp; COUNTIF(C64:C66, $Z$9)+COUNTIF(C64:C66, $Z$12) &amp; COUNTIF(C64:C66, $Z$9)+COUNTIF(C64:C66, $Z$13) &amp; COUNTIF(C64:C66, $Z$9)+COUNTIF(C64:C66, $Z$14) &amp; COUNTIF(C64:C66, $Z$9)+COUNTIF(C64:C66, $Z$15) &amp; COUNTIF(C64:C66, $Z$9)+COUNTIF(C64:C66, $Z$16) &amp; COUNTIF(C64:C66, $Z$9)+COUNTIF(C64:C66, $Z$17) &amp; COUNTIF(C64:C66, $Z$9)+COUNTIF(C64:C66, $Z$18) &amp; COUNTIF(C64:C66, $Z$9)+COUNTIF(C64:C66, $Z$19)  &amp; COUNTIF(C64:C66, $Z$9)+COUNTIF(C64:C66, $Z$20) &amp; COUNTIF(C64:C66, $Z$21),""),
IF(R$3=4,IF(COUNTA(C63:C66) = R$3,COUNTIF(C63:C66, $Z$9)  &amp; COUNTIF(C63:C66, $Z$9)+COUNTIF(C63:C66, $Z$10) &amp; COUNTIF(C63:C66, $Z$9)+COUNTIF(C63:C66, $Z$11) &amp; COUNTIF(C63:C66, $Z$9)+COUNTIF(C63:C66, $Z$12) &amp; COUNTIF(C63:C66, $Z$9)+COUNTIF(C63:C66, $Z$13) &amp; COUNTIF(C63:C66, $Z$9)+COUNTIF(C63:C66, $Z$14) &amp; COUNTIF(C63:C66, $Z$9)+COUNTIF(C63:C66, $Z$15) &amp; COUNTIF(C63:C66, $Z$9)+COUNTIF(C63:C66, $Z$16) &amp; COUNTIF(C63:C66, $Z$9)+COUNTIF(C63:C66, $Z$17) &amp; COUNTIF(C63:C66, $Z$9)+COUNTIF(C63:C66, $Z$18) &amp; COUNTIF(C63:C66, $Z$9)+COUNTIF(C63:C66, $Z$19)  &amp; COUNTIF(C63:C66, $Z$9)+COUNTIF(C63:C66, $Z$20) &amp; COUNTIF(C63:C66, $Z$21),""),
IF(R$3=5,IF(COUNTA(C62:C66) = R$3,COUNTIF(C62:C66, $Z$9)  &amp; COUNTIF(C62:C66, $Z$9)+COUNTIF(C62:C66, $Z$10) &amp; COUNTIF(C62:C66, $Z$9)+COUNTIF(C62:C66, $Z$11) &amp; COUNTIF(C62:C66, $Z$9)+COUNTIF(C62:C66, $Z$12) &amp; COUNTIF(C62:C66, $Z$9)+COUNTIF(C62:C66, $Z$13) &amp; COUNTIF(C62:C66, $Z$9)+COUNTIF(C62:C66, $Z$14) &amp; COUNTIF(C62:C66, $Z$9)+COUNTIF(C62:C66, $Z$15) &amp; COUNTIF(C62:C66, $Z$9)+COUNTIF(C62:C66, $Z$16) &amp; COUNTIF(C62:C66, $Z$9)+COUNTIF(C62:C66, $Z$17) &amp; COUNTIF(C62:C66, $Z$9)+COUNTIF(C62:C66, $Z$18) &amp; COUNTIF(C62:C66, $Z$9)+COUNTIF(C62:C66, $Z$19)  &amp; COUNTIF(C62:C66, $Z$9)+COUNTIF(C62:C66, $Z$20) &amp; COUNTIF(C62:C66, $Z$21),""),
IF(R$3=6,IF(COUNTA(C61:C66) = R$3,COUNTIF(C61:C66, $Z$9)  &amp; COUNTIF(C61:C66, $Z$9)+COUNTIF(C61:C66, $Z$10) &amp; COUNTIF(C61:C66, $Z$9)+COUNTIF(C61:C66, $Z$11) &amp; COUNTIF(C61:C66, $Z$9)+COUNTIF(C61:C66, $Z$12) &amp; COUNTIF(C61:C66, $Z$9)+COUNTIF(C61:C66, $Z$13) &amp; COUNTIF(C61:C66, $Z$9)+COUNTIF(C61:C66, $Z$14) &amp; COUNTIF(C61:C66, $Z$9)+COUNTIF(C61:C66, $Z$15) &amp; COUNTIF(C61:C66, $Z$9)+COUNTIF(C61:C66, $Z$16) &amp; COUNTIF(C61:C66, $Z$9)+COUNTIF(C61:C66, $Z$17) &amp; COUNTIF(C61:C66, $Z$9)+COUNTIF(C61:C66, $Z$18) &amp; COUNTIF(C61:C66, $Z$9)+COUNTIF(C61:C66, $Z$19)  &amp; COUNTIF(C61:C66, $Z$9)+COUNTIF(C61:C66, $Z$20) &amp; COUNTIF(C61:C66, $Z$21),""),
IF(R$3=7,IF(COUNTA(C60:C66) = R$3,COUNTIF(C60:C66, $Z$9)  &amp; COUNTIF(C60:C66, $Z$9)+COUNTIF(C60:C66, $Z$10) &amp; COUNTIF(C60:C66, $Z$9)+COUNTIF(C60:C66, $Z$11) &amp; COUNTIF(C60:C66, $Z$9)+COUNTIF(C60:C66, $Z$12) &amp; COUNTIF(C60:C66, $Z$9)+COUNTIF(C60:C66, $Z$13) &amp; COUNTIF(C60:C66, $Z$9)+COUNTIF(C60:C66, $Z$14) &amp; COUNTIF(C60:C66, $Z$9)+COUNTIF(C60:C66, $Z$15) &amp; COUNTIF(C60:C66, $Z$9)+COUNTIF(C60:C66, $Z$16) &amp; COUNTIF(C60:C66, $Z$9)+COUNTIF(C60:C66, $Z$17) &amp; COUNTIF(C60:C66, $Z$9)+COUNTIF(C60:C66, $Z$18) &amp; COUNTIF(C60:C66, $Z$9)+COUNTIF(C60:C66, $Z$19)  &amp; COUNTIF(C60:C66, $Z$9)+COUNTIF(C60:C66, $Z$20) &amp; COUNTIF(C60:C66, $Z$21),"")))))))</f>
        <v/>
      </c>
      <c r="AC66" s="15" t="str">
        <f t="shared" si="23"/>
        <v>0010100000000</v>
      </c>
      <c r="AD66" s="15" t="str">
        <f t="shared" si="23"/>
        <v>0010000100000</v>
      </c>
      <c r="AE66" s="15" t="str">
        <f t="shared" si="23"/>
        <v>0010000100000</v>
      </c>
      <c r="AF66" s="15" t="str">
        <f t="shared" si="23"/>
        <v>0000000100100</v>
      </c>
      <c r="AG66" s="41" t="str">
        <f t="shared" si="23"/>
        <v/>
      </c>
      <c r="AH66" s="15"/>
      <c r="AI66" s="21">
        <v>7</v>
      </c>
      <c r="AJ66" s="20" t="str">
        <f>$Z$17&amp;"-7"</f>
        <v>HH-7</v>
      </c>
      <c r="AK66" s="39" cm="1">
        <f t="array" ref="AK66">SUMPRODUCT(--(MID(AB$10:AB$135, SUMIF($Z$9:$Z$21, LEFT($AJ66,2), $Y$9:$Y$21), 1) = RIGHT($AJ66, 1)), J$10:J$135)</f>
        <v>0</v>
      </c>
      <c r="AL66" s="39" cm="1">
        <f t="array" ref="AL66">SUMPRODUCT(--(MID(AC$10:AC$135, SUMIF($Z$9:$Z$21, LEFT($AJ66,2), $Y$9:$Y$21), 1) = RIGHT($AJ66, 1)), K$10:K$135)</f>
        <v>0</v>
      </c>
      <c r="AM66" s="39" cm="1">
        <f t="array" ref="AM66">SUMPRODUCT(--(MID(AD$10:AD$135, SUMIF($Z$9:$Z$21, LEFT($AJ66,2), $Y$9:$Y$21), 1) = RIGHT($AJ66, 1)), L$10:L$135)</f>
        <v>0</v>
      </c>
      <c r="AN66" s="39" cm="1">
        <f t="array" ref="AN66">SUMPRODUCT(--(MID(AE$10:AE$135, SUMIF($Z$9:$Z$21, LEFT($AJ66,2), $Y$9:$Y$21), 1) = RIGHT($AJ66, 1)), M$10:M$135)</f>
        <v>0</v>
      </c>
      <c r="AO66" s="39" cm="1">
        <f t="array" ref="AO66">SUMPRODUCT(--(MID(AF$10:AF$135, SUMIF($Z$9:$Z$21, LEFT($AJ66,2), $Y$9:$Y$21), 1) = RIGHT($AJ66, 1)), N$10:N$135)</f>
        <v>0</v>
      </c>
      <c r="AP66" s="19" cm="1">
        <f t="array" ref="AP66">SUMPRODUCT(--(MID(AG$10:AG$135, SUMIF($Z$9:$Z$21, LEFT($AJ66,2), $Y$9:$Y$21), 1) = RIGHT($AJ66, 1)), O$10:O$135)</f>
        <v>0</v>
      </c>
    </row>
    <row r="67" spans="2:42">
      <c r="B67" s="34">
        <f t="shared" si="9"/>
        <v>57</v>
      </c>
      <c r="C67" s="30"/>
      <c r="D67" s="30" t="s">
        <v>133</v>
      </c>
      <c r="E67" s="30" t="s">
        <v>130</v>
      </c>
      <c r="F67" s="30" t="s">
        <v>133</v>
      </c>
      <c r="G67" s="30" t="s">
        <v>127</v>
      </c>
      <c r="H67" s="35"/>
      <c r="J67" s="34" t="str">
        <f t="shared" si="21"/>
        <v/>
      </c>
      <c r="K67" s="30">
        <f t="shared" si="21"/>
        <v>1</v>
      </c>
      <c r="L67" s="30">
        <f t="shared" si="21"/>
        <v>1</v>
      </c>
      <c r="M67" s="30">
        <f t="shared" si="21"/>
        <v>1</v>
      </c>
      <c r="N67" s="30">
        <f t="shared" si="21"/>
        <v>1</v>
      </c>
      <c r="O67" s="35" t="str">
        <f t="shared" si="21"/>
        <v/>
      </c>
      <c r="AB67" s="40" t="str">
        <f t="shared" si="23"/>
        <v/>
      </c>
      <c r="AC67" s="15" t="str">
        <f t="shared" si="23"/>
        <v>0010000100000</v>
      </c>
      <c r="AD67" s="15" t="str">
        <f t="shared" si="23"/>
        <v>0010000010000</v>
      </c>
      <c r="AE67" s="15" t="str">
        <f t="shared" si="23"/>
        <v>0010000100000</v>
      </c>
      <c r="AF67" s="15" t="str">
        <f t="shared" si="23"/>
        <v>0010000000100</v>
      </c>
      <c r="AG67" s="41" t="str">
        <f t="shared" si="23"/>
        <v/>
      </c>
      <c r="AH67" s="15"/>
      <c r="AI67" s="21">
        <v>6</v>
      </c>
      <c r="AJ67" s="20" t="str">
        <f>LEFT(AJ66,3) &amp; RIGHT(AJ66,1)-1</f>
        <v>HH-6</v>
      </c>
      <c r="AK67" s="39" cm="1">
        <f t="array" ref="AK67">SUMPRODUCT(--(MID(AB$10:AB$135, SUMIF($Z$9:$Z$21, LEFT($AJ67,2), $Y$9:$Y$21), 1) = RIGHT($AJ67, 1)), J$10:J$135)</f>
        <v>0</v>
      </c>
      <c r="AL67" s="39" cm="1">
        <f t="array" ref="AL67">SUMPRODUCT(--(MID(AC$10:AC$135, SUMIF($Z$9:$Z$21, LEFT($AJ67,2), $Y$9:$Y$21), 1) = RIGHT($AJ67, 1)), K$10:K$135)</f>
        <v>0</v>
      </c>
      <c r="AM67" s="39" cm="1">
        <f t="array" ref="AM67">SUMPRODUCT(--(MID(AD$10:AD$135, SUMIF($Z$9:$Z$21, LEFT($AJ67,2), $Y$9:$Y$21), 1) = RIGHT($AJ67, 1)), L$10:L$135)</f>
        <v>0</v>
      </c>
      <c r="AN67" s="39" cm="1">
        <f t="array" ref="AN67">SUMPRODUCT(--(MID(AE$10:AE$135, SUMIF($Z$9:$Z$21, LEFT($AJ67,2), $Y$9:$Y$21), 1) = RIGHT($AJ67, 1)), M$10:M$135)</f>
        <v>0</v>
      </c>
      <c r="AO67" s="39" cm="1">
        <f t="array" ref="AO67">SUMPRODUCT(--(MID(AF$10:AF$135, SUMIF($Z$9:$Z$21, LEFT($AJ67,2), $Y$9:$Y$21), 1) = RIGHT($AJ67, 1)), N$10:N$135)</f>
        <v>0</v>
      </c>
      <c r="AP67" s="19" cm="1">
        <f t="array" ref="AP67">SUMPRODUCT(--(MID(AG$10:AG$135, SUMIF($Z$9:$Z$21, LEFT($AJ67,2), $Y$9:$Y$21), 1) = RIGHT($AJ67, 1)), O$10:O$135)</f>
        <v>0</v>
      </c>
    </row>
    <row r="68" spans="2:42">
      <c r="B68" s="34">
        <f t="shared" si="9"/>
        <v>58</v>
      </c>
      <c r="C68" s="30"/>
      <c r="D68" s="30" t="s">
        <v>131</v>
      </c>
      <c r="E68" s="30" t="s">
        <v>138</v>
      </c>
      <c r="F68" s="30" t="s">
        <v>137</v>
      </c>
      <c r="G68" s="30" t="s">
        <v>129</v>
      </c>
      <c r="H68" s="35"/>
      <c r="J68" s="34" t="str">
        <f t="shared" si="21"/>
        <v/>
      </c>
      <c r="K68" s="30">
        <f t="shared" si="21"/>
        <v>1</v>
      </c>
      <c r="L68" s="30">
        <f t="shared" si="21"/>
        <v>1</v>
      </c>
      <c r="M68" s="30">
        <f t="shared" si="21"/>
        <v>1</v>
      </c>
      <c r="N68" s="30">
        <f t="shared" si="21"/>
        <v>1</v>
      </c>
      <c r="O68" s="35" t="str">
        <f t="shared" si="21"/>
        <v/>
      </c>
      <c r="AB68" s="40" t="str">
        <f t="shared" si="23"/>
        <v/>
      </c>
      <c r="AC68" s="15" t="str">
        <f t="shared" si="23"/>
        <v>0100000100000</v>
      </c>
      <c r="AD68" s="15" t="str">
        <f t="shared" si="23"/>
        <v>0000000010010</v>
      </c>
      <c r="AE68" s="15" t="str">
        <f t="shared" si="23"/>
        <v>0000010100000</v>
      </c>
      <c r="AF68" s="15" t="str">
        <f t="shared" si="23"/>
        <v>0010000001000</v>
      </c>
      <c r="AG68" s="41" t="str">
        <f t="shared" si="23"/>
        <v/>
      </c>
      <c r="AH68" s="15"/>
      <c r="AI68" s="21">
        <v>5</v>
      </c>
      <c r="AJ68" s="20" t="str">
        <f t="shared" ref="AJ68:AJ73" si="24">LEFT(AJ67,3) &amp; RIGHT(AJ67,1)-1</f>
        <v>HH-5</v>
      </c>
      <c r="AK68" s="39" cm="1">
        <f t="array" ref="AK68">SUMPRODUCT(--(MID(AB$10:AB$135, SUMIF($Z$9:$Z$21, LEFT($AJ68,2), $Y$9:$Y$21), 1) = RIGHT($AJ68, 1)), J$10:J$135)</f>
        <v>0</v>
      </c>
      <c r="AL68" s="39" cm="1">
        <f t="array" ref="AL68">SUMPRODUCT(--(MID(AC$10:AC$135, SUMIF($Z$9:$Z$21, LEFT($AJ68,2), $Y$9:$Y$21), 1) = RIGHT($AJ68, 1)), K$10:K$135)</f>
        <v>0</v>
      </c>
      <c r="AM68" s="39" cm="1">
        <f t="array" ref="AM68">SUMPRODUCT(--(MID(AD$10:AD$135, SUMIF($Z$9:$Z$21, LEFT($AJ68,2), $Y$9:$Y$21), 1) = RIGHT($AJ68, 1)), L$10:L$135)</f>
        <v>0</v>
      </c>
      <c r="AN68" s="39" cm="1">
        <f t="array" ref="AN68">SUMPRODUCT(--(MID(AE$10:AE$135, SUMIF($Z$9:$Z$21, LEFT($AJ68,2), $Y$9:$Y$21), 1) = RIGHT($AJ68, 1)), M$10:M$135)</f>
        <v>0</v>
      </c>
      <c r="AO68" s="39" cm="1">
        <f t="array" ref="AO68">SUMPRODUCT(--(MID(AF$10:AF$135, SUMIF($Z$9:$Z$21, LEFT($AJ68,2), $Y$9:$Y$21), 1) = RIGHT($AJ68, 1)), N$10:N$135)</f>
        <v>0</v>
      </c>
      <c r="AP68" s="19" cm="1">
        <f t="array" ref="AP68">SUMPRODUCT(--(MID(AG$10:AG$135, SUMIF($Z$9:$Z$21, LEFT($AJ68,2), $Y$9:$Y$21), 1) = RIGHT($AJ68, 1)), O$10:O$135)</f>
        <v>0</v>
      </c>
    </row>
    <row r="69" spans="2:42">
      <c r="B69" s="34">
        <f t="shared" si="9"/>
        <v>59</v>
      </c>
      <c r="C69" s="30"/>
      <c r="D69" s="30" t="s">
        <v>132</v>
      </c>
      <c r="E69" s="30" t="s">
        <v>130</v>
      </c>
      <c r="F69" s="30" t="s">
        <v>133</v>
      </c>
      <c r="G69" s="30" t="s">
        <v>133</v>
      </c>
      <c r="H69" s="35"/>
      <c r="J69" s="34" t="str">
        <f t="shared" si="21"/>
        <v/>
      </c>
      <c r="K69" s="30">
        <f t="shared" si="21"/>
        <v>1</v>
      </c>
      <c r="L69" s="30">
        <f t="shared" si="21"/>
        <v>1</v>
      </c>
      <c r="M69" s="30">
        <f t="shared" si="21"/>
        <v>1</v>
      </c>
      <c r="N69" s="30">
        <f t="shared" si="21"/>
        <v>1</v>
      </c>
      <c r="O69" s="35" t="str">
        <f t="shared" si="21"/>
        <v/>
      </c>
      <c r="AB69" s="40" t="str">
        <f t="shared" si="23"/>
        <v/>
      </c>
      <c r="AC69" s="15" t="str">
        <f t="shared" si="23"/>
        <v>0100000000100</v>
      </c>
      <c r="AD69" s="15" t="str">
        <f t="shared" si="23"/>
        <v>0000000010010</v>
      </c>
      <c r="AE69" s="15" t="str">
        <f t="shared" si="23"/>
        <v>0000010100000</v>
      </c>
      <c r="AF69" s="15" t="str">
        <f t="shared" si="23"/>
        <v>0000000101000</v>
      </c>
      <c r="AG69" s="41" t="str">
        <f t="shared" si="23"/>
        <v/>
      </c>
      <c r="AH69" s="15"/>
      <c r="AI69" s="21">
        <v>4</v>
      </c>
      <c r="AJ69" s="20" t="str">
        <f t="shared" si="24"/>
        <v>HH-4</v>
      </c>
      <c r="AK69" s="39" cm="1">
        <f t="array" ref="AK69">SUMPRODUCT(--(MID(AB$10:AB$135, SUMIF($Z$9:$Z$21, LEFT($AJ69,2), $Y$9:$Y$21), 1) = RIGHT($AJ69, 1)), J$10:J$135)</f>
        <v>0</v>
      </c>
      <c r="AL69" s="39" cm="1">
        <f t="array" ref="AL69">SUMPRODUCT(--(MID(AC$10:AC$135, SUMIF($Z$9:$Z$21, LEFT($AJ69,2), $Y$9:$Y$21), 1) = RIGHT($AJ69, 1)), K$10:K$135)</f>
        <v>0</v>
      </c>
      <c r="AM69" s="39" cm="1">
        <f t="array" ref="AM69">SUMPRODUCT(--(MID(AD$10:AD$135, SUMIF($Z$9:$Z$21, LEFT($AJ69,2), $Y$9:$Y$21), 1) = RIGHT($AJ69, 1)), L$10:L$135)</f>
        <v>0</v>
      </c>
      <c r="AN69" s="39" cm="1">
        <f t="array" ref="AN69">SUMPRODUCT(--(MID(AE$10:AE$135, SUMIF($Z$9:$Z$21, LEFT($AJ69,2), $Y$9:$Y$21), 1) = RIGHT($AJ69, 1)), M$10:M$135)</f>
        <v>0</v>
      </c>
      <c r="AO69" s="39" cm="1">
        <f t="array" ref="AO69">SUMPRODUCT(--(MID(AF$10:AF$135, SUMIF($Z$9:$Z$21, LEFT($AJ69,2), $Y$9:$Y$21), 1) = RIGHT($AJ69, 1)), N$10:N$135)</f>
        <v>0</v>
      </c>
      <c r="AP69" s="19" cm="1">
        <f t="array" ref="AP69">SUMPRODUCT(--(MID(AG$10:AG$135, SUMIF($Z$9:$Z$21, LEFT($AJ69,2), $Y$9:$Y$21), 1) = RIGHT($AJ69, 1)), O$10:O$135)</f>
        <v>0</v>
      </c>
    </row>
    <row r="70" spans="2:42">
      <c r="B70" s="34">
        <f t="shared" si="9"/>
        <v>60</v>
      </c>
      <c r="C70" s="30"/>
      <c r="D70" s="30" t="s">
        <v>133</v>
      </c>
      <c r="E70" s="30" t="s">
        <v>138</v>
      </c>
      <c r="F70" s="30" t="s">
        <v>128</v>
      </c>
      <c r="G70" s="30" t="s">
        <v>131</v>
      </c>
      <c r="H70" s="35"/>
      <c r="J70" s="34" t="str">
        <f t="shared" si="21"/>
        <v/>
      </c>
      <c r="K70" s="30">
        <f t="shared" si="21"/>
        <v>1</v>
      </c>
      <c r="L70" s="30">
        <f t="shared" si="21"/>
        <v>1</v>
      </c>
      <c r="M70" s="30">
        <f t="shared" si="21"/>
        <v>1</v>
      </c>
      <c r="N70" s="30">
        <f t="shared" si="21"/>
        <v>1</v>
      </c>
      <c r="O70" s="35" t="str">
        <f t="shared" si="21"/>
        <v/>
      </c>
      <c r="AB70" s="40" t="str">
        <f t="shared" si="23"/>
        <v/>
      </c>
      <c r="AC70" s="15" t="str">
        <f t="shared" si="23"/>
        <v>0000000100100</v>
      </c>
      <c r="AD70" s="15" t="str">
        <f t="shared" si="23"/>
        <v>0000000010010</v>
      </c>
      <c r="AE70" s="15" t="str">
        <f t="shared" si="23"/>
        <v>0000001100000</v>
      </c>
      <c r="AF70" s="15" t="str">
        <f t="shared" si="23"/>
        <v>0100000100000</v>
      </c>
      <c r="AG70" s="41" t="str">
        <f t="shared" si="23"/>
        <v/>
      </c>
      <c r="AH70" s="15"/>
      <c r="AI70" s="21">
        <v>3</v>
      </c>
      <c r="AJ70" s="20" t="str">
        <f t="shared" si="24"/>
        <v>HH-3</v>
      </c>
      <c r="AK70" s="39" cm="1">
        <f t="array" ref="AK70">SUMPRODUCT(--(MID(AB$10:AB$135, SUMIF($Z$9:$Z$21, LEFT($AJ70,2), $Y$9:$Y$21), 1) = RIGHT($AJ70, 1)), J$10:J$135)</f>
        <v>0</v>
      </c>
      <c r="AL70" s="39" cm="1">
        <f t="array" ref="AL70">SUMPRODUCT(--(MID(AC$10:AC$135, SUMIF($Z$9:$Z$21, LEFT($AJ70,2), $Y$9:$Y$21), 1) = RIGHT($AJ70, 1)), K$10:K$135)</f>
        <v>0</v>
      </c>
      <c r="AM70" s="39" cm="1">
        <f t="array" ref="AM70">SUMPRODUCT(--(MID(AD$10:AD$135, SUMIF($Z$9:$Z$21, LEFT($AJ70,2), $Y$9:$Y$21), 1) = RIGHT($AJ70, 1)), L$10:L$135)</f>
        <v>0</v>
      </c>
      <c r="AN70" s="39" cm="1">
        <f t="array" ref="AN70">SUMPRODUCT(--(MID(AE$10:AE$135, SUMIF($Z$9:$Z$21, LEFT($AJ70,2), $Y$9:$Y$21), 1) = RIGHT($AJ70, 1)), M$10:M$135)</f>
        <v>0</v>
      </c>
      <c r="AO70" s="39" cm="1">
        <f t="array" ref="AO70">SUMPRODUCT(--(MID(AF$10:AF$135, SUMIF($Z$9:$Z$21, LEFT($AJ70,2), $Y$9:$Y$21), 1) = RIGHT($AJ70, 1)), N$10:N$135)</f>
        <v>0</v>
      </c>
      <c r="AP70" s="19" cm="1">
        <f t="array" ref="AP70">SUMPRODUCT(--(MID(AG$10:AG$135, SUMIF($Z$9:$Z$21, LEFT($AJ70,2), $Y$9:$Y$21), 1) = RIGHT($AJ70, 1)), O$10:O$135)</f>
        <v>0</v>
      </c>
    </row>
    <row r="71" spans="2:42">
      <c r="B71" s="34">
        <f t="shared" si="9"/>
        <v>61</v>
      </c>
      <c r="C71" s="30"/>
      <c r="D71" s="30" t="s">
        <v>132</v>
      </c>
      <c r="E71" s="30" t="s">
        <v>131</v>
      </c>
      <c r="F71" s="30" t="s">
        <v>133</v>
      </c>
      <c r="G71" s="30" t="s">
        <v>128</v>
      </c>
      <c r="H71" s="35"/>
      <c r="J71" s="34" t="str">
        <f t="shared" si="21"/>
        <v/>
      </c>
      <c r="K71" s="30">
        <f t="shared" si="21"/>
        <v>1</v>
      </c>
      <c r="L71" s="30">
        <f t="shared" si="21"/>
        <v>1</v>
      </c>
      <c r="M71" s="30">
        <f t="shared" si="21"/>
        <v>1</v>
      </c>
      <c r="N71" s="30">
        <f t="shared" si="21"/>
        <v>1</v>
      </c>
      <c r="O71" s="35" t="str">
        <f t="shared" si="21"/>
        <v/>
      </c>
      <c r="AB71" s="40" t="str">
        <f t="shared" si="23"/>
        <v/>
      </c>
      <c r="AC71" s="15" t="str">
        <f t="shared" si="23"/>
        <v>0000000100100</v>
      </c>
      <c r="AD71" s="15" t="str">
        <f t="shared" si="23"/>
        <v>0100000000010</v>
      </c>
      <c r="AE71" s="15" t="str">
        <f t="shared" si="23"/>
        <v>0000001100000</v>
      </c>
      <c r="AF71" s="15" t="str">
        <f t="shared" si="23"/>
        <v>0100001000000</v>
      </c>
      <c r="AG71" s="41" t="str">
        <f t="shared" si="23"/>
        <v/>
      </c>
      <c r="AH71" s="15"/>
      <c r="AI71" s="21">
        <v>2</v>
      </c>
      <c r="AJ71" s="20" t="str">
        <f t="shared" si="24"/>
        <v>HH-2</v>
      </c>
      <c r="AK71" s="39" cm="1">
        <f t="array" ref="AK71">SUMPRODUCT(--(MID(AB$10:AB$135, SUMIF($Z$9:$Z$21, LEFT($AJ71,2), $Y$9:$Y$21), 1) = RIGHT($AJ71, 1)), J$10:J$135)</f>
        <v>2</v>
      </c>
      <c r="AL71" s="39" cm="1">
        <f t="array" ref="AL71">SUMPRODUCT(--(MID(AC$10:AC$135, SUMIF($Z$9:$Z$21, LEFT($AJ71,2), $Y$9:$Y$21), 1) = RIGHT($AJ71, 1)), K$10:K$135)</f>
        <v>3</v>
      </c>
      <c r="AM71" s="39" cm="1">
        <f t="array" ref="AM71">SUMPRODUCT(--(MID(AD$10:AD$135, SUMIF($Z$9:$Z$21, LEFT($AJ71,2), $Y$9:$Y$21), 1) = RIGHT($AJ71, 1)), L$10:L$135)</f>
        <v>0</v>
      </c>
      <c r="AN71" s="39" cm="1">
        <f t="array" ref="AN71">SUMPRODUCT(--(MID(AE$10:AE$135, SUMIF($Z$9:$Z$21, LEFT($AJ71,2), $Y$9:$Y$21), 1) = RIGHT($AJ71, 1)), M$10:M$135)</f>
        <v>0</v>
      </c>
      <c r="AO71" s="39" cm="1">
        <f t="array" ref="AO71">SUMPRODUCT(--(MID(AF$10:AF$135, SUMIF($Z$9:$Z$21, LEFT($AJ71,2), $Y$9:$Y$21), 1) = RIGHT($AJ71, 1)), N$10:N$135)</f>
        <v>0</v>
      </c>
      <c r="AP71" s="19" cm="1">
        <f t="array" ref="AP71">SUMPRODUCT(--(MID(AG$10:AG$135, SUMIF($Z$9:$Z$21, LEFT($AJ71,2), $Y$9:$Y$21), 1) = RIGHT($AJ71, 1)), O$10:O$135)</f>
        <v>0</v>
      </c>
    </row>
    <row r="72" spans="2:42">
      <c r="B72" s="34">
        <f t="shared" si="9"/>
        <v>62</v>
      </c>
      <c r="C72" s="30"/>
      <c r="D72" s="30" t="s">
        <v>130</v>
      </c>
      <c r="E72" s="30" t="s">
        <v>134</v>
      </c>
      <c r="F72" s="30" t="s">
        <v>127</v>
      </c>
      <c r="G72" s="30" t="s">
        <v>131</v>
      </c>
      <c r="H72" s="35"/>
      <c r="J72" s="34" t="str">
        <f t="shared" si="21"/>
        <v/>
      </c>
      <c r="K72" s="30">
        <f t="shared" si="21"/>
        <v>1</v>
      </c>
      <c r="L72" s="30">
        <f t="shared" si="21"/>
        <v>1</v>
      </c>
      <c r="M72" s="30">
        <f t="shared" si="21"/>
        <v>1</v>
      </c>
      <c r="N72" s="30">
        <f t="shared" si="21"/>
        <v>1</v>
      </c>
      <c r="O72" s="35" t="str">
        <f t="shared" si="21"/>
        <v/>
      </c>
      <c r="AB72" s="40" t="str">
        <f t="shared" si="23"/>
        <v/>
      </c>
      <c r="AC72" s="15" t="str">
        <f t="shared" si="23"/>
        <v>0000000010100</v>
      </c>
      <c r="AD72" s="15" t="str">
        <f t="shared" si="23"/>
        <v>0101000000000</v>
      </c>
      <c r="AE72" s="15" t="str">
        <f t="shared" si="23"/>
        <v>0010000100000</v>
      </c>
      <c r="AF72" s="15" t="str">
        <f t="shared" si="23"/>
        <v>0100001000000</v>
      </c>
      <c r="AG72" s="41" t="str">
        <f t="shared" si="23"/>
        <v/>
      </c>
      <c r="AH72" s="15"/>
      <c r="AI72" s="21">
        <v>1</v>
      </c>
      <c r="AJ72" s="20" t="str">
        <f t="shared" si="24"/>
        <v>HH-1</v>
      </c>
      <c r="AK72" s="39" cm="1">
        <f t="array" ref="AK72">SUMPRODUCT(--(MID(AB$10:AB$135, SUMIF($Z$9:$Z$21, LEFT($AJ72,2), $Y$9:$Y$21), 1) = RIGHT($AJ72, 1)), J$10:J$135)</f>
        <v>8</v>
      </c>
      <c r="AL72" s="39" cm="1">
        <f t="array" ref="AL72">SUMPRODUCT(--(MID(AC$10:AC$135, SUMIF($Z$9:$Z$21, LEFT($AJ72,2), $Y$9:$Y$21), 1) = RIGHT($AJ72, 1)), K$10:K$135)</f>
        <v>8</v>
      </c>
      <c r="AM72" s="39" cm="1">
        <f t="array" ref="AM72">SUMPRODUCT(--(MID(AD$10:AD$135, SUMIF($Z$9:$Z$21, LEFT($AJ72,2), $Y$9:$Y$21), 1) = RIGHT($AJ72, 1)), L$10:L$135)</f>
        <v>6</v>
      </c>
      <c r="AN72" s="39" cm="1">
        <f t="array" ref="AN72">SUMPRODUCT(--(MID(AE$10:AE$135, SUMIF($Z$9:$Z$21, LEFT($AJ72,2), $Y$9:$Y$21), 1) = RIGHT($AJ72, 1)), M$10:M$135)</f>
        <v>2</v>
      </c>
      <c r="AO72" s="39" cm="1">
        <f t="array" ref="AO72">SUMPRODUCT(--(MID(AF$10:AF$135, SUMIF($Z$9:$Z$21, LEFT($AJ72,2), $Y$9:$Y$21), 1) = RIGHT($AJ72, 1)), N$10:N$135)</f>
        <v>2</v>
      </c>
      <c r="AP72" s="19" cm="1">
        <f t="array" ref="AP72">SUMPRODUCT(--(MID(AG$10:AG$135, SUMIF($Z$9:$Z$21, LEFT($AJ72,2), $Y$9:$Y$21), 1) = RIGHT($AJ72, 1)), O$10:O$135)</f>
        <v>2</v>
      </c>
    </row>
    <row r="73" spans="2:42">
      <c r="B73" s="34">
        <f t="shared" si="9"/>
        <v>63</v>
      </c>
      <c r="C73" s="30"/>
      <c r="D73" s="30" t="s">
        <v>129</v>
      </c>
      <c r="E73" s="30" t="s">
        <v>132</v>
      </c>
      <c r="F73" s="30" t="s">
        <v>138</v>
      </c>
      <c r="G73" s="30" t="s">
        <v>129</v>
      </c>
      <c r="H73" s="35"/>
      <c r="J73" s="34" t="str">
        <f t="shared" si="21"/>
        <v/>
      </c>
      <c r="K73" s="30">
        <f t="shared" si="21"/>
        <v>1</v>
      </c>
      <c r="L73" s="30">
        <f t="shared" si="21"/>
        <v>1</v>
      </c>
      <c r="M73" s="30">
        <f t="shared" si="21"/>
        <v>1</v>
      </c>
      <c r="N73" s="30">
        <f t="shared" si="21"/>
        <v>1</v>
      </c>
      <c r="O73" s="35" t="str">
        <f t="shared" si="21"/>
        <v/>
      </c>
      <c r="AB73" s="40" t="str">
        <f t="shared" si="23"/>
        <v/>
      </c>
      <c r="AC73" s="15" t="str">
        <f t="shared" si="23"/>
        <v>0000000011000</v>
      </c>
      <c r="AD73" s="15" t="str">
        <f t="shared" si="23"/>
        <v>0001000000100</v>
      </c>
      <c r="AE73" s="15" t="str">
        <f t="shared" si="23"/>
        <v>0010000000010</v>
      </c>
      <c r="AF73" s="15" t="str">
        <f t="shared" si="23"/>
        <v>0100000001000</v>
      </c>
      <c r="AG73" s="41" t="str">
        <f t="shared" si="23"/>
        <v/>
      </c>
      <c r="AH73" s="15"/>
      <c r="AI73" s="21">
        <v>0</v>
      </c>
      <c r="AJ73" s="20" t="str">
        <f t="shared" si="24"/>
        <v>HH-0</v>
      </c>
      <c r="AK73" s="39" cm="1">
        <f t="array" ref="AK73">SUMPRODUCT(--(MID(AB$10:AB$135, SUMIF($Z$9:$Z$21, LEFT($AJ73,2), $Y$9:$Y$21), 1) = RIGHT($AJ73, 1)), J$10:J$135)</f>
        <v>30</v>
      </c>
      <c r="AL73" s="39" cm="1">
        <f t="array" ref="AL73">SUMPRODUCT(--(MID(AC$10:AC$135, SUMIF($Z$9:$Z$21, LEFT($AJ73,2), $Y$9:$Y$21), 1) = RIGHT($AJ73, 1)), K$10:K$135)</f>
        <v>62</v>
      </c>
      <c r="AM73" s="39" cm="1">
        <f t="array" ref="AM73">SUMPRODUCT(--(MID(AD$10:AD$135, SUMIF($Z$9:$Z$21, LEFT($AJ73,2), $Y$9:$Y$21), 1) = RIGHT($AJ73, 1)), L$10:L$135)</f>
        <v>78</v>
      </c>
      <c r="AN73" s="39" cm="1">
        <f t="array" ref="AN73">SUMPRODUCT(--(MID(AE$10:AE$135, SUMIF($Z$9:$Z$21, LEFT($AJ73,2), $Y$9:$Y$21), 1) = RIGHT($AJ73, 1)), M$10:M$135)</f>
        <v>65</v>
      </c>
      <c r="AO73" s="39" cm="1">
        <f t="array" ref="AO73">SUMPRODUCT(--(MID(AF$10:AF$135, SUMIF($Z$9:$Z$21, LEFT($AJ73,2), $Y$9:$Y$21), 1) = RIGHT($AJ73, 1)), N$10:N$135)</f>
        <v>89</v>
      </c>
      <c r="AP73" s="19" cm="1">
        <f t="array" ref="AP73">SUMPRODUCT(--(MID(AG$10:AG$135, SUMIF($Z$9:$Z$21, LEFT($AJ73,2), $Y$9:$Y$21), 1) = RIGHT($AJ73, 1)), O$10:O$135)</f>
        <v>48</v>
      </c>
    </row>
    <row r="74" spans="2:42">
      <c r="B74" s="34">
        <f t="shared" si="9"/>
        <v>64</v>
      </c>
      <c r="C74" s="30"/>
      <c r="D74" s="30" t="s">
        <v>136</v>
      </c>
      <c r="E74" s="30" t="s">
        <v>131</v>
      </c>
      <c r="F74" s="30" t="s">
        <v>134</v>
      </c>
      <c r="G74" s="30" t="s">
        <v>131</v>
      </c>
      <c r="H74" s="35"/>
      <c r="J74" s="34" t="str">
        <f t="shared" si="21"/>
        <v/>
      </c>
      <c r="K74" s="30">
        <f t="shared" si="21"/>
        <v>1</v>
      </c>
      <c r="L74" s="30">
        <f t="shared" si="21"/>
        <v>1</v>
      </c>
      <c r="M74" s="30">
        <f t="shared" si="21"/>
        <v>1</v>
      </c>
      <c r="N74" s="30">
        <f t="shared" si="21"/>
        <v>1</v>
      </c>
      <c r="O74" s="35" t="str">
        <f t="shared" si="21"/>
        <v/>
      </c>
      <c r="AB74" s="40" t="str">
        <f t="shared" si="23"/>
        <v/>
      </c>
      <c r="AC74" s="15" t="str">
        <f t="shared" si="23"/>
        <v>0000100001000</v>
      </c>
      <c r="AD74" s="15" t="str">
        <f t="shared" si="23"/>
        <v>0100000000100</v>
      </c>
      <c r="AE74" s="15" t="str">
        <f t="shared" si="23"/>
        <v>0001000000010</v>
      </c>
      <c r="AF74" s="15" t="str">
        <f t="shared" si="23"/>
        <v>0100000001000</v>
      </c>
      <c r="AG74" s="41" t="str">
        <f t="shared" si="23"/>
        <v/>
      </c>
      <c r="AH74" s="15"/>
      <c r="AI74" s="21">
        <v>7</v>
      </c>
      <c r="AJ74" s="20" t="str">
        <f>$Z$18&amp;"-7"</f>
        <v>JJ-7</v>
      </c>
      <c r="AK74" s="39" cm="1">
        <f t="array" ref="AK74">SUMPRODUCT(--(MID(AB$10:AB$135, SUMIF($Z$9:$Z$21, LEFT($AJ74,2), $Y$9:$Y$21), 1) = RIGHT($AJ74, 1)), J$10:J$135)</f>
        <v>0</v>
      </c>
      <c r="AL74" s="39" cm="1">
        <f t="array" ref="AL74">SUMPRODUCT(--(MID(AC$10:AC$135, SUMIF($Z$9:$Z$21, LEFT($AJ74,2), $Y$9:$Y$21), 1) = RIGHT($AJ74, 1)), K$10:K$135)</f>
        <v>0</v>
      </c>
      <c r="AM74" s="39" cm="1">
        <f t="array" ref="AM74">SUMPRODUCT(--(MID(AD$10:AD$135, SUMIF($Z$9:$Z$21, LEFT($AJ74,2), $Y$9:$Y$21), 1) = RIGHT($AJ74, 1)), L$10:L$135)</f>
        <v>0</v>
      </c>
      <c r="AN74" s="39" cm="1">
        <f t="array" ref="AN74">SUMPRODUCT(--(MID(AE$10:AE$135, SUMIF($Z$9:$Z$21, LEFT($AJ74,2), $Y$9:$Y$21), 1) = RIGHT($AJ74, 1)), M$10:M$135)</f>
        <v>0</v>
      </c>
      <c r="AO74" s="39" cm="1">
        <f t="array" ref="AO74">SUMPRODUCT(--(MID(AF$10:AF$135, SUMIF($Z$9:$Z$21, LEFT($AJ74,2), $Y$9:$Y$21), 1) = RIGHT($AJ74, 1)), N$10:N$135)</f>
        <v>0</v>
      </c>
      <c r="AP74" s="19" cm="1">
        <f t="array" ref="AP74">SUMPRODUCT(--(MID(AG$10:AG$135, SUMIF($Z$9:$Z$21, LEFT($AJ74,2), $Y$9:$Y$21), 1) = RIGHT($AJ74, 1)), O$10:O$135)</f>
        <v>0</v>
      </c>
    </row>
    <row r="75" spans="2:42">
      <c r="B75" s="34">
        <f t="shared" ref="B75:B135" si="25">B74+1</f>
        <v>65</v>
      </c>
      <c r="C75" s="30"/>
      <c r="D75" s="30" t="s">
        <v>127</v>
      </c>
      <c r="E75" s="30" t="s">
        <v>136</v>
      </c>
      <c r="F75" s="30" t="s">
        <v>128</v>
      </c>
      <c r="G75" s="30" t="s">
        <v>129</v>
      </c>
      <c r="H75" s="35"/>
      <c r="J75" s="34" t="str">
        <f t="shared" si="21"/>
        <v/>
      </c>
      <c r="K75" s="30">
        <f t="shared" si="21"/>
        <v>1</v>
      </c>
      <c r="L75" s="30">
        <f t="shared" si="21"/>
        <v>1</v>
      </c>
      <c r="M75" s="30">
        <f t="shared" si="21"/>
        <v>1</v>
      </c>
      <c r="N75" s="30">
        <f t="shared" si="21"/>
        <v>1</v>
      </c>
      <c r="O75" s="35" t="str">
        <f t="shared" si="21"/>
        <v/>
      </c>
      <c r="AB75" s="40" t="str">
        <f t="shared" si="23"/>
        <v/>
      </c>
      <c r="AC75" s="15" t="str">
        <f t="shared" si="23"/>
        <v>0010100000000</v>
      </c>
      <c r="AD75" s="15" t="str">
        <f t="shared" si="23"/>
        <v>0100100000000</v>
      </c>
      <c r="AE75" s="15" t="str">
        <f t="shared" si="23"/>
        <v>0001001000000</v>
      </c>
      <c r="AF75" s="15" t="str">
        <f t="shared" si="23"/>
        <v>0100000001000</v>
      </c>
      <c r="AG75" s="41" t="str">
        <f t="shared" si="23"/>
        <v/>
      </c>
      <c r="AH75" s="15"/>
      <c r="AI75" s="21">
        <v>6</v>
      </c>
      <c r="AJ75" s="20" t="str">
        <f>LEFT(AJ74,3) &amp; RIGHT(AJ74,1)-1</f>
        <v>JJ-6</v>
      </c>
      <c r="AK75" s="39" cm="1">
        <f t="array" ref="AK75">SUMPRODUCT(--(MID(AB$10:AB$135, SUMIF($Z$9:$Z$21, LEFT($AJ75,2), $Y$9:$Y$21), 1) = RIGHT($AJ75, 1)), J$10:J$135)</f>
        <v>0</v>
      </c>
      <c r="AL75" s="39" cm="1">
        <f t="array" ref="AL75">SUMPRODUCT(--(MID(AC$10:AC$135, SUMIF($Z$9:$Z$21, LEFT($AJ75,2), $Y$9:$Y$21), 1) = RIGHT($AJ75, 1)), K$10:K$135)</f>
        <v>0</v>
      </c>
      <c r="AM75" s="39" cm="1">
        <f t="array" ref="AM75">SUMPRODUCT(--(MID(AD$10:AD$135, SUMIF($Z$9:$Z$21, LEFT($AJ75,2), $Y$9:$Y$21), 1) = RIGHT($AJ75, 1)), L$10:L$135)</f>
        <v>0</v>
      </c>
      <c r="AN75" s="39" cm="1">
        <f t="array" ref="AN75">SUMPRODUCT(--(MID(AE$10:AE$135, SUMIF($Z$9:$Z$21, LEFT($AJ75,2), $Y$9:$Y$21), 1) = RIGHT($AJ75, 1)), M$10:M$135)</f>
        <v>0</v>
      </c>
      <c r="AO75" s="39" cm="1">
        <f t="array" ref="AO75">SUMPRODUCT(--(MID(AF$10:AF$135, SUMIF($Z$9:$Z$21, LEFT($AJ75,2), $Y$9:$Y$21), 1) = RIGHT($AJ75, 1)), N$10:N$135)</f>
        <v>0</v>
      </c>
      <c r="AP75" s="19" cm="1">
        <f t="array" ref="AP75">SUMPRODUCT(--(MID(AG$10:AG$135, SUMIF($Z$9:$Z$21, LEFT($AJ75,2), $Y$9:$Y$21), 1) = RIGHT($AJ75, 1)), O$10:O$135)</f>
        <v>0</v>
      </c>
    </row>
    <row r="76" spans="2:42">
      <c r="B76" s="34">
        <f t="shared" si="25"/>
        <v>66</v>
      </c>
      <c r="C76" s="30"/>
      <c r="D76" s="30" t="s">
        <v>133</v>
      </c>
      <c r="E76" s="30" t="s">
        <v>129</v>
      </c>
      <c r="F76" s="30" t="s">
        <v>133</v>
      </c>
      <c r="G76" s="30" t="s">
        <v>136</v>
      </c>
      <c r="H76" s="35"/>
      <c r="J76" s="34" t="str">
        <f t="shared" si="21"/>
        <v/>
      </c>
      <c r="K76" s="30">
        <f t="shared" si="21"/>
        <v>1</v>
      </c>
      <c r="L76" s="30">
        <f t="shared" si="21"/>
        <v>1</v>
      </c>
      <c r="M76" s="30">
        <f t="shared" si="21"/>
        <v>1</v>
      </c>
      <c r="N76" s="30">
        <f t="shared" si="21"/>
        <v>1</v>
      </c>
      <c r="O76" s="35" t="str">
        <f t="shared" si="21"/>
        <v/>
      </c>
      <c r="AB76" s="40" t="str">
        <f t="shared" si="23"/>
        <v/>
      </c>
      <c r="AC76" s="15" t="str">
        <f t="shared" si="23"/>
        <v>0010000100000</v>
      </c>
      <c r="AD76" s="15" t="str">
        <f t="shared" si="23"/>
        <v>0000100001000</v>
      </c>
      <c r="AE76" s="15" t="str">
        <f t="shared" si="23"/>
        <v>0000001100000</v>
      </c>
      <c r="AF76" s="15" t="str">
        <f t="shared" si="23"/>
        <v>0000100001000</v>
      </c>
      <c r="AG76" s="41" t="str">
        <f t="shared" si="23"/>
        <v/>
      </c>
      <c r="AH76" s="15"/>
      <c r="AI76" s="21">
        <v>5</v>
      </c>
      <c r="AJ76" s="20" t="str">
        <f t="shared" ref="AJ76:AJ81" si="26">LEFT(AJ75,3) &amp; RIGHT(AJ75,1)-1</f>
        <v>JJ-5</v>
      </c>
      <c r="AK76" s="39" cm="1">
        <f t="array" ref="AK76">SUMPRODUCT(--(MID(AB$10:AB$135, SUMIF($Z$9:$Z$21, LEFT($AJ76,2), $Y$9:$Y$21), 1) = RIGHT($AJ76, 1)), J$10:J$135)</f>
        <v>0</v>
      </c>
      <c r="AL76" s="39" cm="1">
        <f t="array" ref="AL76">SUMPRODUCT(--(MID(AC$10:AC$135, SUMIF($Z$9:$Z$21, LEFT($AJ76,2), $Y$9:$Y$21), 1) = RIGHT($AJ76, 1)), K$10:K$135)</f>
        <v>0</v>
      </c>
      <c r="AM76" s="39" cm="1">
        <f t="array" ref="AM76">SUMPRODUCT(--(MID(AD$10:AD$135, SUMIF($Z$9:$Z$21, LEFT($AJ76,2), $Y$9:$Y$21), 1) = RIGHT($AJ76, 1)), L$10:L$135)</f>
        <v>0</v>
      </c>
      <c r="AN76" s="39" cm="1">
        <f t="array" ref="AN76">SUMPRODUCT(--(MID(AE$10:AE$135, SUMIF($Z$9:$Z$21, LEFT($AJ76,2), $Y$9:$Y$21), 1) = RIGHT($AJ76, 1)), M$10:M$135)</f>
        <v>0</v>
      </c>
      <c r="AO76" s="39" cm="1">
        <f t="array" ref="AO76">SUMPRODUCT(--(MID(AF$10:AF$135, SUMIF($Z$9:$Z$21, LEFT($AJ76,2), $Y$9:$Y$21), 1) = RIGHT($AJ76, 1)), N$10:N$135)</f>
        <v>0</v>
      </c>
      <c r="AP76" s="19" cm="1">
        <f t="array" ref="AP76">SUMPRODUCT(--(MID(AG$10:AG$135, SUMIF($Z$9:$Z$21, LEFT($AJ76,2), $Y$9:$Y$21), 1) = RIGHT($AJ76, 1)), O$10:O$135)</f>
        <v>0</v>
      </c>
    </row>
    <row r="77" spans="2:42">
      <c r="B77" s="34">
        <f t="shared" si="25"/>
        <v>67</v>
      </c>
      <c r="C77" s="30"/>
      <c r="D77" s="30" t="s">
        <v>129</v>
      </c>
      <c r="E77" s="30" t="s">
        <v>133</v>
      </c>
      <c r="F77" s="30"/>
      <c r="G77" s="30" t="s">
        <v>132</v>
      </c>
      <c r="H77" s="35"/>
      <c r="J77" s="34" t="str">
        <f t="shared" si="21"/>
        <v/>
      </c>
      <c r="K77" s="30">
        <f t="shared" si="21"/>
        <v>1</v>
      </c>
      <c r="L77" s="30">
        <f t="shared" si="21"/>
        <v>1</v>
      </c>
      <c r="M77" s="30" t="str">
        <f t="shared" si="21"/>
        <v/>
      </c>
      <c r="N77" s="30">
        <f t="shared" si="21"/>
        <v>1</v>
      </c>
      <c r="O77" s="35" t="str">
        <f t="shared" si="21"/>
        <v/>
      </c>
      <c r="AB77" s="40" t="str">
        <f t="shared" si="23"/>
        <v/>
      </c>
      <c r="AC77" s="15" t="str">
        <f t="shared" si="23"/>
        <v>0000000101000</v>
      </c>
      <c r="AD77" s="15" t="str">
        <f t="shared" si="23"/>
        <v>0000000101000</v>
      </c>
      <c r="AE77" s="15" t="str">
        <f t="shared" si="23"/>
        <v/>
      </c>
      <c r="AF77" s="15" t="str">
        <f t="shared" si="23"/>
        <v>0000100000100</v>
      </c>
      <c r="AG77" s="41" t="str">
        <f t="shared" si="23"/>
        <v/>
      </c>
      <c r="AH77" s="15"/>
      <c r="AI77" s="21">
        <v>4</v>
      </c>
      <c r="AJ77" s="20" t="str">
        <f t="shared" si="26"/>
        <v>JJ-4</v>
      </c>
      <c r="AK77" s="39" cm="1">
        <f t="array" ref="AK77">SUMPRODUCT(--(MID(AB$10:AB$135, SUMIF($Z$9:$Z$21, LEFT($AJ77,2), $Y$9:$Y$21), 1) = RIGHT($AJ77, 1)), J$10:J$135)</f>
        <v>0</v>
      </c>
      <c r="AL77" s="39" cm="1">
        <f t="array" ref="AL77">SUMPRODUCT(--(MID(AC$10:AC$135, SUMIF($Z$9:$Z$21, LEFT($AJ77,2), $Y$9:$Y$21), 1) = RIGHT($AJ77, 1)), K$10:K$135)</f>
        <v>0</v>
      </c>
      <c r="AM77" s="39" cm="1">
        <f t="array" ref="AM77">SUMPRODUCT(--(MID(AD$10:AD$135, SUMIF($Z$9:$Z$21, LEFT($AJ77,2), $Y$9:$Y$21), 1) = RIGHT($AJ77, 1)), L$10:L$135)</f>
        <v>0</v>
      </c>
      <c r="AN77" s="39" cm="1">
        <f t="array" ref="AN77">SUMPRODUCT(--(MID(AE$10:AE$135, SUMIF($Z$9:$Z$21, LEFT($AJ77,2), $Y$9:$Y$21), 1) = RIGHT($AJ77, 1)), M$10:M$135)</f>
        <v>0</v>
      </c>
      <c r="AO77" s="39" cm="1">
        <f t="array" ref="AO77">SUMPRODUCT(--(MID(AF$10:AF$135, SUMIF($Z$9:$Z$21, LEFT($AJ77,2), $Y$9:$Y$21), 1) = RIGHT($AJ77, 1)), N$10:N$135)</f>
        <v>0</v>
      </c>
      <c r="AP77" s="19" cm="1">
        <f t="array" ref="AP77">SUMPRODUCT(--(MID(AG$10:AG$135, SUMIF($Z$9:$Z$21, LEFT($AJ77,2), $Y$9:$Y$21), 1) = RIGHT($AJ77, 1)), O$10:O$135)</f>
        <v>0</v>
      </c>
    </row>
    <row r="78" spans="2:42">
      <c r="B78" s="34">
        <f t="shared" si="25"/>
        <v>68</v>
      </c>
      <c r="C78" s="30"/>
      <c r="D78" s="30" t="s">
        <v>128</v>
      </c>
      <c r="E78" s="30" t="s">
        <v>132</v>
      </c>
      <c r="F78" s="30"/>
      <c r="G78" s="30" t="s">
        <v>134</v>
      </c>
      <c r="H78" s="35"/>
      <c r="J78" s="34" t="str">
        <f t="shared" si="21"/>
        <v/>
      </c>
      <c r="K78" s="30">
        <f t="shared" si="21"/>
        <v>1</v>
      </c>
      <c r="L78" s="30">
        <f t="shared" si="21"/>
        <v>1</v>
      </c>
      <c r="M78" s="30" t="str">
        <f t="shared" si="21"/>
        <v/>
      </c>
      <c r="N78" s="30">
        <f t="shared" si="21"/>
        <v>1</v>
      </c>
      <c r="O78" s="35" t="str">
        <f t="shared" si="21"/>
        <v/>
      </c>
      <c r="AB78" s="40" t="str">
        <f t="shared" si="23"/>
        <v/>
      </c>
      <c r="AC78" s="15" t="str">
        <f t="shared" si="23"/>
        <v>0000001001000</v>
      </c>
      <c r="AD78" s="15" t="str">
        <f t="shared" si="23"/>
        <v>0000000100100</v>
      </c>
      <c r="AE78" s="15" t="str">
        <f t="shared" si="23"/>
        <v/>
      </c>
      <c r="AF78" s="15" t="str">
        <f t="shared" si="23"/>
        <v>0001000000100</v>
      </c>
      <c r="AG78" s="41" t="str">
        <f t="shared" si="23"/>
        <v/>
      </c>
      <c r="AH78" s="15"/>
      <c r="AI78" s="21">
        <v>3</v>
      </c>
      <c r="AJ78" s="20" t="str">
        <f t="shared" si="26"/>
        <v>JJ-3</v>
      </c>
      <c r="AK78" s="39" cm="1">
        <f t="array" ref="AK78">SUMPRODUCT(--(MID(AB$10:AB$135, SUMIF($Z$9:$Z$21, LEFT($AJ78,2), $Y$9:$Y$21), 1) = RIGHT($AJ78, 1)), J$10:J$135)</f>
        <v>0</v>
      </c>
      <c r="AL78" s="39" cm="1">
        <f t="array" ref="AL78">SUMPRODUCT(--(MID(AC$10:AC$135, SUMIF($Z$9:$Z$21, LEFT($AJ78,2), $Y$9:$Y$21), 1) = RIGHT($AJ78, 1)), K$10:K$135)</f>
        <v>0</v>
      </c>
      <c r="AM78" s="39" cm="1">
        <f t="array" ref="AM78">SUMPRODUCT(--(MID(AD$10:AD$135, SUMIF($Z$9:$Z$21, LEFT($AJ78,2), $Y$9:$Y$21), 1) = RIGHT($AJ78, 1)), L$10:L$135)</f>
        <v>0</v>
      </c>
      <c r="AN78" s="39" cm="1">
        <f t="array" ref="AN78">SUMPRODUCT(--(MID(AE$10:AE$135, SUMIF($Z$9:$Z$21, LEFT($AJ78,2), $Y$9:$Y$21), 1) = RIGHT($AJ78, 1)), M$10:M$135)</f>
        <v>0</v>
      </c>
      <c r="AO78" s="39" cm="1">
        <f t="array" ref="AO78">SUMPRODUCT(--(MID(AF$10:AF$135, SUMIF($Z$9:$Z$21, LEFT($AJ78,2), $Y$9:$Y$21), 1) = RIGHT($AJ78, 1)), N$10:N$135)</f>
        <v>0</v>
      </c>
      <c r="AP78" s="19" cm="1">
        <f t="array" ref="AP78">SUMPRODUCT(--(MID(AG$10:AG$135, SUMIF($Z$9:$Z$21, LEFT($AJ78,2), $Y$9:$Y$21), 1) = RIGHT($AJ78, 1)), O$10:O$135)</f>
        <v>0</v>
      </c>
    </row>
    <row r="79" spans="2:42">
      <c r="B79" s="34">
        <f t="shared" si="25"/>
        <v>69</v>
      </c>
      <c r="C79" s="30"/>
      <c r="D79" s="30" t="s">
        <v>138</v>
      </c>
      <c r="E79" s="30" t="s">
        <v>133</v>
      </c>
      <c r="F79" s="30"/>
      <c r="G79" s="30" t="s">
        <v>133</v>
      </c>
      <c r="H79" s="35"/>
      <c r="J79" s="34" t="str">
        <f t="shared" si="21"/>
        <v/>
      </c>
      <c r="K79" s="30">
        <f t="shared" si="21"/>
        <v>1</v>
      </c>
      <c r="L79" s="30">
        <f t="shared" si="21"/>
        <v>1</v>
      </c>
      <c r="M79" s="30" t="str">
        <f t="shared" si="21"/>
        <v/>
      </c>
      <c r="N79" s="30">
        <f t="shared" si="21"/>
        <v>1</v>
      </c>
      <c r="O79" s="35" t="str">
        <f t="shared" si="21"/>
        <v/>
      </c>
      <c r="AB79" s="40" t="str">
        <f t="shared" si="23"/>
        <v/>
      </c>
      <c r="AC79" s="15" t="str">
        <f t="shared" si="23"/>
        <v>0000001000010</v>
      </c>
      <c r="AD79" s="15" t="str">
        <f t="shared" si="23"/>
        <v>0000000100100</v>
      </c>
      <c r="AE79" s="15" t="str">
        <f t="shared" si="23"/>
        <v/>
      </c>
      <c r="AF79" s="15" t="str">
        <f t="shared" si="23"/>
        <v>0001000100000</v>
      </c>
      <c r="AG79" s="41" t="str">
        <f t="shared" si="23"/>
        <v/>
      </c>
      <c r="AH79" s="15"/>
      <c r="AI79" s="21">
        <v>2</v>
      </c>
      <c r="AJ79" s="20" t="str">
        <f t="shared" si="26"/>
        <v>JJ-2</v>
      </c>
      <c r="AK79" s="39" cm="1">
        <f t="array" ref="AK79">SUMPRODUCT(--(MID(AB$10:AB$135, SUMIF($Z$9:$Z$21, LEFT($AJ79,2), $Y$9:$Y$21), 1) = RIGHT($AJ79, 1)), J$10:J$135)</f>
        <v>2</v>
      </c>
      <c r="AL79" s="39" cm="1">
        <f t="array" ref="AL79">SUMPRODUCT(--(MID(AC$10:AC$135, SUMIF($Z$9:$Z$21, LEFT($AJ79,2), $Y$9:$Y$21), 1) = RIGHT($AJ79, 1)), K$10:K$135)</f>
        <v>5</v>
      </c>
      <c r="AM79" s="39" cm="1">
        <f t="array" ref="AM79">SUMPRODUCT(--(MID(AD$10:AD$135, SUMIF($Z$9:$Z$21, LEFT($AJ79,2), $Y$9:$Y$21), 1) = RIGHT($AJ79, 1)), L$10:L$135)</f>
        <v>4</v>
      </c>
      <c r="AN79" s="39" cm="1">
        <f t="array" ref="AN79">SUMPRODUCT(--(MID(AE$10:AE$135, SUMIF($Z$9:$Z$21, LEFT($AJ79,2), $Y$9:$Y$21), 1) = RIGHT($AJ79, 1)), M$10:M$135)</f>
        <v>2</v>
      </c>
      <c r="AO79" s="39" cm="1">
        <f t="array" ref="AO79">SUMPRODUCT(--(MID(AF$10:AF$135, SUMIF($Z$9:$Z$21, LEFT($AJ79,2), $Y$9:$Y$21), 1) = RIGHT($AJ79, 1)), N$10:N$135)</f>
        <v>2</v>
      </c>
      <c r="AP79" s="19" cm="1">
        <f t="array" ref="AP79">SUMPRODUCT(--(MID(AG$10:AG$135, SUMIF($Z$9:$Z$21, LEFT($AJ79,2), $Y$9:$Y$21), 1) = RIGHT($AJ79, 1)), O$10:O$135)</f>
        <v>2</v>
      </c>
    </row>
    <row r="80" spans="2:42">
      <c r="B80" s="34">
        <f t="shared" si="25"/>
        <v>70</v>
      </c>
      <c r="C80" s="30"/>
      <c r="D80" s="30" t="s">
        <v>133</v>
      </c>
      <c r="E80" s="30" t="s">
        <v>138</v>
      </c>
      <c r="F80" s="30"/>
      <c r="G80" s="30" t="s">
        <v>132</v>
      </c>
      <c r="H80" s="35"/>
      <c r="J80" s="34" t="str">
        <f t="shared" si="21"/>
        <v/>
      </c>
      <c r="K80" s="30">
        <f t="shared" si="21"/>
        <v>1</v>
      </c>
      <c r="L80" s="30">
        <f t="shared" si="21"/>
        <v>1</v>
      </c>
      <c r="M80" s="30" t="str">
        <f t="shared" si="21"/>
        <v/>
      </c>
      <c r="N80" s="30">
        <f t="shared" si="21"/>
        <v>1</v>
      </c>
      <c r="O80" s="35" t="str">
        <f t="shared" si="21"/>
        <v/>
      </c>
      <c r="AB80" s="40" t="str">
        <f t="shared" si="23"/>
        <v/>
      </c>
      <c r="AC80" s="15" t="str">
        <f t="shared" si="23"/>
        <v>0000000100010</v>
      </c>
      <c r="AD80" s="15" t="str">
        <f t="shared" si="23"/>
        <v>0000000100010</v>
      </c>
      <c r="AE80" s="15" t="str">
        <f t="shared" si="23"/>
        <v/>
      </c>
      <c r="AF80" s="15" t="str">
        <f t="shared" si="23"/>
        <v>0000000100100</v>
      </c>
      <c r="AG80" s="41" t="str">
        <f t="shared" si="23"/>
        <v/>
      </c>
      <c r="AH80" s="15"/>
      <c r="AI80" s="21">
        <v>1</v>
      </c>
      <c r="AJ80" s="20" t="str">
        <f t="shared" si="26"/>
        <v>JJ-1</v>
      </c>
      <c r="AK80" s="39" cm="1">
        <f t="array" ref="AK80">SUMPRODUCT(--(MID(AB$10:AB$135, SUMIF($Z$9:$Z$21, LEFT($AJ80,2), $Y$9:$Y$21), 1) = RIGHT($AJ80, 1)), J$10:J$135)</f>
        <v>8</v>
      </c>
      <c r="AL80" s="39" cm="1">
        <f t="array" ref="AL80">SUMPRODUCT(--(MID(AC$10:AC$135, SUMIF($Z$9:$Z$21, LEFT($AJ80,2), $Y$9:$Y$21), 1) = RIGHT($AJ80, 1)), K$10:K$135)</f>
        <v>8</v>
      </c>
      <c r="AM80" s="39" cm="1">
        <f t="array" ref="AM80">SUMPRODUCT(--(MID(AD$10:AD$135, SUMIF($Z$9:$Z$21, LEFT($AJ80,2), $Y$9:$Y$21), 1) = RIGHT($AJ80, 1)), L$10:L$135)</f>
        <v>16</v>
      </c>
      <c r="AN80" s="39" cm="1">
        <f t="array" ref="AN80">SUMPRODUCT(--(MID(AE$10:AE$135, SUMIF($Z$9:$Z$21, LEFT($AJ80,2), $Y$9:$Y$21), 1) = RIGHT($AJ80, 1)), M$10:M$135)</f>
        <v>6</v>
      </c>
      <c r="AO80" s="39" cm="1">
        <f t="array" ref="AO80">SUMPRODUCT(--(MID(AF$10:AF$135, SUMIF($Z$9:$Z$21, LEFT($AJ80,2), $Y$9:$Y$21), 1) = RIGHT($AJ80, 1)), N$10:N$135)</f>
        <v>14</v>
      </c>
      <c r="AP80" s="19" cm="1">
        <f t="array" ref="AP80">SUMPRODUCT(--(MID(AG$10:AG$135, SUMIF($Z$9:$Z$21, LEFT($AJ80,2), $Y$9:$Y$21), 1) = RIGHT($AJ80, 1)), O$10:O$135)</f>
        <v>6</v>
      </c>
    </row>
    <row r="81" spans="2:42">
      <c r="B81" s="34">
        <f t="shared" si="25"/>
        <v>71</v>
      </c>
      <c r="C81" s="30"/>
      <c r="D81" s="30" t="s">
        <v>127</v>
      </c>
      <c r="E81" s="30" t="s">
        <v>131</v>
      </c>
      <c r="F81" s="30"/>
      <c r="G81" s="30" t="s">
        <v>133</v>
      </c>
      <c r="H81" s="35"/>
      <c r="J81" s="34" t="str">
        <f t="shared" si="21"/>
        <v/>
      </c>
      <c r="K81" s="30">
        <f t="shared" si="21"/>
        <v>1</v>
      </c>
      <c r="L81" s="30">
        <f t="shared" si="21"/>
        <v>1</v>
      </c>
      <c r="M81" s="30" t="str">
        <f t="shared" si="21"/>
        <v/>
      </c>
      <c r="N81" s="30">
        <f t="shared" si="21"/>
        <v>1</v>
      </c>
      <c r="O81" s="35" t="str">
        <f t="shared" si="21"/>
        <v/>
      </c>
      <c r="AB81" s="40" t="str">
        <f t="shared" si="23"/>
        <v/>
      </c>
      <c r="AC81" s="15" t="str">
        <f t="shared" si="23"/>
        <v>0010000100000</v>
      </c>
      <c r="AD81" s="15" t="str">
        <f t="shared" si="23"/>
        <v>0100000000010</v>
      </c>
      <c r="AE81" s="15" t="str">
        <f t="shared" si="23"/>
        <v/>
      </c>
      <c r="AF81" s="15" t="str">
        <f t="shared" si="23"/>
        <v>0000000100100</v>
      </c>
      <c r="AG81" s="41" t="str">
        <f t="shared" si="23"/>
        <v/>
      </c>
      <c r="AH81" s="15"/>
      <c r="AI81" s="21">
        <v>0</v>
      </c>
      <c r="AJ81" s="20" t="str">
        <f t="shared" si="26"/>
        <v>JJ-0</v>
      </c>
      <c r="AK81" s="39" cm="1">
        <f t="array" ref="AK81">SUMPRODUCT(--(MID(AB$10:AB$135, SUMIF($Z$9:$Z$21, LEFT($AJ81,2), $Y$9:$Y$21), 1) = RIGHT($AJ81, 1)), J$10:J$135)</f>
        <v>30</v>
      </c>
      <c r="AL81" s="39" cm="1">
        <f t="array" ref="AL81">SUMPRODUCT(--(MID(AC$10:AC$135, SUMIF($Z$9:$Z$21, LEFT($AJ81,2), $Y$9:$Y$21), 1) = RIGHT($AJ81, 1)), K$10:K$135)</f>
        <v>60</v>
      </c>
      <c r="AM81" s="39" cm="1">
        <f t="array" ref="AM81">SUMPRODUCT(--(MID(AD$10:AD$135, SUMIF($Z$9:$Z$21, LEFT($AJ81,2), $Y$9:$Y$21), 1) = RIGHT($AJ81, 1)), L$10:L$135)</f>
        <v>64</v>
      </c>
      <c r="AN81" s="39" cm="1">
        <f t="array" ref="AN81">SUMPRODUCT(--(MID(AE$10:AE$135, SUMIF($Z$9:$Z$21, LEFT($AJ81,2), $Y$9:$Y$21), 1) = RIGHT($AJ81, 1)), M$10:M$135)</f>
        <v>59</v>
      </c>
      <c r="AO81" s="39" cm="1">
        <f t="array" ref="AO81">SUMPRODUCT(--(MID(AF$10:AF$135, SUMIF($Z$9:$Z$21, LEFT($AJ81,2), $Y$9:$Y$21), 1) = RIGHT($AJ81, 1)), N$10:N$135)</f>
        <v>75</v>
      </c>
      <c r="AP81" s="19" cm="1">
        <f t="array" ref="AP81">SUMPRODUCT(--(MID(AG$10:AG$135, SUMIF($Z$9:$Z$21, LEFT($AJ81,2), $Y$9:$Y$21), 1) = RIGHT($AJ81, 1)), O$10:O$135)</f>
        <v>42</v>
      </c>
    </row>
    <row r="82" spans="2:42">
      <c r="B82" s="34">
        <f t="shared" si="25"/>
        <v>72</v>
      </c>
      <c r="C82" s="30"/>
      <c r="D82" s="30" t="s">
        <v>131</v>
      </c>
      <c r="E82" s="30" t="s">
        <v>138</v>
      </c>
      <c r="F82" s="30"/>
      <c r="G82" s="30" t="s">
        <v>134</v>
      </c>
      <c r="H82" s="35"/>
      <c r="J82" s="34" t="str">
        <f t="shared" si="21"/>
        <v/>
      </c>
      <c r="K82" s="30">
        <f t="shared" si="21"/>
        <v>1</v>
      </c>
      <c r="L82" s="30">
        <f t="shared" si="21"/>
        <v>1</v>
      </c>
      <c r="M82" s="30" t="str">
        <f t="shared" si="21"/>
        <v/>
      </c>
      <c r="N82" s="30">
        <f t="shared" si="21"/>
        <v>1</v>
      </c>
      <c r="O82" s="35" t="str">
        <f t="shared" si="21"/>
        <v/>
      </c>
      <c r="AB82" s="40" t="str">
        <f t="shared" si="23"/>
        <v/>
      </c>
      <c r="AC82" s="15" t="str">
        <f t="shared" si="23"/>
        <v>0110000000000</v>
      </c>
      <c r="AD82" s="15" t="str">
        <f t="shared" si="23"/>
        <v>0100000000010</v>
      </c>
      <c r="AE82" s="15" t="str">
        <f t="shared" si="23"/>
        <v/>
      </c>
      <c r="AF82" s="15" t="str">
        <f t="shared" si="23"/>
        <v>0001000100000</v>
      </c>
      <c r="AG82" s="41" t="str">
        <f t="shared" si="23"/>
        <v/>
      </c>
      <c r="AH82" s="15"/>
      <c r="AI82" s="21">
        <v>7</v>
      </c>
      <c r="AJ82" s="20" t="str">
        <f>$Z$19&amp;"-7"</f>
        <v>KK-7</v>
      </c>
      <c r="AK82" s="39" cm="1">
        <f t="array" ref="AK82">SUMPRODUCT(--(MID(AB$10:AB$135, SUMIF($Z$9:$Z$21, LEFT($AJ82,2), $Y$9:$Y$21), 1) = RIGHT($AJ82, 1)), J$10:J$135)</f>
        <v>0</v>
      </c>
      <c r="AL82" s="39" cm="1">
        <f t="array" ref="AL82">SUMPRODUCT(--(MID(AC$10:AC$135, SUMIF($Z$9:$Z$21, LEFT($AJ82,2), $Y$9:$Y$21), 1) = RIGHT($AJ82, 1)), K$10:K$135)</f>
        <v>0</v>
      </c>
      <c r="AM82" s="39" cm="1">
        <f t="array" ref="AM82">SUMPRODUCT(--(MID(AD$10:AD$135, SUMIF($Z$9:$Z$21, LEFT($AJ82,2), $Y$9:$Y$21), 1) = RIGHT($AJ82, 1)), L$10:L$135)</f>
        <v>0</v>
      </c>
      <c r="AN82" s="39" cm="1">
        <f t="array" ref="AN82">SUMPRODUCT(--(MID(AE$10:AE$135, SUMIF($Z$9:$Z$21, LEFT($AJ82,2), $Y$9:$Y$21), 1) = RIGHT($AJ82, 1)), M$10:M$135)</f>
        <v>0</v>
      </c>
      <c r="AO82" s="39" cm="1">
        <f t="array" ref="AO82">SUMPRODUCT(--(MID(AF$10:AF$135, SUMIF($Z$9:$Z$21, LEFT($AJ82,2), $Y$9:$Y$21), 1) = RIGHT($AJ82, 1)), N$10:N$135)</f>
        <v>0</v>
      </c>
      <c r="AP82" s="19" cm="1">
        <f t="array" ref="AP82">SUMPRODUCT(--(MID(AG$10:AG$135, SUMIF($Z$9:$Z$21, LEFT($AJ82,2), $Y$9:$Y$21), 1) = RIGHT($AJ82, 1)), O$10:O$135)</f>
        <v>0</v>
      </c>
    </row>
    <row r="83" spans="2:42">
      <c r="B83" s="34">
        <f t="shared" si="25"/>
        <v>73</v>
      </c>
      <c r="C83" s="30"/>
      <c r="D83" s="30"/>
      <c r="E83" s="30" t="s">
        <v>133</v>
      </c>
      <c r="F83" s="30"/>
      <c r="G83" s="30" t="s">
        <v>128</v>
      </c>
      <c r="H83" s="35"/>
      <c r="J83" s="34" t="str">
        <f t="shared" si="21"/>
        <v/>
      </c>
      <c r="K83" s="30" t="str">
        <f t="shared" si="21"/>
        <v/>
      </c>
      <c r="L83" s="30">
        <f t="shared" si="21"/>
        <v>1</v>
      </c>
      <c r="M83" s="30" t="str">
        <f t="shared" si="21"/>
        <v/>
      </c>
      <c r="N83" s="30">
        <f t="shared" si="21"/>
        <v>1</v>
      </c>
      <c r="O83" s="35" t="str">
        <f t="shared" si="21"/>
        <v/>
      </c>
      <c r="AB83" s="40" t="str">
        <f t="shared" si="23"/>
        <v/>
      </c>
      <c r="AC83" s="15" t="str">
        <f t="shared" si="23"/>
        <v/>
      </c>
      <c r="AD83" s="15" t="str">
        <f t="shared" si="23"/>
        <v>0000000100010</v>
      </c>
      <c r="AE83" s="15" t="str">
        <f t="shared" si="23"/>
        <v/>
      </c>
      <c r="AF83" s="15" t="str">
        <f t="shared" si="23"/>
        <v>0001001000000</v>
      </c>
      <c r="AG83" s="41" t="str">
        <f t="shared" si="23"/>
        <v/>
      </c>
      <c r="AH83" s="15"/>
      <c r="AI83" s="21">
        <v>6</v>
      </c>
      <c r="AJ83" s="20" t="str">
        <f>LEFT(AJ82,3) &amp; RIGHT(AJ82,1)-1</f>
        <v>KK-6</v>
      </c>
      <c r="AK83" s="39" cm="1">
        <f t="array" ref="AK83">SUMPRODUCT(--(MID(AB$10:AB$135, SUMIF($Z$9:$Z$21, LEFT($AJ83,2), $Y$9:$Y$21), 1) = RIGHT($AJ83, 1)), J$10:J$135)</f>
        <v>0</v>
      </c>
      <c r="AL83" s="39" cm="1">
        <f t="array" ref="AL83">SUMPRODUCT(--(MID(AC$10:AC$135, SUMIF($Z$9:$Z$21, LEFT($AJ83,2), $Y$9:$Y$21), 1) = RIGHT($AJ83, 1)), K$10:K$135)</f>
        <v>0</v>
      </c>
      <c r="AM83" s="39" cm="1">
        <f t="array" ref="AM83">SUMPRODUCT(--(MID(AD$10:AD$135, SUMIF($Z$9:$Z$21, LEFT($AJ83,2), $Y$9:$Y$21), 1) = RIGHT($AJ83, 1)), L$10:L$135)</f>
        <v>0</v>
      </c>
      <c r="AN83" s="39" cm="1">
        <f t="array" ref="AN83">SUMPRODUCT(--(MID(AE$10:AE$135, SUMIF($Z$9:$Z$21, LEFT($AJ83,2), $Y$9:$Y$21), 1) = RIGHT($AJ83, 1)), M$10:M$135)</f>
        <v>0</v>
      </c>
      <c r="AO83" s="39" cm="1">
        <f t="array" ref="AO83">SUMPRODUCT(--(MID(AF$10:AF$135, SUMIF($Z$9:$Z$21, LEFT($AJ83,2), $Y$9:$Y$21), 1) = RIGHT($AJ83, 1)), N$10:N$135)</f>
        <v>0</v>
      </c>
      <c r="AP83" s="19" cm="1">
        <f t="array" ref="AP83">SUMPRODUCT(--(MID(AG$10:AG$135, SUMIF($Z$9:$Z$21, LEFT($AJ83,2), $Y$9:$Y$21), 1) = RIGHT($AJ83, 1)), O$10:O$135)</f>
        <v>0</v>
      </c>
    </row>
    <row r="84" spans="2:42">
      <c r="B84" s="34">
        <f t="shared" si="25"/>
        <v>74</v>
      </c>
      <c r="C84" s="30"/>
      <c r="D84" s="30"/>
      <c r="E84" s="30" t="s">
        <v>127</v>
      </c>
      <c r="F84" s="30"/>
      <c r="G84" s="30" t="s">
        <v>127</v>
      </c>
      <c r="H84" s="35"/>
      <c r="J84" s="34" t="str">
        <f t="shared" si="21"/>
        <v/>
      </c>
      <c r="K84" s="30" t="str">
        <f t="shared" si="21"/>
        <v/>
      </c>
      <c r="L84" s="30">
        <f t="shared" si="21"/>
        <v>1</v>
      </c>
      <c r="M84" s="30" t="str">
        <f t="shared" si="21"/>
        <v/>
      </c>
      <c r="N84" s="30">
        <f t="shared" si="21"/>
        <v>1</v>
      </c>
      <c r="O84" s="35" t="str">
        <f t="shared" si="21"/>
        <v/>
      </c>
      <c r="AB84" s="40" t="str">
        <f t="shared" si="23"/>
        <v/>
      </c>
      <c r="AC84" s="15" t="str">
        <f t="shared" si="23"/>
        <v/>
      </c>
      <c r="AD84" s="15" t="str">
        <f t="shared" si="23"/>
        <v>0010000100000</v>
      </c>
      <c r="AE84" s="15" t="str">
        <f t="shared" si="23"/>
        <v/>
      </c>
      <c r="AF84" s="15" t="str">
        <f t="shared" si="23"/>
        <v>0010001000000</v>
      </c>
      <c r="AG84" s="41" t="str">
        <f t="shared" si="23"/>
        <v/>
      </c>
      <c r="AH84" s="15"/>
      <c r="AI84" s="21">
        <v>5</v>
      </c>
      <c r="AJ84" s="20" t="str">
        <f t="shared" ref="AJ84:AJ89" si="27">LEFT(AJ83,3) &amp; RIGHT(AJ83,1)-1</f>
        <v>KK-5</v>
      </c>
      <c r="AK84" s="39" cm="1">
        <f t="array" ref="AK84">SUMPRODUCT(--(MID(AB$10:AB$135, SUMIF($Z$9:$Z$21, LEFT($AJ84,2), $Y$9:$Y$21), 1) = RIGHT($AJ84, 1)), J$10:J$135)</f>
        <v>0</v>
      </c>
      <c r="AL84" s="39" cm="1">
        <f t="array" ref="AL84">SUMPRODUCT(--(MID(AC$10:AC$135, SUMIF($Z$9:$Z$21, LEFT($AJ84,2), $Y$9:$Y$21), 1) = RIGHT($AJ84, 1)), K$10:K$135)</f>
        <v>0</v>
      </c>
      <c r="AM84" s="39" cm="1">
        <f t="array" ref="AM84">SUMPRODUCT(--(MID(AD$10:AD$135, SUMIF($Z$9:$Z$21, LEFT($AJ84,2), $Y$9:$Y$21), 1) = RIGHT($AJ84, 1)), L$10:L$135)</f>
        <v>0</v>
      </c>
      <c r="AN84" s="39" cm="1">
        <f t="array" ref="AN84">SUMPRODUCT(--(MID(AE$10:AE$135, SUMIF($Z$9:$Z$21, LEFT($AJ84,2), $Y$9:$Y$21), 1) = RIGHT($AJ84, 1)), M$10:M$135)</f>
        <v>0</v>
      </c>
      <c r="AO84" s="39" cm="1">
        <f t="array" ref="AO84">SUMPRODUCT(--(MID(AF$10:AF$135, SUMIF($Z$9:$Z$21, LEFT($AJ84,2), $Y$9:$Y$21), 1) = RIGHT($AJ84, 1)), N$10:N$135)</f>
        <v>0</v>
      </c>
      <c r="AP84" s="19" cm="1">
        <f t="array" ref="AP84">SUMPRODUCT(--(MID(AG$10:AG$135, SUMIF($Z$9:$Z$21, LEFT($AJ84,2), $Y$9:$Y$21), 1) = RIGHT($AJ84, 1)), O$10:O$135)</f>
        <v>0</v>
      </c>
    </row>
    <row r="85" spans="2:42">
      <c r="B85" s="34">
        <f t="shared" si="25"/>
        <v>75</v>
      </c>
      <c r="C85" s="30"/>
      <c r="D85" s="30"/>
      <c r="E85" s="30" t="s">
        <v>133</v>
      </c>
      <c r="F85" s="30"/>
      <c r="G85" s="30" t="s">
        <v>133</v>
      </c>
      <c r="H85" s="35"/>
      <c r="J85" s="34" t="str">
        <f t="shared" si="21"/>
        <v/>
      </c>
      <c r="K85" s="30" t="str">
        <f t="shared" si="21"/>
        <v/>
      </c>
      <c r="L85" s="30">
        <f t="shared" si="21"/>
        <v>1</v>
      </c>
      <c r="M85" s="30" t="str">
        <f t="shared" si="21"/>
        <v/>
      </c>
      <c r="N85" s="30">
        <f t="shared" si="21"/>
        <v>1</v>
      </c>
      <c r="O85" s="35" t="str">
        <f t="shared" si="21"/>
        <v/>
      </c>
      <c r="AB85" s="40" t="str">
        <f t="shared" si="23"/>
        <v/>
      </c>
      <c r="AC85" s="15" t="str">
        <f t="shared" si="23"/>
        <v/>
      </c>
      <c r="AD85" s="15" t="str">
        <f t="shared" si="23"/>
        <v>0010000100000</v>
      </c>
      <c r="AE85" s="15" t="str">
        <f t="shared" si="23"/>
        <v/>
      </c>
      <c r="AF85" s="15" t="str">
        <f t="shared" si="23"/>
        <v>0010000100000</v>
      </c>
      <c r="AG85" s="41" t="str">
        <f t="shared" si="23"/>
        <v/>
      </c>
      <c r="AH85" s="15"/>
      <c r="AI85" s="21">
        <v>4</v>
      </c>
      <c r="AJ85" s="20" t="str">
        <f t="shared" si="27"/>
        <v>KK-4</v>
      </c>
      <c r="AK85" s="39" cm="1">
        <f t="array" ref="AK85">SUMPRODUCT(--(MID(AB$10:AB$135, SUMIF($Z$9:$Z$21, LEFT($AJ85,2), $Y$9:$Y$21), 1) = RIGHT($AJ85, 1)), J$10:J$135)</f>
        <v>0</v>
      </c>
      <c r="AL85" s="39" cm="1">
        <f t="array" ref="AL85">SUMPRODUCT(--(MID(AC$10:AC$135, SUMIF($Z$9:$Z$21, LEFT($AJ85,2), $Y$9:$Y$21), 1) = RIGHT($AJ85, 1)), K$10:K$135)</f>
        <v>0</v>
      </c>
      <c r="AM85" s="39" cm="1">
        <f t="array" ref="AM85">SUMPRODUCT(--(MID(AD$10:AD$135, SUMIF($Z$9:$Z$21, LEFT($AJ85,2), $Y$9:$Y$21), 1) = RIGHT($AJ85, 1)), L$10:L$135)</f>
        <v>0</v>
      </c>
      <c r="AN85" s="39" cm="1">
        <f t="array" ref="AN85">SUMPRODUCT(--(MID(AE$10:AE$135, SUMIF($Z$9:$Z$21, LEFT($AJ85,2), $Y$9:$Y$21), 1) = RIGHT($AJ85, 1)), M$10:M$135)</f>
        <v>0</v>
      </c>
      <c r="AO85" s="39" cm="1">
        <f t="array" ref="AO85">SUMPRODUCT(--(MID(AF$10:AF$135, SUMIF($Z$9:$Z$21, LEFT($AJ85,2), $Y$9:$Y$21), 1) = RIGHT($AJ85, 1)), N$10:N$135)</f>
        <v>0</v>
      </c>
      <c r="AP85" s="19" cm="1">
        <f t="array" ref="AP85">SUMPRODUCT(--(MID(AG$10:AG$135, SUMIF($Z$9:$Z$21, LEFT($AJ85,2), $Y$9:$Y$21), 1) = RIGHT($AJ85, 1)), O$10:O$135)</f>
        <v>0</v>
      </c>
    </row>
    <row r="86" spans="2:42">
      <c r="B86" s="34">
        <f t="shared" si="25"/>
        <v>76</v>
      </c>
      <c r="C86" s="30"/>
      <c r="D86" s="30"/>
      <c r="E86" s="30" t="s">
        <v>136</v>
      </c>
      <c r="F86" s="30"/>
      <c r="G86" s="30" t="s">
        <v>131</v>
      </c>
      <c r="H86" s="35"/>
      <c r="J86" s="34" t="str">
        <f t="shared" si="21"/>
        <v/>
      </c>
      <c r="K86" s="30" t="str">
        <f t="shared" si="21"/>
        <v/>
      </c>
      <c r="L86" s="30">
        <f t="shared" si="21"/>
        <v>1</v>
      </c>
      <c r="M86" s="30" t="str">
        <f t="shared" si="21"/>
        <v/>
      </c>
      <c r="N86" s="30">
        <f t="shared" si="21"/>
        <v>1</v>
      </c>
      <c r="O86" s="35" t="str">
        <f t="shared" si="21"/>
        <v/>
      </c>
      <c r="AB86" s="40" t="str">
        <f t="shared" si="23"/>
        <v/>
      </c>
      <c r="AC86" s="15" t="str">
        <f t="shared" si="23"/>
        <v/>
      </c>
      <c r="AD86" s="15" t="str">
        <f t="shared" si="23"/>
        <v>0000100100000</v>
      </c>
      <c r="AE86" s="15" t="str">
        <f t="shared" si="23"/>
        <v/>
      </c>
      <c r="AF86" s="15" t="str">
        <f t="shared" si="23"/>
        <v>0100000100000</v>
      </c>
      <c r="AG86" s="41" t="str">
        <f t="shared" si="23"/>
        <v/>
      </c>
      <c r="AH86" s="15"/>
      <c r="AI86" s="21">
        <v>3</v>
      </c>
      <c r="AJ86" s="20" t="str">
        <f t="shared" si="27"/>
        <v>KK-3</v>
      </c>
      <c r="AK86" s="39" cm="1">
        <f t="array" ref="AK86">SUMPRODUCT(--(MID(AB$10:AB$135, SUMIF($Z$9:$Z$21, LEFT($AJ86,2), $Y$9:$Y$21), 1) = RIGHT($AJ86, 1)), J$10:J$135)</f>
        <v>0</v>
      </c>
      <c r="AL86" s="39" cm="1">
        <f t="array" ref="AL86">SUMPRODUCT(--(MID(AC$10:AC$135, SUMIF($Z$9:$Z$21, LEFT($AJ86,2), $Y$9:$Y$21), 1) = RIGHT($AJ86, 1)), K$10:K$135)</f>
        <v>0</v>
      </c>
      <c r="AM86" s="39" cm="1">
        <f t="array" ref="AM86">SUMPRODUCT(--(MID(AD$10:AD$135, SUMIF($Z$9:$Z$21, LEFT($AJ86,2), $Y$9:$Y$21), 1) = RIGHT($AJ86, 1)), L$10:L$135)</f>
        <v>0</v>
      </c>
      <c r="AN86" s="39" cm="1">
        <f t="array" ref="AN86">SUMPRODUCT(--(MID(AE$10:AE$135, SUMIF($Z$9:$Z$21, LEFT($AJ86,2), $Y$9:$Y$21), 1) = RIGHT($AJ86, 1)), M$10:M$135)</f>
        <v>0</v>
      </c>
      <c r="AO86" s="39" cm="1">
        <f t="array" ref="AO86">SUMPRODUCT(--(MID(AF$10:AF$135, SUMIF($Z$9:$Z$21, LEFT($AJ86,2), $Y$9:$Y$21), 1) = RIGHT($AJ86, 1)), N$10:N$135)</f>
        <v>0</v>
      </c>
      <c r="AP86" s="19" cm="1">
        <f t="array" ref="AP86">SUMPRODUCT(--(MID(AG$10:AG$135, SUMIF($Z$9:$Z$21, LEFT($AJ86,2), $Y$9:$Y$21), 1) = RIGHT($AJ86, 1)), O$10:O$135)</f>
        <v>0</v>
      </c>
    </row>
    <row r="87" spans="2:42">
      <c r="B87" s="34">
        <f t="shared" si="25"/>
        <v>77</v>
      </c>
      <c r="C87" s="30"/>
      <c r="D87" s="30"/>
      <c r="E87" s="30" t="s">
        <v>132</v>
      </c>
      <c r="F87" s="30"/>
      <c r="G87" s="30" t="s">
        <v>132</v>
      </c>
      <c r="H87" s="35"/>
      <c r="J87" s="34" t="str">
        <f t="shared" si="21"/>
        <v/>
      </c>
      <c r="K87" s="30" t="str">
        <f t="shared" si="21"/>
        <v/>
      </c>
      <c r="L87" s="30">
        <f t="shared" si="21"/>
        <v>1</v>
      </c>
      <c r="M87" s="30" t="str">
        <f t="shared" si="21"/>
        <v/>
      </c>
      <c r="N87" s="30">
        <f t="shared" si="21"/>
        <v>1</v>
      </c>
      <c r="O87" s="35" t="str">
        <f t="shared" si="21"/>
        <v/>
      </c>
      <c r="AB87" s="40" t="str">
        <f t="shared" si="23"/>
        <v/>
      </c>
      <c r="AC87" s="15" t="str">
        <f t="shared" si="23"/>
        <v/>
      </c>
      <c r="AD87" s="15" t="str">
        <f t="shared" si="23"/>
        <v>0000100000100</v>
      </c>
      <c r="AE87" s="15" t="str">
        <f t="shared" si="23"/>
        <v/>
      </c>
      <c r="AF87" s="15" t="str">
        <f t="shared" si="23"/>
        <v>0100000000100</v>
      </c>
      <c r="AG87" s="41" t="str">
        <f t="shared" si="23"/>
        <v/>
      </c>
      <c r="AH87" s="15"/>
      <c r="AI87" s="21">
        <v>2</v>
      </c>
      <c r="AJ87" s="20" t="str">
        <f t="shared" si="27"/>
        <v>KK-2</v>
      </c>
      <c r="AK87" s="39" cm="1">
        <f t="array" ref="AK87">SUMPRODUCT(--(MID(AB$10:AB$135, SUMIF($Z$9:$Z$21, LEFT($AJ87,2), $Y$9:$Y$21), 1) = RIGHT($AJ87, 1)), J$10:J$135)</f>
        <v>2</v>
      </c>
      <c r="AL87" s="39" cm="1">
        <f t="array" ref="AL87">SUMPRODUCT(--(MID(AC$10:AC$135, SUMIF($Z$9:$Z$21, LEFT($AJ87,2), $Y$9:$Y$21), 1) = RIGHT($AJ87, 1)), K$10:K$135)</f>
        <v>2</v>
      </c>
      <c r="AM87" s="39" cm="1">
        <f t="array" ref="AM87">SUMPRODUCT(--(MID(AD$10:AD$135, SUMIF($Z$9:$Z$21, LEFT($AJ87,2), $Y$9:$Y$21), 1) = RIGHT($AJ87, 1)), L$10:L$135)</f>
        <v>2</v>
      </c>
      <c r="AN87" s="39" cm="1">
        <f t="array" ref="AN87">SUMPRODUCT(--(MID(AE$10:AE$135, SUMIF($Z$9:$Z$21, LEFT($AJ87,2), $Y$9:$Y$21), 1) = RIGHT($AJ87, 1)), M$10:M$135)</f>
        <v>2</v>
      </c>
      <c r="AO87" s="39" cm="1">
        <f t="array" ref="AO87">SUMPRODUCT(--(MID(AF$10:AF$135, SUMIF($Z$9:$Z$21, LEFT($AJ87,2), $Y$9:$Y$21), 1) = RIGHT($AJ87, 1)), N$10:N$135)</f>
        <v>2</v>
      </c>
      <c r="AP87" s="19" cm="1">
        <f t="array" ref="AP87">SUMPRODUCT(--(MID(AG$10:AG$135, SUMIF($Z$9:$Z$21, LEFT($AJ87,2), $Y$9:$Y$21), 1) = RIGHT($AJ87, 1)), O$10:O$135)</f>
        <v>2</v>
      </c>
    </row>
    <row r="88" spans="2:42">
      <c r="B88" s="34">
        <f t="shared" si="25"/>
        <v>78</v>
      </c>
      <c r="C88" s="30"/>
      <c r="D88" s="30"/>
      <c r="E88" s="30" t="s">
        <v>129</v>
      </c>
      <c r="F88" s="30"/>
      <c r="G88" s="30" t="s">
        <v>133</v>
      </c>
      <c r="H88" s="35"/>
      <c r="J88" s="34" t="str">
        <f t="shared" si="21"/>
        <v/>
      </c>
      <c r="K88" s="30" t="str">
        <f t="shared" si="21"/>
        <v/>
      </c>
      <c r="L88" s="30">
        <f t="shared" si="21"/>
        <v>1</v>
      </c>
      <c r="M88" s="30" t="str">
        <f t="shared" si="21"/>
        <v/>
      </c>
      <c r="N88" s="30">
        <f t="shared" si="21"/>
        <v>1</v>
      </c>
      <c r="O88" s="35" t="str">
        <f t="shared" si="21"/>
        <v/>
      </c>
      <c r="AB88" s="40" t="str">
        <f t="shared" si="23"/>
        <v/>
      </c>
      <c r="AC88" s="15" t="str">
        <f t="shared" si="23"/>
        <v/>
      </c>
      <c r="AD88" s="15" t="str">
        <f t="shared" si="23"/>
        <v>0000000001100</v>
      </c>
      <c r="AE88" s="15" t="str">
        <f t="shared" si="23"/>
        <v/>
      </c>
      <c r="AF88" s="15" t="str">
        <f t="shared" si="23"/>
        <v>0000000100100</v>
      </c>
      <c r="AG88" s="41" t="str">
        <f t="shared" si="23"/>
        <v/>
      </c>
      <c r="AH88" s="15"/>
      <c r="AI88" s="21">
        <v>1</v>
      </c>
      <c r="AJ88" s="20" t="str">
        <f t="shared" si="27"/>
        <v>KK-1</v>
      </c>
      <c r="AK88" s="39" cm="1">
        <f t="array" ref="AK88">SUMPRODUCT(--(MID(AB$10:AB$135, SUMIF($Z$9:$Z$21, LEFT($AJ88,2), $Y$9:$Y$21), 1) = RIGHT($AJ88, 1)), J$10:J$135)</f>
        <v>6</v>
      </c>
      <c r="AL88" s="39" cm="1">
        <f t="array" ref="AL88">SUMPRODUCT(--(MID(AC$10:AC$135, SUMIF($Z$9:$Z$21, LEFT($AJ88,2), $Y$9:$Y$21), 1) = RIGHT($AJ88, 1)), K$10:K$135)</f>
        <v>10</v>
      </c>
      <c r="AM88" s="39" cm="1">
        <f t="array" ref="AM88">SUMPRODUCT(--(MID(AD$10:AD$135, SUMIF($Z$9:$Z$21, LEFT($AJ88,2), $Y$9:$Y$21), 1) = RIGHT($AJ88, 1)), L$10:L$135)</f>
        <v>20</v>
      </c>
      <c r="AN88" s="39" cm="1">
        <f t="array" ref="AN88">SUMPRODUCT(--(MID(AE$10:AE$135, SUMIF($Z$9:$Z$21, LEFT($AJ88,2), $Y$9:$Y$21), 1) = RIGHT($AJ88, 1)), M$10:M$135)</f>
        <v>4</v>
      </c>
      <c r="AO88" s="39" cm="1">
        <f t="array" ref="AO88">SUMPRODUCT(--(MID(AF$10:AF$135, SUMIF($Z$9:$Z$21, LEFT($AJ88,2), $Y$9:$Y$21), 1) = RIGHT($AJ88, 1)), N$10:N$135)</f>
        <v>20</v>
      </c>
      <c r="AP88" s="19" cm="1">
        <f t="array" ref="AP88">SUMPRODUCT(--(MID(AG$10:AG$135, SUMIF($Z$9:$Z$21, LEFT($AJ88,2), $Y$9:$Y$21), 1) = RIGHT($AJ88, 1)), O$10:O$135)</f>
        <v>4</v>
      </c>
    </row>
    <row r="89" spans="2:42">
      <c r="B89" s="34">
        <f t="shared" si="25"/>
        <v>79</v>
      </c>
      <c r="C89" s="30"/>
      <c r="D89" s="30"/>
      <c r="E89" s="30" t="s">
        <v>127</v>
      </c>
      <c r="F89" s="30"/>
      <c r="G89" s="30" t="s">
        <v>136</v>
      </c>
      <c r="H89" s="35"/>
      <c r="J89" s="34" t="str">
        <f t="shared" si="21"/>
        <v/>
      </c>
      <c r="K89" s="30" t="str">
        <f t="shared" si="21"/>
        <v/>
      </c>
      <c r="L89" s="30">
        <f t="shared" si="21"/>
        <v>1</v>
      </c>
      <c r="M89" s="30" t="str">
        <f t="shared" si="21"/>
        <v/>
      </c>
      <c r="N89" s="30">
        <f t="shared" si="21"/>
        <v>1</v>
      </c>
      <c r="O89" s="35" t="str">
        <f t="shared" si="21"/>
        <v/>
      </c>
      <c r="AB89" s="40" t="str">
        <f t="shared" si="23"/>
        <v/>
      </c>
      <c r="AC89" s="15" t="str">
        <f t="shared" si="23"/>
        <v/>
      </c>
      <c r="AD89" s="15" t="str">
        <f t="shared" si="23"/>
        <v>0010000001000</v>
      </c>
      <c r="AE89" s="15" t="str">
        <f t="shared" si="23"/>
        <v/>
      </c>
      <c r="AF89" s="15" t="str">
        <f t="shared" si="23"/>
        <v>0000100100000</v>
      </c>
      <c r="AG89" s="41" t="str">
        <f t="shared" si="23"/>
        <v/>
      </c>
      <c r="AH89" s="15"/>
      <c r="AI89" s="21">
        <v>0</v>
      </c>
      <c r="AJ89" s="20" t="str">
        <f t="shared" si="27"/>
        <v>KK-0</v>
      </c>
      <c r="AK89" s="39" cm="1">
        <f t="array" ref="AK89">SUMPRODUCT(--(MID(AB$10:AB$135, SUMIF($Z$9:$Z$21, LEFT($AJ89,2), $Y$9:$Y$21), 1) = RIGHT($AJ89, 1)), J$10:J$135)</f>
        <v>32</v>
      </c>
      <c r="AL89" s="39" cm="1">
        <f t="array" ref="AL89">SUMPRODUCT(--(MID(AC$10:AC$135, SUMIF($Z$9:$Z$21, LEFT($AJ89,2), $Y$9:$Y$21), 1) = RIGHT($AJ89, 1)), K$10:K$135)</f>
        <v>61</v>
      </c>
      <c r="AM89" s="39" cm="1">
        <f t="array" ref="AM89">SUMPRODUCT(--(MID(AD$10:AD$135, SUMIF($Z$9:$Z$21, LEFT($AJ89,2), $Y$9:$Y$21), 1) = RIGHT($AJ89, 1)), L$10:L$135)</f>
        <v>62</v>
      </c>
      <c r="AN89" s="39" cm="1">
        <f t="array" ref="AN89">SUMPRODUCT(--(MID(AE$10:AE$135, SUMIF($Z$9:$Z$21, LEFT($AJ89,2), $Y$9:$Y$21), 1) = RIGHT($AJ89, 1)), M$10:M$135)</f>
        <v>61</v>
      </c>
      <c r="AO89" s="39" cm="1">
        <f t="array" ref="AO89">SUMPRODUCT(--(MID(AF$10:AF$135, SUMIF($Z$9:$Z$21, LEFT($AJ89,2), $Y$9:$Y$21), 1) = RIGHT($AJ89, 1)), N$10:N$135)</f>
        <v>69</v>
      </c>
      <c r="AP89" s="19" cm="1">
        <f t="array" ref="AP89">SUMPRODUCT(--(MID(AG$10:AG$135, SUMIF($Z$9:$Z$21, LEFT($AJ89,2), $Y$9:$Y$21), 1) = RIGHT($AJ89, 1)), O$10:O$135)</f>
        <v>44</v>
      </c>
    </row>
    <row r="90" spans="2:42">
      <c r="B90" s="34">
        <f t="shared" si="25"/>
        <v>80</v>
      </c>
      <c r="C90" s="30"/>
      <c r="D90" s="30"/>
      <c r="E90" s="30" t="s">
        <v>132</v>
      </c>
      <c r="F90" s="30"/>
      <c r="G90" s="30" t="s">
        <v>134</v>
      </c>
      <c r="H90" s="35"/>
      <c r="J90" s="34" t="str">
        <f t="shared" si="21"/>
        <v/>
      </c>
      <c r="K90" s="30" t="str">
        <f t="shared" si="21"/>
        <v/>
      </c>
      <c r="L90" s="30">
        <f t="shared" si="21"/>
        <v>1</v>
      </c>
      <c r="M90" s="30" t="str">
        <f t="shared" si="21"/>
        <v/>
      </c>
      <c r="N90" s="30">
        <f t="shared" si="21"/>
        <v>1</v>
      </c>
      <c r="O90" s="35" t="str">
        <f t="shared" si="21"/>
        <v/>
      </c>
      <c r="AB90" s="40" t="str">
        <f t="shared" si="23"/>
        <v/>
      </c>
      <c r="AC90" s="15" t="str">
        <f t="shared" si="23"/>
        <v/>
      </c>
      <c r="AD90" s="15" t="str">
        <f t="shared" si="23"/>
        <v>0010000000100</v>
      </c>
      <c r="AE90" s="15" t="str">
        <f t="shared" si="23"/>
        <v/>
      </c>
      <c r="AF90" s="15" t="str">
        <f t="shared" si="23"/>
        <v>0001100000000</v>
      </c>
      <c r="AG90" s="41" t="str">
        <f t="shared" si="23"/>
        <v/>
      </c>
      <c r="AH90" s="15"/>
      <c r="AI90" s="21">
        <v>7</v>
      </c>
      <c r="AJ90" s="20" t="str">
        <f>$Z$20&amp;"-7"</f>
        <v>LL-7</v>
      </c>
      <c r="AK90" s="39" cm="1">
        <f t="array" ref="AK90">SUMPRODUCT(--(MID(AB$10:AB$135, SUMIF($Z$9:$Z$21, LEFT($AJ90,2), $Y$9:$Y$21), 1) = RIGHT($AJ90, 1)), J$10:J$135)</f>
        <v>0</v>
      </c>
      <c r="AL90" s="39" cm="1">
        <f t="array" ref="AL90">SUMPRODUCT(--(MID(AC$10:AC$135, SUMIF($Z$9:$Z$21, LEFT($AJ90,2), $Y$9:$Y$21), 1) = RIGHT($AJ90, 1)), K$10:K$135)</f>
        <v>0</v>
      </c>
      <c r="AM90" s="39" cm="1">
        <f t="array" ref="AM90">SUMPRODUCT(--(MID(AD$10:AD$135, SUMIF($Z$9:$Z$21, LEFT($AJ90,2), $Y$9:$Y$21), 1) = RIGHT($AJ90, 1)), L$10:L$135)</f>
        <v>0</v>
      </c>
      <c r="AN90" s="39" cm="1">
        <f t="array" ref="AN90">SUMPRODUCT(--(MID(AE$10:AE$135, SUMIF($Z$9:$Z$21, LEFT($AJ90,2), $Y$9:$Y$21), 1) = RIGHT($AJ90, 1)), M$10:M$135)</f>
        <v>0</v>
      </c>
      <c r="AO90" s="39" cm="1">
        <f t="array" ref="AO90">SUMPRODUCT(--(MID(AF$10:AF$135, SUMIF($Z$9:$Z$21, LEFT($AJ90,2), $Y$9:$Y$21), 1) = RIGHT($AJ90, 1)), N$10:N$135)</f>
        <v>0</v>
      </c>
      <c r="AP90" s="19" cm="1">
        <f t="array" ref="AP90">SUMPRODUCT(--(MID(AG$10:AG$135, SUMIF($Z$9:$Z$21, LEFT($AJ90,2), $Y$9:$Y$21), 1) = RIGHT($AJ90, 1)), O$10:O$135)</f>
        <v>0</v>
      </c>
    </row>
    <row r="91" spans="2:42">
      <c r="B91" s="34">
        <f t="shared" si="25"/>
        <v>81</v>
      </c>
      <c r="C91" s="30"/>
      <c r="D91" s="30"/>
      <c r="E91" s="30" t="s">
        <v>129</v>
      </c>
      <c r="F91" s="30"/>
      <c r="G91" s="30" t="s">
        <v>133</v>
      </c>
      <c r="H91" s="35"/>
      <c r="J91" s="34" t="str">
        <f t="shared" si="21"/>
        <v/>
      </c>
      <c r="K91" s="30" t="str">
        <f t="shared" si="21"/>
        <v/>
      </c>
      <c r="L91" s="30">
        <f t="shared" si="21"/>
        <v>1</v>
      </c>
      <c r="M91" s="30" t="str">
        <f t="shared" si="21"/>
        <v/>
      </c>
      <c r="N91" s="30">
        <f t="shared" si="21"/>
        <v>1</v>
      </c>
      <c r="O91" s="35" t="str">
        <f t="shared" si="21"/>
        <v/>
      </c>
      <c r="AB91" s="40" t="str">
        <f t="shared" si="23"/>
        <v/>
      </c>
      <c r="AC91" s="15" t="str">
        <f t="shared" si="23"/>
        <v/>
      </c>
      <c r="AD91" s="15" t="str">
        <f t="shared" si="23"/>
        <v>0000000001100</v>
      </c>
      <c r="AE91" s="15" t="str">
        <f t="shared" si="23"/>
        <v/>
      </c>
      <c r="AF91" s="15" t="str">
        <f t="shared" si="23"/>
        <v>0001000100000</v>
      </c>
      <c r="AG91" s="41" t="str">
        <f t="shared" si="23"/>
        <v/>
      </c>
      <c r="AH91" s="15"/>
      <c r="AI91" s="21">
        <v>6</v>
      </c>
      <c r="AJ91" s="20" t="str">
        <f>LEFT(AJ90,3) &amp; RIGHT(AJ90,1)-1</f>
        <v>LL-6</v>
      </c>
      <c r="AK91" s="39" cm="1">
        <f t="array" ref="AK91">SUMPRODUCT(--(MID(AB$10:AB$135, SUMIF($Z$9:$Z$21, LEFT($AJ91,2), $Y$9:$Y$21), 1) = RIGHT($AJ91, 1)), J$10:J$135)</f>
        <v>0</v>
      </c>
      <c r="AL91" s="39" cm="1">
        <f t="array" ref="AL91">SUMPRODUCT(--(MID(AC$10:AC$135, SUMIF($Z$9:$Z$21, LEFT($AJ91,2), $Y$9:$Y$21), 1) = RIGHT($AJ91, 1)), K$10:K$135)</f>
        <v>0</v>
      </c>
      <c r="AM91" s="39" cm="1">
        <f t="array" ref="AM91">SUMPRODUCT(--(MID(AD$10:AD$135, SUMIF($Z$9:$Z$21, LEFT($AJ91,2), $Y$9:$Y$21), 1) = RIGHT($AJ91, 1)), L$10:L$135)</f>
        <v>0</v>
      </c>
      <c r="AN91" s="39" cm="1">
        <f t="array" ref="AN91">SUMPRODUCT(--(MID(AE$10:AE$135, SUMIF($Z$9:$Z$21, LEFT($AJ91,2), $Y$9:$Y$21), 1) = RIGHT($AJ91, 1)), M$10:M$135)</f>
        <v>0</v>
      </c>
      <c r="AO91" s="39" cm="1">
        <f t="array" ref="AO91">SUMPRODUCT(--(MID(AF$10:AF$135, SUMIF($Z$9:$Z$21, LEFT($AJ91,2), $Y$9:$Y$21), 1) = RIGHT($AJ91, 1)), N$10:N$135)</f>
        <v>0</v>
      </c>
      <c r="AP91" s="19" cm="1">
        <f t="array" ref="AP91">SUMPRODUCT(--(MID(AG$10:AG$135, SUMIF($Z$9:$Z$21, LEFT($AJ91,2), $Y$9:$Y$21), 1) = RIGHT($AJ91, 1)), O$10:O$135)</f>
        <v>0</v>
      </c>
    </row>
    <row r="92" spans="2:42">
      <c r="B92" s="34">
        <f t="shared" si="25"/>
        <v>82</v>
      </c>
      <c r="C92" s="30"/>
      <c r="D92" s="30"/>
      <c r="E92" s="30" t="s">
        <v>127</v>
      </c>
      <c r="F92" s="30"/>
      <c r="G92" s="30" t="s">
        <v>132</v>
      </c>
      <c r="H92" s="35"/>
      <c r="J92" s="34" t="str">
        <f t="shared" si="21"/>
        <v/>
      </c>
      <c r="K92" s="30" t="str">
        <f t="shared" si="21"/>
        <v/>
      </c>
      <c r="L92" s="30">
        <f t="shared" si="21"/>
        <v>1</v>
      </c>
      <c r="M92" s="30" t="str">
        <f t="shared" si="21"/>
        <v/>
      </c>
      <c r="N92" s="30">
        <f t="shared" si="21"/>
        <v>1</v>
      </c>
      <c r="O92" s="35" t="str">
        <f t="shared" si="21"/>
        <v/>
      </c>
      <c r="AB92" s="40" t="str">
        <f t="shared" si="23"/>
        <v/>
      </c>
      <c r="AC92" s="15" t="str">
        <f t="shared" si="23"/>
        <v/>
      </c>
      <c r="AD92" s="15" t="str">
        <f t="shared" si="23"/>
        <v>0010000001000</v>
      </c>
      <c r="AE92" s="15" t="str">
        <f t="shared" si="23"/>
        <v/>
      </c>
      <c r="AF92" s="15" t="str">
        <f t="shared" si="23"/>
        <v>0000000100100</v>
      </c>
      <c r="AG92" s="41" t="str">
        <f t="shared" si="23"/>
        <v/>
      </c>
      <c r="AH92" s="15"/>
      <c r="AI92" s="21">
        <v>5</v>
      </c>
      <c r="AJ92" s="20" t="str">
        <f t="shared" ref="AJ92:AJ97" si="28">LEFT(AJ91,3) &amp; RIGHT(AJ91,1)-1</f>
        <v>LL-5</v>
      </c>
      <c r="AK92" s="39" cm="1">
        <f t="array" ref="AK92">SUMPRODUCT(--(MID(AB$10:AB$135, SUMIF($Z$9:$Z$21, LEFT($AJ92,2), $Y$9:$Y$21), 1) = RIGHT($AJ92, 1)), J$10:J$135)</f>
        <v>0</v>
      </c>
      <c r="AL92" s="39" cm="1">
        <f t="array" ref="AL92">SUMPRODUCT(--(MID(AC$10:AC$135, SUMIF($Z$9:$Z$21, LEFT($AJ92,2), $Y$9:$Y$21), 1) = RIGHT($AJ92, 1)), K$10:K$135)</f>
        <v>0</v>
      </c>
      <c r="AM92" s="39" cm="1">
        <f t="array" ref="AM92">SUMPRODUCT(--(MID(AD$10:AD$135, SUMIF($Z$9:$Z$21, LEFT($AJ92,2), $Y$9:$Y$21), 1) = RIGHT($AJ92, 1)), L$10:L$135)</f>
        <v>0</v>
      </c>
      <c r="AN92" s="39" cm="1">
        <f t="array" ref="AN92">SUMPRODUCT(--(MID(AE$10:AE$135, SUMIF($Z$9:$Z$21, LEFT($AJ92,2), $Y$9:$Y$21), 1) = RIGHT($AJ92, 1)), M$10:M$135)</f>
        <v>0</v>
      </c>
      <c r="AO92" s="39" cm="1">
        <f t="array" ref="AO92">SUMPRODUCT(--(MID(AF$10:AF$135, SUMIF($Z$9:$Z$21, LEFT($AJ92,2), $Y$9:$Y$21), 1) = RIGHT($AJ92, 1)), N$10:N$135)</f>
        <v>0</v>
      </c>
      <c r="AP92" s="19" cm="1">
        <f t="array" ref="AP92">SUMPRODUCT(--(MID(AG$10:AG$135, SUMIF($Z$9:$Z$21, LEFT($AJ92,2), $Y$9:$Y$21), 1) = RIGHT($AJ92, 1)), O$10:O$135)</f>
        <v>0</v>
      </c>
    </row>
    <row r="93" spans="2:42">
      <c r="B93" s="34">
        <f t="shared" si="25"/>
        <v>83</v>
      </c>
      <c r="C93" s="30"/>
      <c r="D93" s="30"/>
      <c r="E93" s="30" t="s">
        <v>131</v>
      </c>
      <c r="F93" s="30"/>
      <c r="G93" s="30" t="s">
        <v>131</v>
      </c>
      <c r="H93" s="35"/>
      <c r="J93" s="34" t="str">
        <f t="shared" si="21"/>
        <v/>
      </c>
      <c r="K93" s="30" t="str">
        <f t="shared" si="21"/>
        <v/>
      </c>
      <c r="L93" s="30">
        <f t="shared" si="21"/>
        <v>1</v>
      </c>
      <c r="M93" s="30" t="str">
        <f t="shared" si="21"/>
        <v/>
      </c>
      <c r="N93" s="30">
        <f t="shared" si="21"/>
        <v>1</v>
      </c>
      <c r="O93" s="35" t="str">
        <f t="shared" si="21"/>
        <v/>
      </c>
      <c r="AB93" s="40" t="str">
        <f t="shared" si="23"/>
        <v/>
      </c>
      <c r="AC93" s="15" t="str">
        <f t="shared" si="23"/>
        <v/>
      </c>
      <c r="AD93" s="15" t="str">
        <f t="shared" si="23"/>
        <v>0110000000000</v>
      </c>
      <c r="AE93" s="15" t="str">
        <f t="shared" si="23"/>
        <v/>
      </c>
      <c r="AF93" s="15" t="str">
        <f t="shared" si="23"/>
        <v>0100000000100</v>
      </c>
      <c r="AG93" s="41" t="str">
        <f t="shared" si="23"/>
        <v/>
      </c>
      <c r="AH93" s="15"/>
      <c r="AI93" s="21">
        <v>4</v>
      </c>
      <c r="AJ93" s="20" t="str">
        <f t="shared" si="28"/>
        <v>LL-4</v>
      </c>
      <c r="AK93" s="39" cm="1">
        <f t="array" ref="AK93">SUMPRODUCT(--(MID(AB$10:AB$135, SUMIF($Z$9:$Z$21, LEFT($AJ93,2), $Y$9:$Y$21), 1) = RIGHT($AJ93, 1)), J$10:J$135)</f>
        <v>0</v>
      </c>
      <c r="AL93" s="39" cm="1">
        <f t="array" ref="AL93">SUMPRODUCT(--(MID(AC$10:AC$135, SUMIF($Z$9:$Z$21, LEFT($AJ93,2), $Y$9:$Y$21), 1) = RIGHT($AJ93, 1)), K$10:K$135)</f>
        <v>0</v>
      </c>
      <c r="AM93" s="39" cm="1">
        <f t="array" ref="AM93">SUMPRODUCT(--(MID(AD$10:AD$135, SUMIF($Z$9:$Z$21, LEFT($AJ93,2), $Y$9:$Y$21), 1) = RIGHT($AJ93, 1)), L$10:L$135)</f>
        <v>0</v>
      </c>
      <c r="AN93" s="39" cm="1">
        <f t="array" ref="AN93">SUMPRODUCT(--(MID(AE$10:AE$135, SUMIF($Z$9:$Z$21, LEFT($AJ93,2), $Y$9:$Y$21), 1) = RIGHT($AJ93, 1)), M$10:M$135)</f>
        <v>0</v>
      </c>
      <c r="AO93" s="39" cm="1">
        <f t="array" ref="AO93">SUMPRODUCT(--(MID(AF$10:AF$135, SUMIF($Z$9:$Z$21, LEFT($AJ93,2), $Y$9:$Y$21), 1) = RIGHT($AJ93, 1)), N$10:N$135)</f>
        <v>0</v>
      </c>
      <c r="AP93" s="19" cm="1">
        <f t="array" ref="AP93">SUMPRODUCT(--(MID(AG$10:AG$135, SUMIF($Z$9:$Z$21, LEFT($AJ93,2), $Y$9:$Y$21), 1) = RIGHT($AJ93, 1)), O$10:O$135)</f>
        <v>0</v>
      </c>
    </row>
    <row r="94" spans="2:42">
      <c r="B94" s="34">
        <f t="shared" si="25"/>
        <v>84</v>
      </c>
      <c r="C94" s="30"/>
      <c r="D94" s="30"/>
      <c r="E94" s="30"/>
      <c r="F94" s="30"/>
      <c r="G94" s="30" t="s">
        <v>133</v>
      </c>
      <c r="H94" s="35"/>
      <c r="J94" s="34" t="str">
        <f t="shared" si="21"/>
        <v/>
      </c>
      <c r="K94" s="30" t="str">
        <f t="shared" si="21"/>
        <v/>
      </c>
      <c r="L94" s="30" t="str">
        <f t="shared" si="21"/>
        <v/>
      </c>
      <c r="M94" s="30" t="str">
        <f t="shared" si="21"/>
        <v/>
      </c>
      <c r="N94" s="30">
        <f t="shared" si="21"/>
        <v>1</v>
      </c>
      <c r="O94" s="35" t="str">
        <f t="shared" si="21"/>
        <v/>
      </c>
      <c r="AB94" s="40" t="str">
        <f t="shared" si="23"/>
        <v/>
      </c>
      <c r="AC94" s="15" t="str">
        <f t="shared" si="23"/>
        <v/>
      </c>
      <c r="AD94" s="15" t="str">
        <f t="shared" si="23"/>
        <v/>
      </c>
      <c r="AE94" s="15" t="str">
        <f t="shared" si="23"/>
        <v/>
      </c>
      <c r="AF94" s="15" t="str">
        <f t="shared" si="23"/>
        <v>0100000100000</v>
      </c>
      <c r="AG94" s="41" t="str">
        <f t="shared" si="23"/>
        <v/>
      </c>
      <c r="AH94" s="15"/>
      <c r="AI94" s="21">
        <v>3</v>
      </c>
      <c r="AJ94" s="20" t="str">
        <f t="shared" si="28"/>
        <v>LL-3</v>
      </c>
      <c r="AK94" s="39" cm="1">
        <f t="array" ref="AK94">SUMPRODUCT(--(MID(AB$10:AB$135, SUMIF($Z$9:$Z$21, LEFT($AJ94,2), $Y$9:$Y$21), 1) = RIGHT($AJ94, 1)), J$10:J$135)</f>
        <v>0</v>
      </c>
      <c r="AL94" s="39" cm="1">
        <f t="array" ref="AL94">SUMPRODUCT(--(MID(AC$10:AC$135, SUMIF($Z$9:$Z$21, LEFT($AJ94,2), $Y$9:$Y$21), 1) = RIGHT($AJ94, 1)), K$10:K$135)</f>
        <v>0</v>
      </c>
      <c r="AM94" s="39" cm="1">
        <f t="array" ref="AM94">SUMPRODUCT(--(MID(AD$10:AD$135, SUMIF($Z$9:$Z$21, LEFT($AJ94,2), $Y$9:$Y$21), 1) = RIGHT($AJ94, 1)), L$10:L$135)</f>
        <v>0</v>
      </c>
      <c r="AN94" s="39" cm="1">
        <f t="array" ref="AN94">SUMPRODUCT(--(MID(AE$10:AE$135, SUMIF($Z$9:$Z$21, LEFT($AJ94,2), $Y$9:$Y$21), 1) = RIGHT($AJ94, 1)), M$10:M$135)</f>
        <v>0</v>
      </c>
      <c r="AO94" s="39" cm="1">
        <f t="array" ref="AO94">SUMPRODUCT(--(MID(AF$10:AF$135, SUMIF($Z$9:$Z$21, LEFT($AJ94,2), $Y$9:$Y$21), 1) = RIGHT($AJ94, 1)), N$10:N$135)</f>
        <v>0</v>
      </c>
      <c r="AP94" s="19" cm="1">
        <f t="array" ref="AP94">SUMPRODUCT(--(MID(AG$10:AG$135, SUMIF($Z$9:$Z$21, LEFT($AJ94,2), $Y$9:$Y$21), 1) = RIGHT($AJ94, 1)), O$10:O$135)</f>
        <v>0</v>
      </c>
    </row>
    <row r="95" spans="2:42">
      <c r="B95" s="34">
        <f t="shared" si="25"/>
        <v>85</v>
      </c>
      <c r="C95" s="30"/>
      <c r="D95" s="30"/>
      <c r="E95" s="30"/>
      <c r="F95" s="30"/>
      <c r="G95" s="30" t="s">
        <v>134</v>
      </c>
      <c r="H95" s="35"/>
      <c r="J95" s="34" t="str">
        <f t="shared" si="21"/>
        <v/>
      </c>
      <c r="K95" s="30" t="str">
        <f t="shared" si="21"/>
        <v/>
      </c>
      <c r="L95" s="30" t="str">
        <f t="shared" si="21"/>
        <v/>
      </c>
      <c r="M95" s="30" t="str">
        <f t="shared" si="21"/>
        <v/>
      </c>
      <c r="N95" s="30">
        <f t="shared" si="21"/>
        <v>1</v>
      </c>
      <c r="O95" s="35" t="str">
        <f t="shared" si="21"/>
        <v/>
      </c>
      <c r="AB95" s="40" t="str">
        <f t="shared" si="23"/>
        <v/>
      </c>
      <c r="AC95" s="15" t="str">
        <f t="shared" si="23"/>
        <v/>
      </c>
      <c r="AD95" s="15" t="str">
        <f t="shared" si="23"/>
        <v/>
      </c>
      <c r="AE95" s="15" t="str">
        <f t="shared" si="23"/>
        <v/>
      </c>
      <c r="AF95" s="15" t="str">
        <f t="shared" si="23"/>
        <v>0001000100000</v>
      </c>
      <c r="AG95" s="41" t="str">
        <f t="shared" si="23"/>
        <v/>
      </c>
      <c r="AH95" s="15"/>
      <c r="AI95" s="21">
        <v>2</v>
      </c>
      <c r="AJ95" s="20" t="str">
        <f t="shared" si="28"/>
        <v>LL-2</v>
      </c>
      <c r="AK95" s="39" cm="1">
        <f t="array" ref="AK95">SUMPRODUCT(--(MID(AB$10:AB$135, SUMIF($Z$9:$Z$21, LEFT($AJ95,2), $Y$9:$Y$21), 1) = RIGHT($AJ95, 1)), J$10:J$135)</f>
        <v>2</v>
      </c>
      <c r="AL95" s="39" cm="1">
        <f t="array" ref="AL95">SUMPRODUCT(--(MID(AC$10:AC$135, SUMIF($Z$9:$Z$21, LEFT($AJ95,2), $Y$9:$Y$21), 1) = RIGHT($AJ95, 1)), K$10:K$135)</f>
        <v>2</v>
      </c>
      <c r="AM95" s="39" cm="1">
        <f t="array" ref="AM95">SUMPRODUCT(--(MID(AD$10:AD$135, SUMIF($Z$9:$Z$21, LEFT($AJ95,2), $Y$9:$Y$21), 1) = RIGHT($AJ95, 1)), L$10:L$135)</f>
        <v>2</v>
      </c>
      <c r="AN95" s="39" cm="1">
        <f t="array" ref="AN95">SUMPRODUCT(--(MID(AE$10:AE$135, SUMIF($Z$9:$Z$21, LEFT($AJ95,2), $Y$9:$Y$21), 1) = RIGHT($AJ95, 1)), M$10:M$135)</f>
        <v>2</v>
      </c>
      <c r="AO95" s="39" cm="1">
        <f t="array" ref="AO95">SUMPRODUCT(--(MID(AF$10:AF$135, SUMIF($Z$9:$Z$21, LEFT($AJ95,2), $Y$9:$Y$21), 1) = RIGHT($AJ95, 1)), N$10:N$135)</f>
        <v>2</v>
      </c>
      <c r="AP95" s="19" cm="1">
        <f t="array" ref="AP95">SUMPRODUCT(--(MID(AG$10:AG$135, SUMIF($Z$9:$Z$21, LEFT($AJ95,2), $Y$9:$Y$21), 1) = RIGHT($AJ95, 1)), O$10:O$135)</f>
        <v>2</v>
      </c>
    </row>
    <row r="96" spans="2:42">
      <c r="B96" s="34">
        <f t="shared" si="25"/>
        <v>86</v>
      </c>
      <c r="C96" s="30"/>
      <c r="D96" s="30"/>
      <c r="E96" s="30"/>
      <c r="F96" s="30"/>
      <c r="G96" s="30" t="s">
        <v>132</v>
      </c>
      <c r="H96" s="35"/>
      <c r="J96" s="34" t="str">
        <f t="shared" si="21"/>
        <v/>
      </c>
      <c r="K96" s="30" t="str">
        <f t="shared" si="21"/>
        <v/>
      </c>
      <c r="L96" s="30" t="str">
        <f t="shared" si="21"/>
        <v/>
      </c>
      <c r="M96" s="30" t="str">
        <f t="shared" si="21"/>
        <v/>
      </c>
      <c r="N96" s="30">
        <f t="shared" si="21"/>
        <v>1</v>
      </c>
      <c r="O96" s="35" t="str">
        <f t="shared" si="21"/>
        <v/>
      </c>
      <c r="AB96" s="40" t="str">
        <f t="shared" si="23"/>
        <v/>
      </c>
      <c r="AC96" s="15" t="str">
        <f t="shared" si="23"/>
        <v/>
      </c>
      <c r="AD96" s="15" t="str">
        <f t="shared" si="23"/>
        <v/>
      </c>
      <c r="AE96" s="15" t="str">
        <f t="shared" si="23"/>
        <v/>
      </c>
      <c r="AF96" s="15" t="str">
        <f t="shared" si="23"/>
        <v>0001000000100</v>
      </c>
      <c r="AG96" s="41" t="str">
        <f t="shared" si="23"/>
        <v/>
      </c>
      <c r="AH96" s="15"/>
      <c r="AI96" s="21">
        <v>1</v>
      </c>
      <c r="AJ96" s="20" t="str">
        <f t="shared" si="28"/>
        <v>LL-1</v>
      </c>
      <c r="AK96" s="39" cm="1">
        <f t="array" ref="AK96">SUMPRODUCT(--(MID(AB$10:AB$135, SUMIF($Z$9:$Z$21, LEFT($AJ96,2), $Y$9:$Y$21), 1) = RIGHT($AJ96, 1)), J$10:J$135)</f>
        <v>4</v>
      </c>
      <c r="AL96" s="39" cm="1">
        <f t="array" ref="AL96">SUMPRODUCT(--(MID(AC$10:AC$135, SUMIF($Z$9:$Z$21, LEFT($AJ96,2), $Y$9:$Y$21), 1) = RIGHT($AJ96, 1)), K$10:K$135)</f>
        <v>14</v>
      </c>
      <c r="AM96" s="39" cm="1">
        <f t="array" ref="AM96">SUMPRODUCT(--(MID(AD$10:AD$135, SUMIF($Z$9:$Z$21, LEFT($AJ96,2), $Y$9:$Y$21), 1) = RIGHT($AJ96, 1)), L$10:L$135)</f>
        <v>14</v>
      </c>
      <c r="AN96" s="39" cm="1">
        <f t="array" ref="AN96">SUMPRODUCT(--(MID(AE$10:AE$135, SUMIF($Z$9:$Z$21, LEFT($AJ96,2), $Y$9:$Y$21), 1) = RIGHT($AJ96, 1)), M$10:M$135)</f>
        <v>8</v>
      </c>
      <c r="AO96" s="39" cm="1">
        <f t="array" ref="AO96">SUMPRODUCT(--(MID(AF$10:AF$135, SUMIF($Z$9:$Z$21, LEFT($AJ96,2), $Y$9:$Y$21), 1) = RIGHT($AJ96, 1)), N$10:N$135)</f>
        <v>4</v>
      </c>
      <c r="AP96" s="19" cm="1">
        <f t="array" ref="AP96">SUMPRODUCT(--(MID(AG$10:AG$135, SUMIF($Z$9:$Z$21, LEFT($AJ96,2), $Y$9:$Y$21), 1) = RIGHT($AJ96, 1)), O$10:O$135)</f>
        <v>8</v>
      </c>
    </row>
    <row r="97" spans="2:44">
      <c r="B97" s="34">
        <f t="shared" si="25"/>
        <v>87</v>
      </c>
      <c r="C97" s="30"/>
      <c r="D97" s="30"/>
      <c r="E97" s="30"/>
      <c r="F97" s="30"/>
      <c r="G97" s="30" t="s">
        <v>127</v>
      </c>
      <c r="H97" s="35"/>
      <c r="J97" s="34" t="str">
        <f t="shared" si="21"/>
        <v/>
      </c>
      <c r="K97" s="30" t="str">
        <f t="shared" si="21"/>
        <v/>
      </c>
      <c r="L97" s="30" t="str">
        <f t="shared" si="21"/>
        <v/>
      </c>
      <c r="M97" s="30" t="str">
        <f t="shared" si="21"/>
        <v/>
      </c>
      <c r="N97" s="30">
        <f t="shared" si="21"/>
        <v>1</v>
      </c>
      <c r="O97" s="35" t="str">
        <f t="shared" si="21"/>
        <v/>
      </c>
      <c r="AB97" s="40" t="str">
        <f t="shared" si="23"/>
        <v/>
      </c>
      <c r="AC97" s="15" t="str">
        <f t="shared" si="23"/>
        <v/>
      </c>
      <c r="AD97" s="15" t="str">
        <f t="shared" si="23"/>
        <v/>
      </c>
      <c r="AE97" s="15" t="str">
        <f t="shared" si="23"/>
        <v/>
      </c>
      <c r="AF97" s="15" t="str">
        <f t="shared" si="23"/>
        <v>0010000000100</v>
      </c>
      <c r="AG97" s="41" t="str">
        <f t="shared" si="23"/>
        <v/>
      </c>
      <c r="AH97" s="15"/>
      <c r="AI97" s="21">
        <v>0</v>
      </c>
      <c r="AJ97" s="20" t="str">
        <f t="shared" si="28"/>
        <v>LL-0</v>
      </c>
      <c r="AK97" s="39" cm="1">
        <f t="array" ref="AK97">SUMPRODUCT(--(MID(AB$10:AB$135, SUMIF($Z$9:$Z$21, LEFT($AJ97,2), $Y$9:$Y$21), 1) = RIGHT($AJ97, 1)), J$10:J$135)</f>
        <v>34</v>
      </c>
      <c r="AL97" s="39" cm="1">
        <f t="array" ref="AL97">SUMPRODUCT(--(MID(AC$10:AC$135, SUMIF($Z$9:$Z$21, LEFT($AJ97,2), $Y$9:$Y$21), 1) = RIGHT($AJ97, 1)), K$10:K$135)</f>
        <v>57</v>
      </c>
      <c r="AM97" s="39" cm="1">
        <f t="array" ref="AM97">SUMPRODUCT(--(MID(AD$10:AD$135, SUMIF($Z$9:$Z$21, LEFT($AJ97,2), $Y$9:$Y$21), 1) = RIGHT($AJ97, 1)), L$10:L$135)</f>
        <v>68</v>
      </c>
      <c r="AN97" s="39" cm="1">
        <f t="array" ref="AN97">SUMPRODUCT(--(MID(AE$10:AE$135, SUMIF($Z$9:$Z$21, LEFT($AJ97,2), $Y$9:$Y$21), 1) = RIGHT($AJ97, 1)), M$10:M$135)</f>
        <v>57</v>
      </c>
      <c r="AO97" s="39" cm="1">
        <f t="array" ref="AO97">SUMPRODUCT(--(MID(AF$10:AF$135, SUMIF($Z$9:$Z$21, LEFT($AJ97,2), $Y$9:$Y$21), 1) = RIGHT($AJ97, 1)), N$10:N$135)</f>
        <v>85</v>
      </c>
      <c r="AP97" s="19" cm="1">
        <f t="array" ref="AP97">SUMPRODUCT(--(MID(AG$10:AG$135, SUMIF($Z$9:$Z$21, LEFT($AJ97,2), $Y$9:$Y$21), 1) = RIGHT($AJ97, 1)), O$10:O$135)</f>
        <v>40</v>
      </c>
    </row>
    <row r="98" spans="2:44">
      <c r="B98" s="34">
        <f t="shared" si="25"/>
        <v>88</v>
      </c>
      <c r="C98" s="30"/>
      <c r="D98" s="30"/>
      <c r="E98" s="30"/>
      <c r="F98" s="30"/>
      <c r="G98" s="30" t="s">
        <v>136</v>
      </c>
      <c r="H98" s="35"/>
      <c r="J98" s="34" t="str">
        <f t="shared" si="21"/>
        <v/>
      </c>
      <c r="K98" s="30" t="str">
        <f t="shared" si="21"/>
        <v/>
      </c>
      <c r="L98" s="30" t="str">
        <f t="shared" si="21"/>
        <v/>
      </c>
      <c r="M98" s="30" t="str">
        <f t="shared" si="21"/>
        <v/>
      </c>
      <c r="N98" s="30">
        <f t="shared" si="21"/>
        <v>1</v>
      </c>
      <c r="O98" s="35" t="str">
        <f t="shared" si="21"/>
        <v/>
      </c>
      <c r="AB98" s="40" t="str">
        <f t="shared" si="23"/>
        <v/>
      </c>
      <c r="AC98" s="15" t="str">
        <f t="shared" si="23"/>
        <v/>
      </c>
      <c r="AD98" s="15" t="str">
        <f t="shared" si="23"/>
        <v/>
      </c>
      <c r="AE98" s="15" t="str">
        <f t="shared" si="23"/>
        <v/>
      </c>
      <c r="AF98" s="15" t="str">
        <f t="shared" si="23"/>
        <v>0010100000000</v>
      </c>
      <c r="AG98" s="41" t="str">
        <f t="shared" si="23"/>
        <v/>
      </c>
      <c r="AH98" s="15"/>
      <c r="AI98" s="21">
        <v>7</v>
      </c>
      <c r="AJ98" s="20" t="str">
        <f>$Z$21&amp;"-7"</f>
        <v>BN-7</v>
      </c>
      <c r="AK98" s="39" cm="1">
        <f t="array" ref="AK98">SUMPRODUCT(--(MID(AB$10:AB$135, SUMIF($Z$9:$Z$21, LEFT($AJ98,2), $Y$9:$Y$21), 1) = RIGHT($AJ98, 1)), J$10:J$135)</f>
        <v>0</v>
      </c>
      <c r="AL98" s="39" cm="1">
        <f t="array" ref="AL98">SUMPRODUCT(--(MID(AC$10:AC$135, SUMIF($Z$9:$Z$21, LEFT($AJ98,2), $Y$9:$Y$21), 1) = RIGHT($AJ98, 1)), K$10:K$135)</f>
        <v>0</v>
      </c>
      <c r="AM98" s="39" cm="1">
        <f t="array" ref="AM98">SUMPRODUCT(--(MID(AD$10:AD$135, SUMIF($Z$9:$Z$21, LEFT($AJ98,2), $Y$9:$Y$21), 1) = RIGHT($AJ98, 1)), L$10:L$135)</f>
        <v>0</v>
      </c>
      <c r="AN98" s="39" cm="1">
        <f t="array" ref="AN98">SUMPRODUCT(--(MID(AE$10:AE$135, SUMIF($Z$9:$Z$21, LEFT($AJ98,2), $Y$9:$Y$21), 1) = RIGHT($AJ98, 1)), M$10:M$135)</f>
        <v>0</v>
      </c>
      <c r="AO98" s="39" cm="1">
        <f t="array" ref="AO98">SUMPRODUCT(--(MID(AF$10:AF$135, SUMIF($Z$9:$Z$21, LEFT($AJ98,2), $Y$9:$Y$21), 1) = RIGHT($AJ98, 1)), N$10:N$135)</f>
        <v>0</v>
      </c>
      <c r="AP98" s="19" cm="1">
        <f t="array" ref="AP98">SUMPRODUCT(--(MID(AG$10:AG$135, SUMIF($Z$9:$Z$21, LEFT($AJ98,2), $Y$9:$Y$21), 1) = RIGHT($AJ98, 1)), O$10:O$135)</f>
        <v>0</v>
      </c>
    </row>
    <row r="99" spans="2:44">
      <c r="B99" s="34">
        <f t="shared" si="25"/>
        <v>89</v>
      </c>
      <c r="C99" s="30"/>
      <c r="D99" s="30"/>
      <c r="E99" s="30"/>
      <c r="F99" s="30"/>
      <c r="G99" s="30" t="s">
        <v>127</v>
      </c>
      <c r="H99" s="35"/>
      <c r="J99" s="34" t="str">
        <f t="shared" si="21"/>
        <v/>
      </c>
      <c r="K99" s="30" t="str">
        <f t="shared" si="21"/>
        <v/>
      </c>
      <c r="L99" s="30" t="str">
        <f t="shared" si="21"/>
        <v/>
      </c>
      <c r="M99" s="30" t="str">
        <f t="shared" si="21"/>
        <v/>
      </c>
      <c r="N99" s="30">
        <f t="shared" si="21"/>
        <v>1</v>
      </c>
      <c r="O99" s="35" t="str">
        <f t="shared" si="21"/>
        <v/>
      </c>
      <c r="AB99" s="40" t="str">
        <f t="shared" si="23"/>
        <v/>
      </c>
      <c r="AC99" s="15" t="str">
        <f t="shared" si="23"/>
        <v/>
      </c>
      <c r="AD99" s="15" t="str">
        <f t="shared" si="23"/>
        <v/>
      </c>
      <c r="AE99" s="15" t="str">
        <f t="shared" si="23"/>
        <v/>
      </c>
      <c r="AF99" s="15" t="str">
        <f t="shared" si="23"/>
        <v>0010100000000</v>
      </c>
      <c r="AG99" s="41" t="str">
        <f t="shared" si="23"/>
        <v/>
      </c>
      <c r="AH99" s="15"/>
      <c r="AI99" s="21">
        <v>6</v>
      </c>
      <c r="AJ99" s="20" t="str">
        <f>LEFT(AJ98,3) &amp; RIGHT(AJ98,1)-1</f>
        <v>BN-6</v>
      </c>
      <c r="AK99" s="39" cm="1">
        <f t="array" ref="AK99">SUMPRODUCT(--(MID(AB$10:AB$135, SUMIF($Z$9:$Z$21, LEFT($AJ99,2), $Y$9:$Y$21), 1) = RIGHT($AJ99, 1)), J$10:J$135)</f>
        <v>0</v>
      </c>
      <c r="AL99" s="39" cm="1">
        <f t="array" ref="AL99">SUMPRODUCT(--(MID(AC$10:AC$135, SUMIF($Z$9:$Z$21, LEFT($AJ99,2), $Y$9:$Y$21), 1) = RIGHT($AJ99, 1)), K$10:K$135)</f>
        <v>0</v>
      </c>
      <c r="AM99" s="39" cm="1">
        <f t="array" ref="AM99">SUMPRODUCT(--(MID(AD$10:AD$135, SUMIF($Z$9:$Z$21, LEFT($AJ99,2), $Y$9:$Y$21), 1) = RIGHT($AJ99, 1)), L$10:L$135)</f>
        <v>0</v>
      </c>
      <c r="AN99" s="39" cm="1">
        <f t="array" ref="AN99">SUMPRODUCT(--(MID(AE$10:AE$135, SUMIF($Z$9:$Z$21, LEFT($AJ99,2), $Y$9:$Y$21), 1) = RIGHT($AJ99, 1)), M$10:M$135)</f>
        <v>0</v>
      </c>
      <c r="AO99" s="39" cm="1">
        <f t="array" ref="AO99">SUMPRODUCT(--(MID(AF$10:AF$135, SUMIF($Z$9:$Z$21, LEFT($AJ99,2), $Y$9:$Y$21), 1) = RIGHT($AJ99, 1)), N$10:N$135)</f>
        <v>0</v>
      </c>
      <c r="AP99" s="19" cm="1">
        <f t="array" ref="AP99">SUMPRODUCT(--(MID(AG$10:AG$135, SUMIF($Z$9:$Z$21, LEFT($AJ99,2), $Y$9:$Y$21), 1) = RIGHT($AJ99, 1)), O$10:O$135)</f>
        <v>0</v>
      </c>
    </row>
    <row r="100" spans="2:44">
      <c r="B100" s="34">
        <f t="shared" si="25"/>
        <v>90</v>
      </c>
      <c r="C100" s="30"/>
      <c r="D100" s="30"/>
      <c r="E100" s="30"/>
      <c r="F100" s="30"/>
      <c r="G100" s="30" t="s">
        <v>136</v>
      </c>
      <c r="H100" s="35"/>
      <c r="J100" s="34" t="str">
        <f t="shared" si="21"/>
        <v/>
      </c>
      <c r="K100" s="30" t="str">
        <f t="shared" si="21"/>
        <v/>
      </c>
      <c r="L100" s="30" t="str">
        <f t="shared" si="21"/>
        <v/>
      </c>
      <c r="M100" s="30" t="str">
        <f t="shared" si="21"/>
        <v/>
      </c>
      <c r="N100" s="30">
        <f t="shared" si="21"/>
        <v>1</v>
      </c>
      <c r="O100" s="35" t="str">
        <f t="shared" si="21"/>
        <v/>
      </c>
      <c r="AB100" s="40" t="str">
        <f t="shared" si="23"/>
        <v/>
      </c>
      <c r="AC100" s="15" t="str">
        <f t="shared" si="23"/>
        <v/>
      </c>
      <c r="AD100" s="15" t="str">
        <f t="shared" si="23"/>
        <v/>
      </c>
      <c r="AE100" s="15" t="str">
        <f t="shared" si="23"/>
        <v/>
      </c>
      <c r="AF100" s="15" t="str">
        <f t="shared" si="23"/>
        <v>0010100000000</v>
      </c>
      <c r="AG100" s="41" t="str">
        <f t="shared" si="23"/>
        <v/>
      </c>
      <c r="AH100" s="15"/>
      <c r="AI100" s="21">
        <v>5</v>
      </c>
      <c r="AJ100" s="20" t="str">
        <f t="shared" ref="AJ100:AJ105" si="29">LEFT(AJ99,3) &amp; RIGHT(AJ99,1)-1</f>
        <v>BN-5</v>
      </c>
      <c r="AK100" s="39" cm="1">
        <f t="array" ref="AK100">SUMPRODUCT(--(MID(AB$10:AB$135, SUMIF($Z$9:$Z$21, LEFT($AJ100,2), $Y$9:$Y$21), 1) = RIGHT($AJ100, 1)), J$10:J$135)</f>
        <v>0</v>
      </c>
      <c r="AL100" s="39" cm="1">
        <f t="array" ref="AL100">SUMPRODUCT(--(MID(AC$10:AC$135, SUMIF($Z$9:$Z$21, LEFT($AJ100,2), $Y$9:$Y$21), 1) = RIGHT($AJ100, 1)), K$10:K$135)</f>
        <v>0</v>
      </c>
      <c r="AM100" s="39" cm="1">
        <f t="array" ref="AM100">SUMPRODUCT(--(MID(AD$10:AD$135, SUMIF($Z$9:$Z$21, LEFT($AJ100,2), $Y$9:$Y$21), 1) = RIGHT($AJ100, 1)), L$10:L$135)</f>
        <v>0</v>
      </c>
      <c r="AN100" s="39" cm="1">
        <f t="array" ref="AN100">SUMPRODUCT(--(MID(AE$10:AE$135, SUMIF($Z$9:$Z$21, LEFT($AJ100,2), $Y$9:$Y$21), 1) = RIGHT($AJ100, 1)), M$10:M$135)</f>
        <v>0</v>
      </c>
      <c r="AO100" s="39" cm="1">
        <f t="array" ref="AO100">SUMPRODUCT(--(MID(AF$10:AF$135, SUMIF($Z$9:$Z$21, LEFT($AJ100,2), $Y$9:$Y$21), 1) = RIGHT($AJ100, 1)), N$10:N$135)</f>
        <v>0</v>
      </c>
      <c r="AP100" s="19" cm="1">
        <f t="array" ref="AP100">SUMPRODUCT(--(MID(AG$10:AG$135, SUMIF($Z$9:$Z$21, LEFT($AJ100,2), $Y$9:$Y$21), 1) = RIGHT($AJ100, 1)), O$10:O$135)</f>
        <v>0</v>
      </c>
    </row>
    <row r="101" spans="2:44">
      <c r="B101" s="34">
        <f t="shared" si="25"/>
        <v>91</v>
      </c>
      <c r="C101" s="30"/>
      <c r="D101" s="30"/>
      <c r="E101" s="30"/>
      <c r="F101" s="30"/>
      <c r="G101" s="30"/>
      <c r="H101" s="35"/>
      <c r="J101" s="34" t="str">
        <f t="shared" si="21"/>
        <v/>
      </c>
      <c r="K101" s="30" t="str">
        <f t="shared" si="21"/>
        <v/>
      </c>
      <c r="L101" s="30" t="str">
        <f t="shared" si="21"/>
        <v/>
      </c>
      <c r="M101" s="30" t="str">
        <f t="shared" si="21"/>
        <v/>
      </c>
      <c r="N101" s="30" t="str">
        <f t="shared" si="21"/>
        <v/>
      </c>
      <c r="O101" s="35" t="str">
        <f t="shared" si="21"/>
        <v/>
      </c>
      <c r="AB101" s="40" t="str">
        <f t="shared" si="23"/>
        <v/>
      </c>
      <c r="AC101" s="15" t="str">
        <f t="shared" si="23"/>
        <v/>
      </c>
      <c r="AD101" s="15" t="str">
        <f t="shared" si="23"/>
        <v/>
      </c>
      <c r="AE101" s="15" t="str">
        <f t="shared" si="23"/>
        <v/>
      </c>
      <c r="AF101" s="15" t="str">
        <f t="shared" si="23"/>
        <v/>
      </c>
      <c r="AG101" s="41" t="str">
        <f t="shared" si="23"/>
        <v/>
      </c>
      <c r="AH101" s="15"/>
      <c r="AI101" s="21">
        <v>4</v>
      </c>
      <c r="AJ101" s="20" t="str">
        <f t="shared" si="29"/>
        <v>BN-4</v>
      </c>
      <c r="AK101" s="39" cm="1">
        <f t="array" ref="AK101">SUMPRODUCT(--(MID(AB$10:AB$135, SUMIF($Z$9:$Z$21, LEFT($AJ101,2), $Y$9:$Y$21), 1) = RIGHT($AJ101, 1)), J$10:J$135)</f>
        <v>0</v>
      </c>
      <c r="AL101" s="39" cm="1">
        <f t="array" ref="AL101">SUMPRODUCT(--(MID(AC$10:AC$135, SUMIF($Z$9:$Z$21, LEFT($AJ101,2), $Y$9:$Y$21), 1) = RIGHT($AJ101, 1)), K$10:K$135)</f>
        <v>0</v>
      </c>
      <c r="AM101" s="39" cm="1">
        <f t="array" ref="AM101">SUMPRODUCT(--(MID(AD$10:AD$135, SUMIF($Z$9:$Z$21, LEFT($AJ101,2), $Y$9:$Y$21), 1) = RIGHT($AJ101, 1)), L$10:L$135)</f>
        <v>0</v>
      </c>
      <c r="AN101" s="39" cm="1">
        <f t="array" ref="AN101">SUMPRODUCT(--(MID(AE$10:AE$135, SUMIF($Z$9:$Z$21, LEFT($AJ101,2), $Y$9:$Y$21), 1) = RIGHT($AJ101, 1)), M$10:M$135)</f>
        <v>0</v>
      </c>
      <c r="AO101" s="39" cm="1">
        <f t="array" ref="AO101">SUMPRODUCT(--(MID(AF$10:AF$135, SUMIF($Z$9:$Z$21, LEFT($AJ101,2), $Y$9:$Y$21), 1) = RIGHT($AJ101, 1)), N$10:N$135)</f>
        <v>0</v>
      </c>
      <c r="AP101" s="19" cm="1">
        <f t="array" ref="AP101">SUMPRODUCT(--(MID(AG$10:AG$135, SUMIF($Z$9:$Z$21, LEFT($AJ101,2), $Y$9:$Y$21), 1) = RIGHT($AJ101, 1)), O$10:O$135)</f>
        <v>0</v>
      </c>
    </row>
    <row r="102" spans="2:44">
      <c r="B102" s="34">
        <f t="shared" si="25"/>
        <v>92</v>
      </c>
      <c r="C102" s="30"/>
      <c r="D102" s="30"/>
      <c r="E102" s="30"/>
      <c r="F102" s="30"/>
      <c r="G102" s="30"/>
      <c r="H102" s="35"/>
      <c r="J102" s="34" t="str">
        <f t="shared" si="21"/>
        <v/>
      </c>
      <c r="K102" s="30" t="str">
        <f t="shared" si="21"/>
        <v/>
      </c>
      <c r="L102" s="30" t="str">
        <f t="shared" si="21"/>
        <v/>
      </c>
      <c r="M102" s="30" t="str">
        <f t="shared" ref="M102:O135" si="30">IF(F102="","",1)</f>
        <v/>
      </c>
      <c r="N102" s="30" t="str">
        <f t="shared" si="30"/>
        <v/>
      </c>
      <c r="O102" s="35" t="str">
        <f t="shared" si="30"/>
        <v/>
      </c>
      <c r="AB102" s="40" t="str">
        <f t="shared" si="23"/>
        <v/>
      </c>
      <c r="AC102" s="15" t="str">
        <f t="shared" si="23"/>
        <v/>
      </c>
      <c r="AD102" s="15" t="str">
        <f t="shared" si="23"/>
        <v/>
      </c>
      <c r="AE102" s="15" t="str">
        <f t="shared" si="23"/>
        <v/>
      </c>
      <c r="AF102" s="15" t="str">
        <f t="shared" si="23"/>
        <v/>
      </c>
      <c r="AG102" s="41" t="str">
        <f t="shared" si="23"/>
        <v/>
      </c>
      <c r="AH102" s="15"/>
      <c r="AI102" s="21">
        <v>3</v>
      </c>
      <c r="AJ102" s="20" t="str">
        <f t="shared" si="29"/>
        <v>BN-3</v>
      </c>
      <c r="AK102" s="39" cm="1">
        <f t="array" ref="AK102">SUMPRODUCT(--(MID(AB$10:AB$135, SUMIF($Z$9:$Z$21, LEFT($AJ102,2), $Y$9:$Y$21), 1) = RIGHT($AJ102, 1)), J$10:J$135)</f>
        <v>0</v>
      </c>
      <c r="AL102" s="39" cm="1">
        <f t="array" ref="AL102">SUMPRODUCT(--(MID(AC$10:AC$135, SUMIF($Z$9:$Z$21, LEFT($AJ102,2), $Y$9:$Y$21), 1) = RIGHT($AJ102, 1)), K$10:K$135)</f>
        <v>0</v>
      </c>
      <c r="AM102" s="39" cm="1">
        <f t="array" ref="AM102">SUMPRODUCT(--(MID(AD$10:AD$135, SUMIF($Z$9:$Z$21, LEFT($AJ102,2), $Y$9:$Y$21), 1) = RIGHT($AJ102, 1)), L$10:L$135)</f>
        <v>0</v>
      </c>
      <c r="AN102" s="39" cm="1">
        <f t="array" ref="AN102">SUMPRODUCT(--(MID(AE$10:AE$135, SUMIF($Z$9:$Z$21, LEFT($AJ102,2), $Y$9:$Y$21), 1) = RIGHT($AJ102, 1)), M$10:M$135)</f>
        <v>0</v>
      </c>
      <c r="AO102" s="39" cm="1">
        <f t="array" ref="AO102">SUMPRODUCT(--(MID(AF$10:AF$135, SUMIF($Z$9:$Z$21, LEFT($AJ102,2), $Y$9:$Y$21), 1) = RIGHT($AJ102, 1)), N$10:N$135)</f>
        <v>0</v>
      </c>
      <c r="AP102" s="19" cm="1">
        <f t="array" ref="AP102">SUMPRODUCT(--(MID(AG$10:AG$135, SUMIF($Z$9:$Z$21, LEFT($AJ102,2), $Y$9:$Y$21), 1) = RIGHT($AJ102, 1)), O$10:O$135)</f>
        <v>0</v>
      </c>
    </row>
    <row r="103" spans="2:44">
      <c r="B103" s="34">
        <f t="shared" si="25"/>
        <v>93</v>
      </c>
      <c r="C103" s="30"/>
      <c r="D103" s="30"/>
      <c r="E103" s="30"/>
      <c r="F103" s="30"/>
      <c r="G103" s="30"/>
      <c r="H103" s="35"/>
      <c r="J103" s="34" t="str">
        <f t="shared" ref="J103:L135" si="31">IF(C103="","",1)</f>
        <v/>
      </c>
      <c r="K103" s="30" t="str">
        <f t="shared" si="31"/>
        <v/>
      </c>
      <c r="L103" s="30" t="str">
        <f t="shared" si="31"/>
        <v/>
      </c>
      <c r="M103" s="30" t="str">
        <f t="shared" si="30"/>
        <v/>
      </c>
      <c r="N103" s="30" t="str">
        <f t="shared" si="30"/>
        <v/>
      </c>
      <c r="O103" s="35" t="str">
        <f t="shared" si="30"/>
        <v/>
      </c>
      <c r="AB103" s="40" t="str">
        <f t="shared" si="23"/>
        <v/>
      </c>
      <c r="AC103" s="15" t="str">
        <f t="shared" si="23"/>
        <v/>
      </c>
      <c r="AD103" s="15" t="str">
        <f t="shared" si="23"/>
        <v/>
      </c>
      <c r="AE103" s="15" t="str">
        <f t="shared" si="23"/>
        <v/>
      </c>
      <c r="AF103" s="15" t="str">
        <f t="shared" si="23"/>
        <v/>
      </c>
      <c r="AG103" s="41" t="str">
        <f t="shared" si="23"/>
        <v/>
      </c>
      <c r="AH103" s="15"/>
      <c r="AI103" s="21">
        <v>2</v>
      </c>
      <c r="AJ103" s="20" t="str">
        <f t="shared" si="29"/>
        <v>BN-2</v>
      </c>
      <c r="AK103" s="39" cm="1">
        <f t="array" ref="AK103">SUMPRODUCT(--(MID(AB$10:AB$135, SUMIF($Z$9:$Z$21, LEFT($AJ103,2), $Y$9:$Y$21), 1) = RIGHT($AJ103, 1)), J$10:J$135)</f>
        <v>0</v>
      </c>
      <c r="AL103" s="39" cm="1">
        <f t="array" ref="AL103">SUMPRODUCT(--(MID(AC$10:AC$135, SUMIF($Z$9:$Z$21, LEFT($AJ103,2), $Y$9:$Y$21), 1) = RIGHT($AJ103, 1)), K$10:K$135)</f>
        <v>0</v>
      </c>
      <c r="AM103" s="39" cm="1">
        <f t="array" ref="AM103">SUMPRODUCT(--(MID(AD$10:AD$135, SUMIF($Z$9:$Z$21, LEFT($AJ103,2), $Y$9:$Y$21), 1) = RIGHT($AJ103, 1)), L$10:L$135)</f>
        <v>0</v>
      </c>
      <c r="AN103" s="39" cm="1">
        <f t="array" ref="AN103">SUMPRODUCT(--(MID(AE$10:AE$135, SUMIF($Z$9:$Z$21, LEFT($AJ103,2), $Y$9:$Y$21), 1) = RIGHT($AJ103, 1)), M$10:M$135)</f>
        <v>0</v>
      </c>
      <c r="AO103" s="39" cm="1">
        <f t="array" ref="AO103">SUMPRODUCT(--(MID(AF$10:AF$135, SUMIF($Z$9:$Z$21, LEFT($AJ103,2), $Y$9:$Y$21), 1) = RIGHT($AJ103, 1)), N$10:N$135)</f>
        <v>0</v>
      </c>
      <c r="AP103" s="19" cm="1">
        <f t="array" ref="AP103">SUMPRODUCT(--(MID(AG$10:AG$135, SUMIF($Z$9:$Z$21, LEFT($AJ103,2), $Y$9:$Y$21), 1) = RIGHT($AJ103, 1)), O$10:O$135)</f>
        <v>0</v>
      </c>
    </row>
    <row r="104" spans="2:44">
      <c r="B104" s="34">
        <f t="shared" si="25"/>
        <v>94</v>
      </c>
      <c r="C104" s="30"/>
      <c r="D104" s="30"/>
      <c r="E104" s="30"/>
      <c r="F104" s="30"/>
      <c r="G104" s="30"/>
      <c r="H104" s="35"/>
      <c r="J104" s="34" t="str">
        <f t="shared" si="31"/>
        <v/>
      </c>
      <c r="K104" s="30" t="str">
        <f t="shared" si="31"/>
        <v/>
      </c>
      <c r="L104" s="30" t="str">
        <f t="shared" si="31"/>
        <v/>
      </c>
      <c r="M104" s="30" t="str">
        <f t="shared" si="30"/>
        <v/>
      </c>
      <c r="N104" s="30" t="str">
        <f t="shared" si="30"/>
        <v/>
      </c>
      <c r="O104" s="35" t="str">
        <f t="shared" si="30"/>
        <v/>
      </c>
      <c r="AB104" s="40" t="str">
        <f t="shared" si="23"/>
        <v/>
      </c>
      <c r="AC104" s="15" t="str">
        <f t="shared" si="23"/>
        <v/>
      </c>
      <c r="AD104" s="15" t="str">
        <f t="shared" si="23"/>
        <v/>
      </c>
      <c r="AE104" s="15" t="str">
        <f t="shared" si="23"/>
        <v/>
      </c>
      <c r="AF104" s="15" t="str">
        <f t="shared" si="23"/>
        <v/>
      </c>
      <c r="AG104" s="41" t="str">
        <f t="shared" si="23"/>
        <v/>
      </c>
      <c r="AH104" s="15"/>
      <c r="AI104" s="21">
        <v>1</v>
      </c>
      <c r="AJ104" s="20" t="str">
        <f t="shared" si="29"/>
        <v>BN-1</v>
      </c>
      <c r="AK104" s="39" cm="1">
        <f t="array" ref="AK104">SUMPRODUCT(--(MID(AB$10:AB$135, SUMIF($Z$9:$Z$21, LEFT($AJ104,2), $Y$9:$Y$21), 1) = RIGHT($AJ104, 1)), J$10:J$135)</f>
        <v>0</v>
      </c>
      <c r="AL104" s="39" cm="1">
        <f t="array" ref="AL104">SUMPRODUCT(--(MID(AC$10:AC$135, SUMIF($Z$9:$Z$21, LEFT($AJ104,2), $Y$9:$Y$21), 1) = RIGHT($AJ104, 1)), K$10:K$135)</f>
        <v>0</v>
      </c>
      <c r="AM104" s="39" cm="1">
        <f t="array" ref="AM104">SUMPRODUCT(--(MID(AD$10:AD$135, SUMIF($Z$9:$Z$21, LEFT($AJ104,2), $Y$9:$Y$21), 1) = RIGHT($AJ104, 1)), L$10:L$135)</f>
        <v>0</v>
      </c>
      <c r="AN104" s="39" cm="1">
        <f t="array" ref="AN104">SUMPRODUCT(--(MID(AE$10:AE$135, SUMIF($Z$9:$Z$21, LEFT($AJ104,2), $Y$9:$Y$21), 1) = RIGHT($AJ104, 1)), M$10:M$135)</f>
        <v>0</v>
      </c>
      <c r="AO104" s="39" cm="1">
        <f t="array" ref="AO104">SUMPRODUCT(--(MID(AF$10:AF$135, SUMIF($Z$9:$Z$21, LEFT($AJ104,2), $Y$9:$Y$21), 1) = RIGHT($AJ104, 1)), N$10:N$135)</f>
        <v>0</v>
      </c>
      <c r="AP104" s="19" cm="1">
        <f t="array" ref="AP104">SUMPRODUCT(--(MID(AG$10:AG$135, SUMIF($Z$9:$Z$21, LEFT($AJ104,2), $Y$9:$Y$21), 1) = RIGHT($AJ104, 1)), O$10:O$135)</f>
        <v>0</v>
      </c>
    </row>
    <row r="105" spans="2:44">
      <c r="B105" s="34">
        <f t="shared" si="25"/>
        <v>95</v>
      </c>
      <c r="C105" s="30"/>
      <c r="D105" s="30"/>
      <c r="E105" s="30"/>
      <c r="F105" s="30"/>
      <c r="G105" s="30"/>
      <c r="H105" s="35"/>
      <c r="J105" s="34" t="str">
        <f t="shared" si="31"/>
        <v/>
      </c>
      <c r="K105" s="30" t="str">
        <f t="shared" si="31"/>
        <v/>
      </c>
      <c r="L105" s="30" t="str">
        <f t="shared" si="31"/>
        <v/>
      </c>
      <c r="M105" s="30" t="str">
        <f t="shared" si="30"/>
        <v/>
      </c>
      <c r="N105" s="30" t="str">
        <f t="shared" si="30"/>
        <v/>
      </c>
      <c r="O105" s="35" t="str">
        <f t="shared" si="30"/>
        <v/>
      </c>
      <c r="AB105" s="40" t="str">
        <f t="shared" si="23"/>
        <v/>
      </c>
      <c r="AC105" s="15" t="str">
        <f t="shared" si="23"/>
        <v/>
      </c>
      <c r="AD105" s="15" t="str">
        <f t="shared" si="23"/>
        <v/>
      </c>
      <c r="AE105" s="15" t="str">
        <f t="shared" si="23"/>
        <v/>
      </c>
      <c r="AF105" s="15" t="str">
        <f t="shared" si="23"/>
        <v/>
      </c>
      <c r="AG105" s="41" t="str">
        <f t="shared" si="23"/>
        <v/>
      </c>
      <c r="AH105" s="15"/>
      <c r="AI105" s="21">
        <v>0</v>
      </c>
      <c r="AJ105" s="20" t="str">
        <f t="shared" si="29"/>
        <v>BN-0</v>
      </c>
      <c r="AK105" s="39" cm="1">
        <f t="array" ref="AK105">SUMPRODUCT(--(MID(AB$10:AB$135, SUMIF($Z$9:$Z$21, LEFT($AJ105,2), $Y$9:$Y$21), 1) = RIGHT($AJ105, 1)), J$10:J$135)</f>
        <v>40</v>
      </c>
      <c r="AL105" s="39" cm="1">
        <f t="array" ref="AL105">SUMPRODUCT(--(MID(AC$10:AC$135, SUMIF($Z$9:$Z$21, LEFT($AJ105,2), $Y$9:$Y$21), 1) = RIGHT($AJ105, 1)), K$10:K$135)</f>
        <v>73</v>
      </c>
      <c r="AM105" s="39" cm="1">
        <f t="array" ref="AM105">SUMPRODUCT(--(MID(AD$10:AD$135, SUMIF($Z$9:$Z$21, LEFT($AJ105,2), $Y$9:$Y$21), 1) = RIGHT($AJ105, 1)), L$10:L$135)</f>
        <v>84</v>
      </c>
      <c r="AN105" s="39" cm="1">
        <f t="array" ref="AN105">SUMPRODUCT(--(MID(AE$10:AE$135, SUMIF($Z$9:$Z$21, LEFT($AJ105,2), $Y$9:$Y$21), 1) = RIGHT($AJ105, 1)), M$10:M$135)</f>
        <v>67</v>
      </c>
      <c r="AO105" s="39" cm="1">
        <f t="array" ref="AO105">SUMPRODUCT(--(MID(AF$10:AF$135, SUMIF($Z$9:$Z$21, LEFT($AJ105,2), $Y$9:$Y$21), 1) = RIGHT($AJ105, 1)), N$10:N$135)</f>
        <v>91</v>
      </c>
      <c r="AP105" s="19" cm="1">
        <f t="array" ref="AP105">SUMPRODUCT(--(MID(AG$10:AG$135, SUMIF($Z$9:$Z$21, LEFT($AJ105,2), $Y$9:$Y$21), 1) = RIGHT($AJ105, 1)), O$10:O$135)</f>
        <v>50</v>
      </c>
      <c r="AR105" s="39"/>
    </row>
    <row r="106" spans="2:44">
      <c r="B106" s="34">
        <f t="shared" si="25"/>
        <v>96</v>
      </c>
      <c r="C106" s="30"/>
      <c r="D106" s="30"/>
      <c r="E106" s="30"/>
      <c r="F106" s="30"/>
      <c r="G106" s="30"/>
      <c r="H106" s="35"/>
      <c r="J106" s="34" t="str">
        <f t="shared" si="31"/>
        <v/>
      </c>
      <c r="K106" s="30" t="str">
        <f t="shared" si="31"/>
        <v/>
      </c>
      <c r="L106" s="30" t="str">
        <f t="shared" si="31"/>
        <v/>
      </c>
      <c r="M106" s="30" t="str">
        <f t="shared" si="30"/>
        <v/>
      </c>
      <c r="N106" s="30" t="str">
        <f t="shared" si="30"/>
        <v/>
      </c>
      <c r="O106" s="35" t="str">
        <f t="shared" si="30"/>
        <v/>
      </c>
      <c r="AB106" s="40" t="str">
        <f t="shared" si="23"/>
        <v/>
      </c>
      <c r="AC106" s="15" t="str">
        <f t="shared" si="23"/>
        <v/>
      </c>
      <c r="AD106" s="15" t="str">
        <f t="shared" si="23"/>
        <v/>
      </c>
      <c r="AE106" s="15" t="str">
        <f t="shared" si="23"/>
        <v/>
      </c>
      <c r="AF106" s="15" t="str">
        <f t="shared" si="23"/>
        <v/>
      </c>
      <c r="AG106" s="41" t="str">
        <f t="shared" si="23"/>
        <v/>
      </c>
      <c r="AH106" s="15"/>
      <c r="AI106" s="21">
        <v>7</v>
      </c>
      <c r="AJ106" s="20" t="str">
        <f>$Z$9&amp;"-7"</f>
        <v>WC-7</v>
      </c>
      <c r="AK106" s="39" cm="1">
        <f t="array" ref="AK106">SUMPRODUCT(--(MID(AB$10:AB$135, SUMIF($Z$9:$Z$21, LEFT($AJ106,2), $Y$9:$Y$21), 1) = RIGHT($AJ106, 1)), J$10:J$135)</f>
        <v>0</v>
      </c>
      <c r="AL106" s="39" cm="1">
        <f t="array" ref="AL106">SUMPRODUCT(--(MID(AC$10:AC$135, SUMIF($Z$9:$Z$21, LEFT($AJ106,2), $Y$9:$Y$21), 1) = RIGHT($AJ106, 1)), K$10:K$135)</f>
        <v>0</v>
      </c>
      <c r="AM106" s="39" cm="1">
        <f t="array" ref="AM106">SUMPRODUCT(--(MID(AD$10:AD$135, SUMIF($Z$9:$Z$21, LEFT($AJ106,2), $Y$9:$Y$21), 1) = RIGHT($AJ106, 1)), L$10:L$135)</f>
        <v>0</v>
      </c>
      <c r="AN106" s="39" cm="1">
        <f t="array" ref="AN106">SUMPRODUCT(--(MID(AE$10:AE$135, SUMIF($Z$9:$Z$21, LEFT($AJ106,2), $Y$9:$Y$21), 1) = RIGHT($AJ106, 1)), M$10:M$135)</f>
        <v>0</v>
      </c>
      <c r="AO106" s="39" cm="1">
        <f t="array" ref="AO106">SUMPRODUCT(--(MID(AF$10:AF$135, SUMIF($Z$9:$Z$21, LEFT($AJ106,2), $Y$9:$Y$21), 1) = RIGHT($AJ106, 1)), N$10:N$135)</f>
        <v>0</v>
      </c>
      <c r="AP106" s="19" cm="1">
        <f t="array" ref="AP106">SUMPRODUCT(--(MID(AG$10:AG$135, SUMIF($Z$9:$Z$21, LEFT($AJ106,2), $Y$9:$Y$21), 1) = RIGHT($AJ106, 1)), O$10:O$135)</f>
        <v>0</v>
      </c>
    </row>
    <row r="107" spans="2:44">
      <c r="B107" s="34">
        <f t="shared" si="25"/>
        <v>97</v>
      </c>
      <c r="C107" s="30"/>
      <c r="D107" s="30"/>
      <c r="E107" s="30"/>
      <c r="F107" s="30"/>
      <c r="G107" s="30"/>
      <c r="H107" s="35"/>
      <c r="J107" s="34" t="str">
        <f t="shared" si="31"/>
        <v/>
      </c>
      <c r="K107" s="30" t="str">
        <f t="shared" si="31"/>
        <v/>
      </c>
      <c r="L107" s="30" t="str">
        <f t="shared" si="31"/>
        <v/>
      </c>
      <c r="M107" s="30" t="str">
        <f t="shared" si="30"/>
        <v/>
      </c>
      <c r="N107" s="30" t="str">
        <f t="shared" si="30"/>
        <v/>
      </c>
      <c r="O107" s="35" t="str">
        <f t="shared" si="30"/>
        <v/>
      </c>
      <c r="AB107" s="40" t="str">
        <f t="shared" si="23"/>
        <v/>
      </c>
      <c r="AC107" s="15" t="str">
        <f t="shared" si="23"/>
        <v/>
      </c>
      <c r="AD107" s="15" t="str">
        <f t="shared" si="23"/>
        <v/>
      </c>
      <c r="AE107" s="15" t="str">
        <f t="shared" si="23"/>
        <v/>
      </c>
      <c r="AF107" s="15" t="str">
        <f t="shared" si="23"/>
        <v/>
      </c>
      <c r="AG107" s="41" t="str">
        <f t="shared" si="23"/>
        <v/>
      </c>
      <c r="AH107" s="15"/>
      <c r="AI107" s="21">
        <v>6</v>
      </c>
      <c r="AJ107" s="20" t="str">
        <f>LEFT(AJ106,3) &amp; RIGHT(AJ106,1)-1</f>
        <v>WC-6</v>
      </c>
      <c r="AK107" s="39" cm="1">
        <f t="array" ref="AK107">SUMPRODUCT(--(MID(AB$10:AB$135, SUMIF($Z$9:$Z$21, LEFT($AJ107,2), $Y$9:$Y$21), 1) = RIGHT($AJ107, 1)), J$10:J$135)</f>
        <v>0</v>
      </c>
      <c r="AL107" s="39" cm="1">
        <f t="array" ref="AL107">SUMPRODUCT(--(MID(AC$10:AC$135, SUMIF($Z$9:$Z$21, LEFT($AJ107,2), $Y$9:$Y$21), 1) = RIGHT($AJ107, 1)), K$10:K$135)</f>
        <v>0</v>
      </c>
      <c r="AM107" s="39" cm="1">
        <f t="array" ref="AM107">SUMPRODUCT(--(MID(AD$10:AD$135, SUMIF($Z$9:$Z$21, LEFT($AJ107,2), $Y$9:$Y$21), 1) = RIGHT($AJ107, 1)), L$10:L$135)</f>
        <v>0</v>
      </c>
      <c r="AN107" s="39" cm="1">
        <f t="array" ref="AN107">SUMPRODUCT(--(MID(AE$10:AE$135, SUMIF($Z$9:$Z$21, LEFT($AJ107,2), $Y$9:$Y$21), 1) = RIGHT($AJ107, 1)), M$10:M$135)</f>
        <v>0</v>
      </c>
      <c r="AO107" s="39" cm="1">
        <f t="array" ref="AO107">SUMPRODUCT(--(MID(AF$10:AF$135, SUMIF($Z$9:$Z$21, LEFT($AJ107,2), $Y$9:$Y$21), 1) = RIGHT($AJ107, 1)), N$10:N$135)</f>
        <v>0</v>
      </c>
      <c r="AP107" s="19" cm="1">
        <f t="array" ref="AP107">SUMPRODUCT(--(MID(AG$10:AG$135, SUMIF($Z$9:$Z$21, LEFT($AJ107,2), $Y$9:$Y$21), 1) = RIGHT($AJ107, 1)), O$10:O$135)</f>
        <v>0</v>
      </c>
    </row>
    <row r="108" spans="2:44">
      <c r="B108" s="34">
        <f t="shared" si="25"/>
        <v>98</v>
      </c>
      <c r="C108" s="30"/>
      <c r="D108" s="30"/>
      <c r="E108" s="30"/>
      <c r="F108" s="30"/>
      <c r="G108" s="30"/>
      <c r="H108" s="35"/>
      <c r="J108" s="34" t="str">
        <f t="shared" si="31"/>
        <v/>
      </c>
      <c r="K108" s="30" t="str">
        <f t="shared" si="31"/>
        <v/>
      </c>
      <c r="L108" s="30" t="str">
        <f t="shared" si="31"/>
        <v/>
      </c>
      <c r="M108" s="30" t="str">
        <f t="shared" si="30"/>
        <v/>
      </c>
      <c r="N108" s="30" t="str">
        <f t="shared" si="30"/>
        <v/>
      </c>
      <c r="O108" s="35" t="str">
        <f t="shared" si="30"/>
        <v/>
      </c>
      <c r="AB108" s="40" t="str">
        <f t="shared" si="23"/>
        <v/>
      </c>
      <c r="AC108" s="15" t="str">
        <f t="shared" si="23"/>
        <v/>
      </c>
      <c r="AD108" s="15" t="str">
        <f t="shared" si="23"/>
        <v/>
      </c>
      <c r="AE108" s="15" t="str">
        <f t="shared" ref="AE108:AG135" si="32">IF(U$3=2,IF(COUNTA(F107:F108) = U$3,COUNTIF(F107:F108, $Z$9)  &amp; COUNTIF(F107:F108, $Z$9)+COUNTIF(F107:F108, $Z$10) &amp; COUNTIF(F107:F108, $Z$9)+COUNTIF(F107:F108, $Z$11) &amp; COUNTIF(F107:F108, $Z$9)+COUNTIF(F107:F108, $Z$12) &amp; COUNTIF(F107:F108, $Z$9)+COUNTIF(F107:F108, $Z$13) &amp; COUNTIF(F107:F108, $Z$9)+COUNTIF(F107:F108, $Z$14) &amp; COUNTIF(F107:F108, $Z$9)+COUNTIF(F107:F108, $Z$15) &amp; COUNTIF(F107:F108, $Z$9)+COUNTIF(F107:F108, $Z$16) &amp; COUNTIF(F107:F108, $Z$9)+COUNTIF(F107:F108, $Z$17) &amp; COUNTIF(F107:F108, $Z$9)+COUNTIF(F107:F108, $Z$18) &amp; COUNTIF(F107:F108, $Z$9)+COUNTIF(F107:F108, $Z$19)  &amp; COUNTIF(F107:F108, $Z$9)+COUNTIF(F107:F108, $Z$20) &amp; COUNTIF(F107:F108, $Z$21),""),
IF(U$3=3,IF(COUNTA(F106:F108) = U$3,COUNTIF(F106:F108, $Z$9)  &amp; COUNTIF(F106:F108, $Z$9)+COUNTIF(F106:F108, $Z$10) &amp; COUNTIF(F106:F108, $Z$9)+COUNTIF(F106:F108, $Z$11) &amp; COUNTIF(F106:F108, $Z$9)+COUNTIF(F106:F108, $Z$12) &amp; COUNTIF(F106:F108, $Z$9)+COUNTIF(F106:F108, $Z$13) &amp; COUNTIF(F106:F108, $Z$9)+COUNTIF(F106:F108, $Z$14) &amp; COUNTIF(F106:F108, $Z$9)+COUNTIF(F106:F108, $Z$15) &amp; COUNTIF(F106:F108, $Z$9)+COUNTIF(F106:F108, $Z$16) &amp; COUNTIF(F106:F108, $Z$9)+COUNTIF(F106:F108, $Z$17) &amp; COUNTIF(F106:F108, $Z$9)+COUNTIF(F106:F108, $Z$18) &amp; COUNTIF(F106:F108, $Z$9)+COUNTIF(F106:F108, $Z$19)  &amp; COUNTIF(F106:F108, $Z$9)+COUNTIF(F106:F108, $Z$20) &amp; COUNTIF(F106:F108, $Z$21),""),
IF(U$3=4,IF(COUNTA(F105:F108) = U$3,COUNTIF(F105:F108, $Z$9)  &amp; COUNTIF(F105:F108, $Z$9)+COUNTIF(F105:F108, $Z$10) &amp; COUNTIF(F105:F108, $Z$9)+COUNTIF(F105:F108, $Z$11) &amp; COUNTIF(F105:F108, $Z$9)+COUNTIF(F105:F108, $Z$12) &amp; COUNTIF(F105:F108, $Z$9)+COUNTIF(F105:F108, $Z$13) &amp; COUNTIF(F105:F108, $Z$9)+COUNTIF(F105:F108, $Z$14) &amp; COUNTIF(F105:F108, $Z$9)+COUNTIF(F105:F108, $Z$15) &amp; COUNTIF(F105:F108, $Z$9)+COUNTIF(F105:F108, $Z$16) &amp; COUNTIF(F105:F108, $Z$9)+COUNTIF(F105:F108, $Z$17) &amp; COUNTIF(F105:F108, $Z$9)+COUNTIF(F105:F108, $Z$18) &amp; COUNTIF(F105:F108, $Z$9)+COUNTIF(F105:F108, $Z$19)  &amp; COUNTIF(F105:F108, $Z$9)+COUNTIF(F105:F108, $Z$20) &amp; COUNTIF(F105:F108, $Z$21),""),
IF(U$3=5,IF(COUNTA(F104:F108) = U$3,COUNTIF(F104:F108, $Z$9)  &amp; COUNTIF(F104:F108, $Z$9)+COUNTIF(F104:F108, $Z$10) &amp; COUNTIF(F104:F108, $Z$9)+COUNTIF(F104:F108, $Z$11) &amp; COUNTIF(F104:F108, $Z$9)+COUNTIF(F104:F108, $Z$12) &amp; COUNTIF(F104:F108, $Z$9)+COUNTIF(F104:F108, $Z$13) &amp; COUNTIF(F104:F108, $Z$9)+COUNTIF(F104:F108, $Z$14) &amp; COUNTIF(F104:F108, $Z$9)+COUNTIF(F104:F108, $Z$15) &amp; COUNTIF(F104:F108, $Z$9)+COUNTIF(F104:F108, $Z$16) &amp; COUNTIF(F104:F108, $Z$9)+COUNTIF(F104:F108, $Z$17) &amp; COUNTIF(F104:F108, $Z$9)+COUNTIF(F104:F108, $Z$18) &amp; COUNTIF(F104:F108, $Z$9)+COUNTIF(F104:F108, $Z$19)  &amp; COUNTIF(F104:F108, $Z$9)+COUNTIF(F104:F108, $Z$20) &amp; COUNTIF(F104:F108, $Z$21),""),
IF(U$3=6,IF(COUNTA(F103:F108) = U$3,COUNTIF(F103:F108, $Z$9)  &amp; COUNTIF(F103:F108, $Z$9)+COUNTIF(F103:F108, $Z$10) &amp; COUNTIF(F103:F108, $Z$9)+COUNTIF(F103:F108, $Z$11) &amp; COUNTIF(F103:F108, $Z$9)+COUNTIF(F103:F108, $Z$12) &amp; COUNTIF(F103:F108, $Z$9)+COUNTIF(F103:F108, $Z$13) &amp; COUNTIF(F103:F108, $Z$9)+COUNTIF(F103:F108, $Z$14) &amp; COUNTIF(F103:F108, $Z$9)+COUNTIF(F103:F108, $Z$15) &amp; COUNTIF(F103:F108, $Z$9)+COUNTIF(F103:F108, $Z$16) &amp; COUNTIF(F103:F108, $Z$9)+COUNTIF(F103:F108, $Z$17) &amp; COUNTIF(F103:F108, $Z$9)+COUNTIF(F103:F108, $Z$18) &amp; COUNTIF(F103:F108, $Z$9)+COUNTIF(F103:F108, $Z$19)  &amp; COUNTIF(F103:F108, $Z$9)+COUNTIF(F103:F108, $Z$20) &amp; COUNTIF(F103:F108, $Z$21),""),
IF(U$3=7,IF(COUNTA(F102:F108) = U$3,COUNTIF(F102:F108, $Z$9)  &amp; COUNTIF(F102:F108, $Z$9)+COUNTIF(F102:F108, $Z$10) &amp; COUNTIF(F102:F108, $Z$9)+COUNTIF(F102:F108, $Z$11) &amp; COUNTIF(F102:F108, $Z$9)+COUNTIF(F102:F108, $Z$12) &amp; COUNTIF(F102:F108, $Z$9)+COUNTIF(F102:F108, $Z$13) &amp; COUNTIF(F102:F108, $Z$9)+COUNTIF(F102:F108, $Z$14) &amp; COUNTIF(F102:F108, $Z$9)+COUNTIF(F102:F108, $Z$15) &amp; COUNTIF(F102:F108, $Z$9)+COUNTIF(F102:F108, $Z$16) &amp; COUNTIF(F102:F108, $Z$9)+COUNTIF(F102:F108, $Z$17) &amp; COUNTIF(F102:F108, $Z$9)+COUNTIF(F102:F108, $Z$18) &amp; COUNTIF(F102:F108, $Z$9)+COUNTIF(F102:F108, $Z$19)  &amp; COUNTIF(F102:F108, $Z$9)+COUNTIF(F102:F108, $Z$20) &amp; COUNTIF(F102:F108, $Z$21),"")))))))</f>
        <v/>
      </c>
      <c r="AF108" s="15" t="str">
        <f t="shared" si="32"/>
        <v/>
      </c>
      <c r="AG108" s="41" t="str">
        <f t="shared" si="32"/>
        <v/>
      </c>
      <c r="AH108" s="15"/>
      <c r="AI108" s="21">
        <v>5</v>
      </c>
      <c r="AJ108" s="20" t="str">
        <f t="shared" ref="AJ108:AJ113" si="33">LEFT(AJ107,3) &amp; RIGHT(AJ107,1)-1</f>
        <v>WC-5</v>
      </c>
      <c r="AK108" s="39" cm="1">
        <f t="array" ref="AK108">SUMPRODUCT(--(MID(AB$10:AB$135, SUMIF($Z$9:$Z$21, LEFT($AJ108,2), $Y$9:$Y$21), 1) = RIGHT($AJ108, 1)), J$10:J$135)</f>
        <v>0</v>
      </c>
      <c r="AL108" s="39" cm="1">
        <f t="array" ref="AL108">SUMPRODUCT(--(MID(AC$10:AC$135, SUMIF($Z$9:$Z$21, LEFT($AJ108,2), $Y$9:$Y$21), 1) = RIGHT($AJ108, 1)), K$10:K$135)</f>
        <v>0</v>
      </c>
      <c r="AM108" s="39" cm="1">
        <f t="array" ref="AM108">SUMPRODUCT(--(MID(AD$10:AD$135, SUMIF($Z$9:$Z$21, LEFT($AJ108,2), $Y$9:$Y$21), 1) = RIGHT($AJ108, 1)), L$10:L$135)</f>
        <v>0</v>
      </c>
      <c r="AN108" s="39" cm="1">
        <f t="array" ref="AN108">SUMPRODUCT(--(MID(AE$10:AE$135, SUMIF($Z$9:$Z$21, LEFT($AJ108,2), $Y$9:$Y$21), 1) = RIGHT($AJ108, 1)), M$10:M$135)</f>
        <v>0</v>
      </c>
      <c r="AO108" s="39" cm="1">
        <f t="array" ref="AO108">SUMPRODUCT(--(MID(AF$10:AF$135, SUMIF($Z$9:$Z$21, LEFT($AJ108,2), $Y$9:$Y$21), 1) = RIGHT($AJ108, 1)), N$10:N$135)</f>
        <v>0</v>
      </c>
      <c r="AP108" s="19" cm="1">
        <f t="array" ref="AP108">SUMPRODUCT(--(MID(AG$10:AG$135, SUMIF($Z$9:$Z$21, LEFT($AJ108,2), $Y$9:$Y$21), 1) = RIGHT($AJ108, 1)), O$10:O$135)</f>
        <v>0</v>
      </c>
    </row>
    <row r="109" spans="2:44">
      <c r="B109" s="34">
        <f t="shared" si="25"/>
        <v>99</v>
      </c>
      <c r="C109" s="30"/>
      <c r="D109" s="30"/>
      <c r="E109" s="30"/>
      <c r="F109" s="30"/>
      <c r="G109" s="30"/>
      <c r="H109" s="35"/>
      <c r="J109" s="34" t="str">
        <f t="shared" si="31"/>
        <v/>
      </c>
      <c r="K109" s="30" t="str">
        <f t="shared" si="31"/>
        <v/>
      </c>
      <c r="L109" s="30" t="str">
        <f t="shared" si="31"/>
        <v/>
      </c>
      <c r="M109" s="30" t="str">
        <f t="shared" si="30"/>
        <v/>
      </c>
      <c r="N109" s="30" t="str">
        <f t="shared" si="30"/>
        <v/>
      </c>
      <c r="O109" s="35" t="str">
        <f t="shared" si="30"/>
        <v/>
      </c>
      <c r="AB109" s="40" t="str">
        <f t="shared" ref="AB109:AD135" si="34">IF(R$3=2,IF(COUNTA(C108:C109) = R$3,COUNTIF(C108:C109, $Z$9)  &amp; COUNTIF(C108:C109, $Z$9)+COUNTIF(C108:C109, $Z$10) &amp; COUNTIF(C108:C109, $Z$9)+COUNTIF(C108:C109, $Z$11) &amp; COUNTIF(C108:C109, $Z$9)+COUNTIF(C108:C109, $Z$12) &amp; COUNTIF(C108:C109, $Z$9)+COUNTIF(C108:C109, $Z$13) &amp; COUNTIF(C108:C109, $Z$9)+COUNTIF(C108:C109, $Z$14) &amp; COUNTIF(C108:C109, $Z$9)+COUNTIF(C108:C109, $Z$15) &amp; COUNTIF(C108:C109, $Z$9)+COUNTIF(C108:C109, $Z$16) &amp; COUNTIF(C108:C109, $Z$9)+COUNTIF(C108:C109, $Z$17) &amp; COUNTIF(C108:C109, $Z$9)+COUNTIF(C108:C109, $Z$18) &amp; COUNTIF(C108:C109, $Z$9)+COUNTIF(C108:C109, $Z$19)  &amp; COUNTIF(C108:C109, $Z$9)+COUNTIF(C108:C109, $Z$20) &amp; COUNTIF(C108:C109, $Z$21),""),
IF(R$3=3,IF(COUNTA(C107:C109) = R$3,COUNTIF(C107:C109, $Z$9)  &amp; COUNTIF(C107:C109, $Z$9)+COUNTIF(C107:C109, $Z$10) &amp; COUNTIF(C107:C109, $Z$9)+COUNTIF(C107:C109, $Z$11) &amp; COUNTIF(C107:C109, $Z$9)+COUNTIF(C107:C109, $Z$12) &amp; COUNTIF(C107:C109, $Z$9)+COUNTIF(C107:C109, $Z$13) &amp; COUNTIF(C107:C109, $Z$9)+COUNTIF(C107:C109, $Z$14) &amp; COUNTIF(C107:C109, $Z$9)+COUNTIF(C107:C109, $Z$15) &amp; COUNTIF(C107:C109, $Z$9)+COUNTIF(C107:C109, $Z$16) &amp; COUNTIF(C107:C109, $Z$9)+COUNTIF(C107:C109, $Z$17) &amp; COUNTIF(C107:C109, $Z$9)+COUNTIF(C107:C109, $Z$18) &amp; COUNTIF(C107:C109, $Z$9)+COUNTIF(C107:C109, $Z$19)  &amp; COUNTIF(C107:C109, $Z$9)+COUNTIF(C107:C109, $Z$20) &amp; COUNTIF(C107:C109, $Z$21),""),
IF(R$3=4,IF(COUNTA(C106:C109) = R$3,COUNTIF(C106:C109, $Z$9)  &amp; COUNTIF(C106:C109, $Z$9)+COUNTIF(C106:C109, $Z$10) &amp; COUNTIF(C106:C109, $Z$9)+COUNTIF(C106:C109, $Z$11) &amp; COUNTIF(C106:C109, $Z$9)+COUNTIF(C106:C109, $Z$12) &amp; COUNTIF(C106:C109, $Z$9)+COUNTIF(C106:C109, $Z$13) &amp; COUNTIF(C106:C109, $Z$9)+COUNTIF(C106:C109, $Z$14) &amp; COUNTIF(C106:C109, $Z$9)+COUNTIF(C106:C109, $Z$15) &amp; COUNTIF(C106:C109, $Z$9)+COUNTIF(C106:C109, $Z$16) &amp; COUNTIF(C106:C109, $Z$9)+COUNTIF(C106:C109, $Z$17) &amp; COUNTIF(C106:C109, $Z$9)+COUNTIF(C106:C109, $Z$18) &amp; COUNTIF(C106:C109, $Z$9)+COUNTIF(C106:C109, $Z$19)  &amp; COUNTIF(C106:C109, $Z$9)+COUNTIF(C106:C109, $Z$20) &amp; COUNTIF(C106:C109, $Z$21),""),
IF(R$3=5,IF(COUNTA(C105:C109) = R$3,COUNTIF(C105:C109, $Z$9)  &amp; COUNTIF(C105:C109, $Z$9)+COUNTIF(C105:C109, $Z$10) &amp; COUNTIF(C105:C109, $Z$9)+COUNTIF(C105:C109, $Z$11) &amp; COUNTIF(C105:C109, $Z$9)+COUNTIF(C105:C109, $Z$12) &amp; COUNTIF(C105:C109, $Z$9)+COUNTIF(C105:C109, $Z$13) &amp; COUNTIF(C105:C109, $Z$9)+COUNTIF(C105:C109, $Z$14) &amp; COUNTIF(C105:C109, $Z$9)+COUNTIF(C105:C109, $Z$15) &amp; COUNTIF(C105:C109, $Z$9)+COUNTIF(C105:C109, $Z$16) &amp; COUNTIF(C105:C109, $Z$9)+COUNTIF(C105:C109, $Z$17) &amp; COUNTIF(C105:C109, $Z$9)+COUNTIF(C105:C109, $Z$18) &amp; COUNTIF(C105:C109, $Z$9)+COUNTIF(C105:C109, $Z$19)  &amp; COUNTIF(C105:C109, $Z$9)+COUNTIF(C105:C109, $Z$20) &amp; COUNTIF(C105:C109, $Z$21),""),
IF(R$3=6,IF(COUNTA(C104:C109) = R$3,COUNTIF(C104:C109, $Z$9)  &amp; COUNTIF(C104:C109, $Z$9)+COUNTIF(C104:C109, $Z$10) &amp; COUNTIF(C104:C109, $Z$9)+COUNTIF(C104:C109, $Z$11) &amp; COUNTIF(C104:C109, $Z$9)+COUNTIF(C104:C109, $Z$12) &amp; COUNTIF(C104:C109, $Z$9)+COUNTIF(C104:C109, $Z$13) &amp; COUNTIF(C104:C109, $Z$9)+COUNTIF(C104:C109, $Z$14) &amp; COUNTIF(C104:C109, $Z$9)+COUNTIF(C104:C109, $Z$15) &amp; COUNTIF(C104:C109, $Z$9)+COUNTIF(C104:C109, $Z$16) &amp; COUNTIF(C104:C109, $Z$9)+COUNTIF(C104:C109, $Z$17) &amp; COUNTIF(C104:C109, $Z$9)+COUNTIF(C104:C109, $Z$18) &amp; COUNTIF(C104:C109, $Z$9)+COUNTIF(C104:C109, $Z$19)  &amp; COUNTIF(C104:C109, $Z$9)+COUNTIF(C104:C109, $Z$20) &amp; COUNTIF(C104:C109, $Z$21),""),
IF(R$3=7,IF(COUNTA(C103:C109) = R$3,COUNTIF(C103:C109, $Z$9)  &amp; COUNTIF(C103:C109, $Z$9)+COUNTIF(C103:C109, $Z$10) &amp; COUNTIF(C103:C109, $Z$9)+COUNTIF(C103:C109, $Z$11) &amp; COUNTIF(C103:C109, $Z$9)+COUNTIF(C103:C109, $Z$12) &amp; COUNTIF(C103:C109, $Z$9)+COUNTIF(C103:C109, $Z$13) &amp; COUNTIF(C103:C109, $Z$9)+COUNTIF(C103:C109, $Z$14) &amp; COUNTIF(C103:C109, $Z$9)+COUNTIF(C103:C109, $Z$15) &amp; COUNTIF(C103:C109, $Z$9)+COUNTIF(C103:C109, $Z$16) &amp; COUNTIF(C103:C109, $Z$9)+COUNTIF(C103:C109, $Z$17) &amp; COUNTIF(C103:C109, $Z$9)+COUNTIF(C103:C109, $Z$18) &amp; COUNTIF(C103:C109, $Z$9)+COUNTIF(C103:C109, $Z$19)  &amp; COUNTIF(C103:C109, $Z$9)+COUNTIF(C103:C109, $Z$20) &amp; COUNTIF(C103:C109, $Z$21),"")))))))</f>
        <v/>
      </c>
      <c r="AC109" s="15" t="str">
        <f t="shared" si="34"/>
        <v/>
      </c>
      <c r="AD109" s="15" t="str">
        <f t="shared" si="34"/>
        <v/>
      </c>
      <c r="AE109" s="15" t="str">
        <f t="shared" si="32"/>
        <v/>
      </c>
      <c r="AF109" s="15" t="str">
        <f t="shared" si="32"/>
        <v/>
      </c>
      <c r="AG109" s="41" t="str">
        <f t="shared" si="32"/>
        <v/>
      </c>
      <c r="AH109" s="15"/>
      <c r="AI109" s="21">
        <v>4</v>
      </c>
      <c r="AJ109" s="20" t="str">
        <f t="shared" si="33"/>
        <v>WC-4</v>
      </c>
      <c r="AK109" s="39" cm="1">
        <f t="array" ref="AK109">SUMPRODUCT(--(MID(AB$10:AB$135, SUMIF($Z$9:$Z$21, LEFT($AJ109,2), $Y$9:$Y$21), 1) = RIGHT($AJ109, 1)), J$10:J$135)</f>
        <v>0</v>
      </c>
      <c r="AL109" s="39" cm="1">
        <f t="array" ref="AL109">SUMPRODUCT(--(MID(AC$10:AC$135, SUMIF($Z$9:$Z$21, LEFT($AJ109,2), $Y$9:$Y$21), 1) = RIGHT($AJ109, 1)), K$10:K$135)</f>
        <v>0</v>
      </c>
      <c r="AM109" s="39" cm="1">
        <f t="array" ref="AM109">SUMPRODUCT(--(MID(AD$10:AD$135, SUMIF($Z$9:$Z$21, LEFT($AJ109,2), $Y$9:$Y$21), 1) = RIGHT($AJ109, 1)), L$10:L$135)</f>
        <v>0</v>
      </c>
      <c r="AN109" s="39" cm="1">
        <f t="array" ref="AN109">SUMPRODUCT(--(MID(AE$10:AE$135, SUMIF($Z$9:$Z$21, LEFT($AJ109,2), $Y$9:$Y$21), 1) = RIGHT($AJ109, 1)), M$10:M$135)</f>
        <v>0</v>
      </c>
      <c r="AO109" s="39" cm="1">
        <f t="array" ref="AO109">SUMPRODUCT(--(MID(AF$10:AF$135, SUMIF($Z$9:$Z$21, LEFT($AJ109,2), $Y$9:$Y$21), 1) = RIGHT($AJ109, 1)), N$10:N$135)</f>
        <v>0</v>
      </c>
      <c r="AP109" s="19" cm="1">
        <f t="array" ref="AP109">SUMPRODUCT(--(MID(AG$10:AG$135, SUMIF($Z$9:$Z$21, LEFT($AJ109,2), $Y$9:$Y$21), 1) = RIGHT($AJ109, 1)), O$10:O$135)</f>
        <v>0</v>
      </c>
    </row>
    <row r="110" spans="2:44">
      <c r="B110" s="34">
        <f t="shared" si="25"/>
        <v>100</v>
      </c>
      <c r="C110" s="30"/>
      <c r="D110" s="30"/>
      <c r="E110" s="30"/>
      <c r="F110" s="30"/>
      <c r="G110" s="30"/>
      <c r="H110" s="35"/>
      <c r="J110" s="34" t="str">
        <f t="shared" si="31"/>
        <v/>
      </c>
      <c r="K110" s="30" t="str">
        <f t="shared" si="31"/>
        <v/>
      </c>
      <c r="L110" s="30" t="str">
        <f t="shared" si="31"/>
        <v/>
      </c>
      <c r="M110" s="30" t="str">
        <f t="shared" si="30"/>
        <v/>
      </c>
      <c r="N110" s="30" t="str">
        <f t="shared" si="30"/>
        <v/>
      </c>
      <c r="O110" s="35" t="str">
        <f t="shared" si="30"/>
        <v/>
      </c>
      <c r="AB110" s="40" t="str">
        <f t="shared" si="34"/>
        <v/>
      </c>
      <c r="AC110" s="15" t="str">
        <f t="shared" si="34"/>
        <v/>
      </c>
      <c r="AD110" s="15" t="str">
        <f t="shared" si="34"/>
        <v/>
      </c>
      <c r="AE110" s="15" t="str">
        <f t="shared" si="32"/>
        <v/>
      </c>
      <c r="AF110" s="15" t="str">
        <f t="shared" si="32"/>
        <v/>
      </c>
      <c r="AG110" s="41" t="str">
        <f t="shared" si="32"/>
        <v/>
      </c>
      <c r="AH110" s="15"/>
      <c r="AI110" s="21">
        <v>3</v>
      </c>
      <c r="AJ110" s="20" t="str">
        <f t="shared" si="33"/>
        <v>WC-3</v>
      </c>
      <c r="AK110" s="39" cm="1">
        <f t="array" ref="AK110">SUMPRODUCT(--(MID(AB$10:AB$135, SUMIF($Z$9:$Z$21, LEFT($AJ110,2), $Y$9:$Y$21), 1) = RIGHT($AJ110, 1)), J$10:J$135)</f>
        <v>0</v>
      </c>
      <c r="AL110" s="39" cm="1">
        <f t="array" ref="AL110">SUMPRODUCT(--(MID(AC$10:AC$135, SUMIF($Z$9:$Z$21, LEFT($AJ110,2), $Y$9:$Y$21), 1) = RIGHT($AJ110, 1)), K$10:K$135)</f>
        <v>0</v>
      </c>
      <c r="AM110" s="39" cm="1">
        <f t="array" ref="AM110">SUMPRODUCT(--(MID(AD$10:AD$135, SUMIF($Z$9:$Z$21, LEFT($AJ110,2), $Y$9:$Y$21), 1) = RIGHT($AJ110, 1)), L$10:L$135)</f>
        <v>0</v>
      </c>
      <c r="AN110" s="39" cm="1">
        <f t="array" ref="AN110">SUMPRODUCT(--(MID(AE$10:AE$135, SUMIF($Z$9:$Z$21, LEFT($AJ110,2), $Y$9:$Y$21), 1) = RIGHT($AJ110, 1)), M$10:M$135)</f>
        <v>0</v>
      </c>
      <c r="AO110" s="39" cm="1">
        <f t="array" ref="AO110">SUMPRODUCT(--(MID(AF$10:AF$135, SUMIF($Z$9:$Z$21, LEFT($AJ110,2), $Y$9:$Y$21), 1) = RIGHT($AJ110, 1)), N$10:N$135)</f>
        <v>0</v>
      </c>
      <c r="AP110" s="19" cm="1">
        <f t="array" ref="AP110">SUMPRODUCT(--(MID(AG$10:AG$135, SUMIF($Z$9:$Z$21, LEFT($AJ110,2), $Y$9:$Y$21), 1) = RIGHT($AJ110, 1)), O$10:O$135)</f>
        <v>0</v>
      </c>
    </row>
    <row r="111" spans="2:44">
      <c r="B111" s="34">
        <f t="shared" si="25"/>
        <v>101</v>
      </c>
      <c r="C111" s="30"/>
      <c r="D111" s="30"/>
      <c r="E111" s="30"/>
      <c r="F111" s="30"/>
      <c r="G111" s="30"/>
      <c r="H111" s="35"/>
      <c r="J111" s="34" t="str">
        <f t="shared" si="31"/>
        <v/>
      </c>
      <c r="K111" s="30" t="str">
        <f t="shared" si="31"/>
        <v/>
      </c>
      <c r="L111" s="30" t="str">
        <f t="shared" si="31"/>
        <v/>
      </c>
      <c r="M111" s="30" t="str">
        <f t="shared" si="30"/>
        <v/>
      </c>
      <c r="N111" s="30" t="str">
        <f t="shared" si="30"/>
        <v/>
      </c>
      <c r="O111" s="35" t="str">
        <f t="shared" si="30"/>
        <v/>
      </c>
      <c r="AB111" s="40" t="str">
        <f t="shared" si="34"/>
        <v/>
      </c>
      <c r="AC111" s="15" t="str">
        <f t="shared" si="34"/>
        <v/>
      </c>
      <c r="AD111" s="15" t="str">
        <f t="shared" si="34"/>
        <v/>
      </c>
      <c r="AE111" s="15" t="str">
        <f t="shared" si="32"/>
        <v/>
      </c>
      <c r="AF111" s="15" t="str">
        <f t="shared" si="32"/>
        <v/>
      </c>
      <c r="AG111" s="41" t="str">
        <f t="shared" si="32"/>
        <v/>
      </c>
      <c r="AH111" s="15"/>
      <c r="AI111" s="21">
        <v>2</v>
      </c>
      <c r="AJ111" s="20" t="str">
        <f t="shared" si="33"/>
        <v>WC-2</v>
      </c>
      <c r="AK111" s="39" cm="1">
        <f t="array" ref="AK111">SUMPRODUCT(--(MID(AB$10:AB$135, SUMIF($Z$9:$Z$21, LEFT($AJ111,2), $Y$9:$Y$21), 1) = RIGHT($AJ111, 1)), J$10:J$135)</f>
        <v>0</v>
      </c>
      <c r="AL111" s="39" cm="1">
        <f t="array" ref="AL111">SUMPRODUCT(--(MID(AC$10:AC$135, SUMIF($Z$9:$Z$21, LEFT($AJ111,2), $Y$9:$Y$21), 1) = RIGHT($AJ111, 1)), K$10:K$135)</f>
        <v>0</v>
      </c>
      <c r="AM111" s="39" cm="1">
        <f t="array" ref="AM111">SUMPRODUCT(--(MID(AD$10:AD$135, SUMIF($Z$9:$Z$21, LEFT($AJ111,2), $Y$9:$Y$21), 1) = RIGHT($AJ111, 1)), L$10:L$135)</f>
        <v>0</v>
      </c>
      <c r="AN111" s="39" cm="1">
        <f t="array" ref="AN111">SUMPRODUCT(--(MID(AE$10:AE$135, SUMIF($Z$9:$Z$21, LEFT($AJ111,2), $Y$9:$Y$21), 1) = RIGHT($AJ111, 1)), M$10:M$135)</f>
        <v>0</v>
      </c>
      <c r="AO111" s="39" cm="1">
        <f t="array" ref="AO111">SUMPRODUCT(--(MID(AF$10:AF$135, SUMIF($Z$9:$Z$21, LEFT($AJ111,2), $Y$9:$Y$21), 1) = RIGHT($AJ111, 1)), N$10:N$135)</f>
        <v>0</v>
      </c>
      <c r="AP111" s="19" cm="1">
        <f t="array" ref="AP111">SUMPRODUCT(--(MID(AG$10:AG$135, SUMIF($Z$9:$Z$21, LEFT($AJ111,2), $Y$9:$Y$21), 1) = RIGHT($AJ111, 1)), O$10:O$135)</f>
        <v>0</v>
      </c>
    </row>
    <row r="112" spans="2:44">
      <c r="B112" s="34">
        <f t="shared" si="25"/>
        <v>102</v>
      </c>
      <c r="C112" s="30"/>
      <c r="D112" s="30"/>
      <c r="E112" s="30"/>
      <c r="F112" s="30"/>
      <c r="G112" s="30"/>
      <c r="H112" s="35"/>
      <c r="J112" s="34" t="str">
        <f t="shared" si="31"/>
        <v/>
      </c>
      <c r="K112" s="30" t="str">
        <f t="shared" si="31"/>
        <v/>
      </c>
      <c r="L112" s="30" t="str">
        <f t="shared" si="31"/>
        <v/>
      </c>
      <c r="M112" s="30" t="str">
        <f t="shared" si="30"/>
        <v/>
      </c>
      <c r="N112" s="30" t="str">
        <f t="shared" si="30"/>
        <v/>
      </c>
      <c r="O112" s="35" t="str">
        <f t="shared" si="30"/>
        <v/>
      </c>
      <c r="AB112" s="40" t="str">
        <f t="shared" si="34"/>
        <v/>
      </c>
      <c r="AC112" s="15" t="str">
        <f t="shared" si="34"/>
        <v/>
      </c>
      <c r="AD112" s="15" t="str">
        <f t="shared" si="34"/>
        <v/>
      </c>
      <c r="AE112" s="15" t="str">
        <f t="shared" si="32"/>
        <v/>
      </c>
      <c r="AF112" s="15" t="str">
        <f t="shared" si="32"/>
        <v/>
      </c>
      <c r="AG112" s="41" t="str">
        <f t="shared" si="32"/>
        <v/>
      </c>
      <c r="AH112" s="15"/>
      <c r="AI112" s="21">
        <v>1</v>
      </c>
      <c r="AJ112" s="20" t="str">
        <f t="shared" si="33"/>
        <v>WC-1</v>
      </c>
      <c r="AK112" s="39" cm="1">
        <f t="array" ref="AK112">SUMPRODUCT(--(MID(AB$10:AB$135, SUMIF($Z$9:$Z$21, LEFT($AJ112,2), $Y$9:$Y$21), 1) = RIGHT($AJ112, 1)), J$10:J$135)</f>
        <v>0</v>
      </c>
      <c r="AL112" s="39" cm="1">
        <f t="array" ref="AL112">SUMPRODUCT(--(MID(AC$10:AC$135, SUMIF($Z$9:$Z$21, LEFT($AJ112,2), $Y$9:$Y$21), 1) = RIGHT($AJ112, 1)), K$10:K$135)</f>
        <v>0</v>
      </c>
      <c r="AM112" s="39" cm="1">
        <f t="array" ref="AM112">SUMPRODUCT(--(MID(AD$10:AD$135, SUMIF($Z$9:$Z$21, LEFT($AJ112,2), $Y$9:$Y$21), 1) = RIGHT($AJ112, 1)), L$10:L$135)</f>
        <v>0</v>
      </c>
      <c r="AN112" s="39" cm="1">
        <f t="array" ref="AN112">SUMPRODUCT(--(MID(AE$10:AE$135, SUMIF($Z$9:$Z$21, LEFT($AJ112,2), $Y$9:$Y$21), 1) = RIGHT($AJ112, 1)), M$10:M$135)</f>
        <v>0</v>
      </c>
      <c r="AO112" s="39" cm="1">
        <f t="array" ref="AO112">SUMPRODUCT(--(MID(AF$10:AF$135, SUMIF($Z$9:$Z$21, LEFT($AJ112,2), $Y$9:$Y$21), 1) = RIGHT($AJ112, 1)), N$10:N$135)</f>
        <v>0</v>
      </c>
      <c r="AP112" s="19" cm="1">
        <f t="array" ref="AP112">SUMPRODUCT(--(MID(AG$10:AG$135, SUMIF($Z$9:$Z$21, LEFT($AJ112,2), $Y$9:$Y$21), 1) = RIGHT($AJ112, 1)), O$10:O$135)</f>
        <v>0</v>
      </c>
    </row>
    <row r="113" spans="2:42">
      <c r="B113" s="34">
        <f t="shared" si="25"/>
        <v>103</v>
      </c>
      <c r="C113" s="30"/>
      <c r="D113" s="30"/>
      <c r="E113" s="30"/>
      <c r="F113" s="30"/>
      <c r="G113" s="30"/>
      <c r="H113" s="35"/>
      <c r="J113" s="34" t="str">
        <f t="shared" si="31"/>
        <v/>
      </c>
      <c r="K113" s="30" t="str">
        <f t="shared" si="31"/>
        <v/>
      </c>
      <c r="L113" s="30" t="str">
        <f t="shared" si="31"/>
        <v/>
      </c>
      <c r="M113" s="30" t="str">
        <f t="shared" si="30"/>
        <v/>
      </c>
      <c r="N113" s="30" t="str">
        <f t="shared" si="30"/>
        <v/>
      </c>
      <c r="O113" s="35" t="str">
        <f t="shared" si="30"/>
        <v/>
      </c>
      <c r="AB113" s="40" t="str">
        <f t="shared" si="34"/>
        <v/>
      </c>
      <c r="AC113" s="15" t="str">
        <f t="shared" si="34"/>
        <v/>
      </c>
      <c r="AD113" s="15" t="str">
        <f t="shared" si="34"/>
        <v/>
      </c>
      <c r="AE113" s="15" t="str">
        <f t="shared" si="32"/>
        <v/>
      </c>
      <c r="AF113" s="15" t="str">
        <f t="shared" si="32"/>
        <v/>
      </c>
      <c r="AG113" s="41" t="str">
        <f t="shared" si="32"/>
        <v/>
      </c>
      <c r="AH113" s="15"/>
      <c r="AI113" s="21">
        <v>0</v>
      </c>
      <c r="AJ113" s="18" t="str">
        <f t="shared" si="33"/>
        <v>WC-0</v>
      </c>
      <c r="AK113" s="17" cm="1">
        <f t="array" ref="AK113">SUMPRODUCT(--(MID(AB$10:AB$135, SUMIF($Z$9:$Z$21, LEFT($AJ113,2), $Y$9:$Y$21), 1) = RIGHT($AJ113, 1)), J$10:J$135)</f>
        <v>40</v>
      </c>
      <c r="AL113" s="17" cm="1">
        <f t="array" ref="AL113">SUMPRODUCT(--(MID(AC$10:AC$135, SUMIF($Z$9:$Z$21, LEFT($AJ113,2), $Y$9:$Y$21), 1) = RIGHT($AJ113, 1)), K$10:K$135)</f>
        <v>73</v>
      </c>
      <c r="AM113" s="17" cm="1">
        <f t="array" ref="AM113">SUMPRODUCT(--(MID(AD$10:AD$135, SUMIF($Z$9:$Z$21, LEFT($AJ113,2), $Y$9:$Y$21), 1) = RIGHT($AJ113, 1)), L$10:L$135)</f>
        <v>84</v>
      </c>
      <c r="AN113" s="17" cm="1">
        <f t="array" ref="AN113">SUMPRODUCT(--(MID(AE$10:AE$135, SUMIF($Z$9:$Z$21, LEFT($AJ113,2), $Y$9:$Y$21), 1) = RIGHT($AJ113, 1)), M$10:M$135)</f>
        <v>67</v>
      </c>
      <c r="AO113" s="17" cm="1">
        <f t="array" ref="AO113">SUMPRODUCT(--(MID(AF$10:AF$135, SUMIF($Z$9:$Z$21, LEFT($AJ113,2), $Y$9:$Y$21), 1) = RIGHT($AJ113, 1)), N$10:N$135)</f>
        <v>91</v>
      </c>
      <c r="AP113" s="16" cm="1">
        <f t="array" ref="AP113">SUMPRODUCT(--(MID(AG$10:AG$135, SUMIF($Z$9:$Z$21, LEFT($AJ113,2), $Y$9:$Y$21), 1) = RIGHT($AJ113, 1)), O$10:O$135)</f>
        <v>50</v>
      </c>
    </row>
    <row r="114" spans="2:42">
      <c r="B114" s="34">
        <f t="shared" si="25"/>
        <v>104</v>
      </c>
      <c r="C114" s="30"/>
      <c r="D114" s="30"/>
      <c r="E114" s="30"/>
      <c r="F114" s="30"/>
      <c r="G114" s="30"/>
      <c r="H114" s="35"/>
      <c r="J114" s="34" t="str">
        <f t="shared" si="31"/>
        <v/>
      </c>
      <c r="K114" s="30" t="str">
        <f t="shared" si="31"/>
        <v/>
      </c>
      <c r="L114" s="30" t="str">
        <f t="shared" si="31"/>
        <v/>
      </c>
      <c r="M114" s="30" t="str">
        <f t="shared" si="30"/>
        <v/>
      </c>
      <c r="N114" s="30" t="str">
        <f t="shared" si="30"/>
        <v/>
      </c>
      <c r="O114" s="35" t="str">
        <f t="shared" si="30"/>
        <v/>
      </c>
      <c r="AB114" s="40" t="str">
        <f t="shared" si="34"/>
        <v/>
      </c>
      <c r="AC114" s="15" t="str">
        <f t="shared" si="34"/>
        <v/>
      </c>
      <c r="AD114" s="15" t="str">
        <f t="shared" si="34"/>
        <v/>
      </c>
      <c r="AE114" s="15" t="str">
        <f t="shared" si="32"/>
        <v/>
      </c>
      <c r="AF114" s="15" t="str">
        <f t="shared" si="32"/>
        <v/>
      </c>
      <c r="AG114" s="41" t="str">
        <f t="shared" si="32"/>
        <v/>
      </c>
      <c r="AH114" s="15"/>
    </row>
    <row r="115" spans="2:42">
      <c r="B115" s="34">
        <f t="shared" si="25"/>
        <v>105</v>
      </c>
      <c r="C115" s="30"/>
      <c r="D115" s="30"/>
      <c r="E115" s="30"/>
      <c r="F115" s="30"/>
      <c r="G115" s="30"/>
      <c r="H115" s="35"/>
      <c r="J115" s="34" t="str">
        <f t="shared" si="31"/>
        <v/>
      </c>
      <c r="K115" s="30" t="str">
        <f t="shared" si="31"/>
        <v/>
      </c>
      <c r="L115" s="30" t="str">
        <f t="shared" si="31"/>
        <v/>
      </c>
      <c r="M115" s="30" t="str">
        <f t="shared" si="30"/>
        <v/>
      </c>
      <c r="N115" s="30" t="str">
        <f t="shared" si="30"/>
        <v/>
      </c>
      <c r="O115" s="35" t="str">
        <f t="shared" si="30"/>
        <v/>
      </c>
      <c r="AB115" s="40" t="str">
        <f t="shared" si="34"/>
        <v/>
      </c>
      <c r="AC115" s="15" t="str">
        <f t="shared" si="34"/>
        <v/>
      </c>
      <c r="AD115" s="15" t="str">
        <f t="shared" si="34"/>
        <v/>
      </c>
      <c r="AE115" s="15" t="str">
        <f t="shared" si="32"/>
        <v/>
      </c>
      <c r="AF115" s="15" t="str">
        <f t="shared" si="32"/>
        <v/>
      </c>
      <c r="AG115" s="41" t="str">
        <f t="shared" si="32"/>
        <v/>
      </c>
      <c r="AH115" s="15"/>
    </row>
    <row r="116" spans="2:42">
      <c r="B116" s="34">
        <f t="shared" si="25"/>
        <v>106</v>
      </c>
      <c r="C116" s="30"/>
      <c r="D116" s="30"/>
      <c r="E116" s="30"/>
      <c r="F116" s="30"/>
      <c r="G116" s="30"/>
      <c r="H116" s="35"/>
      <c r="J116" s="34" t="str">
        <f t="shared" si="31"/>
        <v/>
      </c>
      <c r="K116" s="30" t="str">
        <f t="shared" si="31"/>
        <v/>
      </c>
      <c r="L116" s="30" t="str">
        <f t="shared" si="31"/>
        <v/>
      </c>
      <c r="M116" s="30" t="str">
        <f t="shared" si="30"/>
        <v/>
      </c>
      <c r="N116" s="30" t="str">
        <f t="shared" si="30"/>
        <v/>
      </c>
      <c r="O116" s="35" t="str">
        <f t="shared" si="30"/>
        <v/>
      </c>
      <c r="AB116" s="40" t="str">
        <f t="shared" si="34"/>
        <v/>
      </c>
      <c r="AC116" s="15" t="str">
        <f t="shared" si="34"/>
        <v/>
      </c>
      <c r="AD116" s="15" t="str">
        <f t="shared" si="34"/>
        <v/>
      </c>
      <c r="AE116" s="15" t="str">
        <f t="shared" si="32"/>
        <v/>
      </c>
      <c r="AF116" s="15" t="str">
        <f t="shared" si="32"/>
        <v/>
      </c>
      <c r="AG116" s="41" t="str">
        <f t="shared" si="32"/>
        <v/>
      </c>
      <c r="AH116" s="15"/>
    </row>
    <row r="117" spans="2:42">
      <c r="B117" s="34">
        <f t="shared" si="25"/>
        <v>107</v>
      </c>
      <c r="C117" s="30"/>
      <c r="D117" s="30"/>
      <c r="E117" s="30"/>
      <c r="F117" s="30"/>
      <c r="G117" s="30"/>
      <c r="H117" s="35"/>
      <c r="J117" s="34" t="str">
        <f t="shared" si="31"/>
        <v/>
      </c>
      <c r="K117" s="30" t="str">
        <f t="shared" si="31"/>
        <v/>
      </c>
      <c r="L117" s="30" t="str">
        <f t="shared" si="31"/>
        <v/>
      </c>
      <c r="M117" s="30" t="str">
        <f t="shared" si="30"/>
        <v/>
      </c>
      <c r="N117" s="30" t="str">
        <f t="shared" si="30"/>
        <v/>
      </c>
      <c r="O117" s="35" t="str">
        <f t="shared" si="30"/>
        <v/>
      </c>
      <c r="AB117" s="40" t="str">
        <f t="shared" si="34"/>
        <v/>
      </c>
      <c r="AC117" s="15" t="str">
        <f t="shared" si="34"/>
        <v/>
      </c>
      <c r="AD117" s="15" t="str">
        <f t="shared" si="34"/>
        <v/>
      </c>
      <c r="AE117" s="15" t="str">
        <f t="shared" si="32"/>
        <v/>
      </c>
      <c r="AF117" s="15" t="str">
        <f t="shared" si="32"/>
        <v/>
      </c>
      <c r="AG117" s="41" t="str">
        <f t="shared" si="32"/>
        <v/>
      </c>
      <c r="AH117" s="15"/>
    </row>
    <row r="118" spans="2:42">
      <c r="B118" s="34">
        <f t="shared" si="25"/>
        <v>108</v>
      </c>
      <c r="C118" s="30"/>
      <c r="D118" s="30"/>
      <c r="E118" s="30"/>
      <c r="F118" s="30"/>
      <c r="G118" s="30"/>
      <c r="H118" s="35"/>
      <c r="J118" s="34" t="str">
        <f t="shared" si="31"/>
        <v/>
      </c>
      <c r="K118" s="30" t="str">
        <f t="shared" si="31"/>
        <v/>
      </c>
      <c r="L118" s="30" t="str">
        <f t="shared" si="31"/>
        <v/>
      </c>
      <c r="M118" s="30" t="str">
        <f t="shared" si="30"/>
        <v/>
      </c>
      <c r="N118" s="30" t="str">
        <f t="shared" si="30"/>
        <v/>
      </c>
      <c r="O118" s="35" t="str">
        <f t="shared" si="30"/>
        <v/>
      </c>
      <c r="AB118" s="40" t="str">
        <f t="shared" si="34"/>
        <v/>
      </c>
      <c r="AC118" s="15" t="str">
        <f t="shared" si="34"/>
        <v/>
      </c>
      <c r="AD118" s="15" t="str">
        <f t="shared" si="34"/>
        <v/>
      </c>
      <c r="AE118" s="15" t="str">
        <f t="shared" si="32"/>
        <v/>
      </c>
      <c r="AF118" s="15" t="str">
        <f t="shared" si="32"/>
        <v/>
      </c>
      <c r="AG118" s="41" t="str">
        <f t="shared" si="32"/>
        <v/>
      </c>
      <c r="AH118" s="15"/>
    </row>
    <row r="119" spans="2:42">
      <c r="B119" s="34">
        <f t="shared" si="25"/>
        <v>109</v>
      </c>
      <c r="C119" s="30"/>
      <c r="D119" s="30"/>
      <c r="E119" s="30"/>
      <c r="F119" s="30"/>
      <c r="G119" s="30"/>
      <c r="H119" s="35"/>
      <c r="J119" s="34" t="str">
        <f t="shared" si="31"/>
        <v/>
      </c>
      <c r="K119" s="30" t="str">
        <f t="shared" si="31"/>
        <v/>
      </c>
      <c r="L119" s="30" t="str">
        <f t="shared" si="31"/>
        <v/>
      </c>
      <c r="M119" s="30" t="str">
        <f t="shared" si="30"/>
        <v/>
      </c>
      <c r="N119" s="30" t="str">
        <f t="shared" si="30"/>
        <v/>
      </c>
      <c r="O119" s="35" t="str">
        <f t="shared" si="30"/>
        <v/>
      </c>
      <c r="AB119" s="40" t="str">
        <f t="shared" si="34"/>
        <v/>
      </c>
      <c r="AC119" s="15" t="str">
        <f t="shared" si="34"/>
        <v/>
      </c>
      <c r="AD119" s="15" t="str">
        <f t="shared" si="34"/>
        <v/>
      </c>
      <c r="AE119" s="15" t="str">
        <f t="shared" si="32"/>
        <v/>
      </c>
      <c r="AF119" s="15" t="str">
        <f t="shared" si="32"/>
        <v/>
      </c>
      <c r="AG119" s="41" t="str">
        <f t="shared" si="32"/>
        <v/>
      </c>
      <c r="AH119" s="15"/>
    </row>
    <row r="120" spans="2:42">
      <c r="B120" s="34">
        <f t="shared" si="25"/>
        <v>110</v>
      </c>
      <c r="C120" s="30"/>
      <c r="D120" s="30"/>
      <c r="E120" s="30"/>
      <c r="F120" s="30"/>
      <c r="G120" s="30"/>
      <c r="H120" s="35"/>
      <c r="J120" s="34" t="str">
        <f t="shared" si="31"/>
        <v/>
      </c>
      <c r="K120" s="30" t="str">
        <f t="shared" si="31"/>
        <v/>
      </c>
      <c r="L120" s="30" t="str">
        <f t="shared" si="31"/>
        <v/>
      </c>
      <c r="M120" s="30" t="str">
        <f t="shared" si="30"/>
        <v/>
      </c>
      <c r="N120" s="30" t="str">
        <f t="shared" si="30"/>
        <v/>
      </c>
      <c r="O120" s="35" t="str">
        <f t="shared" si="30"/>
        <v/>
      </c>
      <c r="AB120" s="40" t="str">
        <f t="shared" si="34"/>
        <v/>
      </c>
      <c r="AC120" s="15" t="str">
        <f t="shared" si="34"/>
        <v/>
      </c>
      <c r="AD120" s="15" t="str">
        <f t="shared" si="34"/>
        <v/>
      </c>
      <c r="AE120" s="15" t="str">
        <f t="shared" si="32"/>
        <v/>
      </c>
      <c r="AF120" s="15" t="str">
        <f t="shared" si="32"/>
        <v/>
      </c>
      <c r="AG120" s="41" t="str">
        <f t="shared" si="32"/>
        <v/>
      </c>
      <c r="AH120" s="15"/>
    </row>
    <row r="121" spans="2:42">
      <c r="B121" s="34">
        <f t="shared" si="25"/>
        <v>111</v>
      </c>
      <c r="C121" s="30"/>
      <c r="D121" s="30"/>
      <c r="E121" s="30"/>
      <c r="F121" s="30"/>
      <c r="G121" s="30"/>
      <c r="H121" s="35"/>
      <c r="J121" s="34" t="str">
        <f t="shared" si="31"/>
        <v/>
      </c>
      <c r="K121" s="30" t="str">
        <f t="shared" si="31"/>
        <v/>
      </c>
      <c r="L121" s="30" t="str">
        <f t="shared" si="31"/>
        <v/>
      </c>
      <c r="M121" s="30" t="str">
        <f t="shared" si="30"/>
        <v/>
      </c>
      <c r="N121" s="30" t="str">
        <f t="shared" si="30"/>
        <v/>
      </c>
      <c r="O121" s="35" t="str">
        <f t="shared" si="30"/>
        <v/>
      </c>
      <c r="AB121" s="40" t="str">
        <f t="shared" si="34"/>
        <v/>
      </c>
      <c r="AC121" s="15" t="str">
        <f t="shared" si="34"/>
        <v/>
      </c>
      <c r="AD121" s="15" t="str">
        <f t="shared" si="34"/>
        <v/>
      </c>
      <c r="AE121" s="15" t="str">
        <f t="shared" si="32"/>
        <v/>
      </c>
      <c r="AF121" s="15" t="str">
        <f t="shared" si="32"/>
        <v/>
      </c>
      <c r="AG121" s="41" t="str">
        <f t="shared" si="32"/>
        <v/>
      </c>
      <c r="AH121" s="15"/>
    </row>
    <row r="122" spans="2:42">
      <c r="B122" s="34">
        <f t="shared" si="25"/>
        <v>112</v>
      </c>
      <c r="C122" s="30"/>
      <c r="D122" s="30"/>
      <c r="E122" s="30"/>
      <c r="F122" s="30"/>
      <c r="G122" s="30"/>
      <c r="H122" s="35"/>
      <c r="J122" s="34" t="str">
        <f t="shared" si="31"/>
        <v/>
      </c>
      <c r="K122" s="30" t="str">
        <f t="shared" si="31"/>
        <v/>
      </c>
      <c r="L122" s="30" t="str">
        <f t="shared" si="31"/>
        <v/>
      </c>
      <c r="M122" s="30" t="str">
        <f t="shared" si="30"/>
        <v/>
      </c>
      <c r="N122" s="30" t="str">
        <f t="shared" si="30"/>
        <v/>
      </c>
      <c r="O122" s="35" t="str">
        <f t="shared" si="30"/>
        <v/>
      </c>
      <c r="AB122" s="40" t="str">
        <f t="shared" si="34"/>
        <v/>
      </c>
      <c r="AC122" s="15" t="str">
        <f t="shared" si="34"/>
        <v/>
      </c>
      <c r="AD122" s="15" t="str">
        <f t="shared" si="34"/>
        <v/>
      </c>
      <c r="AE122" s="15" t="str">
        <f t="shared" si="32"/>
        <v/>
      </c>
      <c r="AF122" s="15" t="str">
        <f t="shared" si="32"/>
        <v/>
      </c>
      <c r="AG122" s="41" t="str">
        <f t="shared" si="32"/>
        <v/>
      </c>
      <c r="AH122" s="15"/>
    </row>
    <row r="123" spans="2:42">
      <c r="B123" s="34">
        <f t="shared" si="25"/>
        <v>113</v>
      </c>
      <c r="C123" s="30"/>
      <c r="D123" s="30"/>
      <c r="E123" s="30"/>
      <c r="F123" s="30"/>
      <c r="G123" s="30"/>
      <c r="H123" s="35"/>
      <c r="J123" s="34" t="str">
        <f t="shared" si="31"/>
        <v/>
      </c>
      <c r="K123" s="30" t="str">
        <f t="shared" si="31"/>
        <v/>
      </c>
      <c r="L123" s="30" t="str">
        <f t="shared" si="31"/>
        <v/>
      </c>
      <c r="M123" s="30" t="str">
        <f t="shared" si="30"/>
        <v/>
      </c>
      <c r="N123" s="30" t="str">
        <f t="shared" si="30"/>
        <v/>
      </c>
      <c r="O123" s="35" t="str">
        <f t="shared" si="30"/>
        <v/>
      </c>
      <c r="AB123" s="40" t="str">
        <f t="shared" si="34"/>
        <v/>
      </c>
      <c r="AC123" s="15" t="str">
        <f t="shared" si="34"/>
        <v/>
      </c>
      <c r="AD123" s="15" t="str">
        <f t="shared" si="34"/>
        <v/>
      </c>
      <c r="AE123" s="15" t="str">
        <f t="shared" si="32"/>
        <v/>
      </c>
      <c r="AF123" s="15" t="str">
        <f t="shared" si="32"/>
        <v/>
      </c>
      <c r="AG123" s="41" t="str">
        <f t="shared" si="32"/>
        <v/>
      </c>
      <c r="AH123" s="15"/>
    </row>
    <row r="124" spans="2:42">
      <c r="B124" s="34">
        <f t="shared" si="25"/>
        <v>114</v>
      </c>
      <c r="C124" s="30"/>
      <c r="D124" s="30"/>
      <c r="E124" s="30"/>
      <c r="F124" s="30"/>
      <c r="G124" s="30"/>
      <c r="H124" s="35"/>
      <c r="J124" s="34" t="str">
        <f t="shared" si="31"/>
        <v/>
      </c>
      <c r="K124" s="30" t="str">
        <f t="shared" si="31"/>
        <v/>
      </c>
      <c r="L124" s="30" t="str">
        <f t="shared" si="31"/>
        <v/>
      </c>
      <c r="M124" s="30" t="str">
        <f t="shared" si="30"/>
        <v/>
      </c>
      <c r="N124" s="30" t="str">
        <f t="shared" si="30"/>
        <v/>
      </c>
      <c r="O124" s="35" t="str">
        <f t="shared" si="30"/>
        <v/>
      </c>
      <c r="AB124" s="40" t="str">
        <f t="shared" si="34"/>
        <v/>
      </c>
      <c r="AC124" s="15" t="str">
        <f t="shared" si="34"/>
        <v/>
      </c>
      <c r="AD124" s="15" t="str">
        <f t="shared" si="34"/>
        <v/>
      </c>
      <c r="AE124" s="15" t="str">
        <f t="shared" si="32"/>
        <v/>
      </c>
      <c r="AF124" s="15" t="str">
        <f t="shared" si="32"/>
        <v/>
      </c>
      <c r="AG124" s="41" t="str">
        <f t="shared" si="32"/>
        <v/>
      </c>
      <c r="AH124" s="15"/>
    </row>
    <row r="125" spans="2:42">
      <c r="B125" s="34">
        <f t="shared" si="25"/>
        <v>115</v>
      </c>
      <c r="C125" s="30"/>
      <c r="D125" s="30"/>
      <c r="E125" s="30"/>
      <c r="F125" s="30"/>
      <c r="G125" s="30"/>
      <c r="H125" s="35"/>
      <c r="J125" s="34" t="str">
        <f t="shared" si="31"/>
        <v/>
      </c>
      <c r="K125" s="30" t="str">
        <f t="shared" si="31"/>
        <v/>
      </c>
      <c r="L125" s="30" t="str">
        <f t="shared" si="31"/>
        <v/>
      </c>
      <c r="M125" s="30" t="str">
        <f t="shared" si="30"/>
        <v/>
      </c>
      <c r="N125" s="30" t="str">
        <f t="shared" si="30"/>
        <v/>
      </c>
      <c r="O125" s="35" t="str">
        <f t="shared" si="30"/>
        <v/>
      </c>
      <c r="AB125" s="40" t="str">
        <f t="shared" si="34"/>
        <v/>
      </c>
      <c r="AC125" s="15" t="str">
        <f t="shared" si="34"/>
        <v/>
      </c>
      <c r="AD125" s="15" t="str">
        <f t="shared" si="34"/>
        <v/>
      </c>
      <c r="AE125" s="15" t="str">
        <f t="shared" si="32"/>
        <v/>
      </c>
      <c r="AF125" s="15" t="str">
        <f t="shared" si="32"/>
        <v/>
      </c>
      <c r="AG125" s="41" t="str">
        <f t="shared" si="32"/>
        <v/>
      </c>
      <c r="AH125" s="15"/>
    </row>
    <row r="126" spans="2:42">
      <c r="B126" s="34">
        <f t="shared" si="25"/>
        <v>116</v>
      </c>
      <c r="C126" s="30"/>
      <c r="D126" s="30"/>
      <c r="E126" s="30"/>
      <c r="F126" s="30"/>
      <c r="G126" s="30"/>
      <c r="H126" s="35"/>
      <c r="J126" s="34" t="str">
        <f t="shared" si="31"/>
        <v/>
      </c>
      <c r="K126" s="30" t="str">
        <f t="shared" si="31"/>
        <v/>
      </c>
      <c r="L126" s="30" t="str">
        <f t="shared" si="31"/>
        <v/>
      </c>
      <c r="M126" s="30" t="str">
        <f t="shared" si="30"/>
        <v/>
      </c>
      <c r="N126" s="30" t="str">
        <f t="shared" si="30"/>
        <v/>
      </c>
      <c r="O126" s="35" t="str">
        <f t="shared" si="30"/>
        <v/>
      </c>
      <c r="AB126" s="40" t="str">
        <f t="shared" si="34"/>
        <v/>
      </c>
      <c r="AC126" s="15" t="str">
        <f t="shared" si="34"/>
        <v/>
      </c>
      <c r="AD126" s="15" t="str">
        <f t="shared" si="34"/>
        <v/>
      </c>
      <c r="AE126" s="15" t="str">
        <f t="shared" si="32"/>
        <v/>
      </c>
      <c r="AF126" s="15" t="str">
        <f t="shared" si="32"/>
        <v/>
      </c>
      <c r="AG126" s="41" t="str">
        <f t="shared" si="32"/>
        <v/>
      </c>
      <c r="AH126" s="15"/>
    </row>
    <row r="127" spans="2:42">
      <c r="B127" s="34">
        <f t="shared" si="25"/>
        <v>117</v>
      </c>
      <c r="C127" s="30"/>
      <c r="D127" s="30"/>
      <c r="E127" s="30"/>
      <c r="F127" s="30"/>
      <c r="G127" s="30"/>
      <c r="H127" s="35"/>
      <c r="J127" s="34" t="str">
        <f t="shared" si="31"/>
        <v/>
      </c>
      <c r="K127" s="30" t="str">
        <f t="shared" si="31"/>
        <v/>
      </c>
      <c r="L127" s="30" t="str">
        <f t="shared" si="31"/>
        <v/>
      </c>
      <c r="M127" s="30" t="str">
        <f t="shared" si="30"/>
        <v/>
      </c>
      <c r="N127" s="30" t="str">
        <f t="shared" si="30"/>
        <v/>
      </c>
      <c r="O127" s="35" t="str">
        <f t="shared" si="30"/>
        <v/>
      </c>
      <c r="AB127" s="40" t="str">
        <f t="shared" si="34"/>
        <v/>
      </c>
      <c r="AC127" s="15" t="str">
        <f t="shared" si="34"/>
        <v/>
      </c>
      <c r="AD127" s="15" t="str">
        <f t="shared" si="34"/>
        <v/>
      </c>
      <c r="AE127" s="15" t="str">
        <f t="shared" si="32"/>
        <v/>
      </c>
      <c r="AF127" s="15" t="str">
        <f t="shared" si="32"/>
        <v/>
      </c>
      <c r="AG127" s="41" t="str">
        <f t="shared" si="32"/>
        <v/>
      </c>
      <c r="AH127" s="15"/>
    </row>
    <row r="128" spans="2:42">
      <c r="B128" s="34">
        <f t="shared" si="25"/>
        <v>118</v>
      </c>
      <c r="C128" s="30"/>
      <c r="D128" s="30"/>
      <c r="E128" s="30"/>
      <c r="F128" s="30"/>
      <c r="G128" s="30"/>
      <c r="H128" s="35"/>
      <c r="J128" s="34" t="str">
        <f t="shared" si="31"/>
        <v/>
      </c>
      <c r="K128" s="30" t="str">
        <f t="shared" si="31"/>
        <v/>
      </c>
      <c r="L128" s="30" t="str">
        <f t="shared" si="31"/>
        <v/>
      </c>
      <c r="M128" s="30" t="str">
        <f t="shared" si="30"/>
        <v/>
      </c>
      <c r="N128" s="30" t="str">
        <f t="shared" si="30"/>
        <v/>
      </c>
      <c r="O128" s="35" t="str">
        <f t="shared" si="30"/>
        <v/>
      </c>
      <c r="AB128" s="40" t="str">
        <f t="shared" si="34"/>
        <v/>
      </c>
      <c r="AC128" s="15" t="str">
        <f t="shared" si="34"/>
        <v/>
      </c>
      <c r="AD128" s="15" t="str">
        <f t="shared" si="34"/>
        <v/>
      </c>
      <c r="AE128" s="15" t="str">
        <f t="shared" si="32"/>
        <v/>
      </c>
      <c r="AF128" s="15" t="str">
        <f t="shared" si="32"/>
        <v/>
      </c>
      <c r="AG128" s="41" t="str">
        <f t="shared" si="32"/>
        <v/>
      </c>
      <c r="AH128" s="15"/>
    </row>
    <row r="129" spans="2:34">
      <c r="B129" s="34">
        <f t="shared" si="25"/>
        <v>119</v>
      </c>
      <c r="C129" s="30"/>
      <c r="D129" s="30"/>
      <c r="E129" s="30"/>
      <c r="F129" s="30"/>
      <c r="G129" s="30"/>
      <c r="H129" s="35"/>
      <c r="J129" s="34" t="str">
        <f t="shared" si="31"/>
        <v/>
      </c>
      <c r="K129" s="30" t="str">
        <f t="shared" si="31"/>
        <v/>
      </c>
      <c r="L129" s="30" t="str">
        <f t="shared" si="31"/>
        <v/>
      </c>
      <c r="M129" s="30" t="str">
        <f t="shared" si="30"/>
        <v/>
      </c>
      <c r="N129" s="30" t="str">
        <f t="shared" si="30"/>
        <v/>
      </c>
      <c r="O129" s="35" t="str">
        <f t="shared" si="30"/>
        <v/>
      </c>
      <c r="AB129" s="40" t="str">
        <f t="shared" si="34"/>
        <v/>
      </c>
      <c r="AC129" s="15" t="str">
        <f t="shared" si="34"/>
        <v/>
      </c>
      <c r="AD129" s="15" t="str">
        <f t="shared" si="34"/>
        <v/>
      </c>
      <c r="AE129" s="15" t="str">
        <f t="shared" si="32"/>
        <v/>
      </c>
      <c r="AF129" s="15" t="str">
        <f t="shared" si="32"/>
        <v/>
      </c>
      <c r="AG129" s="41" t="str">
        <f t="shared" si="32"/>
        <v/>
      </c>
      <c r="AH129" s="15"/>
    </row>
    <row r="130" spans="2:34">
      <c r="B130" s="34">
        <f t="shared" si="25"/>
        <v>120</v>
      </c>
      <c r="C130" s="30"/>
      <c r="D130" s="30"/>
      <c r="E130" s="30"/>
      <c r="F130" s="30"/>
      <c r="G130" s="30"/>
      <c r="H130" s="35"/>
      <c r="J130" s="34" t="str">
        <f t="shared" si="31"/>
        <v/>
      </c>
      <c r="K130" s="30" t="str">
        <f t="shared" si="31"/>
        <v/>
      </c>
      <c r="L130" s="30" t="str">
        <f t="shared" si="31"/>
        <v/>
      </c>
      <c r="M130" s="30" t="str">
        <f t="shared" si="30"/>
        <v/>
      </c>
      <c r="N130" s="30" t="str">
        <f t="shared" si="30"/>
        <v/>
      </c>
      <c r="O130" s="35" t="str">
        <f t="shared" si="30"/>
        <v/>
      </c>
      <c r="AB130" s="40" t="str">
        <f t="shared" si="34"/>
        <v/>
      </c>
      <c r="AC130" s="15" t="str">
        <f t="shared" si="34"/>
        <v/>
      </c>
      <c r="AD130" s="15" t="str">
        <f t="shared" si="34"/>
        <v/>
      </c>
      <c r="AE130" s="15" t="str">
        <f t="shared" si="32"/>
        <v/>
      </c>
      <c r="AF130" s="15" t="str">
        <f t="shared" si="32"/>
        <v/>
      </c>
      <c r="AG130" s="41" t="str">
        <f t="shared" si="32"/>
        <v/>
      </c>
      <c r="AH130" s="15"/>
    </row>
    <row r="131" spans="2:34">
      <c r="B131" s="34">
        <f t="shared" si="25"/>
        <v>121</v>
      </c>
      <c r="C131" s="30"/>
      <c r="D131" s="30"/>
      <c r="E131" s="30"/>
      <c r="F131" s="30"/>
      <c r="G131" s="30"/>
      <c r="H131" s="35"/>
      <c r="J131" s="34" t="str">
        <f t="shared" si="31"/>
        <v/>
      </c>
      <c r="K131" s="30" t="str">
        <f t="shared" si="31"/>
        <v/>
      </c>
      <c r="L131" s="30" t="str">
        <f t="shared" si="31"/>
        <v/>
      </c>
      <c r="M131" s="30" t="str">
        <f t="shared" si="30"/>
        <v/>
      </c>
      <c r="N131" s="30" t="str">
        <f t="shared" si="30"/>
        <v/>
      </c>
      <c r="O131" s="35" t="str">
        <f t="shared" si="30"/>
        <v/>
      </c>
      <c r="AB131" s="40" t="str">
        <f t="shared" si="34"/>
        <v/>
      </c>
      <c r="AC131" s="15" t="str">
        <f t="shared" si="34"/>
        <v/>
      </c>
      <c r="AD131" s="15" t="str">
        <f t="shared" si="34"/>
        <v/>
      </c>
      <c r="AE131" s="15" t="str">
        <f t="shared" si="32"/>
        <v/>
      </c>
      <c r="AF131" s="15" t="str">
        <f t="shared" si="32"/>
        <v/>
      </c>
      <c r="AG131" s="41" t="str">
        <f t="shared" si="32"/>
        <v/>
      </c>
      <c r="AH131" s="15"/>
    </row>
    <row r="132" spans="2:34">
      <c r="B132" s="34">
        <f t="shared" si="25"/>
        <v>122</v>
      </c>
      <c r="C132" s="30"/>
      <c r="D132" s="30"/>
      <c r="E132" s="30"/>
      <c r="F132" s="30"/>
      <c r="G132" s="30"/>
      <c r="H132" s="35"/>
      <c r="J132" s="34" t="str">
        <f t="shared" si="31"/>
        <v/>
      </c>
      <c r="K132" s="30" t="str">
        <f t="shared" si="31"/>
        <v/>
      </c>
      <c r="L132" s="30" t="str">
        <f t="shared" si="31"/>
        <v/>
      </c>
      <c r="M132" s="30" t="str">
        <f t="shared" si="30"/>
        <v/>
      </c>
      <c r="N132" s="30" t="str">
        <f t="shared" si="30"/>
        <v/>
      </c>
      <c r="O132" s="35" t="str">
        <f t="shared" si="30"/>
        <v/>
      </c>
      <c r="AB132" s="40" t="str">
        <f t="shared" si="34"/>
        <v/>
      </c>
      <c r="AC132" s="15" t="str">
        <f t="shared" si="34"/>
        <v/>
      </c>
      <c r="AD132" s="15" t="str">
        <f t="shared" si="34"/>
        <v/>
      </c>
      <c r="AE132" s="15" t="str">
        <f t="shared" si="32"/>
        <v/>
      </c>
      <c r="AF132" s="15" t="str">
        <f t="shared" si="32"/>
        <v/>
      </c>
      <c r="AG132" s="41" t="str">
        <f t="shared" si="32"/>
        <v/>
      </c>
      <c r="AH132" s="15"/>
    </row>
    <row r="133" spans="2:34">
      <c r="B133" s="34">
        <f t="shared" si="25"/>
        <v>123</v>
      </c>
      <c r="C133" s="30"/>
      <c r="D133" s="30"/>
      <c r="E133" s="30"/>
      <c r="F133" s="30"/>
      <c r="G133" s="30"/>
      <c r="H133" s="35"/>
      <c r="J133" s="34" t="str">
        <f t="shared" si="31"/>
        <v/>
      </c>
      <c r="K133" s="30" t="str">
        <f t="shared" si="31"/>
        <v/>
      </c>
      <c r="L133" s="30" t="str">
        <f t="shared" si="31"/>
        <v/>
      </c>
      <c r="M133" s="30" t="str">
        <f t="shared" si="30"/>
        <v/>
      </c>
      <c r="N133" s="30" t="str">
        <f t="shared" si="30"/>
        <v/>
      </c>
      <c r="O133" s="35" t="str">
        <f t="shared" si="30"/>
        <v/>
      </c>
      <c r="AB133" s="40" t="str">
        <f t="shared" si="34"/>
        <v/>
      </c>
      <c r="AC133" s="15" t="str">
        <f t="shared" si="34"/>
        <v/>
      </c>
      <c r="AD133" s="15" t="str">
        <f t="shared" si="34"/>
        <v/>
      </c>
      <c r="AE133" s="15" t="str">
        <f t="shared" si="32"/>
        <v/>
      </c>
      <c r="AF133" s="15" t="str">
        <f t="shared" si="32"/>
        <v/>
      </c>
      <c r="AG133" s="41" t="str">
        <f t="shared" si="32"/>
        <v/>
      </c>
      <c r="AH133" s="15"/>
    </row>
    <row r="134" spans="2:34">
      <c r="B134" s="34">
        <f t="shared" si="25"/>
        <v>124</v>
      </c>
      <c r="C134" s="30"/>
      <c r="D134" s="30"/>
      <c r="E134" s="30"/>
      <c r="F134" s="30"/>
      <c r="G134" s="30"/>
      <c r="H134" s="35"/>
      <c r="J134" s="34" t="str">
        <f t="shared" si="31"/>
        <v/>
      </c>
      <c r="K134" s="30" t="str">
        <f t="shared" si="31"/>
        <v/>
      </c>
      <c r="L134" s="30" t="str">
        <f t="shared" si="31"/>
        <v/>
      </c>
      <c r="M134" s="30" t="str">
        <f t="shared" si="30"/>
        <v/>
      </c>
      <c r="N134" s="30" t="str">
        <f t="shared" si="30"/>
        <v/>
      </c>
      <c r="O134" s="35" t="str">
        <f t="shared" si="30"/>
        <v/>
      </c>
      <c r="AB134" s="40" t="str">
        <f t="shared" si="34"/>
        <v/>
      </c>
      <c r="AC134" s="15" t="str">
        <f t="shared" si="34"/>
        <v/>
      </c>
      <c r="AD134" s="15" t="str">
        <f t="shared" si="34"/>
        <v/>
      </c>
      <c r="AE134" s="15" t="str">
        <f t="shared" si="32"/>
        <v/>
      </c>
      <c r="AF134" s="15" t="str">
        <f t="shared" si="32"/>
        <v/>
      </c>
      <c r="AG134" s="41" t="str">
        <f t="shared" si="32"/>
        <v/>
      </c>
      <c r="AH134" s="15"/>
    </row>
    <row r="135" spans="2:34">
      <c r="B135" s="36">
        <f t="shared" si="25"/>
        <v>125</v>
      </c>
      <c r="C135" s="37"/>
      <c r="D135" s="37"/>
      <c r="E135" s="37"/>
      <c r="F135" s="37"/>
      <c r="G135" s="37"/>
      <c r="H135" s="38"/>
      <c r="J135" s="36" t="str">
        <f t="shared" si="31"/>
        <v/>
      </c>
      <c r="K135" s="37" t="str">
        <f t="shared" si="31"/>
        <v/>
      </c>
      <c r="L135" s="37" t="str">
        <f t="shared" si="31"/>
        <v/>
      </c>
      <c r="M135" s="37" t="str">
        <f t="shared" si="30"/>
        <v/>
      </c>
      <c r="N135" s="37" t="str">
        <f t="shared" si="30"/>
        <v/>
      </c>
      <c r="O135" s="38" t="str">
        <f t="shared" si="30"/>
        <v/>
      </c>
      <c r="AB135" s="42" t="str">
        <f t="shared" si="34"/>
        <v/>
      </c>
      <c r="AC135" s="43" t="str">
        <f t="shared" si="34"/>
        <v/>
      </c>
      <c r="AD135" s="43" t="str">
        <f t="shared" si="34"/>
        <v/>
      </c>
      <c r="AE135" s="43" t="str">
        <f t="shared" si="32"/>
        <v/>
      </c>
      <c r="AF135" s="43" t="str">
        <f t="shared" si="32"/>
        <v/>
      </c>
      <c r="AG135" s="44" t="str">
        <f t="shared" si="32"/>
        <v/>
      </c>
      <c r="AH135" s="15"/>
    </row>
  </sheetData>
  <conditionalFormatting sqref="C3:H223">
    <cfRule type="cellIs" dxfId="3" priority="1" operator="equal">
      <formula>"WC"</formula>
    </cfRule>
    <cfRule type="cellIs" dxfId="2" priority="2" operator="equal">
      <formula>"FG"</formula>
    </cfRule>
  </conditionalFormatting>
  <conditionalFormatting sqref="J3:O3">
    <cfRule type="cellIs" dxfId="1" priority="3" operator="equal">
      <formula>$E$24</formula>
    </cfRule>
    <cfRule type="cellIs" dxfId="0" priority="4" operator="equal">
      <formula>$C$20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 Banerjee</dc:creator>
  <cp:keywords/>
  <dc:description/>
  <cp:lastModifiedBy>Guest User</cp:lastModifiedBy>
  <cp:revision/>
  <dcterms:created xsi:type="dcterms:W3CDTF">2015-06-05T18:17:20Z</dcterms:created>
  <dcterms:modified xsi:type="dcterms:W3CDTF">2026-10-23T06:00:08Z</dcterms:modified>
  <cp:category/>
  <cp:contentStatus/>
</cp:coreProperties>
</file>